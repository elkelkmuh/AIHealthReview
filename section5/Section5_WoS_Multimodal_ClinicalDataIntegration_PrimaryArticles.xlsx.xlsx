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<sst xmlns="http://schemas.openxmlformats.org/spreadsheetml/2006/main" count="35342" uniqueCount="10835">
  <si>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</si>
  <si>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</si>
  <si>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</si>
  <si>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</si>
  <si>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</si>
  <si>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</si>
  <si>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</si>
  <si>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</si>
  <si>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</si>
  <si>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</si>
  <si>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</si>
  <si>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</si>
  <si>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</si>
  <si>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</si>
  <si>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</si>
  <si>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</si>
  <si>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</si>
  <si>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</si>
  <si>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</si>
  <si>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</si>
  <si>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</si>
  <si>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</si>
  <si>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</si>
  <si>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</si>
  <si>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</si>
  <si>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</si>
  <si>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</si>
  <si>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</si>
  <si>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</si>
  <si>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</si>
  <si>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</si>
  <si>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</si>
  <si>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</si>
  <si>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</si>
  <si>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</si>
  <si>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</si>
  <si>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</si>
  <si>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</si>
  <si>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</si>
  <si>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</si>
  <si>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</si>
  <si>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</si>
  <si>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</si>
  <si>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</si>
  <si>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</si>
  <si>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</si>
  <si>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</si>
  <si>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</si>
  <si>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</si>
  <si>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</si>
  <si>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</si>
  <si>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</si>
  <si>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</si>
  <si>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</si>
  <si>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</si>
  <si>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</si>
  <si>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</si>
  <si>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</si>
  <si>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</si>
  <si>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</si>
  <si>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</si>
  <si>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</si>
  <si>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</si>
  <si>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</si>
  <si>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</si>
  <si>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</si>
  <si>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</si>
  <si>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</si>
  <si>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</si>
  <si>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</si>
  <si>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</si>
  <si>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</si>
  <si>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</si>
  <si>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</si>
  <si>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</si>
  <si>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</si>
  <si>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</si>
  <si>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</si>
  <si>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Li, X; Gong, PQ; Li, CT; Ding, XH; Chen, FM</t>
  </si>
  <si>
    <t>Accurate emotion recognition under limited computational resources remains challenging in applications such as healthcare, human-computer interaction, and intelligent systems. To address this issue, we propose a parameterized supermatrix multi-task multimodal emotion recognition model (PH-MTM) that fuses electroencephalography (EEG) and peripheral physiological signals (PPS). Physiological signals from the DEAP dataset are preprocessed to extract differential entropy (DE) and power spectral density (PSD) features, which are organized into a "frequency band number &amp; times; 8 &amp; times; 9" grid according to the international 10-20 system. An improved squeeze-and-excitation (SE) attention mechanism adaptively assigns weights to different frequency bands, while a convolutional neural network (CNN) performs deep fusion of cross-band and cross-channel information. To reduce model complexity without sacrificing performance, a lightweight fully connected layer based on matrix decomposition is integrated into a multi-task learning framework. Because DEAP includes only 32-channel EEG signals, additional experiments are conducted on the 62-channel SEED dataset to evaluate the scalability and robustness of the frequency-band fusion strategy. PH-MTM achieves 95.99 and 96.51% accuracy for valence and arousal classification on DEAP, and 94.25% accuracy for three-class emotion recognition on SEED. Fusion analysis of EEG with different PPS types shows that EEG combined with electromyography (EMG) performs best, reaching 99.69 and 99.74% accuracy for valence and arousal, respectively. Compared with existing methods, the proposed model demonstrates improved recognition accuracy while maintaining low computational cost. In addition, SHAP visualization is applied to analyze the contribution of different frequency-band features, offering further insight into multimodal physiological signal-based emotion recognition.</t>
  </si>
  <si>
    <t>Li, Xue; Gong, Piqiang; Li, Chuantao; Ding, Xiaohan; Chen, Fuming</t>
  </si>
  <si>
    <t/>
  </si>
  <si>
    <t>Science Citation Index Expanded (SCI-EXPANDED)</t>
  </si>
  <si>
    <t>Chen, FM (corresponding author), 940th Hosp Joint Logist Support Force Chinese Peop, Med Secur Ctr, Lanzhou, Gansu, Peoples R China.</t>
  </si>
  <si>
    <t>cfm5762@126.com</t>
  </si>
  <si>
    <t>Natural Science Foundation of China [61901515]; Natural Science Foundation of Gansu Province [22JR5RA002]; In-house research project of the 940th Hospital of the Logistics Support Force of the Chinese People's Liberation Army [2023A-019, 2023YXKY013]; Talent Program Fund of the Naval Medical Center, Naval Medical University [21TPQN0201]; Chinese Naval Equipment Research [24AZ1001]</t>
  </si>
  <si>
    <t>Natural Science Foundation of China (National Natural Science Foundation of China (NSFC)); Natural Science Foundation of Gansu Province; In-house research project of the 940th Hospital of the Logistics Support Force of the Chinese People's Liberation Army; Talent Program Fund of the Naval Medical Center, Naval Medical University; Chinese Naval Equipment Research</t>
  </si>
  <si>
    <t>The author(s) declared that financial support was received for this work and/or its publication. This work was supported by: Natural Science Foundation of China (61901515); Natural Science Foundation of Gansu Province (22JR5RA002); In-house research project of the 940th Hospital of the Logistics Support Force of the Chinese People's Liberation Army (2023A-019, 2023YXKY013); Talent Program Fund of the Naval Medical Center, Naval Medical University (21TPQN0201); and Chinese Naval Equipment Research (24AZ1001).</t>
  </si>
  <si>
    <t>[Li, Xue; Gong, Piqiang; Ding, Xiaohan; Chen, Fuming] 940th Hosp Joint Logist Support Force Chinese Peop, Med Secur Ctr, Lanzhou, Gansu, Peoples R China; [Li, Xue] Gansu Univ Chinese Med, Sch Med Informat Engn, Dept Biomed Engn, Lanzhou, Gansu, Peoples R China; [Li, Chuantao] Naval Med Univ, Naval Med Ctr, Shanghai, Peoples R China</t>
  </si>
  <si>
    <t>Gansu University of Chinese Medicine; Naval Medical University</t>
  </si>
  <si>
    <t>J</t>
  </si>
  <si>
    <t>Application of a parametric supermatrix multi-task multimodal deep learning model based on electroencephalogram and peripheral physiological signal fusion in emotion recognition</t>
  </si>
  <si>
    <t>FRONTIERS IN NEUROSCIENCE</t>
  </si>
  <si>
    <t>English</t>
  </si>
  <si>
    <t>Article</t>
  </si>
  <si>
    <t>electroencephalographic signals; emotion recognition; multimodal fusion; multi-task learning; peripheral physiological signals</t>
  </si>
  <si>
    <t>76</t>
  </si>
  <si>
    <t>FRONTIERS MEDIA SA</t>
  </si>
  <si>
    <t>LAUSANNE</t>
  </si>
  <si>
    <t>AVENUE DU TRIBUNAL FEDERAL 34, LAUSANNE, CH-1015, SWITZERLAND</t>
  </si>
  <si>
    <t>1662-453X</t>
  </si>
  <si>
    <t>FRONT NEUROSCI-SWITZ</t>
  </si>
  <si>
    <t>Front. Neurosci.</t>
  </si>
  <si>
    <t>JUL 31 2026</t>
  </si>
  <si>
    <t>2026</t>
  </si>
  <si>
    <t>20</t>
  </si>
  <si>
    <t>1894285</t>
  </si>
  <si>
    <t>10.3389/fnins.2026.1894285</t>
  </si>
  <si>
    <t>http://dx.doi.org/10.3389/fnins.2026.1894285</t>
  </si>
  <si>
    <t>22</t>
  </si>
  <si>
    <t>Neurosciences</t>
  </si>
  <si>
    <t>Neurosciences &amp; Neurology</t>
  </si>
  <si>
    <t>MR5VY</t>
  </si>
  <si>
    <t>WOS:001849196900001</t>
  </si>
  <si>
    <t>View Record in Web of Science</t>
  </si>
  <si>
    <t>gold</t>
  </si>
  <si>
    <t>2026-08-26</t>
  </si>
  <si>
    <t>1</t>
  </si>
  <si>
    <t>Che, JS; Sun, MM; Wang, YH; Xu, ZD</t>
  </si>
  <si>
    <t>Introduction The integration of multimodal data has become a crucial aspect of biomedical time series prediction, offering improved accuracy and robustness in clinical decision-making. Traditional approaches often rely on unimodal learning paradigms, which fail to fully exploit the complementary information across heterogeneous data sources such as physiological signals, imaging, and electronic health records. These methods suffer from modality misalignment, suboptimal feature fusion, and lack of adaptive learning mechanisms, leading to performance degradation in complex biomedical scenarios.Methods To address these challenges, we propose a novel multimodal Deep Learning framework that dynamically captures inter-modal dependencies and optimizes cross-modal interactions for time series prediction. Our approach introduces an Adaptive Multimodal Fusion Network (AMFN), which leverages attention-based alignment, graph-based representation learning, and a modality-adaptive fusion mechanism to enhance information integration. Furthermore, we develop a Dynamic Cross-Modal Learning Strategy (DCMLS) that optimally selects relevant features, mitigates modality-specific noise, and incorporates uncertainty-aware learning to improve model generalization.Results Experimental evaluations on biomedical datasets demonstrate that our method outperforms state-of-the-art techniques in predictive accuracy, robustness, and interpretability.Discussion By effectively bridging the gap between heterogeneous biomedical data sources, our framework offers a promising direction for AI-driven disease diagnosis and treatment planning.</t>
  </si>
  <si>
    <t>Che, Jinshan; Sun, Mingming; Wang, Yuhong; Xu, Zhendan</t>
  </si>
  <si>
    <t>Che, JS (corresponding author), Xinxiang Cent Hosp, Xinxiang Med Coll 4, Dept Anesthesiol &amp; Perioperat Med, Clin Coll, Xinxiang, Peoples R China.</t>
  </si>
  <si>
    <t>13569800207@163.com</t>
  </si>
  <si>
    <t>[Che, Jinshan; Sun, Mingming; Wang, Yuhong] Xinxiang Cent Hosp, Xinxiang Med Coll 4, Dept Anesthesiol &amp; Perioperat Med, Clin Coll, Xinxiang, Peoples R China; [Xu, Zhendan] Key Lab Rheumatol, Immunol Dis &amp; Chron Dis Management Xinxiang, Xinxiang, Peoples R China</t>
  </si>
  <si>
    <t>Fusion-driven multimodal learning for biomedical time series in surgical care</t>
  </si>
  <si>
    <t>FRONTIERS IN PHYSIOLOGY</t>
  </si>
  <si>
    <t>multimodal learning; deep learning; biomedical time series; adaptive fusion; uncertainty-aware learning</t>
  </si>
  <si>
    <t>46</t>
  </si>
  <si>
    <t>9</t>
  </si>
  <si>
    <t>10</t>
  </si>
  <si>
    <t>2</t>
  </si>
  <si>
    <t>6</t>
  </si>
  <si>
    <t>1664-042X</t>
  </si>
  <si>
    <t>FRONT PHYSIOL</t>
  </si>
  <si>
    <t>Front. Physiol.</t>
  </si>
  <si>
    <t>SEP 17 2025</t>
  </si>
  <si>
    <t>2025</t>
  </si>
  <si>
    <t>16</t>
  </si>
  <si>
    <t>1605406</t>
  </si>
  <si>
    <t>10.3389/fphys.2025.1605406</t>
  </si>
  <si>
    <t>http://dx.doi.org/10.3389/fphys.2025.1605406</t>
  </si>
  <si>
    <t>Physiology</t>
  </si>
  <si>
    <t>8BJ8U</t>
  </si>
  <si>
    <t>41041272</t>
  </si>
  <si>
    <t>WOS:001584638200001</t>
  </si>
  <si>
    <t>gold; Green Submitted</t>
  </si>
  <si>
    <t>Babaei, AF; Tanha, J; Balafar, MA; Roshan, S</t>
  </si>
  <si>
    <t>Sleep apnea, a common and potentially serious sleep disorder, is characterized by repeated pauses in breathing during sleep. These pauses, known as apneas, can last from a few seconds to minutes and may occur multiple times per hour. This disorder poses significant health risks, including increased likelihoods of developing cardiovascular complications such as hypertension, heart disease, and stroke. Detecting sleep apnea accurately and efficiently presents several challenges, including variability in physiological signals among individuals and class imbalance for apnea events. In this study, we propose a novel deep-learning approach for automatic sleep apnea detection using physiological signals. Our method utilizes a convolutional neural network (CNN) with gated recurrent units (GRU) and an attention mechanism to capture both spatial and temporal information. We introduce a multi-domain feature extractor (MDFE) block with a Squeeze and Excitation (SE) block for enhanced feature representation and channel-wise attention. To promote model diversity and robustness, we further introduce a novel loss function that encourages the network's key modules to learn disparate feature representations. This approach is trained and validated on the Sleep Heart Health Study (SHHS) dataset, achieving high accuracy and robustness (AUC: 91.94, Accuracy: 83.87). We used the K-fold cross-validation technique to show the effectiveness of our method, suggesting its potential for real-time monitoring and personalized treatment strategies in sleep disorders.</t>
  </si>
  <si>
    <t>Babaei, Alireza Fakhim; Tanha, Jafar; Balafar, Mohammad Ali; Roshan, Seyedehsan</t>
  </si>
  <si>
    <t>Tanha, J (corresponding author), Univ Tabriz, Dept Elect &amp; Comp Engn, Tabriz 5166616471, Iran.</t>
  </si>
  <si>
    <t>tanha@tabrizu.ac.ir</t>
  </si>
  <si>
    <t>[Babaei, Alireza Fakhim; Tanha, Jafar; Balafar, Mohammad Ali; Roshan, Seyedehsan] Univ Tabriz, Dept Elect &amp; Comp Engn, Tabriz 5166616471, Iran</t>
  </si>
  <si>
    <t>University of Tabriz</t>
  </si>
  <si>
    <t>A Novel Multimodal Deep Learning Approach With Loss Function for Detection of Sleep Apnea Events</t>
  </si>
  <si>
    <t>IEEE ACCESS</t>
  </si>
  <si>
    <t>Sleep apnea; Feature extraction; Brain modeling; Accuracy; Physiology; Deep learning; Convolutional neural networks; Training; Machine learning; Data models; attention mechanism; sleep disorder; sleep apnea; biomedical signal processing; AI for healthcare</t>
  </si>
  <si>
    <t>CLASSIFICATION; MECHANISMS</t>
  </si>
  <si>
    <t>Balafar, M.A/AAW-8999-2021; tanha, jafar/AAO-2736-2020</t>
  </si>
  <si>
    <t>Balafar, M.A/0000-0001-5898-0871; tanha, jafar/0000-0002-0779-6027; FakhimBabaei, Alireza/0009-0006-0506-0223</t>
  </si>
  <si>
    <t>50</t>
  </si>
  <si>
    <t>4</t>
  </si>
  <si>
    <t>7</t>
  </si>
  <si>
    <t>IEEE-INST ELECTRICAL ELECTRONICS ENGINEERS INC</t>
  </si>
  <si>
    <t>PISCATAWAY</t>
  </si>
  <si>
    <t>445 HOES LANE, PISCATAWAY, NJ 08855-4141 USA</t>
  </si>
  <si>
    <t>2169-3536</t>
  </si>
  <si>
    <t>IEEE Access</t>
  </si>
  <si>
    <t>13</t>
  </si>
  <si>
    <t>52085</t>
  </si>
  <si>
    <t>52099</t>
  </si>
  <si>
    <t>10.1109/ACCESS.2025.3552254</t>
  </si>
  <si>
    <t>http://dx.doi.org/10.1109/ACCESS.2025.3552254</t>
  </si>
  <si>
    <t>15</t>
  </si>
  <si>
    <t>Computer Science, Information Systems; Engineering, Electrical &amp; Electronic; Telecommunications</t>
  </si>
  <si>
    <t>Computer Science; Engineering; Telecommunications</t>
  </si>
  <si>
    <t>0TK4K</t>
  </si>
  <si>
    <t>WOS:001455585800012</t>
  </si>
  <si>
    <t>Wang, RT; Gao, LA; Xu, YH; Tang, QF; Fang, C</t>
  </si>
  <si>
    <t>This study proposes a novel U-Net-based convolutional neural network for blood glucose prediction by integrating historical continuous glucose monitoring data with non-invasive physiological parameters. The model achieved robust performance using the OhioT1DM dataset-demonstrating superiority with MAEs of 8.4761 mg/dL (30 min) and 14.0170 mg/dL (60 min), RMSEs of 13.1315 and 20.6470 mg/dL, and R2 values of 0.9397 and 0.8549. This framework offers a practical, data-driven strategy for short-term glucose forecasting and metabolic health management in insulin-dependent T1DM patients, while the quantitative validation of its non-invasiveness provides a robust basis for wearable sensor-based glucose monitoring.</t>
  </si>
  <si>
    <t>Wang, Ruting; Gao, Li-Ang; Xu, Yuhao; Tang, Qunfeng; Fang, Cheng</t>
  </si>
  <si>
    <t>Science Citation Index Expanded (SCI-EXPANDED); Science Citation Index Expanded (SCI-EXPANDED)</t>
  </si>
  <si>
    <t>Tang, QF; Fang, C (corresponding author), Guilin Univ Elect Technol, Sch Life &amp; Environm Sci, Guilin, Peoples R China.; Fang, C (corresponding author), Guangxi Coll &amp; Univ Key Lab Biomed Sensors &amp; Intel, Guilin, Peoples R China.; Fang, C (corresponding author), Guangxi Engn Technol Res Ctr Human Physiol Informa, Guilin, Peoples R China.</t>
  </si>
  <si>
    <t>chengfang@guet.edu.cn; tangqunfeng@guet.edu.cn</t>
  </si>
  <si>
    <t>National Natural Science Foundation of China [82060330]</t>
  </si>
  <si>
    <t>National Natural Science Foundation of China (National Natural Science Foundation of China (NSFC))</t>
  </si>
  <si>
    <t>The authors gratefully acknowledge the financial support provided by the National Natural Science Foundation of China (Grant No.82060330).</t>
  </si>
  <si>
    <t>[Wang, Ruting; Gao, Li-Ang; Xu, Yuhao; Tang, Qunfeng; Fang, Cheng] Guilin Univ Elect Technol, Sch Life &amp; Environm Sci, Guilin, Peoples R China; [Fang, Cheng] Guangxi Coll &amp; Univ Key Lab Biomed Sensors &amp; Intel, Guilin, Peoples R China; [Fang, Cheng] Guangxi Engn Technol Res Ctr Human Physiol Informa, Guilin, Peoples R China</t>
  </si>
  <si>
    <t>Guilin University of Electronic Technology</t>
  </si>
  <si>
    <t>A U-Net-based multimodal deep learning model for high-precision blood glucose prediction using non-invasive physiological data</t>
  </si>
  <si>
    <t>COMPUTER METHODS IN BIOMECHANICS AND BIOMEDICAL ENGINEERING</t>
  </si>
  <si>
    <t>Article; Early Access</t>
  </si>
  <si>
    <t>Blood glucose prediction; U-Net architecture; multimodal physiological signals; deep learning</t>
  </si>
  <si>
    <t>Wang, Ruting/QIR-6536-2026</t>
  </si>
  <si>
    <t>29</t>
  </si>
  <si>
    <t>TAYLOR &amp; FRANCIS LTD</t>
  </si>
  <si>
    <t>ABINGDON</t>
  </si>
  <si>
    <t>2-4 PARK SQUARE, MILTON PARK, ABINGDON OR14 4RN, OXON, ENGLAND</t>
  </si>
  <si>
    <t>1025-5842</t>
  </si>
  <si>
    <t>1476-8259</t>
  </si>
  <si>
    <t>COMPUT METHOD BIOMEC</t>
  </si>
  <si>
    <t>Comput. Methods Biomech. Biomed. Eng.</t>
  </si>
  <si>
    <t>10.1080/10255842.2026.2676676</t>
  </si>
  <si>
    <t>http://dx.doi.org/10.1080/10255842.2026.2676676</t>
  </si>
  <si>
    <t>MAY 2026</t>
  </si>
  <si>
    <t>11</t>
  </si>
  <si>
    <t>Computer Science, Interdisciplinary Applications; Engineering, Biomedical</t>
  </si>
  <si>
    <t>Computer Science; Engineering</t>
  </si>
  <si>
    <t>IN5BV</t>
  </si>
  <si>
    <t>42185234</t>
  </si>
  <si>
    <t>WOS:001775877300001</t>
  </si>
  <si>
    <t>Dubey, P; Dubey, P; Bokoro, PN</t>
  </si>
  <si>
    <t>Mental health diagnostics, an evolving domain in healthcare, aims to enhance early detection and intervention strategies. The integration of artificial intelligence (AI) and machine learning has facilitated advanced predictive models, but concerns related to data privacy and security remain significant challenges. Traditional centralised data collection methods expose sensitive user information, limiting large-scale adoption in real-world applications. This study addresses these challenges by utilising a multimodal dataset comprising physiological signals (heart rate variability, sleep patterns) and behavioural data (online activity, social media interactions). The proposed framework incorporates a Convolutional Neural Network (CNN) and Long Short-Term Memory (LSTM) network within a federated learning environment, ensuring that raw user data remains decentralised and privacy is preserved using differential privacy and encryption techniques. The novelty of this research lies in achieving real-time mental health diagnostics while maintaining stringent privacy safeguards. Experimental results demonstrate that the proposed model achieves an accuracy of 92%, an F1-score of 0.905, and an AUC-ROC score of 0.90, substantially outperforming baseline federated learning models. Furthermore, the model shows resilience against data heterogeneity and privacy threats, making it a promising solution for secure, scalable, and ethical remote mental health assessments.</t>
  </si>
  <si>
    <t>Dubey, Parul; Dubey, Pushkar; Bokoro, Pitshou N.</t>
  </si>
  <si>
    <t>Emerging Sources Citation Index (ESCI)</t>
  </si>
  <si>
    <t>Dubey, P (corresponding author), Symbiosis Int Deemed Univ, Symbiosis Inst Technol, Nagpur Campus, Pune, India.; Bokoro, PN (corresponding author), Univ Johannesburg, Dept Elect Engn Technol, Johannesburg, South Africa.</t>
  </si>
  <si>
    <t>parul.dubey@sitnagpur.siu.edu.in; pitshoub@uj.ac.za</t>
  </si>
  <si>
    <t>[Dubey, Parul] Symbiosis Int Deemed Univ, Symbiosis Inst Technol, Nagpur Campus, Pune, India; [Dubey, Pushkar] Pandit Sundarlal Sharma Open Univ, Dept Management, Johannesburg, India; [Bokoro, Pitshou N.] Univ Johannesburg, Dept Elect Engn Technol, Johannesburg, South Africa</t>
  </si>
  <si>
    <t>Symbiosis International University; Symbiosis Institute of Technology (SIT); University of Johannesburg</t>
  </si>
  <si>
    <t>Federated learning for privacy-enhanced mental health prediction with multimodal data integration</t>
  </si>
  <si>
    <t>COMPUTER METHODS IN BIOMECHANICS AND BIOMEDICAL ENGINEERING-IMAGING AND VISUALIZATION</t>
  </si>
  <si>
    <t>Multimodal deep learning; mental health diagnostics; ROC curve; predictive modelling</t>
  </si>
  <si>
    <t>GUIDE</t>
  </si>
  <si>
    <t>/HSD-3826-2023; Dubey, Parul/HIR-2701-2022</t>
  </si>
  <si>
    <t>Bokoro, Pitshou/0000-0002-9178-2700; Dubey, Parul/0000-0001-8903-6664</t>
  </si>
  <si>
    <t>58</t>
  </si>
  <si>
    <t>8</t>
  </si>
  <si>
    <t>12</t>
  </si>
  <si>
    <t>3</t>
  </si>
  <si>
    <t>14</t>
  </si>
  <si>
    <t>2168-1163</t>
  </si>
  <si>
    <t>2168-1171</t>
  </si>
  <si>
    <t>COMP M BIO BIO E-IV</t>
  </si>
  <si>
    <t>Comp. Meth. Biomech. Biomed. Eng.</t>
  </si>
  <si>
    <t>DEC 31 2025</t>
  </si>
  <si>
    <t>2509672</t>
  </si>
  <si>
    <t>10.1080/21681163.2025.2509672</t>
  </si>
  <si>
    <t>http://dx.doi.org/10.1080/21681163.2025.2509672</t>
  </si>
  <si>
    <t>27</t>
  </si>
  <si>
    <t>Engineering, Biomedical</t>
  </si>
  <si>
    <t>Engineering</t>
  </si>
  <si>
    <t>3FE6D</t>
  </si>
  <si>
    <t>WOS:001498892600001</t>
  </si>
  <si>
    <t>Sathya, K; Magesh, G</t>
  </si>
  <si>
    <t>Cardiovascular diseases, particularly myocardial infarction, have remained a significant cause of death around the world. Therefore, dedicated non-invasive risk prediction frameworks are required. Conventional measures for risk prediction among most heterogeneous patients, such as the Framingham Risk Score and ASCVD calculator, are often less precise and poorly generalizable as they fail to capture individual variations in the mechanisms. This study seeks to present a new multimodal deep learning model developed for cardiovascular risk stratification by fusing retinal microvascular features with cardiovascular physiological signals. The pipeline includes a Hierarchical Retinal Vessel Graph Transformer (HRV-GT) for graph-based vascular representation, Spectro-Temporal Cardiovascular Transformer (STC-T) for capturing short- and long-term signal variability, Sparse Manifold Multimodal Fusion (SMM Fusion) for joint alignment of features, Evolutionary Feature Selection with Clinical Prior Constraints (EFS-CP), and a Contrastive Hierarchical Risk Classifier (CHRC-Net) for decision modeling structured. The model was evaluated across the UK Biobank and SEED datasets (n = 55,000), achieving an AUC of 0.97, sensitivity of 91%, and specificity of 89%, with more than 35% better performance than existing models in reducing misclassification. Clinically interpretable biomarkers that combine high computational efficiency (inference time approximate to 37 ms) affirm its design for real-world deployment in preventive cardiovascular screening processes.</t>
  </si>
  <si>
    <t>Sathya, K.; Magesh, G.</t>
  </si>
  <si>
    <t>Magesh, G (corresponding author), Vellore Inst Technol, Sch Comp Sci Engn &amp; Informat Syst, Vellore 632014, India.</t>
  </si>
  <si>
    <t>magesh.g@vit.ac.in</t>
  </si>
  <si>
    <t>[Sathya, K.; Magesh, G.] Vellore Inst Technol, Sch Comp Sci Engn &amp; Informat Syst, Vellore 632014, India</t>
  </si>
  <si>
    <t>Vellore Institute of Technology (VIT); VIT Vellore</t>
  </si>
  <si>
    <t>Multimodal Deep Learning for Cardiovascular Risk Stratification: Integrating Retinal Biomarkers and Cardiovascular Signals for Enhanced Heart Attack Prediction</t>
  </si>
  <si>
    <t>Retinal imaging; cardiovascular biomarkers; multimodal deep learning; heart attack prediction; risk stratifications; Retinal imaging; cardiovascular biomarkers; multimodal deep learning; heart attack prediction; risk stratifications</t>
  </si>
  <si>
    <t>Sakthivel, K Sathya/0009-0002-5317-2263</t>
  </si>
  <si>
    <t>40</t>
  </si>
  <si>
    <t>5</t>
  </si>
  <si>
    <t>99672</t>
  </si>
  <si>
    <t>99689</t>
  </si>
  <si>
    <t>10.1109/ACCESS.2025.3577064</t>
  </si>
  <si>
    <t>http://dx.doi.org/10.1109/ACCESS.2025.3577064</t>
  </si>
  <si>
    <t>18</t>
  </si>
  <si>
    <t>3SS9B</t>
  </si>
  <si>
    <t>WOS:001508113300028</t>
  </si>
  <si>
    <t>Kumar, R; Krishnan, SB; Yadav, RK; Saini, DKJB; Chakrabarti, P; Balodi, A; Shwetha, V</t>
  </si>
  <si>
    <t>Chronic stress is an important threat in Public Health, as it negatively impacts both the Body and Mind. Current methods for measuring and identifying stress rely largely on individuals providing subjective assessments or measuring isolated physiological parameters, thereby limiting the accuracy and consistency of these approaches. This study proposes a novel approach to objectively measuring an individual's level of stress, by combining deep transfer learning methods for detecting psychological stress measured using Electroencephalogram (EEG) and Electrocardiogram (ECG) data. More specifically, this new method uses three pre-trained neural network backbones-VGG16, EfficientNetB0, and ResNeXt50-utilized together, to create a unified system capable of merging information from multiple streams of data in real-time. EEG data is converted to time-frequency maps using wavelet transformations and ECG data uses time-series variability (i.e. patterns of how the heart beats) combined with raw, unfiltered data. An advanced fusion layer uses attention weights to intelligently combine these two data sources, allowing for improved accuracy of stress assessment. Using the WESAD and CASE datasets, both of which were collected from 35 subjects while they were in a neutral (control), tense, and positive state, our method performs at 95.7% accuracy in identifying between these three conditions, which is significantly greater than the accuracy rates of either the EEG-only (82.3%) or ECG-only (85.6%) methods or individual networks. Furthermore, this system is highly flexible and has demonstrated the capability to successfully operate across numerous testing conditions, while additionally demonstrating that EEG signals enhance ECG stress assessment and vice versa. Therefore, this new approach provides a highly reliable way to support medical diagnosis, employee wellness programs, and personalized psychological support.</t>
  </si>
  <si>
    <t>Kumar, Rakesh; Krishnan, Sivanesan Bala; Yadav, Rakesh Kumar; Saini, Dilip Kumar Jang Bahadur; Chakrabarti, Prasun; Balodi, Arun; Shwetha, V</t>
  </si>
  <si>
    <t>Shwetha, V (corresponding author), Manipal Acad Higher Educ, Manipal Inst Technol, Manipal, India.</t>
  </si>
  <si>
    <t>shwetha.v@manipal.edu</t>
  </si>
  <si>
    <t>Manipal Academy of Higher Education, Manipal</t>
  </si>
  <si>
    <t>Open access funding provided by Manipal Academy of Higher Education, Manipal</t>
  </si>
  <si>
    <t>[Kumar, Rakesh; Krishnan, Sivanesan Bala] Singapore Inst Technol, Singapore, Singapore; [Yadav, Rakesh Kumar] Maharishi Univ Informat Technol, Dept Comp Sci &amp; Engn, Lucknow, India; [Saini, Dilip Kumar Jang Bahadur] Dayananda Sagar Univ, Sch Engn, Dept CSE Cybersecur, Bangalore 562112, India; [Chakrabarti, Prasun] Sir Padampat Singhania Univ, Udaipur, India; [Balodi, Arun] Dayananda Sagar Univ, Sch Engn, Dept Elect &amp; Commun Engn, Bangalore 562112, India; [Shwetha, V] Manipal Acad Higher Educ, Manipal Inst Technol, Manipal, India</t>
  </si>
  <si>
    <t>Singapore Institute of Technology; Sir Padampat Singhania University; Manipal Academy of Higher Education (MAHE)</t>
  </si>
  <si>
    <t>An attention-based multimodal deep learning framework integrating EEG and ECG for enhanced stress detection</t>
  </si>
  <si>
    <t>SCIENTIFIC REPORTS</t>
  </si>
  <si>
    <t>Stress detection; Multimodal fusion; Deep transfer learning; EEG; ECG; VGG; EfficientNet; ResNeXt; Physiological signal processing</t>
  </si>
  <si>
    <t>saini, dilip/ADT-0657-2022; Balodi, Arun/D-9520-2019</t>
  </si>
  <si>
    <t>NATURE PORTFOLIO</t>
  </si>
  <si>
    <t>BERLIN</t>
  </si>
  <si>
    <t>HEIDELBERGER PLATZ 3, BERLIN, 14197, GERMANY</t>
  </si>
  <si>
    <t>2045-2322</t>
  </si>
  <si>
    <t>SCI REP-UK</t>
  </si>
  <si>
    <t>Sci Rep</t>
  </si>
  <si>
    <t>MAR 17 2026</t>
  </si>
  <si>
    <t>15188</t>
  </si>
  <si>
    <t>10.1038/s41598-026-44499-0</t>
  </si>
  <si>
    <t>http://dx.doi.org/10.1038/s41598-026-44499-0</t>
  </si>
  <si>
    <t>MAR 2026</t>
  </si>
  <si>
    <t>Multidisciplinary Sciences</t>
  </si>
  <si>
    <t>Science &amp; Technology - Other Topics</t>
  </si>
  <si>
    <t>IB1XT</t>
  </si>
  <si>
    <t>41844761</t>
  </si>
  <si>
    <t>WOS:001767529000001</t>
  </si>
  <si>
    <t>Mubarakali, A</t>
  </si>
  <si>
    <t>Long-term physical health consequences of COVID-19 remain a critical concern, especially among children and adults. Accurate prediction of post-COVID-19 health outcomes is essential for early intervention and personalized treatment. However, existing models primarily use unimodal or shallow learning techniques, which fail to capture the complex multimodal relationships and temporal patterns inherent in-patient data. To address these limitations, this study introduces CLT-Net, a novel AI-driven multimodal deep learning framework for postCOVID-19 physical health outcome prediction and clinical decision support. CLT-Net processes a comprehensive multimodal dataset comprising clinical records (COVID-19 diagnosis and clinical features), medical imaging (CT scans), and physiological signals (ECG). Specifically, CNN extracts spatial features from CT scans, LSTM captures temporal dynamics from ECG signals, and BERT improves contextual understanding from clinical notes. The attention-based fusion mechanism learned attention average modality contribution weights of approximately 0.45, 0.30, and 0.25 for CT, ECG, and clinical modalities, respectively, during training. Extensive experiments demonstrate that CLT-Net outperforms state-of-the-art models such as DeepCOVIDNet, MedFuseNet, MultiMod-COVID, HybridNet, and Fusion-CNN across all major evaluation metrics, achieving an Accuracy of 97.8%, Precision of 98.4%, Recall of 97.2%, F1-Score of 97.8%, and AUC-ROC of 99.1%. These results confirm the superior generalizability and clinical applicability of CLT-Net for post-COVID-19 health risk prediction. Future improvements include incorporating genomic data and wearable sensor information to further enhance predictive accuracy, positioning CLT-Net as a reliable AI-driven tool for multimodal health outcome prediction and real-time clinical decision-making.</t>
  </si>
  <si>
    <t>Mubarakali, Azath</t>
  </si>
  <si>
    <t>Mubarakali, A (corresponding author), King Khalid Univ, Coll Comp Sci, Dept Informat &amp; Comp Syst, Abha, Saudi Arabia.</t>
  </si>
  <si>
    <t>mailmeath@gmail.com</t>
  </si>
  <si>
    <t>Deanship of Research and Graduate Studies at King Khalid University [RGP2/105/47]</t>
  </si>
  <si>
    <t>Deanship of Research and Graduate Studies at King Khalid University</t>
  </si>
  <si>
    <t>The authors extend their appreciation to the Deanship of Research and Graduate Studies at King Khalid University for funding this work through Large Research Groups Program under grant number RGP2/105/47.</t>
  </si>
  <si>
    <t>[Mubarakali, Azath] King Khalid Univ, Coll Comp Sci, Dept Informat &amp; Comp Syst, Abha, Saudi Arabia</t>
  </si>
  <si>
    <t>King Khalid University</t>
  </si>
  <si>
    <t>Clinical learning transformer network: A multimodal deep learning framework for predicting post-COVID-19 physical health outcomes in adults and children</t>
  </si>
  <si>
    <t>ENGINEERING APPLICATIONS OF ARTIFICIAL INTELLIGENCE</t>
  </si>
  <si>
    <t>Artificial intelligence in healthcare; Post-COVID-19 health outcome prediction; Multimodal deep learning; Convolutional neural networks; Long short-term memory; BERT transformers; Clinical decision support system</t>
  </si>
  <si>
    <t>MUBARAKALI, AZATH/A-4543-2019</t>
  </si>
  <si>
    <t>41</t>
  </si>
  <si>
    <t>PERGAMON-ELSEVIER SCIENCE LTD</t>
  </si>
  <si>
    <t>OXFORD</t>
  </si>
  <si>
    <t>THE BOULEVARD, LANGFORD LANE, KIDLINGTON, OXFORD OX5 1GB, ENGLAND</t>
  </si>
  <si>
    <t>0952-1976</t>
  </si>
  <si>
    <t>1873-6769</t>
  </si>
  <si>
    <t>ENG APPL ARTIF INTEL</t>
  </si>
  <si>
    <t>Eng. Appl. Artif. Intell.</t>
  </si>
  <si>
    <t>OCT 1 2026</t>
  </si>
  <si>
    <t>181</t>
  </si>
  <si>
    <t>115544</t>
  </si>
  <si>
    <t>10.1016/j.engappai.2026.115544</t>
  </si>
  <si>
    <t>http://dx.doi.org/10.1016/j.engappai.2026.115544</t>
  </si>
  <si>
    <t>JUL 2026</t>
  </si>
  <si>
    <t>25</t>
  </si>
  <si>
    <t>Automation &amp; Control Systems; Computer Science, Artificial Intelligence; Engineering, Multidisciplinary; Engineering, Electrical &amp; Electronic</t>
  </si>
  <si>
    <t>Automation &amp; Control Systems; Computer Science; Engineering</t>
  </si>
  <si>
    <t>KS9ZJ</t>
  </si>
  <si>
    <t>WOS:001814882400001</t>
  </si>
  <si>
    <t>Liu, LX; Wang, HF; Wei, Y; Kong, D; Xue, ZP; Liu, Y</t>
  </si>
  <si>
    <t>Purpose Postoperative nausea and vomiting (PONV) is a frequent and distressing complication that affects patient comfort and recovery following surgery. Conventional risk prediction models rely heavily on static clinical features, often overlooking real-time physiological signals. This study aimed to develop a robust prediction model that integrates intraoperative monitoring data with structured clinical variables to enhance the accuracy of PONV risk assessment. Methods We proposed DSPONVNet, a multimodal deep learning model incorporating a multilayer perceptron (MLP) for static features, a long short-term memory (LSTM) network for dynamic intraoperative monitoring data, and a self-attention mechanism for feature fusion. A total of 53,250 patients who underwent general anesthesia were retrospectively included.The model was trained and evaluated using stratified data partitioning and compared with five baseline models. Results DSPONVNet achieved superior performance, with a ROC-AUC of 0.9376 and F1 score of 0.8701, outperforming all baseline models. SHAP analysis revealed that both traditional risk factors (e.g., female sex, prior PONV) and intraoperative heart rate fluctuation significantly contributed to risk prediction, highlighting the value of integrating dynamic physiological data. Conclusion DSPONVNet demonstrates enhanced predictive capability and interpretability by incorporating intraoperative monitoring data, enabling more accurate and individualized PONV risk assessment.These findings support the use of real-time data fusion in clinical decision support systems for perioperative care optimization.</t>
  </si>
  <si>
    <t>Liu, Lixin; Wang, Haifeng; Wei, Yi; Kong, Di; Xue, Zhaoping; Liu, Ying</t>
  </si>
  <si>
    <t>Xue, ZP (corresponding author), Jilin Univ, Hosp 1, Postanesthesia Care Unit, 71 Xinmin, Changchun 130021, Jilin, Peoples R China.; Liu, Y (corresponding author), Jilin Univ, Hosp 1, Dept Spinal Surg, 71 Xinmin, Changchun 130021, Jilin, Peoples R China.</t>
  </si>
  <si>
    <t>liulixin@jlu.edu.cn; wanghaifeng@jlu.edu.cn; ly1116@jlu.edu.cn; 1061287333@qq.com; weiy23@mails.jlu.edu.cn; xuezp@jlu.edu.cn</t>
  </si>
  <si>
    <t>Beijing Medical Award Foundation [YXJL-2024-1376-0473]</t>
  </si>
  <si>
    <t>Beijing Medical Award Foundation</t>
  </si>
  <si>
    <t>This research was funded by the Beijing Medical Award Foundation, grant number YXJL-2024-1376-0473.</t>
  </si>
  <si>
    <t>[Liu, Lixin; Wei, Yi; Kong, Di; Xue, Zhaoping] Jilin Univ, Hosp 1, Postanesthesia Care Unit, 71 Xinmin, Changchun 130021, Jilin, Peoples R China; [Liu, Ying] Jilin Univ, Hosp 1, Dept Spinal Surg, 71 Xinmin, Changchun 130021, Jilin, Peoples R China; [Wang, Haifeng] Jilin Univ, Hosp 1, Dept Urol Surg, 71 Xinmin, Changchun 130021, Jilin, Peoples R China</t>
  </si>
  <si>
    <t>Jilin University; Jilin University; Jilin University</t>
  </si>
  <si>
    <t>DSPONVNet: a multimodal deep learning model integrating intraoperative monitoring and clinical features for predicting postoperative nausea and vomiting risk</t>
  </si>
  <si>
    <t>BMC MEDICAL RESEARCH METHODOLOGY</t>
  </si>
  <si>
    <t>Postoperative nausea and vomiting; Deep learning; Multimodal fusion; Intraoperative monitoring</t>
  </si>
  <si>
    <t>SCORE; MANAGEMENT</t>
  </si>
  <si>
    <t>24</t>
  </si>
  <si>
    <t>BMC</t>
  </si>
  <si>
    <t>LONDON</t>
  </si>
  <si>
    <t>CAMPUS, 4 CRINAN ST, LONDON N1 9XW, ENGLAND</t>
  </si>
  <si>
    <t>1471-2288</t>
  </si>
  <si>
    <t>BMC MED RES METHODOL</t>
  </si>
  <si>
    <t>BMC Med. Res. Methodol.</t>
  </si>
  <si>
    <t>APR 2 2026</t>
  </si>
  <si>
    <t>26</t>
  </si>
  <si>
    <t>112</t>
  </si>
  <si>
    <t>10.1186/s12874-026-02845-w</t>
  </si>
  <si>
    <t>http://dx.doi.org/10.1186/s12874-026-02845-w</t>
  </si>
  <si>
    <t>APR 2026</t>
  </si>
  <si>
    <t>Health Care Sciences &amp; Services</t>
  </si>
  <si>
    <t>HX0XM</t>
  </si>
  <si>
    <t>41928118</t>
  </si>
  <si>
    <t>WOS:001764747700001</t>
  </si>
  <si>
    <t>Li, DG; Xing, W; Zhao, JM; Shi, CC; Wang, F</t>
  </si>
  <si>
    <t>Amid an aging global population, heart failure has become a leading cause of hospitalization among older people. Its high prevalence and mortality rates underscore the importance of accurate mortality prediction for swift disease progression assessment and better patient outcomes. The evolution of artificial intelligence (AI) presents new avenues for predicting heart failure mortality. Yet current research has predominantly leveraged structured data and unstructured clinical notes from electronic health records (EHR), underutilizing the prognostic value of chest X-rays (CXRs). This study aims to harness deep learning methodologies to explore the feasibility of enhancing the precision of predicting in-hospital all-cause mortality in heart failure patients using CXRs data. We propose a novel multimodal deep learning network based on the spatially and temporally decoupled Transformer (MN-STDT) for in-hospital mortality prediction in heart failure by integrating longitudinal CXRs and structured EHR data. The MN-STDT captures spatial and temporal information from CXRs through a Hybrid Spatial Encoder and a Distance-Aware Temporal Encoder, ultimately fusing features from both modalities for predictive modeling. Initial pre-training of the spatial encoder was conducted on CheXpert, followed by full model training and evaluation on the MIMIC-IV and MIMIC-CXR datasets for mortality prediction tasks. In a comprehensive view, the MN-STDT demonstrated the best performance, with an AUC-ROC of 0.8620, surpassing all baseline models. Comparative analysis revealed that the AUC-ROC of the multimodal model (0.8620) was significantly higher than that of models using only structured data (0.8166) or chest X-ray data alone (0.7479). This study demonstrates the value of CXRs in the prognosis of heart failure, showing that the combination of longitudinal CXRs with structured EHR data can significantly improve the accuracy of mortality prediction in heart failure. Feature importance analysis based on SHAP provides interpretable decision support, paving the way for potential clinical applications.</t>
  </si>
  <si>
    <t>Li, Dengao; Xing, Wen; Zhao, Jumin; Shi, Changcheng; Wang, Fei</t>
  </si>
  <si>
    <t>Li, DG (corresponding author), Taiyuan Univ Technol, Coll Comp Sci &amp; Technol, Coll Data Sci, 30 Yingze West St, Taiyuan 030024, Shanxi, Peoples R China.; Li, DG (corresponding author), Key Lab Big Data Fus Anal &amp; Applicat Shanxi Prov, 30 Yingze West St, Taiyuan 030024, Shanxi, Peoples R China.; Li, DG (corresponding author), Intelligent Percept Engn Technol Ctr Shanxi, 30 Yingze West St, Taiyuan 030024, Shanxi, Peoples R China.</t>
  </si>
  <si>
    <t>lidengao@tyut.edu.cn</t>
  </si>
  <si>
    <t>This work was supported by the National Natural Science Foundation of China [62076177]; National Natural Science Foundation of China [YDZJSX2022A011]; Central Government Guided Local Science and Technology Development Fund Project [62027819]; National Major Scientific Research Instrument Development Project of China</t>
  </si>
  <si>
    <t>This work was supported by the National Natural Science Foundation of China (National Natural Science Foundation of China (NSFC)); National Natural Science Foundation of China (National Natural Science Foundation of China (NSFC)); Central Government Guided Local Science and Technology Development Fund Project; National Major Scientific Research Instrument Development Project of China</t>
  </si>
  <si>
    <t>This work was supported by the National Natural Science Foundation of China (62076177), Central Government Guided Local Science and Technology Development Fund Project (YDZJSX2022A011), National Major Scientific Research Instrument Development Project of China (62027819).</t>
  </si>
  <si>
    <t>[Li, Dengao; Xing, Wen] Taiyuan Univ Technol, Coll Comp Sci &amp; Technol, Coll Data Sci, 30 Yingze West St, Taiyuan 030024, Shanxi, Peoples R China; [Zhao, Jumin; Shi, Changcheng] Taiyuan Univ Technol, Coll Elect Informat &amp; Opt Engn, 30 Yingze West St, Taiyuan 030024, Shanxi, Peoples R China; [Li, Dengao; Xing, Wen; Zhao, Jumin; Shi, Changcheng] Key Lab Big Data Fus Anal &amp; Applicat Shanxi Prov, 30 Yingze West St, Taiyuan 030024, Shanxi, Peoples R China; [Li, Dengao; Zhao, Jumin] Intelligent Percept Engn Technol Ctr Shanxi, 30 Yingze West St, Taiyuan 030024, Shanxi, Peoples R China; [Wang, Fei] Shanxi Cardiovasc Hosp, 18 Yifen St, Taiyuan 030024, Shanxi, Peoples R China</t>
  </si>
  <si>
    <t>Taiyuan University of Technology; Taiyuan University of Technology</t>
  </si>
  <si>
    <t>Multimodal deep learning for predicting in-hospital mortality in heart failure patients using longitudinal chest X-rays and electronic health records</t>
  </si>
  <si>
    <t>INTERNATIONAL JOURNAL OF CARDIOVASCULAR IMAGING</t>
  </si>
  <si>
    <t>Deep learning; Multimodal learning; Heart failure; Mortality prediction; Chest X-rays; Electronic health records</t>
  </si>
  <si>
    <t>Shi, Changcheng/LYO-1628-2024</t>
  </si>
  <si>
    <t>43</t>
  </si>
  <si>
    <t>31</t>
  </si>
  <si>
    <t>SPRINGER</t>
  </si>
  <si>
    <t>DORDRECHT</t>
  </si>
  <si>
    <t>VAN GODEWIJCKSTRAAT 30, 3311 GZ DORDRECHT, NETHERLANDS</t>
  </si>
  <si>
    <t>1569-5794</t>
  </si>
  <si>
    <t>1875-8312</t>
  </si>
  <si>
    <t>INT J CARDIOVAS IMAG</t>
  </si>
  <si>
    <t>Int. J. Cardiovasc. Imaging</t>
  </si>
  <si>
    <t>MAR 2025</t>
  </si>
  <si>
    <t>427</t>
  </si>
  <si>
    <t>440</t>
  </si>
  <si>
    <t>10.1007/s10554-025-03322-z</t>
  </si>
  <si>
    <t>http://dx.doi.org/10.1007/s10554-025-03322-z</t>
  </si>
  <si>
    <t>JAN 2025</t>
  </si>
  <si>
    <t>Cardiac &amp; Cardiovascular Systems; Radiology, Nuclear Medicine &amp; Medical Imaging</t>
  </si>
  <si>
    <t>Cardiovascular System &amp; Cardiology; Radiology, Nuclear Medicine &amp; Medical Imaging</t>
  </si>
  <si>
    <t>Z5Y5K</t>
  </si>
  <si>
    <t>39786626</t>
  </si>
  <si>
    <t>WOS:001392691800001</t>
  </si>
  <si>
    <t>Teles, AS; de Moura, IR; Silva, F; Roberts, A; Stahl, D</t>
  </si>
  <si>
    <t>Electronic Health Records (EHRs) have transformed healthcare by digitally consolidating patient medical history, encompassing structured data (e.g., demographic data, lab results), and unstructured textual data (e.g., clinical notes). These data hold significant potential for predictive modelling, and recent studies have dedicated efforts to leverage the different modalities in a cohesive and effective manner to improve predictive accuracy. This Systematic Literature Review (SLR) addresses the application of Multimodal Deep Learning (MDL) methods in EHR-based prediction modelling, specifically through the fusion of structured and textual data. Following PRISMA guidelines, we conducted a comprehensive literature search across six article databases, using a carefully designed search string. After applying inclusion and exclusion criteria, we selected 77 primary studies. Data extraction was standardized using a structured form based on the CHARMS checklist. We categorized and analysed the fusion strategies employed across the studies. By combining structured and textual data at the input level, early fusion enabled models to learn joint feature representations from the beginning, whether in vectorized representations or data textualization. Intermediate fusion, which delays integration, was particularly useful for tasks where each modality provides unique insights that need to be processed independently before being combined. Late fusion enabled modularity by integrating outputs from unimodal models, which is suitable when EHR structured and textual data have varying quality or reliability. We also identified trends and open issues that need attention. This review contributes a comprehensive understanding of EHR data fusion practices using MDL, highlighting potential pathways for future research and development in health informatics.</t>
  </si>
  <si>
    <t>Teles, Ariel Soares; de Moura, Ivan Rodrigues; Silva, Francisco; Roberts, Angus; Stahl, Daniel</t>
  </si>
  <si>
    <t>Teles, AS (corresponding author), Fed Inst Maranhao, Sao Luis, Maranhao, Brazil.</t>
  </si>
  <si>
    <t>ariel.teles@ifma.edu.br</t>
  </si>
  <si>
    <t>National Council for Scientific and Technological Development-CNPq, Brazil [441817/2023-8]</t>
  </si>
  <si>
    <t>National Council for Scientific and Technological Development-CNPq, Brazil (Conselho Nacional de Desenvolvimento Cientifico e Tecnologico (CNPQ))</t>
  </si>
  <si>
    <t>This work was supported by the National Council for Scientific and Technological Development-CNPq, Brazil (grant 441817/2023-8) .</t>
  </si>
  <si>
    <t>[Teles, Ariel Soares; Roberts, Angus] Kings Coll London, Inst Psychiat Psychol &amp; Neurosci, Dept Biostat &amp; Hlth Informat, London, England; [Teles, Ariel Soares] Fed Inst Maranhao, Sao Luis, Maranhao, Brazil; [de Moura, Ivan Rodrigues] Fed Inst Piaui, Teresina, Piaui, Brazil; [Silva, Francisco] Univ Fed Maranhao, Maranhao, Maranhao, Brazil</t>
  </si>
  <si>
    <t>King's College London; University of London; King's College London; Instituto Federal do Maranhao; Instituto Federal do Piaui (IFPI); Universidade Federal do Maranhao</t>
  </si>
  <si>
    <t>EHR-based prediction modelling meets multimodal deep learning: A systematic review of structured and textual data fusion methods</t>
  </si>
  <si>
    <t>INFORMATION FUSION</t>
  </si>
  <si>
    <t>Multimodal; Deep learning; Electronic Health Records; Predictive modelling; Data fusion; Natural Language Processing; Medical AI</t>
  </si>
  <si>
    <t>ELECTRONIC HEALTH RECORDS; ARTIFICIAL-INTELLIGENCE; DISEASE PREDICTION; INFORMATION; AGREEMENT; FAIRNESS; KAPPA; RISK; BIAS</t>
  </si>
  <si>
    <t>Stahl, Daniel/B-9713-2011; Soares Teles, Ariel/AAA-7305-2022; /AAN-4918-2021; Da+Silva+E+Silva, Francisco/AGM-5640-2022</t>
  </si>
  <si>
    <t>Roberts, Angus/0000-0002-4570-9801; Stahl, Daniel/0000-0001-7987-6619; Soares Teles, Ariel/0000-0002-0840-3870</t>
  </si>
  <si>
    <t>183</t>
  </si>
  <si>
    <t>33</t>
  </si>
  <si>
    <t>ELSEVIER</t>
  </si>
  <si>
    <t>AMSTERDAM</t>
  </si>
  <si>
    <t>RADARWEG 29, 1043 NX AMSTERDAM, NETHERLANDS</t>
  </si>
  <si>
    <t>1566-2535</t>
  </si>
  <si>
    <t>1872-6305</t>
  </si>
  <si>
    <t>INFORM FUSION</t>
  </si>
  <si>
    <t>Inf. Fusion</t>
  </si>
  <si>
    <t>JUN 2025</t>
  </si>
  <si>
    <t>118</t>
  </si>
  <si>
    <t>102981</t>
  </si>
  <si>
    <t>10.1016/j.inffus.2025.102981</t>
  </si>
  <si>
    <t>http://dx.doi.org/10.1016/j.inffus.2025.102981</t>
  </si>
  <si>
    <t>FEB 2025</t>
  </si>
  <si>
    <t>Computer Science, Artificial Intelligence; Computer Science, Theory &amp; Methods</t>
  </si>
  <si>
    <t>Computer Science</t>
  </si>
  <si>
    <t>X4B2K</t>
  </si>
  <si>
    <t>WOS:001424816800001</t>
  </si>
  <si>
    <t>Ruan, YC; Tan, DJ; Ng, SK; Huang, L; Feng, ML</t>
  </si>
  <si>
    <t>Accurate Intensive Care Unit (ICU) outcome prediction is critical for improving patient treatment quality and ICU resource allocation. Existing research mainly focuses on structured data, e.g. demographics and vital signs, and lacks effective frameworks to integrate clinical notes from heterogeneous electronic health records (EHRs). This study aims to explore a multimodal framework based on belief function theory that can effectively fuse heterogeneous structured EHRs and free-text notes for accurate and reliable ICU outcome prediction. The fusion strategy accounts for prediction uncertainty within each modality and conflicts between multimodal data. Experiments on two large ICU datasets demonstrate that our method achieves superior predictive performance compared to existing approaches. For example, it improving F1 score and AUPRC by 6.51% and 3.72%, respectively, and increases predictive reliability with an 18.08% decrease in Brier score for mortality prediction in MIMIC-III dataset. Comparable improvements are consistently observed on the ZICIP dataset, underscoring the predictability and reliability of the approach. These improvements translate into fewer false positives, supporting more precise triage decisions and more efficient allocation of critical care resources. Beyond ICU outcome prediction, the proposed framework offers a versatile tool for multimodal EHR analysis, with potential applications across diverse clinical tasks.</t>
  </si>
  <si>
    <t>Ruan, Yucheng; Tan, Daniel J.; Ng, See-Kiong; Huang, Ling; Feng, Mengling</t>
  </si>
  <si>
    <t>Huang, L (corresponding author), Natl Univ Singapore, Saw Swee Hock Sch Publ Hlth, Singapore, Singapore.; Huang, L (corresponding author), Imperial Coll London, Inst Clin Sci, London, England.</t>
  </si>
  <si>
    <t>djtan@u.nus.edu; l.huang@imperial.ac.uk; seekiong@nus.edu.sg; yuchengruan@u.nus.edu; ephfm@nus.edu.sg</t>
  </si>
  <si>
    <t>National Research Foundation Singapore [AISG-GC- 2019-001-2B]</t>
  </si>
  <si>
    <t>National Research Foundation Singapore (National Research Foundation, Singapore)</t>
  </si>
  <si>
    <t>This research is supported by the National Research Foundation, Singapore under its AI Singapore Programme (AISG Award No: AISG-GC-2019-001-2B).</t>
  </si>
  <si>
    <t>[Ruan, Yucheng; Huang, Ling; Feng, Mengling] Natl Univ Singapore, Saw Swee Hock Sch Publ Hlth, Singapore, Singapore; [Ruan, Yucheng; Tan, Daniel J.; Ng, See-Kiong; Feng, Mengling] Natl Univ Singapore, Inst Data Sci, Singapore, Singapore; [Huang, Ling] Imperial Coll London, Inst Clin Sci, London, England</t>
  </si>
  <si>
    <t>National University of Singapore; National University of Singapore; Imperial College London</t>
  </si>
  <si>
    <t>Towards Accurate and Reliable ICU Outcome Prediction: A Multimodal Learning Framework Based on Belief Function Theory using Structured EHRs and Free-Text Notes</t>
  </si>
  <si>
    <t>JOURNAL OF HEALTHCARE INFORMATICS RESEARCH</t>
  </si>
  <si>
    <t>Multimodal learning; Belief function theory; Evidence fusion; ICU outcome prediction; Electronic health records</t>
  </si>
  <si>
    <t>CARE</t>
  </si>
  <si>
    <t>RUAN, YUCHENG/PHE-6977-2026</t>
  </si>
  <si>
    <t>55</t>
  </si>
  <si>
    <t>SPRINGERNATURE</t>
  </si>
  <si>
    <t>CAMPUS, 4 CRINAN ST, LONDON, N1 9XW, ENGLAND</t>
  </si>
  <si>
    <t>2509-4971</t>
  </si>
  <si>
    <t>2509-498X</t>
  </si>
  <si>
    <t>J HEALTHC INFORM RES</t>
  </si>
  <si>
    <t>J. Healthc. Inform. Res.</t>
  </si>
  <si>
    <t>JUN 2026</t>
  </si>
  <si>
    <t>523</t>
  </si>
  <si>
    <t>564</t>
  </si>
  <si>
    <t>10.1007/s41666-025-00219-3</t>
  </si>
  <si>
    <t>http://dx.doi.org/10.1007/s41666-025-00219-3</t>
  </si>
  <si>
    <t>NOV 2025</t>
  </si>
  <si>
    <t>42</t>
  </si>
  <si>
    <t>Computer Science, Information Systems; Health Care Sciences &amp; Services; Medical Informatics</t>
  </si>
  <si>
    <t>Computer Science; Health Care Sciences &amp; Services; Medical Informatics</t>
  </si>
  <si>
    <t>HP4VE</t>
  </si>
  <si>
    <t>42110660</t>
  </si>
  <si>
    <t>WOS:001626599800001</t>
  </si>
  <si>
    <t>hybrid; Green Submitted</t>
  </si>
  <si>
    <t>Zhao, D; Homayounfar, M; Zhen, Z; Wu, MZ; Yu, SY; Yiu, KH; Vardhanabhuti, V; Pelekos, G; Jin, LJ; Koohi-Moghadam, M</t>
  </si>
  <si>
    <t>Background: It is known that oral diseases such as periodontal (gum) disease are closely linked to various systemic diseases and disorders. Deep learning advances have the potential to make major contributions to healthcare, particularly in the domains that rely on medical imaging. Incorporating non-imaging information based on clinical and laboratory data may allow clinicians to make more comprehensive and accurate decisions. Methods: Here, we developed a multimodal deep learning method to predict systemic diseases and disorders from oral health conditions. A dual-loss autoencoder was used in the first phase to extract periodontal disease-related features from 1188 panoramic radiographs. Then, in the second phase, we fused the image features with the demographic data and clinical information taken from electronic health records (EHR) to predict systemic diseases. We used receiver operation characteristics (ROC) and accuracy to evaluate our model. The model was further validated by an unseen test dataset. Findings: According to our findings, the top three most accurately predicted chapters, in order, are the Chapters III, VI and IX. The results indicated that the proposed model could predict systemic diseases belonging to Chapters III, VI and IX, with AUC values of 0.92 (95% CI, 0.90-94), 0.87 (95% CI, 0.84-89) and 0.78 (95% CI, 0.75-81), respectively. To assess the robustness of the models, we performed the evaluation on the unseen test dataset for these chapters and the results showed an accuracy of 0.88, 0.82 and 0.72 for Chapters III, VI and IX, respectively. Interpretation: The present study shows that the combination of panoramic radiograph and clinical oral features could be considered to train a fusion deep learning model for predicting systemic diseases and disorders.</t>
  </si>
  <si>
    <t>Zhao, Dan; Homayounfar, Morteza; Zhen, Zhe; Wu, Mei-Zhen; Yu, Shuk Yin; Yiu, Kai-Hang; Vardhanabhuti, Varut; Pelekos, George; Jin, Lijian; Koohi-Moghadam, Mohamad</t>
  </si>
  <si>
    <t>Jin, LJ (corresponding author), Univ Hong Kong, Fac Dent, Div Periodontol &amp; Implant Dent, Hong Kong, Peoples R China.; Koohi-Moghadam, M (corresponding author), Univ Hong Kong, Fac Dent, Div Appl Oral Sci &amp; Community Dent Care, Hong Kong, Peoples R China.</t>
  </si>
  <si>
    <t>ljjin@hku.hk; koohi@hku.hk</t>
  </si>
  <si>
    <t>Hong Kong Research Grants Council (GRF) [17155216]; Modern Dental Laboratory/The University of Hong Kong Endowment Fund; faculty of dentistry, HKU, internal funds</t>
  </si>
  <si>
    <t>Hong Kong Research Grants Council (GRF) (Hong Kong Research Grants Council); Modern Dental Laboratory/The University of Hong Kong Endowment Fund; faculty of dentistry, HKU, internal funds</t>
  </si>
  <si>
    <t>This research was supported by the Hong Kong Research Grants Council (GRF No. 17155216) and Modern Dental Laboratory/The University of Hong Kong Endowment Fund to L.J. and faculty of dentistry, HKU, internal funds to M.K.</t>
  </si>
  <si>
    <t>[Zhao, Dan; Pelekos, George; Jin, Lijian] Univ Hong Kong, Fac Dent, Div Periodontol &amp; Implant Dent, Hong Kong, Peoples R China; [Zhao, Dan] Capital Med Univ, Beijing Stomatol Hosp, Dept Implant Dent, Beijing 100050, Peoples R China; [Homayounfar, Morteza; Koohi-Moghadam, Mohamad] Univ Hong Kong, Fac Dent, Div Appl Oral Sci &amp; Community Dent Care, Hong Kong, Peoples R China; [Zhen, Zhe; Wu, Mei-Zhen; Yu, Shuk Yin; Yiu, Kai-Hang] Univ Hong Kong, Shenzhen Hosp, Dept Med, Div Cardiol, Shenzhen 518009, Peoples R China; [Wu, Mei-Zhen; Yu, Shuk Yin; Yiu, Kai-Hang] Univ Hong Kong, Queen Mary Hosp, Dept Med, Div Cardiol, Hong Kong, Peoples R China; [Vardhanabhuti, Varut] Univ Hong Kong, Li Ka Shing Fac Med, Dept Diagnost Radiol, Hong Kong, Peoples R China</t>
  </si>
  <si>
    <t>University of Hong Kong; Capital Medical University; University of Hong Kong; University of Hong Kong; University of Hong Kong; University of Hong Kong</t>
  </si>
  <si>
    <t>A Multimodal Deep Learning Approach to Predicting Systemic Diseases from Oral Conditions</t>
  </si>
  <si>
    <t>DIAGNOSTICS</t>
  </si>
  <si>
    <t>periodontal disease; systemic comorbidity; multimodal deep learning; panoramic radiograph; electronic health records</t>
  </si>
  <si>
    <t>PERIODONTAL-DISEASES; HEALTH; MEDICINE; IMPACT; BLOOD; CALL</t>
  </si>
  <si>
    <t>Yiu, Kai/AAI-2879-2021; Pelekos, George/AAA-3295-2022; Zhao, Dan/LIR-1489-2024</t>
  </si>
  <si>
    <t>Koohi-Moghadam, Mohamad/0000-0002-7286-0427; Zhao, Dan/0000-0002-0037-1464; Vardhanabhuti, Varut/0000-0001-6677-3194; Jin, LJ/0000-0002-5340-9710</t>
  </si>
  <si>
    <t>49</t>
  </si>
  <si>
    <t>21</t>
  </si>
  <si>
    <t>MDPI</t>
  </si>
  <si>
    <t>BASEL</t>
  </si>
  <si>
    <t>MDPI AG, Grosspeteranlage 5, CH-4052 BASEL, SWITZERLAND</t>
  </si>
  <si>
    <t>2075-4418</t>
  </si>
  <si>
    <t>Diagnostics</t>
  </si>
  <si>
    <t>DEC 2022</t>
  </si>
  <si>
    <t>2022</t>
  </si>
  <si>
    <t>3192</t>
  </si>
  <si>
    <t>10.3390/diagnostics12123192</t>
  </si>
  <si>
    <t>http://dx.doi.org/10.3390/diagnostics12123192</t>
  </si>
  <si>
    <t>Medicine, General &amp; Internal</t>
  </si>
  <si>
    <t>General &amp; Internal Medicine</t>
  </si>
  <si>
    <t>7G0ZZ</t>
  </si>
  <si>
    <t>36553200</t>
  </si>
  <si>
    <t>WOS:000902265200001</t>
  </si>
  <si>
    <t>Wu, ZY; Ji, LL; Tang, WB; Zhou, SJ; Yan, QF; Chen, XM; Zhu, JJ; Ma, JJ; Zhao, YT; He, WM</t>
  </si>
  <si>
    <t>Background Coronary artery disease (CAD), remains a leading global cause of mortality. Invasive coronary angiography (CAG), the diagnostic gold standard, is unsuitable for large-scale screening due to its cost and procedural risks. Retinal microvascular changes, reflecting systemic vascular pathology via the retino-coronary axis, offer a promising noninvasive alternative. Optical coherence tomography angiography (OCTA) enables high-resolution retinal imaging but lacks robust computational frameworks for accurate CAD prediction. Objective To develop and validate an artificial intelligence (AI)-driven CAD prediction model by integrating OCTA-derived retinal features with electronic health record (EHR) data. Methods This retrospective cohort study included 542 patients undergoing both OCTA and invasive coronary angiography between July 2022 and October 2023. A Transformer-based multi-scale style learning algorithm was developed to extract features from 3 &amp; times; 3 mm(2) macular OCTA images, achieving joint segmentation of the foveal avascular zone (FAZ) and retinal vessel (RV) by leveraging task-specific characteristics, while simultaneously quantifying 98 retinal vascular imaging biomarkers. Relevant predictors were selected via LASSO regression and modeled using restricted cubic splines. An XGBoost classifier was trained on the combined OCTA-EHR feature set and compare it with four baseline deep learning network models. Model performance was evaluated using AUC, sensitivity, specificity, calibration, and decision curve analysis. Results The multimodal model demonstrated superior discriminative power (AUC = 0.850; sensitivity = 0.806; specificity = 0.667), significantly outperforming OCTA-only models (AUC = 0.512; sensitivity = 0.581; specificity = 0.417). Key predictors included Glycosylated Hemoglobin (Ghb), Hypersensitive C-Reactive Protein (hs-CRP), and OCTA-derived vascular density metrics (e.g., vessel length density in temporal-internal macular sectors). Conclusion Integration of retinal OCTA biomarkers with EHR data enables accurate, noninvasive CAD prediction. This approach validates the retina-coronary axis and establishes a scalable screening paradigm for subclinical atherosclerosis.</t>
  </si>
  <si>
    <t>Wu, Ziyi; Ji, Lili; Tang, Wenbin; Zhou, Shijia; Yan, Qifeng; Chen, Xiaomin; Zhu, Jinjin; Ma, Jianjun; Zhao, Yitian; He, Wenming</t>
  </si>
  <si>
    <t>He, WM (corresponding author), Ningbo Univ, Affiliated Hosp 1, Dept Cardiol, Ningbo, Peoples R China.; He, WM (corresponding author), Key Lab Precis Med Atherosclerot Dis Zhejiang Prov, Ningbo, Zhejiang, Peoples R China.; Zhao, YT (corresponding author), Chinese Acad Sci, Ningbo Inst Mat Technol &amp; Engn, Lab Adv Ranost Mat &amp; Technol, Ningbo, Peoples R China.; Ma, JJ (corresponding author), First Peoples Hosp Aksu Dist Xinjiang, Dept Cardiol, Aksu, Xinjiang, Peoples R China.</t>
  </si>
  <si>
    <t>15590965895@139.com; aks_wy2024@163.com; yitian.zhao@nimte.ac.cn; fyhewenming@nbu.edu.cn</t>
  </si>
  <si>
    <t>Zhejiang Province "Pioneer" and "Leader Goose" R&amp;D Program Key Research and Development Project in the Field of Science and Technology Cooperation [No. 2023C04017, 2024H010]; the Key Technology R&amp;D Program of Ningbo [2022Z149]</t>
  </si>
  <si>
    <t>Zhejiang Province "Pioneer" and "Leader Goose" R&amp;D Program Key Research and Development Project in the Field of Science and Technology Cooperation; the Key Technology R&amp;D Program of Ningbo</t>
  </si>
  <si>
    <t>This work was supported by the Zhejiang Province "Pioneer" and "Leader Goose" R&amp;D Program Key Research and Development Project in the Field of Science and Technology Cooperation (No. 2023C04017, 2024H010), the Key Technology R&amp;D Program of Ningbo (2022Z149) and Establish the Coronary Heart Disease Intervention Diagnosis and Treatment Center of Cixi Integrated Traditional Chinese and Western Medicine Medical and Health Group (812410050).</t>
  </si>
  <si>
    <t>[Wu, Ziyi; Tang, Wenbin; Chen, Xiaomin; He, Wenming] Ningbo Univ, Affiliated Hosp 1, Dept Cardiol, Ningbo, Peoples R China; [He, Wenming] Key Lab Precis Med Atherosclerot Dis Zhejiang Prov, Ningbo, Zhejiang, Peoples R China; [Ji, Lili] Deqing Hosp TCM, Huzhou, Peoples R China; [Zhou, Shijia; Yan, Qifeng; Zhao, Yitian] Chinese Acad Sci, Ningbo Inst Mat Technol &amp; Engn, Lab Adv Ranost Mat &amp; Technol, Ningbo, Peoples R China; [Zhou, Shijia] Univ Chinese Acad Sci, Beijing, Peoples R China; [Ma, Jianjun] First Peoples Hosp Aksu Dist Xinjiang, Dept Cardiol, Aksu, Xinjiang, Peoples R China; [Wu, Ziyi] Ningbo Univ, Dept Med, Ningbo, Peoples R China; [Zhu, Jinjin] Cixi Hosp Tradit Chinese Med, Cixi, Peoples R China</t>
  </si>
  <si>
    <t>Ningbo University; Chinese Academy of Sciences; University of Chinese Academy of Sciences, CAS</t>
  </si>
  <si>
    <t>Prediction of coronary artery disease using retinal optical coherence tomography angiography imaging and electronic health records: a multimodal machine learning approach</t>
  </si>
  <si>
    <t>BMC CARDIOVASCULAR DISORDERS</t>
  </si>
  <si>
    <t>Coronary artery disease; Electronic health records; Optical coherence tomography angiography; Artificial intelligence; Machine learning; Biomarkes</t>
  </si>
  <si>
    <t>C-REACTIVE PROTEIN; RISK-FACTORS; SEGMENTATION; NETWORK; EVENTS; SCORES; 3D</t>
  </si>
  <si>
    <t>唐, 文彬/GXF-3487-2022</t>
  </si>
  <si>
    <t>Tang, Wenbin/0009-0008-9189-8501</t>
  </si>
  <si>
    <t>62</t>
  </si>
  <si>
    <t>1471-2261</t>
  </si>
  <si>
    <t>BMC CARDIOVASC DISOR</t>
  </si>
  <si>
    <t>BMC Cardiovasc. Disord.</t>
  </si>
  <si>
    <t>MAR 19 2026</t>
  </si>
  <si>
    <t>286</t>
  </si>
  <si>
    <t>10.1186/s12872-026-05660-9</t>
  </si>
  <si>
    <t>http://dx.doi.org/10.1186/s12872-026-05660-9</t>
  </si>
  <si>
    <t>Cardiac &amp; Cardiovascular Systems</t>
  </si>
  <si>
    <t>Cardiovascular System &amp; Cardiology</t>
  </si>
  <si>
    <t>GF5IQ</t>
  </si>
  <si>
    <t>41857509</t>
  </si>
  <si>
    <t>WOS:001735183900001</t>
  </si>
  <si>
    <t>Privitera, L; Lassi, M; Dalise, S; Azzollini, V; Maggiani, L; Guggisberg, A; Mazzoni, A; Chisari, C; Micera, S; Bandini, A</t>
  </si>
  <si>
    <t>Background Forecasting post-stroke rehabilitation outcome is essential to personalize therapeutic strategies. Traditional approaches rely on clinical assessment scales, which, while essential, may benefit from complementary objective measures. In this direction, robot-assisted assessment offers the unprecedented possibility of precisely collecting patients' physiological signals, enabling a data-driven approach to recovery assessments. Leveraging the use of multimodal features collected during assessment sessions performed before and after one month of robotic rehabilitation, we developed a machine learning approach to forecast the upper limb (UL) motor recovery in stroke survivors after rehabilitation. Methods This study evaluated a 4-week rehabilitation program, using both standard physical therapy and the ALEx robot to promote UL motor recovery in 11 subacute stroke survivors, compared to 6 healthy individuals. Kinematic measures and surface electromyography (sEMG) were collected during a 3D reaching task involving six target points. From these tasks, 76 sEMG features, 18 kinematics features and 1 multimodal feature were extracted. To forecast the UL motor recovery post intervention, a two-step machine learning approach was devised: a machine learning regression model was developed and validated to predict the Fugl-Meyer Assessment for UL (FMA-UL) post rehabilitation, whereas an anomaly detection algorithm identified patients who exhibited limited or no motor recovery post intervention. The anomaly detection approach used a fully-connected autoencoder that identified patients with reduced recovery likelihood. The regression models, optimized via a nested Leave-One-Subject-Out approach, guided feature selection and refined hyperparameters to predict FMA-UL scores post intervention. Results The optimized regression model achieved an RMSE in predicting the FMA-UL post intervention of 5.45. The autoencoder effectively identified patients with reduced recovery potential, showing a higher distribution of reconstruction errors for these individuals. Conclusions The findings confirm that combining kinematic and sEMG data improves motor recovery assessment. The proposed machine learning approach holds potential for aiding clinicians and therapists in identifying patients who are more likely to recover UL motor functions before rehabilitation begins. By accurately predicting recovery outcomes, this method can help guide the development of personalized therapeutic strategies, optimizing treatment planning in advance.</t>
  </si>
  <si>
    <t>Privitera, Luigi; Lassi, Michael; Dalise, Stefania; Azzollini, Valentina; Maggiani, Luca; Guggisberg, Adrian; Mazzoni, Alberto; Chisari, Carmelo; Micera, Silvestro; Bandini, Andrea</t>
  </si>
  <si>
    <t>Privitera, L (corresponding author), Scuola Super Sant Anna, BioRobot Inst, Pisa, Italy.; Privitera, L (corresponding author), Scuola Super Sant Anna, Dept Excellence Robot &amp; AI, Pisa, Italy.; Privitera, L (corresponding author), Univ Camerino, Sch Adv Studies, Camerino, Italy.</t>
  </si>
  <si>
    <t>luigi.privitera@santannapisa.it</t>
  </si>
  <si>
    <t>Ministry of University and Research (MUR); National Recovery and Resilience Plan (NRRP) [PE0000006, 1553 11.10.2022, THE (IECS00000017) -, FAS Salute 2018]; Bertarelli Foundation</t>
  </si>
  <si>
    <t>Ministry of University and Research (MUR) (Ministry of Education, Universities and Research (MIUR)); National Recovery and Resilience Plan (NRRP); Bertarelli Foundation</t>
  </si>
  <si>
    <t>#NEXTGENERATIONEU (NGEU) and funded by the Ministry of University and Research (MUR), National Recovery and Resilience Plan (NRRP), projects MNESYS (PE0000006) - A Multiscale integrated approach to the study of the nervous system in health and disease (DN. 1553 11.10.2022) and THE (IECS00000017) - Tuscany Health Ecosystem (DN. 1553 11.10.2022). Project PERSONA "PERSonalized rObotic NeurorehAbilitation for stroke survivors" Regione Toscana - Bando FAS Salute 2018. Bertarelli Foundation.</t>
  </si>
  <si>
    <t>[Privitera, Luigi; Lassi, Michael; Mazzoni, Alberto; Micera, Silvestro; Bandini, Andrea] Scuola Super Sant Anna, BioRobot Inst, Pisa, Italy; [Privitera, Luigi; Lassi, Michael; Mazzoni, Alberto; Micera, Silvestro; Bandini, Andrea] Scuola Super Sant Anna, Dept Excellence Robot &amp; AI, Pisa, Italy; [Privitera, Luigi] Univ Camerino, Sch Adv Studies, Camerino, Italy; [Dalise, Stefania; Chisari, Carmelo] Univ Hosp Pisa, Dept Neurosci, Neurorehabil Unit, Pisa, Italy; [Azzollini, Valentina; Maggiani, Luca; Chisari, Carmelo] Univ Pisa, Dept Translat Res &amp; New Technol Med &amp; Surg, Pisa, Italy; [Guggisberg, Adrian] Univ Hosp Geneva, Dept Clin Neurosci, Div Neurorehabil, Geneva, Switzerland; [Guggisberg, Adrian] Univ Geneva, Med Sch, Dept Clin Neurosci, Lab Cognit Neurorehabil, Geneva, Switzerland; [Micera, Silvestro] Univ Vita Salute San Raffaele, Modular Implantable Neuroprostheses MINE Lab, Milan, Italy; [Micera, Silvestro] Ecole Polytech Fed Lausanne EPFL, Neuro X Inst, Translat Neural Engn Lab, Lausanne, Switzerland; [Bandini, Andrea] Scuola Super Sant Anna, Interdisciplinary Res Ctr Hlth Sci, Pisa, Italy</t>
  </si>
  <si>
    <t>Scuola Superiore Sant'Anna; Scuola Superiore Sant'Anna; University of Camerino; University of Pisa; Azienda Ospedaliero Universitaria Pisana; University of Pisa; University of Geneva; University of Geneva; Vita-Salute San Raffaele University; Swiss Federal Institutes of Technology Domain; Ecole Polytechnique Federale de Lausanne; Scuola Superiore Sant'Anna</t>
  </si>
  <si>
    <t>A multimodal machine learning approach to forecast upper limb motor recovery after stroke using kinematic and electromyographic data - A pilot-study</t>
  </si>
  <si>
    <t>JOURNAL OF NEUROENGINEERING AND REHABILITATION</t>
  </si>
  <si>
    <t>Stroke recovery; Machine learning; Rehabilitation robots; Upper limb recovery; Surface EMG; Kinematics</t>
  </si>
  <si>
    <t>MUSCLE SYNERGIES; ARM MOVEMENTS; REHABILITATION; ALGORITHMS; PATTERNS; MODEL; TIME; EEG</t>
  </si>
  <si>
    <t>Lassi, Michael/JFK-1626-2023; Dalise, Stefania/K-8940-2016; Bandini, Andrea/AAP-3455-2020; Micera, Silvestro/AAD-6630-2021; Mazzoni, Alberto/N-6960-2016; Guggisberg, Adrian/H-7506-2012; Azzollini, Valentina/AAC-2281-2022</t>
  </si>
  <si>
    <t>Mazzoni, Alberto/0000-0002-9632-1831; Privitera, Luigi/0000-0001-5381-2254; Azzollini, Valentina/0000-0002-1728-9192</t>
  </si>
  <si>
    <t>61</t>
  </si>
  <si>
    <t>1743-0003</t>
  </si>
  <si>
    <t>J NEUROENG REHABIL</t>
  </si>
  <si>
    <t>J. NeuroEng. Rehabil.</t>
  </si>
  <si>
    <t>JAN 5 2026</t>
  </si>
  <si>
    <t>23</t>
  </si>
  <si>
    <t>10.1186/s12984-025-01796-5</t>
  </si>
  <si>
    <t>http://dx.doi.org/10.1186/s12984-025-01796-5</t>
  </si>
  <si>
    <t>Engineering, Biomedical; Neurosciences; Rehabilitation</t>
  </si>
  <si>
    <t>Engineering; Neurosciences &amp; Neurology; Rehabilitation</t>
  </si>
  <si>
    <t>CM1IP</t>
  </si>
  <si>
    <t>41486155</t>
  </si>
  <si>
    <t>WOS:001669053700001</t>
  </si>
  <si>
    <t>Lee, CK; Chen, TL; Wu, JE; Liao, MT; Wang, CH; Wang, WC; Chou, CY</t>
  </si>
  <si>
    <t>Background and Objectives: Ambiguity in diagnosing acute heart failure (AHF) leads to inappropriate treatment and potential side effects of rescue medications. To address this issue, this study aimed to use multimodality deep learning models combining chest X-ray (CXR) and electronic health record (EHR) data to screen patients with abnormal N-terminal pro-B-type natriuretic peptide (NT-proBNP) levels in emergency departments. Methods: Using the open-source dataset MIMIC-IV and MIMIC-CXR, - CXR, the study population consisted of 1,432 patients and 1,833 pairs of CXRs and EHRs. We processed the CXRs, extracted relevant features through lung- heart masks, and combined these with the vital signs at triage to predict corresponding NT-proBNP levels. Results: The proposed method achieved a 0.89 area under the receiver operating characteristic curve by fusing predictions from single-modality models of heart size ratio, radiomic features, CXR, and the region of interest in the CXR. The model can accurately predict dyspneic patients with abnormal NT-proBNP concentrations, allowing physicians to reduce the risks associated with inappropriate treatment. Conclusion: The study provided new image features related to AHF and offered insights into future research directions. Overall, these models have great potential to improve patient outcomes and reduce risks in emergency departments.</t>
  </si>
  <si>
    <t>Lee, Chih-Kuo; Chen, Ting-Li; Wu, Jeng-En; Liao, Min-Tsun; Wang, Chiehhung; Wang, Weichung; Chou, Cheng-Ying</t>
  </si>
  <si>
    <t>Wang, WC; Chou, CY (corresponding author), NTU, Dept Mech Engn, 1 Roosevelt Rd Sec 4, Taipei 106, Taiwan.</t>
  </si>
  <si>
    <t>wwang@ntu.edu.tw; chengying@ntu.edu.tw</t>
  </si>
  <si>
    <t>[Lee, Chih-Kuo; Liao, Min-Tsun] Natl Taiwan Univ Hosp, Dept Internal Med, Hsin Chu Branch, 25,Ln 442,Sec 1,Jingguo Rd, Hsinchu 300, Taiwan; [Chen, Ting-Li] Acad Sinica, Inst Stat Sci, 128 Acad Rd, Nankang 11529, Taipei, Taiwan; [Wu, Jeng-En; Chou, Cheng-Ying] Natl Taiwan Univ, Master Program Stat, 1,Sec 4 Roosevelt Rd, Taipei 106, Taiwan; [Wang, Chiehhung] Natl Taiwan Univ, Data Sci Degree Program, 1,Sec 4 Roosevelt Rd, Taipei 106, Taiwan; [Wang, Weichung] Natl Taiwan Univ, Inst Appl Math Sci, 1,Sec 4 Roosevelt Rd, Taipei 106, Taiwan; [Chou, Cheng-Ying] Natl Taiwan Univ, Dept Biomechatron Engn, 1,Sec 4 Roosevelt Rd, Taipei 106, Taiwan</t>
  </si>
  <si>
    <t>National Taiwan University; National Taiwan University Hospital; National Taiwan University Hospital; Academia Sinica - Taiwan; National Taiwan University; National Taiwan University; National Taiwan University; National Taiwan University</t>
  </si>
  <si>
    <t>Multimodal deep learning models utilizing chest X-ray and electronic health record data for predictive screening of acute heart failure in emergency department</t>
  </si>
  <si>
    <t>COMPUTER METHODS AND PROGRAMS IN BIOMEDICINE</t>
  </si>
  <si>
    <t>Acute heart failure; Chest X-rays; Deep learning; Multimodality; NT-proBNP</t>
  </si>
  <si>
    <t>MORTALITY; TRENDS</t>
  </si>
  <si>
    <t>Chen, Ting-Li/AAF-5752-2020; Liao, Min-Tsun/GPG-6828-2022</t>
  </si>
  <si>
    <t>Lee, Chih-Kuo/0000-0001-5796-6971; CHOU, CHENG-YING/0000-0002-5737-6960; Wang, Weichung/0000-0002-6154-7750; Chen, Ting-Li/0000-0002-1375-0164</t>
  </si>
  <si>
    <t>35</t>
  </si>
  <si>
    <t>17</t>
  </si>
  <si>
    <t>19</t>
  </si>
  <si>
    <t>ELSEVIER IRELAND LTD</t>
  </si>
  <si>
    <t>CLARE</t>
  </si>
  <si>
    <t>ELSEVIER HOUSE, BROOKVALE PLAZA, EAST PARK SHANNON, CO, CLARE, 00000, IRELAND</t>
  </si>
  <si>
    <t>0169-2607</t>
  </si>
  <si>
    <t>1872-7565</t>
  </si>
  <si>
    <t>COMPUT METH PROG BIO</t>
  </si>
  <si>
    <t>Comput. Meth. Programs Biomed.</t>
  </si>
  <si>
    <t>OCT 2024</t>
  </si>
  <si>
    <t>2024</t>
  </si>
  <si>
    <t>255</t>
  </si>
  <si>
    <t>108357</t>
  </si>
  <si>
    <t>10.1016/j.cmpb.2024.108357</t>
  </si>
  <si>
    <t>http://dx.doi.org/10.1016/j.cmpb.2024.108357</t>
  </si>
  <si>
    <t>AUG 2024</t>
  </si>
  <si>
    <t>Computer Science, Interdisciplinary Applications; Computer Science, Theory &amp; Methods; Engineering, Biomedical; Medical Informatics</t>
  </si>
  <si>
    <t>Computer Science; Engineering; Medical Informatics</t>
  </si>
  <si>
    <t>D1J0E</t>
  </si>
  <si>
    <t>39126913</t>
  </si>
  <si>
    <t>WOS:001293805800001</t>
  </si>
  <si>
    <t>Koornwinder, A; Zhang, YC; Ravindranath, R; Chang, RT; Bernstein, IA; Wang, SY</t>
  </si>
  <si>
    <t>Purpose: The purpose of this study was to develop models that predict which patients with glaucoma will progress to require surgery, combining structured data from electronic health records (EHRs) and retinal fiber layer optical coherence tomography (RNFL OCT) scans. Methods: EHR data (demographics and clinical eye examinations) and RNFL OCT scans were identified for patients with glaucoma from an academic center (2008-2023). Comparing the novel TabNet deep learning architecture to a baseline XGBoost model, we trained and evaluated single modality models using either EHR or RNFL features, as well as fusion models combining both EHR and RNFL features as inputs, to predict glaucoma surgery within 12 months (binary). Results: We had 1472 patients with glaucoma who were included in this study, of which 29.9% (N = 367) progressed to glaucoma surgery. The TabNet fusion model achieved the highest performance on the test set with an area under the receiver operating characteristic curve (AUROC) of 0.832, compared to the XGBoost fusion model (AUROC = 0.747). EHR only models performed with an AUROC of 0.764 and 0.720 for the deep learning model and XGBoost models, respectively. RNFL only models performed with an AUROC of 0.624 and 0.633 for the deep learning and XGBoost models, respectively. Conclusions: Fusion models which integrate both RNFL with EHR data outperform models only utilizing one datatype or the other to predict glaucoma progression. The deep learning TabNet architecture demonstrated superior performance to traditional XGBoost models. Translational Relevance: Prediction models that utilize the wealth of structured clinical and imaging data to predict glaucoma progression could form the basis of future clinical decision support tools to personalize glaucoma care.</t>
  </si>
  <si>
    <t>Koornwinder, Abigail; Zhang, Youchen; Ravindranath, Rohith; Chang, Robert T.; Bernstein, Isaac A.; Wang, Sophia Y.</t>
  </si>
  <si>
    <t>Wang, SY (corresponding author), Stanford Univ, Byers Eye Inst, Dept Ophthalmol, 2452 Watson Court, Palo Alto, CA 94303 USA.</t>
  </si>
  <si>
    <t>sophia.yw@gmail.com</t>
  </si>
  <si>
    <t>National Eye Institute [P30-EY026877, K23EY03263501]; American Glaucoma Society Young Clinician Scientist Award; Research to Prevent Blindness</t>
  </si>
  <si>
    <t>National Eye Institute (United States Department of Health &amp; Human Services, National Institutes of Health (NIH) - USA, NIH National Eye Institute (NEI)); American Glaucoma Society Young Clinician Scientist Award; Research to Prevent Blindness (Research to Prevent Blindness (RPB))</t>
  </si>
  <si>
    <t>Supported by the National Eye Institute (K23EY03263501; S.Y.W.) ; American Glaucoma Society Young Clinician Scientist Award (S.Y.W.) , an unrestricted departmental grant from Research to Prevent Blindness (S.Y.W., A.K.) ; and a departmental grant from the National Eye Institute (P30-EY026877 [S.Y.W., A.K.]</t>
  </si>
  <si>
    <t>[Koornwinder, Abigail; Zhang, Youchen; Ravindranath, Rohith; Chang, Robert T.; Bernstein, Isaac A.; Wang, Sophia Y.] Stanford Univ, Byers Eye Inst, Dept Ophthalmol, 2452 Watson Court, Palo Alto, CA 94303 USA</t>
  </si>
  <si>
    <t>Stanford Medicine; Stanford University</t>
  </si>
  <si>
    <t>Multimodal Artificial Intelligence Models Predicting Glaucoma Progression Using Electronic Health Records and Retinal Nerve Fiber Layer Scans</t>
  </si>
  <si>
    <t>TRANSLATIONAL VISION SCIENCE &amp; TECHNOLOGY</t>
  </si>
  <si>
    <t>glaucoma; multimodal; deep learning; optical coherence tomography(OCT); electronic health records(EHTs)</t>
  </si>
  <si>
    <t>Wang, Sophia Y/0000-0003-0916-9403</t>
  </si>
  <si>
    <t>ASSOC RESEARCH VISION OPHTHALMOLOGY INC</t>
  </si>
  <si>
    <t>ROCKVILLE</t>
  </si>
  <si>
    <t>12300 TWINBROOK PARKWAY, ROCKVILLE, MD 20852-1606 USA</t>
  </si>
  <si>
    <t>2164-2591</t>
  </si>
  <si>
    <t>TRANSL VIS SCI TECHN</t>
  </si>
  <si>
    <t>Transl. Vis. Sci. Technol.</t>
  </si>
  <si>
    <t>10.1167/tvst.14.3.27</t>
  </si>
  <si>
    <t>http://dx.doi.org/10.1167/tvst.14.3.27</t>
  </si>
  <si>
    <t>Ophthalmology</t>
  </si>
  <si>
    <t>1GO4O</t>
  </si>
  <si>
    <t>40152766</t>
  </si>
  <si>
    <t>WOS:001464516600001</t>
  </si>
  <si>
    <t>Yang, ZJ; Guo, CY; Li, JY; Li, YL; Zhong, L; Pu, PM; Shang, TX; Cong, L; Zhou, YX; Qiao, GD; Jia, ZQ; Xu, HY; Cao, H; Huang, YS; Liu, TY; Liang, J; Wu, J; Ma, DX; Liu, YC; Zhou, RJ; Wang, X; Ying, JM; Zhou, M; Liu, JQ</t>
  </si>
  <si>
    <t>Genetic testing for pathogenic germline variants is critical for the personalized management of high-risk breast cancers, guiding targeted therapies and cascade testing for at-risk families. In this study, MAIGGT (Multimodal Artificial Intelligence Germline Genetic Testing) is proposed, a deep learning framework that integrates histopathological microenvironment features from whole-slide images with clinical phenotypes from electronic health records for precise prescreening of germline BRCA1/2 mutations. Leveraging a multi-scale Transformer-based deep generative architecture, MAIGGT employs a cross-modal latent representation unification mechanism to capture complementary biological insights from multimodal data. MAIGGT is rigorously validated across three independent cohorts and demonstrated robust performance with areas under receiver operating characteristic curves of 0.925 (95% CI 0.868 - 0.982), 0.845 (95% CI 0.779 - 0.911), and 0.833 (0.788 - 0.878), outperforming single-modality models. Mechanistic interpretability analyses revealed that BRCA1/2-mutated associated tumors may exhibit distinct microenvironment patterns, including increased inflammatory cell infiltration, stromal proliferation and necrosis, and nuclear heterogeneity. By bridging digital pathology with clinical phenotypes, MAIGGT establishes a new paradigm for cost-effective, scalable, and biologically interpretable prescreening of hereditary breast cancer, with the potential to significantly improve the accessibility of genetic testing in routine clinical practice.</t>
  </si>
  <si>
    <t>Yang, Zijian; Guo, Changyuan; Li, Jiayi; Li, Yalun; Zhong, Lei; Pu, Pengming; Shang, Tongxuan; Cong, Lin; Zhou, Yongxin; Qiao, Guangdong; Jia, Ziqi; Xu, Hengyi; Cao, Heng; Huang, Yansong; Liu, Tianyi; Liang, Jian; Wu, Jiang; Ma, Dongxu; Liu, Yuchen; Zhou, Ruijie; Wang, Xiang; Ying, Jianming; Zhou, Meng; Liu, Jiaqi</t>
  </si>
  <si>
    <t>Zhou, M (corresponding author), Wenzhou Med Univ, Inst Genom Med, Sch Biomed Engn, Wenzhou 325027, Peoples R China.; Ying, JM (corresponding author), Chinese Acad Med Sci &amp; Peking Union Med Coll, Natl Clin Res Ctr Canc, Natl Canc Ctr, Dept Pathol,Canc Hosp, Beijing 100021, Peoples R China.; Liu, JQ (corresponding author), Chinese Acad Med Sci &amp; Peking Union Med Coll, Natl Clin Res Ctr Canc, Natl Canc Ctr, Dept Breast Surg Oncol,Canc Hosp, Beijing 100021, Peoples R China.; Liu, JQ (corresponding author), Chinese Acad Med Sci &amp; Peking Union Med Coll, Natl Canc Ctr, Natl Clin Res Ctr Canc, State Key Lab Mol Oncol,Canc Hosp, Beijing 100021, Peoples R China.</t>
  </si>
  <si>
    <t>jmying@cicams.ac.cn; j.liu@cicams.ac.cn; zhoumeng@wmu.edu.cn</t>
  </si>
  <si>
    <t>Beijing Technology Innovation Foundation for University or College Students</t>
  </si>
  <si>
    <t>The authors thank all individuals, families and physicians involved in the study for their participation. The authors thank BioScience Writers, LLC, for editing support. This research was funded in part by the National Natural Science Foundation of China (82272938 to J.L.), Beijing Nova Program (20220484059 to J.L.), the CAMS Innovation Fund for Medical Sciences (2021-I2M-1-014 to J.L.), and Beijing Technology Innovation Foundation for University or College Students (2024dcxm054 to J.L.).</t>
  </si>
  <si>
    <t>[Yang, Zijian; Zhou, Meng] Wenzhou Med Univ, Inst Genom Med, Sch Biomed Engn, Wenzhou 325027, Peoples R China; [Guo, Changyuan; Ying, Jianming] Chinese Acad Med Sci &amp; Peking Union Med Coll, Natl Clin Res Ctr Canc, Natl Canc Ctr, Dept Pathol,Canc Hosp, Beijing 100021, Peoples R China; [Li, Jiayi] Chinese Acad Med Sci &amp; Peking Union Med Coll Hosp, Dept Breast Surg, Beijing 100730, Peoples R China; [Li, Jiayi; Pu, Pengming; Shang, Tongxuan; Cong, Lin; Zhou, Yongxin; Jia, Ziqi; Cao, Heng; Huang, Yansong; Wu, Jiang; Ma, Dongxu; Liu, Yuchen; Zhou, Ruijie; Wang, Xiang; Liu, Jiaqi] Chinese Acad Med Sci &amp; Peking Union Med Coll, Natl Clin Res Ctr Canc, Natl Canc Ctr, Dept Breast Surg Oncol,Canc Hosp, Beijing 100021, Peoples R China; [Li, Jiayi; Pu, Pengming; Shang, Tongxuan; Cong, Lin; Zhou, Yongxin; Huang, Yansong] Chinese Acad Med Sci &amp; Peking Union Med Coll, Sch Clin Med, Beijing 100005, Peoples R China; [Li, Yalun; Qiao, Guangdong] Qingdao Univ, Dept Breast Surg, Affiliated Yantai Yuhuangding Hosp, Yantai 264000, Peoples R China; [Zhong, Lei] Harbin Med Univ, Dept Breast Surg, Affiliated Hosp 6, Harbin 150023, Peoples R China; [Xu, Hengyi; Liu, Jiaqi] Chinese Acad Med Sci &amp; Peking Union Med Coll, Natl Canc Ctr, Natl Clin Res Ctr Canc, State Key Lab Mol Oncol,Canc Hosp, Beijing 100021, Peoples R China; [Liu, Tianyi] Harbin Med Univ, Affiliated Hosp 2, Dept Pathol, Harbin 150086, Peoples R China; [Liang, Jian] Harbin Med Univ, Affiliated Hosp 2, Dept Breast Surg, Harbin 150086, Peoples R China</t>
  </si>
  <si>
    <t>Wenzhou Medical University; Chinese Academy of Medical Sciences - Peking Union Medical College; Cancer Institute &amp; Hospital - CAMS; Peking Union Medical College; Chinese Academy of Medical Sciences - Peking Union Medical College; Cancer Institute &amp; Hospital - CAMS; Peking Union Medical College; Chinese Academy of Medical Sciences - Peking Union Medical College; Peking Union Medical College; Qingdao University; Harbin Medical University; Chinese Academy of Medical Sciences - Peking Union Medical College; Cancer Institute &amp; Hospital - CAMS; Peking Union Medical College; Harbin Medical University; Harbin Medical University</t>
  </si>
  <si>
    <t>An Explainable Multimodal Artificial Intelligence Model Integrating Histopathological Microenvironment and EHR Phenotypes for Germline Genetic Testing in Breast Cancer</t>
  </si>
  <si>
    <t>ADVANCED SCIENCE</t>
  </si>
  <si>
    <t>BRCA1/2; breast cancer; deep learning; electronic health records; tumor microenvironment; whole-slide image</t>
  </si>
  <si>
    <t>ATLAS REVEALS; GUIDELINES; BRCA1</t>
  </si>
  <si>
    <t>Zhou, Meng/G-7674-2011; Xu, Hengyi/OIR-7722-2025; Jia, Ziqi/GRF-0134-2022; LJ(lijian), Liu（Liu）/KFS-8878-2024; Ying, jianming/OEO-9795-2025</t>
  </si>
  <si>
    <t>Liu, Jiaqi/0000-0002-9775-2342</t>
  </si>
  <si>
    <t>48</t>
  </si>
  <si>
    <t>WILEY-V C H VERLAG GMBH</t>
  </si>
  <si>
    <t>WEINHEIM</t>
  </si>
  <si>
    <t>POSTFACH 101161, 69451 WEINHEIM, GERMANY</t>
  </si>
  <si>
    <t>2198-3844</t>
  </si>
  <si>
    <t>ADV SCI</t>
  </si>
  <si>
    <t>Adv. Sci.</t>
  </si>
  <si>
    <t>AUG 2025</t>
  </si>
  <si>
    <t>e02833</t>
  </si>
  <si>
    <t>10.1002/advs.202502833</t>
  </si>
  <si>
    <t>http://dx.doi.org/10.1002/advs.202502833</t>
  </si>
  <si>
    <t>MAY 2025</t>
  </si>
  <si>
    <t>Chemistry, Multidisciplinary; Nanoscience &amp; Nanotechnology; Materials Science, Multidisciplinary</t>
  </si>
  <si>
    <t>Chemistry; Science &amp; Technology - Other Topics; Materials Science</t>
  </si>
  <si>
    <t>6LN5J</t>
  </si>
  <si>
    <t>40439693</t>
  </si>
  <si>
    <t>WOS:001498606600001</t>
  </si>
  <si>
    <t>Niu, S; Ma, J; Bai, L; Wang, ZH; Guo, L; Yang, X</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</si>
  <si>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</si>
  <si>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Niu, Shuai; Ma, Jing; Bai, Liang; Wang, Zhihua; Guo, Li; Yang, Xian</t>
  </si>
  <si>
    <t>Yang, X (corresponding author), Univ Manchester, Alliance Manchester Business Sch, Oxford Rd, Manchester M13 9PL, England.</t>
  </si>
  <si>
    <t>20483007@life.hkbu.edu.hk; zhihua.wang@zju.edu.cn; bailiang@sxu.edu.cn; majing@comp.hkbu.edu.hk; xian.yang@manchester.ac.uk</t>
  </si>
  <si>
    <t>National Key Research and Devel-opment Program of China [2021ZD0113303]; National Natural Science Foundation of China [62022052, 62276159]</t>
  </si>
  <si>
    <t>National Key Research and Devel-opment Program of China (National Key Research &amp; Development Program of China); National Natural Science Foundation of China (National Natural Science Foundation of China (NSFC))</t>
  </si>
  <si>
    <t>Acknowledgments This work is supported by the National Key Research and Devel-opment Program of China (No. 2021ZD0113303) , and the National Natural Science Foundation of China (Nos. 62022052, 62276159) .</t>
  </si>
  <si>
    <t>[Niu, Shuai; Yang, Xian] Univ Manchester, Alliance Manchester Business Sch, Oxford Rd, Manchester M13 9PL, England; [Niu, Shuai; Ma, Jing] Hong Kong Baptist Univ, Dept Comp Sci, Kowloon Tong, Hong Kong, Peoples R China; [Yang, Xian] Imperial Coll London, Data Sci Inst, Exhibit Rd, London SW7 2BX, England; [Bai, Liang] Shanxi Univ, Comp &amp; Informat Technol Sch, Shanxi Rd, Taiyuan 030006, Shan Xi, Peoples R China; [Wang, Zhihua] Zhejiang Univ, Shanghai Inst Adv Study, Dangui Rd, Shanghai, Peoples R China; [Guo, Li] Manchester Metropolitan Univ, Dept Comp &amp; Math, Oxford Rd, Manchester M15 6BH, England</t>
  </si>
  <si>
    <t>University of Manchester; Alliance Manchester Business School; Hong Kong Baptist University; Imperial College London; Shanxi University; Zhejiang University; Manchester Metropolitan University</t>
  </si>
  <si>
    <t>EHR-KnowGen: Knowledge-enhanced multimodal learning for disease diagnosis generation</t>
  </si>
  <si>
    <t>Multimodal learning; Multimodal electronic health records; Knowledge enhancement; Generative large language model; Disease diagnosis</t>
  </si>
  <si>
    <t>NETWORK; FUSION</t>
  </si>
  <si>
    <t>Guo, Li/HFU-2288-2022</t>
  </si>
  <si>
    <t>NIU, SHUAI/0000-0002-1329-3485; Guo, Li/0000-0003-1272-8480; Yang, Xian/0000-0002-1496-8923</t>
  </si>
  <si>
    <t>65</t>
  </si>
  <si>
    <t>FEB 2024</t>
  </si>
  <si>
    <t>102</t>
  </si>
  <si>
    <t>102069</t>
  </si>
  <si>
    <t>10.1016/j.inffus.2023.102069</t>
  </si>
  <si>
    <t>http://dx.doi.org/10.1016/j.inffus.2023.102069</t>
  </si>
  <si>
    <t>OCT 2023</t>
  </si>
  <si>
    <t>X3DO0</t>
  </si>
  <si>
    <t>WOS:001097294000001</t>
  </si>
  <si>
    <t>hybrid; Green Submitted; Green Published</t>
  </si>
  <si>
    <t>Tang, L; Shen, CC</t>
  </si>
  <si>
    <t>Introduction Artificial Intelligence (AI) has transformed medical diagnostics, offering enhanced precision and efficiency in detecting cardiovascular risks. However, traditional diagnostic approaches for cardiovascular risk assessment in autistic patients remain limited due to the complexity of medical data, inter-individual variability, and the challenges of integrating multi-modal clinical information. Conventional methods, relying heavily on manually extracted features and rule-based analysis, often fail to capture subtle cardiovascular abnormalities, leading to suboptimal clinical outcomes.Methods To address these limitations, we propose an AI-driven object detection framework that leverages advanced deep learning techniques for automated, accurate cardiovascular risk assessment in autistic patients. Our approach integrates multi-modal medical data, including imaging and electronic health records, through a novel feature fusion mechanism, enhancing diagnostic precision. Furthermore, an uncertainty quantification module is embedded to improve model interpretability and reliability, addressing concerns regarding AI-based medical decision-making.Results Experimental evaluations demonstrate that our method significantly outperforms traditional diagnostic techniques in sensitivity and specificity, making it a robust tool for clinical applications.Discussion The proposed framework represents a significant step towards personalized and data-driven cardiovascular care for autistic patients, aligning with the need for tailored diagnostic solutions in this specialized medical domain.</t>
  </si>
  <si>
    <t>Tang, Ling; Shen, Chengchao</t>
  </si>
  <si>
    <t>Tang, L (corresponding author), East China Univ Polit Sci &amp; Law, Shanghai, Peoples R China.</t>
  </si>
  <si>
    <t>bradeyeduwar@hotmail.com</t>
  </si>
  <si>
    <t>The author(s) declare that no financial support was received for the research and/or publication of this article.</t>
  </si>
  <si>
    <t>[Tang, Ling] East China Univ Polit Sci &amp; Law, Shanghai, Peoples R China; [Shen, Chengchao] Sun Yat Sen Univ, Canc Ctr, Dept Pathol, Guangzhou, Guangdong, Peoples R China</t>
  </si>
  <si>
    <t>East China University Political Science &amp; Law; Sun Yat Sen University</t>
  </si>
  <si>
    <t>Multimodal AI-driven object detection with uncertainty quantification for cardiovascular risk assessment in autistic patients</t>
  </si>
  <si>
    <t>FRONTIERS IN CARDIOVASCULAR MEDICINE</t>
  </si>
  <si>
    <t>AI-driven diagnostics; cardiovascular risk assessment; object detection; multi-modal data fusion; uncertainty quantification</t>
  </si>
  <si>
    <t>2297-055X</t>
  </si>
  <si>
    <t>FRONT CARDIOVASC MED</t>
  </si>
  <si>
    <t>Front. Cardiovasc. Med.</t>
  </si>
  <si>
    <t>AUG 6 2025</t>
  </si>
  <si>
    <t>1606159</t>
  </si>
  <si>
    <t>10.3389/fcvm.2025.1606159</t>
  </si>
  <si>
    <t>http://dx.doi.org/10.3389/fcvm.2025.1606159</t>
  </si>
  <si>
    <t>6GZ4K</t>
  </si>
  <si>
    <t>40842474</t>
  </si>
  <si>
    <t>WOS:001553133900001</t>
  </si>
  <si>
    <t>Yan, LX; Echeverria, V; Jin, YQ; Fernandez-Nieto, G; Zhao, LX; Li, XY; Alfredo, R; Swiecki, Z; Gasevic, D; Martinez-Maldonado, R</t>
  </si>
  <si>
    <t>Multimodal learning analytics (MMLA) offers the potential to provide evidence-based insights into complex learning phenomena such as collaborative learning. Yet, few MMLA applications have closed the learning analytics loop by being evaluated in real-world educational settings. This study evaluates the effectiveness of an MMLA solution in enhancing feedback and reflection within a complex and highly dynamic collaborative learning environment. A two-year longitudinal study was conducted with 399 students and 17 teachers, utilising an MMLA system in reflective debriefings in the context of healthcare education. We analysed the survey data of 74 students and 11 teachers regarding their perceptions of the MMLA system. We applied the Evaluation Framework for Learning Analytics, augmented by complexity, accuracy and trust measures, to assess both teachers' and students' perspectives. The findings illustrated that teachers and students both had generally positive perceptions of the MMLA solution. Teachers found the MMLA solution helpful in facilitating feedback provision and reflection during debriefing sessions. Similarly, students found the MMLA solution effective in providing clarity on the data collected, stimulating reflection on their learning behaviours, and prompting considerations for adaptation in their learning behaviours. However, the complexity of the MMLA solution and the need for qualitative measures of communication emerged as areas for improvement. Additionally, the study highlighted the importance of data accuracy, transparency, and privacy protection to maintain user trust. The findings provide valuable contributions to advancing our understanding of the use of MMLA in supporting feedback and reflection practices in intricate collaborative learning while identifying avenues for further research and improvement. We also provided several insights and practical recommendations for successful MMLA implementation in authentic learning contexts.What is currently known about this topic Multimodal learning analytics (MMLA) seeks to generate data-informed insights about learners' metacognitive and emotional states as well as their learning behaviours, by utilising intricate physical and physiological signals. MMLA has not only pioneered novel data analytic methods but also aspired to complete the learning analytics loop by crafting innovative, tangible solutions that relay these insights to the concerned stakeholders. A prominent direction within MMLA research has been the formulation of tools to support feedback and reflection in collaborative learning scenarios, given MMLA's capacity to discern intricate and dynamic learning behaviours. What this paper adds Teachers' and students' positive perceptions of an MMLA implementation in stimulating considerations of adaptations in their pedagogical practices and learning behaviours, respectively. Empirical evidence supporting the potential of MMLA in assisting teachers to facilitate students' reflective practices during intricate collaborative learning scenarios. The importance of addressing issues related to design complexity, interpretability for users with disabilities, aggregated data representation, and concerns related to trust for building a practical MMLA solution in real learning settings. Implications for practice and/or policy The MMLA solution can provide teachers with a comprehensive view of student performance, illuminate areas for improvement, and confirm learning scenario outcomes.The MMLA solution can stimulate students' reflections on their learning behaviours and promote considerations of adaptation in their learning behaviours. Providing clear explanations and guidance on how to interpret analytics, as well as addressing concerns related to data completeness and representation, are essential to maximising utility.</t>
  </si>
  <si>
    <t>Yan, Lixiang; Echeverria, Vanessa; Jin, Yueqiao; Fernandez-Nieto, Gloria; Zhao, Linxuan; Li, Xinyu; Alfredo, Riordan; Swiecki, Zachari; Gasevic, Dragan; Martinez-Maldonado, Roberto</t>
  </si>
  <si>
    <t>Social Science Citation Index (SSCI)</t>
  </si>
  <si>
    <t>Yan, LX (corresponding author), Monash Univ, Fac Informat Technol, Ctr Learning Analyt Monash, Clayton, Vic 3168, Australia.</t>
  </si>
  <si>
    <t>lixiang.yan@monash.edu</t>
  </si>
  <si>
    <t>Jacobs Foundation; Australian Government through the Australian Research Council [DP210100060]; Monash University, as part of the Wiley - Monash University agreement via the Council of Australian University Librarians</t>
  </si>
  <si>
    <t>Jacobs Foundation; Australian Government through the Australian Research Council (Australian Research Council); Monash University, as part of the Wiley - Monash University agreement via the Council of Australian University Librarians</t>
  </si>
  <si>
    <t>This research was funded partially by the Australian Government through the Australian Research Council (project number DP210100060). Roberto Martinez-Maldonado's research is partly funded by Jacobs Foundation. Open access publishing facilitated by Monash University, as part of the Wiley - Monash University agreement via the Council of Australian University Librarians.</t>
  </si>
  <si>
    <t>[Yan, Lixiang; Echeverria, Vanessa; Jin, Yueqiao; Fernandez-Nieto, Gloria; Zhao, Linxuan; Li, Xinyu; Alfredo, Riordan; Swiecki, Zachari; Gasevic, Dragan; Martinez-Maldonado, Roberto] Monash Univ, Fac Informat Technol, Ctr Learning Analyt Monash, Clayton, Vic 3168, Australia; [Echeverria, Vanessa] Escuela Super Politecn Litoral, ESPOL, Guayas, Ecuador</t>
  </si>
  <si>
    <t>Monash University; Escuela Superior Politecnica del Litoral</t>
  </si>
  <si>
    <t>Evidence-based multimodal learning analytics for feedback and reflection in collaborative learning</t>
  </si>
  <si>
    <t>BRITISH JOURNAL OF EDUCATIONAL TECHNOLOGY</t>
  </si>
  <si>
    <t>collaborative learning; evaluation; feedback; learning analytics loop; multimodal learning analytics; reflection</t>
  </si>
  <si>
    <t>ONE SIZE FITS; FRAMEWORK</t>
  </si>
  <si>
    <t>Zhao, Linxuan/KEI-1600-2024; Li, Xinyu/QQA-8398-2026; Yan, Lixiang/GQH-3481-2022; Martinez-Maldonado, Roberto/HKO-8635-2023; Echeverria, Vanessa/GYJ-5556-2022; Alfredo, Riordan/HPE-9243-2023</t>
  </si>
  <si>
    <t>Zhao, Linxuan/0000-0001-5564-0185; Swiecki, Zachari/0000-0002-7414-5507; Yan, Lixiang/0000-0003-3818-045X; Costa Ramos, Bernardo/0000-0001-5507-2202; Fernandez Nieto, Gloria Milena/0000-0002-8163-2303; Echeverria, Vanessa/0000-0002-2022-9588</t>
  </si>
  <si>
    <t>53</t>
  </si>
  <si>
    <t>28</t>
  </si>
  <si>
    <t>139</t>
  </si>
  <si>
    <t>WILEY</t>
  </si>
  <si>
    <t>HOBOKEN</t>
  </si>
  <si>
    <t>111 RIVER ST, HOBOKEN 07030-5774, NJ USA</t>
  </si>
  <si>
    <t>0007-1013</t>
  </si>
  <si>
    <t>1467-8535</t>
  </si>
  <si>
    <t>BRIT J EDUC TECHNOL</t>
  </si>
  <si>
    <t>Br. J. Educ. Technol.</t>
  </si>
  <si>
    <t>SEP 2024</t>
  </si>
  <si>
    <t>1900</t>
  </si>
  <si>
    <t>1925</t>
  </si>
  <si>
    <t>10.1111/bjet.13498</t>
  </si>
  <si>
    <t>http://dx.doi.org/10.1111/bjet.13498</t>
  </si>
  <si>
    <t>JUN 2024</t>
  </si>
  <si>
    <t>Education &amp; Educational Research</t>
  </si>
  <si>
    <t>K4D8U</t>
  </si>
  <si>
    <t>WOS:001251837900001</t>
  </si>
  <si>
    <t>Narayanan, R; DeGroat, W; Mendhe, D; Abdelhalim, H; Ahmed, Z</t>
  </si>
  <si>
    <t>Artificial intelligence (AI) and machine learning (ML) have advanced in several areas and fields of life; however, its progress in the field of multi-omics is not matching the levels others have attained. Challenges include but are not limited to the handling and analysis of high volumes of complex multi-omics data, and the expertise needed to implement and execute AI/ML approaches. In this article, we present IntelliGenes, an interactive, customizable, cross-platform, and user-friendly AI/ML application for multi-omics data exploration to discover novel biomarkers and predict rare, common, and complex diseases. The implemented methodology is based on a nexus of conventional statistical techniques and cutting-edge ML algorithms, which outperforms single algorithms and result in enhanced accuracy. The interactive and cross-platform graphical user interface of IntelliGenes is divided into three main sections: (i) Data Manager, (ii) AI/ML Analysis, and (iii) Visualization. Data Manager supports the user in loading and customizing the input data and list of existing biomarkers. AI/ML Analysis allows the user to apply default combinations of statistical and ML algorithms, as well as customize and create new AI/ML pipelines. Visualization provides options to interpret a diverse set of produced results, including performance metrics, disease predictions, and various charts. The performance of IntelliGenes has been successfully tested at variable in-house and peer-reviewed studies, and was able to correctly classify individuals as patients and predict disease with high accuracy. It stands apart primarily in its simplicity in use for nontechnical users and its emphasis on generating interpretable visualizations. We have designed and implemented IntelliGenes in a way that a user with or without computational background can apply AI/ML approaches to discover novel biomarkers and predict diseases.</t>
  </si>
  <si>
    <t>Narayanan, Rishabh; DeGroat, William; Mendhe, Dinesh; Abdelhalim, Habiba; Ahmed, Zeeshan</t>
  </si>
  <si>
    <t>Ahmed, Z (corresponding author), Rutgers State Univ, Rutgers Inst Hlth, Hlth Care Policy &amp; Aging Res, 112 Paterson St, New Brunswick, NJ 08901 USA.</t>
  </si>
  <si>
    <t>zahmed@ifh.rutgers.edu</t>
  </si>
  <si>
    <t>Department of Medicine, Robert Wood Johnson Medical School, and Rutgers Institute for Health, Health Care Policy, and Aging Research at Rutgers; Department of Medicine, Division of Cardiovascular Disease and Hypertension, Robert Wood Johnson Medical School; Rutgers Institute for Health, Health Care Policy, and Aging Research; Rutgers Health, at Rutgers, The State University of New Jersey</t>
  </si>
  <si>
    <t>We appreciate great support from the Department of Medicine, Division of Cardiovascular Disease and Hypertension, Robert Wood Johnson Medical School; Rutgers Institute for Health, Health Care Policy, and Aging Research; and Rutgers Health, at Rutgers, The State University of New Jersey. The authors acknowledge the Rutgers Office of Advanced Research Computing (OARC) for providing access to the Amarel cluster and associated research computing resources.</t>
  </si>
  <si>
    <t>[Narayanan, Rishabh; DeGroat, William; Mendhe, Dinesh; Abdelhalim, Habiba; Ahmed, Zeeshan] State Univ New Jersey, Rutgers Inst Hlth, Hlth Care Policy &amp; Aging Res, New Brunswick, NJ 08901 USA; [Ahmed, Zeeshan] Univ Med &amp; Dent New Jersey, Dept Med, Div Cardiovasc Dis &amp; Hypertens, New Brunswick, NJ 08901 USA; [Ahmed, Zeeshan] Rutgers State Univ, Rutgers Inst Hlth, Hlth Care Policy &amp; Aging Res, 112 Paterson St, New Brunswick, NJ 08901 USA</t>
  </si>
  <si>
    <t>Rutgers University New Brunswick; Rutgers University System; Rutgers University New Brunswick; Rutgers University System; Rutgers University New Brunswick; Rutgers University Biomedical &amp; Health Sciences; Rutgers University System; Rutgers University New Brunswick</t>
  </si>
  <si>
    <t>IntelliGenes: Interactive and user-friendly multimodal AI/ML application for biomarker discovery and predictive medicine</t>
  </si>
  <si>
    <t>BIOLOGY METHODS &amp; PROTOCOLS</t>
  </si>
  <si>
    <t>artificial intelligence; machine learning; multi-omics; multimodal; biomarker discovery; predictive analysis</t>
  </si>
  <si>
    <t>Mendhe, Dinesh/ITU-8419-2023</t>
  </si>
  <si>
    <t>Narayanan, Rishabh/0009-0000-3258-1952; Mendhe, Dinesh/0000-0003-1158-3259; Ahmed, Zeeshan/0000-0002-7065-1699</t>
  </si>
  <si>
    <t>OXFORD UNIV PRESS</t>
  </si>
  <si>
    <t>GREAT CLARENDON ST, OXFORD OX2 6DP, ENGLAND</t>
  </si>
  <si>
    <t>2396-8923</t>
  </si>
  <si>
    <t>BIOL METHODS PROTOC</t>
  </si>
  <si>
    <t>Biol. Methods Protoc.</t>
  </si>
  <si>
    <t>JUN 14 2024</t>
  </si>
  <si>
    <t>bpae040</t>
  </si>
  <si>
    <t>10.1093/biomethods/bpae040</t>
  </si>
  <si>
    <t>http://dx.doi.org/10.1093/biomethods/bpae040</t>
  </si>
  <si>
    <t>Biochemical Research Methods</t>
  </si>
  <si>
    <t>Biochemistry &amp; Molecular Biology</t>
  </si>
  <si>
    <t>UD2F6</t>
  </si>
  <si>
    <t>38884000</t>
  </si>
  <si>
    <t>WOS:001246051600001</t>
  </si>
  <si>
    <t>Yin, Q; Zhong, LD; Song, YY; Bai, L; Wang, ZH; Li, C; Xu, YD; Yang, X</t>
  </si>
  <si>
    <t>Precision medicine aims to provide personalized healthcare for patients by stratifying them into subgroups based on their health conditions, enabling the development of tailored medical management. Various decision support systems (DSSs) are increasingly developed in this field, where the performance is limited to their capability of handling big amounts of heterogeneous and high-dimensional electronic health records (EHRs). In this paper, we focus on developing a deep learning model for patient stratification that can identify and explain patient subgroups from multimodal EHRs. The primary challenge is to effectively align and unify heterogeneous information from various modalities, which includes both unstructured and structured data. Here, we develop a Contrastive Multimodal learning model for EHR (ConMEHR) based on topic modelling. In ConMEHR, modality-level and topic-level contrastive learning (CL) mechanisms are adopted to obtain a unified representation space and diversify patient subgroups, respectively. The performance of ConMEHR will be evaluated on two real-world EHR datasets and the results show that our model outperforms other baseline methods.</t>
  </si>
  <si>
    <t>Yin, Qing; Zhong, Linda; Song, Yunya; Bai, Liang; Wang, Zhihua; Li, Chen; Xu, Yida; Yang, Xian</t>
  </si>
  <si>
    <t>Yang, X (corresponding author), Univ Manchester, Alliance Manchester Business Sch, Oxford Rd, Manchester M13 9PL, Lancs, England.</t>
  </si>
  <si>
    <t>xuyida@hkbu.edu.hk; qing.yin-2@postgrad.manchester.ac.uk; zhihua.wang@zju.edu.cn; yunyasong@hkbu.edu.hk; bailiang@sxu.edu.cn; lichen@hust.edu.cn; linda.zhong@ntu.edu.sg; xian.yang@manchester.ac.uk</t>
  </si>
  <si>
    <t>National Key Research and Development Program of China [2021ZD0113303]; National Natural Science Foundation of China [62022052]</t>
  </si>
  <si>
    <t>National Key Research and Development Program of China (National Key Research &amp; Development Program of China); National Natural Science Foundation of China (National Natural Science Foundation of China (NSFC))</t>
  </si>
  <si>
    <t>This work is supported by the National Key Research and Development Program of China (No. 2021ZD0113303), and the National Natural Science Foundation of China (Nos. 62022052).</t>
  </si>
  <si>
    <t>[Yin, Qing; Yang, Xian] Univ Manchester, Alliance Manchester Business Sch, Oxford Rd, Manchester M13 9PL, Lancs, England; [Zhong, Linda] Nanyang Technol Univ, Sch Biol Sci, Singapore, Singapore; [Song, Yunya] Hong Kong Baptist Univ, AI &amp; Media Res Lab, Hong Kong, Peoples R China; [Bai, Liang] Shanxi Univ, Sch Comp &amp; Informat Technol, Taiyuan, Peoples R China; [Wang, Zhihua] Zhejiang Univ, China Shanghai Inst Adv Study, Hangzhou, Zhejiang, Peoples R China; [Li, Chen] Huazhong Univ Sci &amp; Technol, Sch Phys Educ, Wuhan, Peoples R China; [Xu, Yida] Hong Kong Baptist Univ, Dept Math, Hong Kong, Peoples R China</t>
  </si>
  <si>
    <t>University of Manchester; Alliance Manchester Business School; Nanyang Technological University; Hong Kong Baptist University; Shanxi University; Zhejiang University; Huazhong University of Science &amp; Technology; Hong Kong Baptist University</t>
  </si>
  <si>
    <t>A decision support system in precision medicine: contrastive multimodal learning for patient stratification</t>
  </si>
  <si>
    <t>ANNALS OF OPERATIONS RESEARCH</t>
  </si>
  <si>
    <t>Modelling unstructured and structured patient data; Application of EHRs in precision medicine; Deep learning model for patient stratification; Multimodal contrastive learning</t>
  </si>
  <si>
    <t>Zhong, Lidan/AAI-7376-2021</t>
  </si>
  <si>
    <t>Yang, Xian/0000-0002-1496-8923</t>
  </si>
  <si>
    <t>77</t>
  </si>
  <si>
    <t>0254-5330</t>
  </si>
  <si>
    <t>1572-9338</t>
  </si>
  <si>
    <t>ANN OPER RES</t>
  </si>
  <si>
    <t>Ann. Oper. Res.</t>
  </si>
  <si>
    <t>348</t>
  </si>
  <si>
    <t>SI</t>
  </si>
  <si>
    <t>579</t>
  </si>
  <si>
    <t>607</t>
  </si>
  <si>
    <t>10.1007/s10479-023-05545-6</t>
  </si>
  <si>
    <t>http://dx.doi.org/10.1007/s10479-023-05545-6</t>
  </si>
  <si>
    <t>AUG 2023</t>
  </si>
  <si>
    <t>Operations Research &amp; Management Science</t>
  </si>
  <si>
    <t>2LM8G</t>
  </si>
  <si>
    <t>WOS:001060633400003</t>
  </si>
  <si>
    <t>Demrozi, F; Farmanbar, M; Engan, K</t>
  </si>
  <si>
    <t>Multimodal artificial intelligence (MMAI) is reshaping the landscape of next-generation healthcare by integrating diverse data sources - ranging from medical imaging and electronic health records (EHRs) to wearable sensor data and genomic sequencing. This convergence enables more accurate diagnostics, personalized treatment strategies, and realtime patient monitoring, ultimately transforming healthcare from reactive to predictive and preventive. Additionally, MMAI can lead to improved operational efficiency by enabling automated reporting and streamlining clinical workflows, helping to reduce clinician burnout and accelerate diagnostic turnaround times. Despite significant advancements, several challenges hinder the widespread adoption of MMAI, including data fragmentation, interoperability issues, computational demands, and the need for explainable AI in clinical decision-making. This opinion paper explores four key aspects driving the future of MMAI in healthcare: (1) the evolution of multimodal data; (2) advancements in AI models and fusion strategies for extracting insights from heterogeneous data streams; (3) major challenges such as synchronization across modalities, interpretability, and regulatory constraints; and (4) emerging future directions, including the role of digital twins, automated clinical reporting, and precision medicine.</t>
  </si>
  <si>
    <t>Demrozi, Florenc; Farmanbar, Mina; Engan, Kjersti</t>
  </si>
  <si>
    <t>Demrozi, F (corresponding author), Univ Stavanger, Dept Elect Engn &amp; Comp Sci, Stavanger, Norway.</t>
  </si>
  <si>
    <t>florenc.demrozi@uis.no</t>
  </si>
  <si>
    <t>[Demrozi, Florenc; Farmanbar, Mina; Engan, Kjersti] Univ Stavanger, Dept Elect Engn &amp; Comp Sci, Stavanger, Norway</t>
  </si>
  <si>
    <t>Universitetet i Stavanger</t>
  </si>
  <si>
    <t>Multimodal AI (MMAI) for next-generation healthcare: data domains, algorithms, challenges, and future perspectives</t>
  </si>
  <si>
    <t>CURRENT OPINION IN BIOMEDICAL ENGINEERING</t>
  </si>
  <si>
    <t>SYSTEM</t>
  </si>
  <si>
    <t>DEMROZI, FLORENC/AAL-3978-2020</t>
  </si>
  <si>
    <t>DEMROZI, FLORENC/0000-0002-5422-9826</t>
  </si>
  <si>
    <t>78</t>
  </si>
  <si>
    <t>2468-4511</t>
  </si>
  <si>
    <t>CURR OPIN BIOMED ENG</t>
  </si>
  <si>
    <t>Curr. Opin. Biomed. Eng.</t>
  </si>
  <si>
    <t>37</t>
  </si>
  <si>
    <t>100632</t>
  </si>
  <si>
    <t>10.1016/j.cobme.2025.100632</t>
  </si>
  <si>
    <t>http://dx.doi.org/10.1016/j.cobme.2025.100632</t>
  </si>
  <si>
    <t>P6002</t>
  </si>
  <si>
    <t>WOS:001633748500001</t>
  </si>
  <si>
    <t>hybrid</t>
  </si>
  <si>
    <t>Lai, CX; Yin, ML; Kholmovski, EG; Popescu, DM; Lu, DY; Scherer, E; Binka, E; Zimmerman, SL; Chrispin, J; Hays, AG; Phelan, DM; Abraham, MR; Trayanova, NA</t>
  </si>
  <si>
    <t>Sudden cardiac death from ventricular arrhythmias is a leading cause of mortality worldwide. Arrhythmic death prognostication is challenging in patients with hypertrophic cardiomyopathy (HCM), a setting where current clinical guidelines show low performance and inconsistent accuracy. Here, we present a deep learning approach, MAARS (Multimodal Artificial intelligence for ventricular Arrhythmia Risk Stratification), to forecast lethal arrhythmia events in patients with HCM by analyzing multimodal medical data. MAARS' transformer-based neural networks learn from electronic health records, echocardiogram and radiology reports, and contrast-enhanced cardiac magnetic resonance images, the latter being a unique feature of this model. MAARS achieves an area under the curve of 0.89 (95% confidence interval (CI) 0.79-0.94) and 0.81 (95% CI 0.69-0.93) in internal and external cohorts and outperforms current clinical guidelines by 0.27-0.35 (internal) and 0.22-0.30 (external). In contrast to clinical guidelines, it demonstrates fairness across demographic subgroups. We interpret MAARS' predictions on multiple levels to promote artificial intelligence transparency and derive risk factors warranting further investigation.</t>
  </si>
  <si>
    <t>Lai, Changxin; Yin, Minglang; Kholmovski, Eugene G.; Popescu, Dan M.; Lu, Dai-Yin; Scherer, Erica; Binka, Edem; Zimmerman, Stefan L.; Chrispin, Jonathan; Hays, Allison G.; Phelan, Dermot M.; Abraham, M. Roselle; Trayanova, Natalia A.</t>
  </si>
  <si>
    <t>Trayanova, NA (corresponding author), Johns Hopkins Univ, Alliance Cardiovasc Diagnost &amp; Treatment Innovat, Baltimore, MD 21218 USA.; Trayanova, NA (corresponding author), Johns Hopkins Univ, Dept Biomed Engn, Baltimore, MD 21218 USA.</t>
  </si>
  <si>
    <t>ntrayanova@jhu.edu</t>
  </si>
  <si>
    <t>U.S. Department of Health &amp; Human Services | NIH | National Heart, Lung, and Blood Institute (NHLBI) [R01HL166759, R01HL174440, R35HL1431598]; National Institutes of Health; Leducq Foundation</t>
  </si>
  <si>
    <t>U.S. Department of Health &amp; Human Services | NIH | National Heart, Lung, and Blood Institute (NHLBI); National Institutes of Health (United States Department of Health &amp; Human Services, National Institutes of Health (NIH) - USA); Leducq Foundation (Leducq Foundation)</t>
  </si>
  <si>
    <t>This work is supported by National Institutes of Health grants R01HL166759 (N.A.T.), R01HL174440 (N.A.T.) and R35HL1431598 (A.G.H.) and a Leducq Foundation grant (N.A.T.).</t>
  </si>
  <si>
    <t>[Lai, Changxin; Yin, Minglang; Kholmovski, Eugene G.; Popescu, Dan M.; Trayanova, Natalia A.] Johns Hopkins Univ, Alliance Cardiovasc Diagnost &amp; Treatment Innovat, Baltimore, MD 21218 USA; [Lai, Changxin; Yin, Minglang; Kholmovski, Eugene G.; Trayanova, Natalia A.] Johns Hopkins Univ, Dept Biomed Engn, Baltimore, MD 21218 USA; [Lu, Dai-Yin; Abraham, M. Roselle] Univ Calif San Francisco, Hypertroph Cardiomyopathy Ctr Excellence, Div Cardiol, San Francisco, CA USA; [Scherer, Erica; Phelan, Dermot M.] Atrium Hlth, Sanger Heart &amp; Vasc Inst, Charlotte, NC USA; [Binka, Edem] Univ Utah, Dept Pediat, Div Pediat Cardiol, Salt Lake City, UT USA; [Zimmerman, Stefan L.; Chrispin, Jonathan; Hays, Allison G.] Johns Hopkins Univ, Sch Med, Baltimore, MD USA</t>
  </si>
  <si>
    <t>Johns Hopkins University; Johns Hopkins University; University of California System; University of California San Francisco; Utah System of Higher Education; University of Utah; Johns Hopkins University; Johns Hopkins Medicine</t>
  </si>
  <si>
    <t>Multimodal AI to forecast arrhythmic death in hypertrophic cardiomyopathy</t>
  </si>
  <si>
    <t>NATURE CARDIOVASCULAR RESEARCH</t>
  </si>
  <si>
    <t>SUDDEN CARDIAC DEATH; RISK PREDICTION MODEL; 2014 EUROPEAN-SOCIETY; CARDIOLOGY GUIDELINES; NATURAL-HISTORY; VALIDATION; PREVENTION; STRATIFICATION; PREVALENCE; HEART</t>
  </si>
  <si>
    <t>/ABD-0501-2022; Trayanova, Natalia/A-3386-2010; Kholmovski, Eugene/AAM-6003-2021; Phelan, Dermot/LVS-0098-2024; Zimmerman, Stefan/U-3269-2019</t>
  </si>
  <si>
    <t>Yin, Minglang/0000-0001-7861-350X; Scherer, Erica/0009-0003-7458-4328; Kholmovski, Eugene/0000-0002-3271-7247; Zimmerman, Stefan/0000-0002-9422-6742</t>
  </si>
  <si>
    <t>THE CAMPUS, 4 CRINAN ST, LONDON, N1 9XW, ENGLAND</t>
  </si>
  <si>
    <t>2731-0590</t>
  </si>
  <si>
    <t>NAT CARDIOVASC RES</t>
  </si>
  <si>
    <t>Nat. Cardiovasc. Res.</t>
  </si>
  <si>
    <t>JUL 2025</t>
  </si>
  <si>
    <t>10.1038/s44161-025-00679-1</t>
  </si>
  <si>
    <t>http://dx.doi.org/10.1038/s44161-025-00679-1</t>
  </si>
  <si>
    <t>4WZ3T</t>
  </si>
  <si>
    <t>40603582</t>
  </si>
  <si>
    <t>WOS:001521547800001</t>
  </si>
  <si>
    <t>Schilcher, J; Nilsson, A; Andlid, O; Eklund, A</t>
  </si>
  <si>
    <t>Atypical femur fractures (AFF) represent a very rare type of fracture that can be difficult to discriminate radiologically from normal femur fractures (NFF). AFFs are associated with drugs that are administered to prevent osteoporosis-related fragility fractures, which are highly prevalent in the elderly population. Given that these fractures are rare and the radiologic changes are subtle currently only 7% of AFFs are correctly identified, which hinders adequate treatment for most patients with AFF. Deep learning models could be trained to classify automatically a fracture as AFF or NFF, thereby assisting radiologists in detecting these rare fractures. Histori-cally, for this classification task, only imaging data have been used, using convolutional neural networks (CNN) or vision transformers applied to radiographs. However, to mimic situations in which all available data are used to arrive at a diagnosis, we adopted an approach of deep learning that is based on the integration of image data and tabular data (from electronic health records) for 159 patients with AFF and 914 patients with NFF. We hypothesized that the combinatorial data, compiled from all the radiology departments of 72 hospitals in Sweden and the Swedish National Patient Register, would improve classification accuracy, as compared to using only one modality. At the patient level, the area under the ROC curve (AUC) increased from 0.966 to 0.987 when using the integrated set of imaging data and seven pre-selected variables, as compared to only using imaging data. More importantly, the sensitivity increased from 0.796 to 0.903. We found a greater impact of data fusion when only a randomly selected subset of available images was used to make the image and tabular data more balanced for each patient. The AUC then increased from 0.949 to 0.984, and the sensitivity increased from 0.727 to 0.849. These AUC improvements are not large, mainly because of the already excellent performance of the CNN (AUC of 0.966) when only images are used. However, the improvement is clinically highly relevant considering the importance of accuracy in medical diagnostics. We expect an even greater effect when imaging data from a clinical workflow, comprising a more diverse set of diagnostic images, are used.</t>
  </si>
  <si>
    <t>Schilcher, Jorg; Nilsson, Alva; Andlid, Oliver; Eklund, Anders</t>
  </si>
  <si>
    <t>Eklund, A (corresponding author), Linkoping Univ, Dept Biomed Engn, Linkoping, Sweden.</t>
  </si>
  <si>
    <t>anders.eklund@liu.se</t>
  </si>
  <si>
    <t>ITEA/VINNOVA [2021-01954]; Region Ostergotland; Knut and Alice Wallenberg Foundation; Swedish research council [2023-01942]; Vinnova [2021-01954] Funding Source: Vinnova; Swedish Research Council [2023-01942] Funding Source: Swedish Research Council</t>
  </si>
  <si>
    <t>ITEA/VINNOVA (Vinnova); Region Ostergotland; Knut and Alice Wallenberg Foundation (Knut &amp; Alice Wallenberg Foundation); Swedish research council (Swedish Research Council); Vinnova (Vinnova); Swedish Research Council (Swedish Research Council)</t>
  </si>
  <si>
    <t>Anders Eklund was supported by the ITEA/VINNOVA funded project Automation, Surgery Support and Intuitive 3D visualization to optimize the workflow in image-guided therapy (IGT) SysTems (ASSIST) (grant no. 2021-01954) . Jorg Schilcher has received ALF funding from Region Ostergotland and generous support from the Knut and Alice Wallenberg Foundation. Anders Eklund has previously received graphics hardware from Nvidia. Anders Eklund and Jorg Schilcher were supported by the Swedish research council (grant no. 2023-01942) .</t>
  </si>
  <si>
    <t>[Schilcher, Jorg] Linkoping Univ, Fac Hlth Sci, Dept Orthoped &amp; Expt &amp; Clin Med, Linkoping, Sweden; [Schilcher, Jorg] Linkoping Univ, Wallenberg Ctr Mol Med, Linkoping, Sweden; [Nilsson, Alva; Andlid, Oliver; Eklund, Anders] Linkoping Univ, Dept Biomed Engn, Linkoping, Sweden; [Eklund, Anders] Linkoping Univ, Dept Comp &amp; Informat Sci, Div Stat &amp; Machine Learning, Linkoping, Sweden; [Schilcher, Jorg; Eklund, Anders] Linkoping Univ, Ctr Med Image Sci &amp; Visualizat CM, Linkoping, Sweden</t>
  </si>
  <si>
    <t>Linkoping University; Linkoping University; Linkoping University; Linkoping University; Linkoping University</t>
  </si>
  <si>
    <t>Fusion of electronic health records and radiographic images for a multimodal deep learning prediction model of atypical femur fractures</t>
  </si>
  <si>
    <t>COMPUTERS IN BIOLOGY AND MEDICINE</t>
  </si>
  <si>
    <t>Atypical femoral fractures; Multimodal; Fusion; Deep learning</t>
  </si>
  <si>
    <t>PROXIMAL HUMERAL FRACTURES; FEMORAL FRACTURES; BISPHOSPHONATE USE; RISK; CLASSIFICATION</t>
  </si>
  <si>
    <t>Eklund, Anders/G-5056-2011</t>
  </si>
  <si>
    <t>Eklund, Anders/0000-0001-7061-7995; Schilcher, Jörg/0000-0003-0677-9265</t>
  </si>
  <si>
    <t>30</t>
  </si>
  <si>
    <t>0010-4825</t>
  </si>
  <si>
    <t>1879-0534</t>
  </si>
  <si>
    <t>COMPUT BIOL MED</t>
  </si>
  <si>
    <t>Comput. Biol. Med.</t>
  </si>
  <si>
    <t>JAN 2024</t>
  </si>
  <si>
    <t>168</t>
  </si>
  <si>
    <t>107704</t>
  </si>
  <si>
    <t>10.1016/j.compbiomed.2023.107704</t>
  </si>
  <si>
    <t>http://dx.doi.org/10.1016/j.compbiomed.2023.107704</t>
  </si>
  <si>
    <t>NOV 2023</t>
  </si>
  <si>
    <t>Biology; Computer Science, Interdisciplinary Applications; Engineering, Biomedical; Mathematical &amp; Computational Biology</t>
  </si>
  <si>
    <t>Life Sciences &amp; Biomedicine - Other Topics; Computer Science; Engineering; Mathematical &amp; Computational Biology</t>
  </si>
  <si>
    <t>AN0I9</t>
  </si>
  <si>
    <t>37980797</t>
  </si>
  <si>
    <t>WOS:001119023400001</t>
  </si>
  <si>
    <t>Soto, JT; Hughes, JW; Sanchez, PA; Perez, M; Ouyang, DV; Ashley, EA</t>
  </si>
  <si>
    <t>Aims Determining the aetiology of left ventricular hypertrophy (LVH) can be challenging due to the similarity in clinical presentation and cardiac morphological features of diverse causes of disease. In particular, distinguishing individuals with hypertrophic cardiomyopathy (HCM) from the much larger set of individuals with manifest or occult hypertension (HTN) is of major importance for family screening and the prevention of sudden death. We hypothesized that an artificial intelligence method based joint interpretation of 12-lead electrocardiograms and echocardiogram videos could augment physician interpretation.Methods and results We chose not to train on proximate data labels such as physician over-reads of ECGs or echocardiograms but instead took advantage of electronic health record derived clinical blood pressure measurements and diagnostic consensus (often including molecular testing) among physicians in an HCM centre of excellence. Using more than 18 000 combined instances of electrocardiograms and echocardiograms from 2728 patients, we developed LVH-fusion. On held-out test data, LVH-fusion achieved an F1-score of 0.71 in predicting HCM, and 0.96 in predicting HTN. In head-to-head comparison with human readers LVH-fusion had higher sensitivity and specificity rates than its human counterparts. Finally, we use explainability techniques to investigate local and global features that positively and negatively impact LVH-fusion prediction estimates providing confirmation from unsupervised analysis the diagnostic power of lateral T-wave inversion on the ECG and proximal septal hypertrophy on the echocardiogram for HCM.Conclusion These results show that deep learning can provide effective physician augmentation in the face of a common diagnostic dilemma with far reaching implications for the prevention of sudden cardiac death.[GRAPHICS].</t>
  </si>
  <si>
    <t>Soto, Jessica Torres; Hughes, J. Weston; Sanchez, Pablo Amador; Perez, Marco; Ouyang, David; Ashley, Euan A.</t>
  </si>
  <si>
    <t>Ashley, EA (corresponding author), Stanford Univ, Dept Med, Div Cardiol, Stanford, CA 94305 USA.</t>
  </si>
  <si>
    <t>euan@stanford.edu</t>
  </si>
  <si>
    <t>Stanford University; Stanford University</t>
  </si>
  <si>
    <t>Stanford University (Stanford University); Stanford University (Stanford University)</t>
  </si>
  <si>
    <t>We thank our academic partners who helped with data acquisition, James Tooley and A.J. Rogers. Some of the computing for this project was performed on the Sherlock cluster. We would like to thank Stanford University and the Stanford Research Computing Centre for providing computational resources and support that contributed to these research results.</t>
  </si>
  <si>
    <t>[Soto, Jessica Torres] Stanford Univ, Dept Biomed Data Sci, Stanford, CA USA; Stanford Univ, Dept Comp Sci, Stanford, CA USA; [Sanchez, Pablo Amador; Perez, Marco; Ashley, Euan A.] Stanford Univ, Dept Med, Div Cardiol, Stanford, CA 94305 USA; [Ouyang, David] Cedars Sinai Med Ctr, Smidt Heart Inst, Dept Cardiol, Los Angeles, CA USA; [Ouyang, David] Cedars Sinai Med Ctr, Dept Med, Div Artificial Intelligence Med, Los Angeles, CA USA</t>
  </si>
  <si>
    <t>Stanford University; Stanford University; Stanford Medicine; Stanford University; Cedars Sinai Medical Center; Cedars Sinai Medical Center</t>
  </si>
  <si>
    <t>Multimodal deep learning enhances diagnostic precision in left ventricular hypertrophy</t>
  </si>
  <si>
    <t>EUROPEAN HEART JOURNAL - DIGITAL HEALTH</t>
  </si>
  <si>
    <t>Artificial Intelligence; Multimodal data; Electrocardiogram; Echocardiogram; Hypertrophic cardiomyopathy; Hypertension</t>
  </si>
  <si>
    <t>CARDIOMYOPATHY; DISEASE</t>
  </si>
  <si>
    <t>Perez, Marco/LFS-2807-2024</t>
  </si>
  <si>
    <t>Ouyang, David/0000-0002-3813-7518; Torres Soto, Jessica/0000-0003-0490-4448; Hughes, John/0000-0002-7042-4031; Sanchez, Pablo/0000-0002-6324-5086</t>
  </si>
  <si>
    <t>47</t>
  </si>
  <si>
    <t>2634-3916</t>
  </si>
  <si>
    <t>EUR HEART J-DIGIT HL</t>
  </si>
  <si>
    <t>Eur. Heart. J.-Digit. Health</t>
  </si>
  <si>
    <t>OCT 3 2022</t>
  </si>
  <si>
    <t>380</t>
  </si>
  <si>
    <t>389</t>
  </si>
  <si>
    <t>10.1093/ehjdh/ztac033</t>
  </si>
  <si>
    <t>http://dx.doi.org/10.1093/ehjdh/ztac033</t>
  </si>
  <si>
    <t>JUN 2022</t>
  </si>
  <si>
    <t>DB5B1</t>
  </si>
  <si>
    <t>36712167</t>
  </si>
  <si>
    <t>WOS:001129574400012</t>
  </si>
  <si>
    <t>gold; Green Published</t>
  </si>
  <si>
    <t>DeGroat, W; Abdelhalim, H; Peker, E; Sheth, N; Narayanan, R; Zeeshan, S; Liang, BT; Ahmed, Z</t>
  </si>
  <si>
    <t>Cardiovascular diseases (CVDs) are complex, multifactorial conditions that require personalized assessment and treatment. Advancements in multi-omics technologies, namely RNA sequencing and whole-genome sequencing, have provided translational researchers with a comprehensive view of the human genome. The efficient synthesis and analysis of this data through integrated approach that characterizes genetic variants alongside expression patterns linked to emerging phenotypes, can reveal novel biomarkers and enable the segmentation of patient populations based on personalized risk factors. In this study, we present a cutting-edge methodology rooted in the integration of traditional bioinformatics, classical statistics, and multimodal machine learning techniques. Our approach has the potential to uncover the intricate mechanisms underlying CVD, enabling patient-specific risk and response profiling. We sourced transcriptomic expression data and single nucleotide polymorphisms (SNPs) from both CVD patients and healthy controls. By integrating these multi-omics datasets with clinical demographic information, we generated patient-specific profiles. Utilizing a robust feature selection approach, we identified a signature of 27 transcriptomic features and SNPs that are effective predictors of CVD. Differential expression analysis, combined with minimum redundancy maximum relevance feature selection, highlighted biomarkers that explain the disease phenotype. This approach prioritizes both biological relevance and efficiency in machine learning. We employed Combination Annotation Dependent Depletion scores and allele frequencies to identify variants with pathogenic characteristics in CVD patients. Classification models trained on this signature demonstrated high-accuracy predictions for CVD. The best performing of these models was an XGBoost classifier optimized via Bayesian hyperparameter tuning, which was able to correctly classify all patients in our test dataset. Using SHapley Additive exPlanations, we created risk assessments for patients, offering further contextualization of these predictions in a clinical setting. Across the cohort, RPL36AP37 and HBA1 were scored as the most important biomarkers for predicting CVDs. A comprehensive literature review revealed that a substantial portion of the diagnostic biomarkers identified have previously been associated with CVD. The framework we propose in this study is unbiased and generalizable to other diseases and disorders.</t>
  </si>
  <si>
    <t>DeGroat, William; Abdelhalim, Habiba; Peker, Elizabeth; Sheth, Neev; Narayanan, Rishabh; Zeeshan, Saman; Liang, Bruce T.; Ahmed, Zeeshan</t>
  </si>
  <si>
    <t>Ahmed, Z (corresponding author), Rutgers State Univ, Rutgers Inst Hlth Hlth Care Policy &amp; Aging Res, 112 Paterson St, New Brunswick, NJ 08901 USA.; Ahmed, Z (corresponding author), Univ Connecticut, UConn Sch Med, 263 Farmington Ave, Farmington, CT 06030 USA.; Ahmed, Z (corresponding author), Univ Med &amp; Dent New Jersey, Rutgers Hlth, Dept Med, Div Cardiovasc Dis &amp; Hypertens, 125 Paterson St, New Brunswick, NJ 08901 USA.; Ahmed, Z (corresponding author), Rutgers State Univ, Rutgers Inst Hlth Hlth Care Policy &amp; Aging Res, 112 Paterson St, New Brunswick, NJ 08901 USA.</t>
  </si>
  <si>
    <t>Institute for Health, Health Care Policy and Aging Research; Robert Wood Johnson Medical School; Department of Genetics and Genome Sciences, at the UConn School of Medicine, UConn Health</t>
  </si>
  <si>
    <t>We appreciate great support by Institute for Health, Health Care Policy and Aging Research (IFH), and Robert Wood Johnson Medical School (RWJMS), at Rutgers Health, and Pat and Jim Calhoun Cardiology Center, and Department of Genetics and Genome Sciences, at the UConn School of Medicine, UConn Health. We thank members and collaborators of Ahmed Lab at Rutgers (IFH, RWJMS, RBHS) for their support, participation, and contribution to this study. We appreciate all colleagues and institutions who provided direct and indirect insight and expertise that greatly assisted the research and development of this project. We acknowledge Rutgers Office of Advanced Research Computing (OARC) for providing access to the Amarel cluster and associated research computing resources.</t>
  </si>
  <si>
    <t>[DeGroat, William; Abdelhalim, Habiba; Peker, Elizabeth; Sheth, Neev; Narayanan, Rishabh; Ahmed, Zeeshan] Rutgers State Univ, Rutgers Inst Hlth Hlth Care Policy &amp; Aging Res, 112 Paterson St, New Brunswick, NJ 08901 USA; [Zeeshan, Saman] UMKC, Sch Med, Dept Biomed &amp; Hlth Informat, 2411 Holmes St, Kansas City, MO 64108 USA; [Liang, Bruce T.] UConn Hlth, Pat &amp; Jim Calhoun Cardiol Ctr, 263 Farmington Ave, Farmington, CT 06030 USA; [Liang, Bruce T.; Ahmed, Zeeshan] Univ Connecticut, UConn Sch Med, 263 Farmington Ave, Farmington, CT 06030 USA; [Ahmed, Zeeshan] Univ Med &amp; Dent New Jersey, Rutgers Hlth, Dept Med, Div Cardiovasc Dis &amp; Hypertens, 125 Paterson St, New Brunswick, NJ 08901 USA; [Ahmed, Zeeshan] Rutgers State Univ, Rutgers Inst Hlth Hlth Care Policy &amp; Aging Res, 112 Paterson St, New Brunswick, NJ 08901 USA</t>
  </si>
  <si>
    <t>Rutgers University New Brunswick; Rutgers University System; Rutgers University New Brunswick; University of Missouri System; University of Missouri Kansas City; University of Connecticut; Rutgers University System; Rutgers University New Brunswick; Rutgers University Biomedical &amp; Health Sciences; Rutgers University New Brunswick; Rutgers University System; Rutgers University New Brunswick</t>
  </si>
  <si>
    <t>Multimodal AI/ML for discovering novel biomarkers and predicting disease using multi-omics profiles of patients with cardiovascular diseases</t>
  </si>
  <si>
    <t>Artificial Intelligence; Machine learning; Multi-omics; Genomics; Cardiovascular diseases</t>
  </si>
  <si>
    <t>SYSTEMIC-LUPUS-ERYTHEMATOSUS; GENE-EXPRESSION; HEART-FAILURE; CELL; ASSOCIATION; LEUKEMIA; MUTATION; RISK; INDIVIDUALS; DIAGNOSIS</t>
  </si>
  <si>
    <t>Zeeshan, Saman/AAQ-3401-2021</t>
  </si>
  <si>
    <t>Sheth, Neev/0009-0005-4243-3642; Ahmed, Zeeshan/0000-0002-7065-1699</t>
  </si>
  <si>
    <t>136</t>
  </si>
  <si>
    <t>70</t>
  </si>
  <si>
    <t>83</t>
  </si>
  <si>
    <t>NOV 3 2024</t>
  </si>
  <si>
    <t>26503</t>
  </si>
  <si>
    <t>10.1038/s41598-024-78553-6</t>
  </si>
  <si>
    <t>http://dx.doi.org/10.1038/s41598-024-78553-6</t>
  </si>
  <si>
    <t>L2Y7I</t>
  </si>
  <si>
    <t>39489837</t>
  </si>
  <si>
    <t>WOS:001349432200035</t>
  </si>
  <si>
    <t>N</t>
  </si>
  <si>
    <t>Y</t>
  </si>
  <si>
    <t>Rugolon, F; Randl, K; Jovanovic, B; Miliou, I; Papapetrou, P</t>
  </si>
  <si>
    <t>PURPOSE Multimodal machine learning offers a holistic view of a patient's status, integrating structured and unstructured data from electronic health records (EHR). We propose a framework to predict metastasis risk 1 month before diagnosis, using 6 months of clinical history from EHR data.METHODS Data from four cancer cohorts collected at Karolinska University Hospital (Stockholm, Sweden) were analyzed: breast (n = 743), colon (n = 387), lung (n = 870), and prostate (n = 1,890). The data set included demographics, comorbidities, laboratory results, medications, and clinical text. We compared traditional and deep learning (DL) classifiers across single modalities and multimodal combinations, using various fusion strategies and a transparent reporting of a multivariable prediction model for individual prognosis or diagnosis (TRIPOD) 2a design, with an 80-20 development-validation split to ensure a rigorous, repeatable evaluation. Performance was evaluated using AUROC, area under the precision-recall curve, F1 score, sensitivity, and specificity. We then employed a multimodal adaptation of Shapley additive explanations (SHAP) to analyze the classifiers' reasoning.RESULTS Intermediate fusion achieved the highest F1 scores on breast (0.845), colon (0.786), and prostate cancer (0.845), demonstrating strong predictive performance. For lung cancer, the intermediate fusion achieved an F1 score of 0.819, while the text-only model achieved the highest, with an F1 score of 0.829. DL classifiers consistently outperformed traditional models. Colon cancer, the smallest cohort, had the lowest performance, highlighting the importance of sufficient training data. SHAP analysis showed that the relative importance of modalities varied across cancer types.CONCLUSION Fusion strategies offer distinct strengths and weaknesses. Intermediate fusion consistently delivered the best results, but strategy choices should align with data characteristics and organizational needs.</t>
  </si>
  <si>
    <t>Rugolon, Franco; Randl, Korbinian; Jovanovic, Braslav; Miliou, Ioanna; Papapetrou, Panagiotis</t>
  </si>
  <si>
    <t>Rugolon, F (corresponding author), Stockholm Univ, Dept Comp &amp; Syst Sci, Stockholm, Sweden.</t>
  </si>
  <si>
    <t>franco.rugolon@dsv.su.se</t>
  </si>
  <si>
    <t>Stiftelsen Marcus och Amalia Wallembergs Minnesfond (The Marcus and Amalia Wallemberg Memorial Fund); Horizon Europe Research and Innovation program [875351, 101093026]; Horizon Europe - Pillar II [101093026] Funding Source: Horizon Europe - Pillar II</t>
  </si>
  <si>
    <t>Stiftelsen Marcus och Amalia Wallembergs Minnesfond (The Marcus and Amalia Wallemberg Memorial Fund); Horizon Europe Research and Innovation program; Horizon Europe - Pillar II (European Union (EU), Horizon Europe - Pillar II)</t>
  </si>
  <si>
    <t>Supported in part by the Stiftelsen Marcus och Amalia Wallembergs Minnesfond (The Marcus and Amalia Wallemberg Memorial Fund). Supported in part by the Horizon Europe Research and Innovation program under Grant Agreements No 875351 and 101093026.</t>
  </si>
  <si>
    <t>[Rugolon, Franco; Randl, Korbinian; Miliou, Ioanna; Papapetrou, Panagiotis] Stockholm Univ, Dept Comp &amp; Syst Sci, Stockholm, Sweden; [Jovanovic, Braslav] Karolinska Univ Hosp, Tema Canc, Stockholm, Sweden</t>
  </si>
  <si>
    <t>Stockholm University; Karolinska Institutet; Karolinska University Hospital</t>
  </si>
  <si>
    <t>Multimodal Machine Learning for Early Prediction of Metastasis in a Swedish Multicancer Cohort</t>
  </si>
  <si>
    <t>JCO CLINICAL CANCER INFORMATICS</t>
  </si>
  <si>
    <t>SURVIVAL; IMPROVEMENT; PROGNOSIS; RECORDS</t>
  </si>
  <si>
    <t>LIPPINCOTT WILLIAMS &amp; WILKINS</t>
  </si>
  <si>
    <t>PHILADELPHIA</t>
  </si>
  <si>
    <t>TWO COMMERCE SQ, 2001 MARKET ST, PHILADELPHIA, PA 19103 USA</t>
  </si>
  <si>
    <t>2473-4276</t>
  </si>
  <si>
    <t>JCO CLIN CANCER INFO</t>
  </si>
  <si>
    <t>JCO Clin. Cancer Info.</t>
  </si>
  <si>
    <t>e2500141</t>
  </si>
  <si>
    <t>10.1200/CCI-25-00141</t>
  </si>
  <si>
    <t>http://dx.doi.org/10.1200/CCI-25-00141</t>
  </si>
  <si>
    <t>Oncology</t>
  </si>
  <si>
    <t>JX5UC</t>
  </si>
  <si>
    <t>42269139</t>
  </si>
  <si>
    <t>WOS:001800356100001</t>
  </si>
  <si>
    <t>Martin, J; Afshar, M; Afshar, AS; Caskey, J; Dligach, D; Gao, YJ; Gao, JF; Chen, GH; Mayampurath, A; Churpek, MM</t>
  </si>
  <si>
    <t>Objective: Deep learning models have shown strong performance in predicting clinical events in critical care using structured electronic health record (EHR) data. While incorporating unstructured notes improves accuracy, multimodal fusion and explainability remain an open challenge, particularly for variable-length temporal data. This study develops an explainable temporal modeling framework for multimodal EHR data that accommodates variable-length intensive care unit (ICU) trajectories and supports diverse outcome prediction tasks. Methods: We introduced two multimodal recurrent neural networks (RNNs) with distinct fusion architectures (Pre-RNN and Post-RNN) that integrated structured EHR variables and unstructured clinical notes at every hourly timestep. Both architectures encoded temporal dynamics using Time2Vec and RNN layers with masking to handle variable-length sequences across patient stays. Models were benchmarked on four outcomes: 24-hour mortality, seven-day discharge, and four-hour ventilator or vasopressor onset in a publicly available EHR dataset. To enhance interpretability, integrated gradients was applied to estimate feature contributions from both modalities across timesteps, quantifying temporal and cross-modal importance. Results: Multimodal fusion models outperformed unimodal baselines across all tasks, with Pre-RNN fusion achieving the highest area under the precision-recall curve (AUPRC) in three of four outcomes. Performance gains were modest for short-horizon events (Delta AUPRC &lt;0.01) but larger for intermediate and long-horizon (&gt;= 24 h) tasks. Integrated gradients revealed distinct attribution patterns, linking physiologic features (e.g., oxygen saturation) and clinical concepts (e.g., "weaning," "extubation") to event risk. Conclusions: Our variable-length multimodal framework improves performance and provides timestep-level feature importance, enhancing explainability and clinical relevance of deep learning models in critical care.</t>
  </si>
  <si>
    <t>Martin, Jennifer; Afshar, Majid; Afshar, Askar Safipour; Caskey, John; Dligach, Dmitriy; Gao, Yanjun; Gao, Jifan; Chen, Guanhua; Mayampurath, Anoop; Churpek, Matthew M.</t>
  </si>
  <si>
    <t>Martin, J (corresponding author), Univ Wisconsin, Dept Med, 610 Walnut St, Madison, WI 53792 USA.</t>
  </si>
  <si>
    <t>jlmartin22@wisc.edu</t>
  </si>
  <si>
    <t>National Institutes of Health (NIH) National Heart, Lung, and Blood Institute (NHLBI) [R01HL157262]; NHLBI [R01HL173037]</t>
  </si>
  <si>
    <t>National Institutes of Health (NIH) National Heart, Lung, and Blood Institute (NHLBI) (United States Department of Health &amp; Human Services, National Institutes of Health (NIH) - USA, NIH National Heart Lung &amp; Blood Institute (NHLBI)); NHLBI (United States Department of Health &amp; Human Services, National Institutes of Health (NIH) - USA, NIH National Heart Lung &amp; Blood Institute (NHLBI))</t>
  </si>
  <si>
    <t>This work was supported by the National Institutes of Health (NIH) National Heart, Lung, and Blood Institute (NHLBI) grant number R01HL157262 (PI: M.M.C.) . Dr. Mayampurath is supported by an R01 from NHLBI (R01HL173037) . The authors wish to thank Madeline Oguss for her administrative support.</t>
  </si>
  <si>
    <t>[Martin, Jennifer; Afshar, Majid; Afshar, Askar Safipour; Caskey, John; Mayampurath, Anoop; Churpek, Matthew M.] Univ Wisconsin, Dept Med, 610 Walnut St, Madison, WI 53792 USA; [Afshar, Majid; Gao, Jifan; Chen, Guanhua; Mayampurath, Anoop; Churpek, Matthew M.] Univ Wisconsin Madison, Dept Biostat &amp; Med Informat, Madison, WI USA; [Dligach, Dmitriy] Loyola Univ Chicago, Dept Comp Sci, Chicago, IL USA; [Gao, Yanjun] Univ Colorado, Dept Biomed Informat, Anschutz Med Campus, Aurora, CO USA</t>
  </si>
  <si>
    <t>University of Wisconsin System; University of Wisconsin Madison; University of Wisconsin System; University of Wisconsin Madison; Loyola University Chicago; University of Colorado System; University of Colorado Anschutz</t>
  </si>
  <si>
    <t>Explainable multimodal deep learning models for variable-length sequences in critically ill patients</t>
  </si>
  <si>
    <t>JOURNAL OF BIOMEDICAL INFORMATICS</t>
  </si>
  <si>
    <t>Machine learning; Artificial intelligence; Critical care; Explainable artificial intelligence</t>
  </si>
  <si>
    <t>/AGD-8497-2022; Afshar, Majid/AAD-8365-2019</t>
  </si>
  <si>
    <t>ACADEMIC PRESS INC ELSEVIER SCIENCE</t>
  </si>
  <si>
    <t>SAN DIEGO</t>
  </si>
  <si>
    <t>525 B ST, STE 1900, SAN DIEGO, CA 92101-4495 USA</t>
  </si>
  <si>
    <t>1532-0464</t>
  </si>
  <si>
    <t>1532-0480</t>
  </si>
  <si>
    <t>J BIOMED INFORM</t>
  </si>
  <si>
    <t>J. Biomed. Inform.</t>
  </si>
  <si>
    <t>177</t>
  </si>
  <si>
    <t>105001</t>
  </si>
  <si>
    <t>10.1016/j.jbi.2026.105001</t>
  </si>
  <si>
    <t>http://dx.doi.org/10.1016/j.jbi.2026.105001</t>
  </si>
  <si>
    <t>Computer Science, Interdisciplinary Applications; Medical Informatics</t>
  </si>
  <si>
    <t>Computer Science; Medical Informatics</t>
  </si>
  <si>
    <t>ER0VW</t>
  </si>
  <si>
    <t>41747919</t>
  </si>
  <si>
    <t>WOS:001707715400001</t>
  </si>
  <si>
    <t>Green Submitted</t>
  </si>
  <si>
    <t>Tripathi, PC; Tabakhi, S; Suvon, MNI; Schöbs, L; Alabed, S; Swift, AJ; Zhou, S; Lu, HP</t>
  </si>
  <si>
    <t>Pulmonary Arterial Wedge Pressure (PAWP) is an essential cardiovascular hemodynamics marker to detect heart failure. In clinical practice, Right Heart Catheterization is considered a gold standard for assessing cardiac hemodynamics while non-invasive methods are often needed to screen high-risk patients from a large population. In this paper, we propose a multimodal learning pipeline to predict PAWP marker. We utilize complementary information from Cardiac Magnetic Resonance Imaging (CMR) scans (short-axis and four-chamber) and Electronic Health Records (EHRs). We extract spatio-temporal features from CMR scans using tensor-based learning. We propose a graph attention network to select important EHR features for prediction, where we model subjects as graph nodes and feature relationships as graph edges using the attention mechanism. We design four feature fusion strategies: early, intermediate, late, and hybrid fusion. With a linear classifier and linear fusion strategies, our pipeline is interpretable. We validate our pipeline on a large dataset of ${2},{641}$ subjects from our ASPIRE registry. The comparative study against state-of-the-art methods confirms the superiority of our pipeline. The decision curve analysis further validates that our pipeline can be applied to screen a large population. The code is available at https://github.com/prasunc/hemodynamics</t>
  </si>
  <si>
    <t>Tripathi, Prasun C.; Tabakhi, Sina; Suvon, Mohammod N. I.; Schobs, Lawrence; Alabed, Samer; Swift, Andrew J.; Zhou, Shuo; Lu, Haiping</t>
  </si>
  <si>
    <t>Emerging Sources Citation Index (ESCI); Science Citation Index Expanded (SCI-EXPANDED)</t>
  </si>
  <si>
    <t>Lu, HP (corresponding author), Univ Sheffield, Sch Comp Sci, Sheffield S1 4DP, England.</t>
  </si>
  <si>
    <t>h.lu@sheffield.ac.uk; lawrenceschobs@gmail.com; shuo.zhou@sheffield.ac.uk; stabakhi1@sheffield.ac.uk; a.j.swift@sheffield.ac.uk; m.suvon@sheffield.ac.uk; s.alabed@sheffield.ac.uk; prasunchandratripathi@gmail.com</t>
  </si>
  <si>
    <t>Wellcome Trust [215799/Z/19/Z, 205188/Z/16/Z]; British Heart Foundation (BHF) [FS/SCRF/24/32034]; National Institute for Health and Care Research (NIHR), Sheffield Biomedical Research Centre [NIHR203321]</t>
  </si>
  <si>
    <t>Wellcome Trust (Wellcome Trust); British Heart Foundation (BHF); National Institute for Health and Care Research (NIHR), Sheffield Biomedical Research Centre</t>
  </si>
  <si>
    <t>This work was supported in part by the Wellcome Trust under Grant 215799/Z/19/Z and Grant 205188/Z/16/Z; in part by the British Heart Foundation (BHF) under Grant FS/SCRF/24/32034; and in part by the National Institute for Health and Care Research (NIHR), Sheffield Biomedical Research Centre, under Grant NIHR203321.</t>
  </si>
  <si>
    <t>[Tripathi, Prasun C.; Tabakhi, Sina; Suvon, Mohammod N. I.; Zhou, Shuo; Lu, Haiping] Univ Sheffield, Sch Comp Sci, Sheffield S1 4DP, England; [Tripathi, Prasun C.] Univ Sheffield, Ctr Machine Intelligence, Sheffield S1 3JD, England; [Schobs, Lawrence] Inst Infrastruct Technol Res &amp; Management, Dept Elect &amp; Comp Sci Engn, Ahmadabad 380026, Gujarat, India; [Schobs, Lawrence] ViewsML, Vancouver, BC V6C 0B3, Canada; [Alabed, Samer; Swift, Andrew J.] Univ Sheffield, Sch Med &amp; Populat Hlth, Sheffield S10 2TN, England; [Alabed, Samer; Swift, Andrew J.] Univ Sheffield, Inst Sil Med INSIGNEO, Sheffield S10 2TN, England</t>
  </si>
  <si>
    <t>University of Sheffield; University of Sheffield; University of Sheffield; University of Sheffield</t>
  </si>
  <si>
    <t>Interpretable Multimodal Learning for Cardiovascular Hemodynamics Assessment</t>
  </si>
  <si>
    <t>IEEE TRANSACTIONS ON MEDICAL IMAGING</t>
  </si>
  <si>
    <t>Feeds; Filtering; Filters; Circuits and systems; Receivers; Location awareness; Mobile communication; Digital communication; DICOM; Electronic mail; Cardiac hemodynamics; feature selection; interpretable model; multimodal learning; pulmonary arterial wedge pressure; transformer</t>
  </si>
  <si>
    <t>ARTERY WEDGE PRESSURE; HEART-FAILURE; PULMONARY; SELECTION</t>
  </si>
  <si>
    <t>Mishra, Amit Kumar/0000-0002-9161-9532</t>
  </si>
  <si>
    <t>57</t>
  </si>
  <si>
    <t>0278-0062</t>
  </si>
  <si>
    <t>1558-254X</t>
  </si>
  <si>
    <t>IEEE T MED IMAGING</t>
  </si>
  <si>
    <t>IEEE Trans. Med. Imaging</t>
  </si>
  <si>
    <t>45</t>
  </si>
  <si>
    <t>3637</t>
  </si>
  <si>
    <t>3648</t>
  </si>
  <si>
    <t>10.1109/TMI.2026.3681722</t>
  </si>
  <si>
    <t>http://dx.doi.org/10.1109/TMI.2026.3681722</t>
  </si>
  <si>
    <t>Computer Science, Interdisciplinary Applications; Engineering, Biomedical; Engineering, Electrical &amp; Electronic; Imaging Science &amp; Photographic Technology; Radiology, Nuclear Medicine &amp; Medical Imaging</t>
  </si>
  <si>
    <t>Computer Science; Engineering; Imaging Science &amp; Photographic Technology; Radiology, Nuclear Medicine &amp; Medical Imaging</t>
  </si>
  <si>
    <t>MG2UJ</t>
  </si>
  <si>
    <t>41950128</t>
  </si>
  <si>
    <t>WOS:001841529200043</t>
  </si>
  <si>
    <t>Fei, Y; Liu, SW; Tong, TL; Zhang, XM; Wang, H; Liu, J; Zheng, XQ</t>
  </si>
  <si>
    <t>Background Hypertension is a leading risk factor for cardiovascular, cerebrovascular, and renal diseases, significantly worsening prognosis and quality of life. We aimed to develop and validate multimodal machine learning models integrating clinical and proteomic features for early prediction of hypertensive complications. Methods We analyzed 502 166 participants from the UKB (UK Biobank). Proteomic profiling was performed using the Olink Explore platform. Clinical variables and complication outcomes were obtained from electronic health records. Features were selected using Cox proportional hazards models and light gradient boosting machine classifiers. Multimodal predictive models were constructed using random forest, with Shapley Additive Explanations applied for model interpretation. Results During follow-up, 1232, 166, and 549 participants developed heart, brain, and kidney complications, respectively. Among 3244 candidate features, 774, 600, and 1227 were associated with these outcomes. The integrated models achieved an area under the curve of 0.73 (95% CI, 0.68-0.77) for heart disease, 0.83 (95% CI, 0.73-0.92) for brain disease, and 0.79 (95% CI, 0.73-0.85) for kidney disease. Growth/differentiation factor 15 (hazard ratio [HR], 2.16 [95% CI, 1.93-2.42]), adaptor protein 3 complex subunit sigma-2 (HR, 0.57 [95% CI, 0.42-0.78]), and tumor necrosis factor receptor superfamily member 10B (HR, 4.06 [95% CI, 3.40-4.85]) were significantly associated with their respective complications, effectively predicting the risk of clinical progression (all P&lt;0.001). Conclusions Multimodal machine learning models combining proteomic and clinical data enable early identification of hypertensive complications. Growth/differentiation factor 15, adaptor protein 3 complex subunit sigma-2, and tumor necrosis factor receptor superfamily member 10B may serve as potential biomarkers for risk prediction and early intervention.</t>
  </si>
  <si>
    <t>Fei, Yuan; Liu, Siwei; Tong, Tianlang; Zhang, Xuemei; Wang, Hui; Liu, Jun; Zheng, Xiaoqi</t>
  </si>
  <si>
    <t>Wang, H; Zheng, XQ (corresponding author), Shanghai Jiao Tong Univ, Sch Publ Hlth, Sch Med, Ctr Single Cell Om, Shanghai, Peoples R China.; Liu, J (corresponding author), Zunyi Med Univ, Sch Publ Hlth, Zunyi, Guizhou, Peoples R China.</t>
  </si>
  <si>
    <t>liujun@zmu.edu.cn; huiwang@shsmu.edu.cn; xqzheng@shsmu.edu.cn</t>
  </si>
  <si>
    <t>This research was conducted using the UKB resource under application number 294934. We acknowledge the Bioinformatics Core in Center for Single-Cell Omics, Shanghai Jiao Tong University School of Medicine for providing bioinformatics and high-performance computing services. X. Zheng and J.L. conceived and designed the study. Y.F., S.L., and X. Zheng performed data curation. Y.F. and T.T. carried out the data analysis, and J.L. interpreted the results. X. Zheng and S.L. prepared the first draft of the manuscript. J.L. and X. Zhang refined the study's conceptual framework and, together with H.W., critically revised the manuscript. All authors reviewed and approved the final version of the manuscript.</t>
  </si>
  <si>
    <t>[Fei, Yuan; Wang, Hui; Zheng, Xiaoqi] Shanghai Jiao Tong Univ, Sch Publ Hlth, Sch Med, Ctr Single Cell Om, Shanghai, Peoples R China; [Liu, Siwei; Liu, Jun] Zunyi Med Univ, Sch Publ Hlth, Zunyi, Guizhou, Peoples R China; [Tong, Tianlang; Zheng, Xiaoqi] Shanghai Jiao Tong Univ, Hainan Int Med Ctr, Sch Med, Hainan, Peoples R China; [Zhang, Xuemei] Univ Melbourne, Nossal Inst Global Hlth, Sch Populat &amp; Global Hlth, Melbourne, Vic, Australia; [Liu, Jun] Guizhou Prov Dept Educ, Key Lab Maternal &amp; Child Hlth &amp; Exposure Sci, Zunyi, Guizhou, Peoples R China</t>
  </si>
  <si>
    <t>Shanghai Jiao Tong University; Zunyi Medical University; Shanghai Jiao Tong University; University of Melbourne</t>
  </si>
  <si>
    <t>Multimodal Machine Learning Integrating Clinical and Proteomic Data for Early Prediction of Hypertensive Complications: A UKB Longitudinal Study</t>
  </si>
  <si>
    <t>JOURNAL OF THE AMERICAN HEART ASSOCIATION</t>
  </si>
  <si>
    <t>hypertensive complication; machine learning; multimodal; prognosis; proteomic</t>
  </si>
  <si>
    <t>CELLS</t>
  </si>
  <si>
    <t>Zheng, Xiaoqi/KPV-7609-2024; Zhang, Xuemei/MIJ-8112-2025</t>
  </si>
  <si>
    <t>Liu, Siwei/0009-0008-2043-2843</t>
  </si>
  <si>
    <t>2047-9980</t>
  </si>
  <si>
    <t>J AM HEART ASSOC</t>
  </si>
  <si>
    <t>J. Am. Heart Assoc.</t>
  </si>
  <si>
    <t>JUN 16 2026</t>
  </si>
  <si>
    <t>e048151</t>
  </si>
  <si>
    <t>10.1161/JAHA.125.048151</t>
  </si>
  <si>
    <t>http://dx.doi.org/10.1161/JAHA.125.048151</t>
  </si>
  <si>
    <t>JP2YN</t>
  </si>
  <si>
    <t>42294759</t>
  </si>
  <si>
    <t>WOS:001794737800001</t>
  </si>
  <si>
    <t>Rella, BPR; Chaudhary, AK; Patel, RB; Nikolic, B; Janjic, M; Bacanin, N</t>
  </si>
  <si>
    <t>Multimodal clinical data such as medical imaging, electronic health records (EHRs) and genomic information have become increasingly important for intelligent healthcare analytics and early disease prediction. However, centralized AI training approaches introduce major concerns related to patient confidentiality, institutional data governance, and secure interhospital collaboration. To address these limitations, this work presents a privacy-aware federated multimodal learning framework for sepsis prediction in distributed healthcare environments. The proposed architecture combines a Vision Transformer (ViT) for chest X-ray feature extraction with a Deep Neural Network (DNN) for structured EHR and genomic data processing, enabling efficient multimodal feature fusion without centralized data sharing. Differential Privacy is incorporated to protect local model updates, while Homomorphic Encryption enables secure aggregation during federated communication. The framework was evaluated using multimodal clinical datasets containing chest radiographs, patient records and genomic indicators collected across simulated healthcare institutions. Experimental findings demonstrate that the proposed framework achieves an AUC of 0.945 and an F1-score of 0.887 while maintaining strong privacy guarantees and robustness against inference attacks. Comparative analysis further shows that the proposed method achieves performance close to centralized learning while significantly improving data confidentiality and collaborative security. The framework provides a scalable and practical solution for privacy-preserving healthcare AI deployment across distributed medical systems.</t>
  </si>
  <si>
    <t>Rella, Bhanu Prakash Reddy; Chaudhary, Arvind Kumar; Patel, Ronish B.; Nikolic, Bosko; Janjic, Milos; Bacanin, Nebojsa</t>
  </si>
  <si>
    <t>Rella, BPR (corresponding author), Golden Gate Univ, San Francisco, CA 94105 USA.</t>
  </si>
  <si>
    <t>27rellaprakash@gmail.com</t>
  </si>
  <si>
    <t>EUROHPC-JU [101191697]; EuroCC4SEE</t>
  </si>
  <si>
    <t>EUROHPC-JU; EuroCC4SEE</t>
  </si>
  <si>
    <t>This research was supported by EUROHPC-JU, (101191697) and EuroCC4SEE.</t>
  </si>
  <si>
    <t>[Rella, Bhanu Prakash Reddy] Golden Gate Univ, San Francisco, CA 94105 USA; [Chaudhary, Arvind Kumar] Cognizant Technol Solut US Corp, Teaneck, NJ USA; [Patel, Ronish B.] Univ British Columbia, Vancouver, BC, Canada; [Nikolic, Bosko] Univ Belgrade, Sch Elect Engn, Belgrade, Serbia; [Janjic, Milos] Univ Belgrade, Innovat Ctr, Sch Elect Engn, Belgrade, Serbia; [Bacanin, Nebojsa] SIMATS, Saveetha Sch Engn, Dept Math, Chennai, Tamil Nadu, India; [Bacanin, Nebojsa] Singidunum Univ, Belgrade, Serbia</t>
  </si>
  <si>
    <t>University of British Columbia; University of Belgrade; University of Belgrade; Saveetha Institute of Medical &amp; Technical Science; Saveetha School of Engineering</t>
  </si>
  <si>
    <t>Privacy-Preserving Federated Multimodal Deep Learning for Sepsis Prediction Using Vision Transformers and Secure Aggregation</t>
  </si>
  <si>
    <t>INTERNET TECHNOLOGY LETTERS</t>
  </si>
  <si>
    <t>decentralized healthcare AI; differential privacy; federated learning; homomorphic encryption; multimodal data integration; privacy-preserving AI; sepsis prediction</t>
  </si>
  <si>
    <t>Bacanin, Nebojsa/L-5328-2019; Nikolic, Bosko/L-4543-2019; Patel, Ronish/ODI-7650-2025</t>
  </si>
  <si>
    <t>2476-1508</t>
  </si>
  <si>
    <t>INTERNET TECHNOL LET</t>
  </si>
  <si>
    <t>Internet. Technol. Lett.</t>
  </si>
  <si>
    <t>JUN 8 2026</t>
  </si>
  <si>
    <t>e70324</t>
  </si>
  <si>
    <t>10.1002/itl2.70324</t>
  </si>
  <si>
    <t>http://dx.doi.org/10.1002/itl2.70324</t>
  </si>
  <si>
    <t>Telecommunications</t>
  </si>
  <si>
    <t>JD3GO</t>
  </si>
  <si>
    <t>WOS:001786616500001</t>
  </si>
  <si>
    <t>Yao, JC; Zhang, J; Wang, YX; Zhuo, L</t>
  </si>
  <si>
    <t>Incomplete multimodal learning addresses the common real-world challenge of missing modalities, which undermines the performance of standard multimodal methods. Existing solutions struggle with distribution mismatches between reconstructed and observed data, asymmetric cross-modal structures, and insufficient cross-modal knowledge sharing. To tackle these issues, we propose an asymmetric simulation-enhanced flow reconstruction (ASE-FR) framework, which contains following contributions: (1) Distribution-consistent flow reconstruction module that align available and missing modality distributions by normalizing flows; (2) Asymmetric simulation module that perturbs and randomly masks features to mimic real-world modality absence and improve robustness; (3) Modal-shared knowledge distillation that transfers shared representations from teacher encoders to a student encoder through contrastive learning. This framework is applicable to a range of real-world scenarios, such as multi-sensor networks in smart manufacturing, medical diagnostic systems combining imaging and electronic health records, and autonomous driving platforms that integrate camera and LiDAR data. The experimental results show that our ASE-FR method achieves 94.71 %, 41.85 % and 81.90 % accuracy on Audiovision-MNIST, MM-IMDb and IEMOCAP datasets, as well as 1.1376 error rate on CMU-MOSI dataset, which exhibits competitive performance.</t>
  </si>
  <si>
    <t>Yao, Jiacheng; Zhang, Jing; Wang, Yixiao; Zhuo, Li</t>
  </si>
  <si>
    <t>Zhang, J (corresponding author), Beijing Univ Technol, Sch Informat Sci &amp; Technol, Beijing, Peoples R China.; Zhang, J (corresponding author), Beijing Univ Technol, Beijing Key Lab Computat Intelligence &amp; Intelligen, Beijing, Peoples R China.</t>
  </si>
  <si>
    <t>zhj@bjut.edu.cn</t>
  </si>
  <si>
    <t>National Natural Science Foundation of China [62471013]</t>
  </si>
  <si>
    <t>This work was supported by the National Natural Science Foundation of China under Grant 62471013.</t>
  </si>
  <si>
    <t>[Yao, Jiacheng; Zhang, Jing; Wang, Yixiao; Zhuo, Li] Beijing Univ Technol, Sch Informat Sci &amp; Technol, Beijing, Peoples R China; [Yao, Jiacheng; Zhang, Jing; Wang, Yixiao; Zhuo, Li] Beijing Univ Technol, Beijing Key Lab Computat Intelligence &amp; Intelligen, Beijing, Peoples R China</t>
  </si>
  <si>
    <t>Beijing University of Technology; Beijing University of Technology</t>
  </si>
  <si>
    <t>Asymmetric simulation-enhanced flow reconstruction for incomplete multimodal learning</t>
  </si>
  <si>
    <t>PATTERN RECOGNITION</t>
  </si>
  <si>
    <t>Incomplete multimodal learning; Asymmetric simulation; Flow reconstruction; Distribution-consistent; Knowledge distillation</t>
  </si>
  <si>
    <t>Zhang, Jing/QTT-7905-2026</t>
  </si>
  <si>
    <t>ZHANG, JING/0000-0003-1290-0738</t>
  </si>
  <si>
    <t>39</t>
  </si>
  <si>
    <t>ELSEVIER SCI LTD</t>
  </si>
  <si>
    <t>London</t>
  </si>
  <si>
    <t>125 London Wall, London, ENGLAND</t>
  </si>
  <si>
    <t>0031-3203</t>
  </si>
  <si>
    <t>1873-5142</t>
  </si>
  <si>
    <t>PATTERN RECOGN</t>
  </si>
  <si>
    <t>Pattern Recognit.</t>
  </si>
  <si>
    <t>172</t>
  </si>
  <si>
    <t>A</t>
  </si>
  <si>
    <t>112413</t>
  </si>
  <si>
    <t>10.1016/j.patcog.2025.112413</t>
  </si>
  <si>
    <t>http://dx.doi.org/10.1016/j.patcog.2025.112413</t>
  </si>
  <si>
    <t>SEP 2025</t>
  </si>
  <si>
    <t>Computer Science, Artificial Intelligence; Engineering, Electrical &amp; Electronic</t>
  </si>
  <si>
    <t>7IK6H</t>
  </si>
  <si>
    <t>WOS:001571771800001</t>
  </si>
  <si>
    <t>Mani, K; Scharfenberger, T; Goldman, SN; Kleinbart, E; Mostafa, E; Ramos, RD; Fourman, MS; Eleswarapu, A</t>
  </si>
  <si>
    <t>BACKGROUND CONTEXT: Machine learning (ML) algorithms can utilize the large amount of tabular data in electronic health records (EHRs) to predict perioperative safety indicators. Integrating unstructured free-text inputs via natural language processing (NLP) may further enhance predictive accuracy. PURPOSE: To design and validate a preoperative multimodal ML architecture that integrates structured EHR data (patient demographics, comorbidities, and clinical covariates) with unstructured free-text inputs (past medical and surgical history, medications, and problem lists) via NLP. The multimodal models aim to improve the prediction of perioperative safety indicators compared to baseline ML models that only use structured tabular EHR data. STUDY DESIGN: Retrospective cohort study. PATIENT SAMPLE: A total of 1,898 patients were admitted for elective or emergency spine surgery at four separate large urban academic spine centers during a 5-year period from 2018 to 2023. OUTCOME MEASURES: Numerical outputs between 0 and 1 corresponding to the likelihood of (I) extended length of stay (LOS), (II) 90-day reoperation, and (III) perioperative intensive care unit (ICU) admission. METHODS: We predicted the following safety indicators (I) extended length of stay (LOS), (II) 90-day reoperation, and (III) perioperative intensive care unit (ICU) admission. The quanteda package for NLP within the R environment was utilized to preprocess free-text EHR inputs. The refined text was tokenized and transformed into numerical vectors using a bag-of-words approach and integrated with the tabular EHR data to create a document-feature matrix. Two extreme gradient boosted (XGBoost) ML models were trained: a base model utilizing only structured tabular EHR data and a combined multimodal model that leveraged both combined structured tabular EHR data with numerical vectors derived from free-text NLP inputs. Hyperparameter tuning was performed via grid search, and the models were validated using 10-fold cross validation with an 80:20 training/testing split. Word clouds were generated for the free-text data and explainable artificial intelligence (XAI) techniques were employed for feature importance. Metrics calculated for model performance included Area Under the Receiving-Operating Characteristic Curve (AUC-ROC), Brier score, Calibration slope, Calibration Intercept, Precision, Recall and F1-Score. RESULTS: A total of 1,898 patients (60.7% female) were extracted from January 2018 to September 2023, with a median age of 60.0 (IQR: 52.0-68.0) and median body mass index (BMI) of 30.3 m2kg (IQR: 26.3-34.6). Extended LOS was defined as &gt;= 14.4 days, constituting 10.1% of all individuals. The median LOS for the entire cohort was 4.0 days (IQR: 2.0-7.0), while the 90-day reoperation rate was 10.54%, and the ICU admission rate was 7.74%. The preoperative tabular EHR models predicted perioperative safety indicators with AUC ranging from 0.770 to 0.779, Brier scores ranging from 0.074 to 0.099, and calibration slopes ranging from 2.279 to 2.418. Precision and recall for this model ranged from 0.918 to 0.973 and 0.988 to 0.994, respectively, resulting in F1-scores between 0.954 and 0.973. The combined multimodal models predicted perioperative safety indicators with AUC ranging from 0.827 to 0.903, Brier scores ranging from 0.056 to 0.083, and calibration slopes ranging from 0.755 to 1.217. The multimodal models achieved precision ranging from 0.909 to 0.933 and recall ranging from 0.979 to 0.994, leading to F1-scores between 0.943 and 0.962.Important tabular predictors included patient age, BMI, hemoglobin level, white blood cell count, platelet count, and a combined anterior/posterior spinal fusion approach. Important free-text inputs included vertebral osteomyelitis, radiculopathy, myelopathy, and spinal metastasis. CONCLUSIONS: The multimodal NLP model exhibited superior performance in all outcome measures when compared to the baseline tabular model. Future work includes incorporating additional model dimensions, such as the history of present illness, physical exam, and spinal imaging, and clinically implementing the models into our informed consent and preoperative optimization pathway. (c) 2025 Elsevier Inc. All rights are reserved, including those for text and data mining, AI training, and similar technologies.</t>
  </si>
  <si>
    <t>Mani, Kyle; Scharfenberger, Thomas; Goldman, Samuel N.; Kleinbart, Emily; Mostafa, Evan; Ramos, Rafael De La Garza; Fourman, Mitchell S.; Eleswarapu, Ananth</t>
  </si>
  <si>
    <t>Eleswarapu, A (corresponding author), Montefiore Med Ctr, Dept Orthopaed Surg, 1250 Waters Pl, Bronx, NY 10461 USA.</t>
  </si>
  <si>
    <t>aeleswarap@montefiore.org</t>
  </si>
  <si>
    <t>[Mani, Kyle; Scharfenberger, Thomas; Goldman, Samuel N.; Kleinbart, Emily] Albert Einstein Coll Med, Bronx, NY USA; [Ramos, Rafael De La Garza] Montefiore Med Ctr, Dept Neurol Surg, Bronx, NY 10461 USA; [Mostafa, Evan; Fourman, Mitchell S.; Eleswarapu, Ananth] Montefiore Med Ctr, Dept Orthopaed Surg, 1250 Waters Pl, Bronx, NY 10461 USA</t>
  </si>
  <si>
    <t>Montefiore Medical Center; Yeshiva University; Albert Einstein College of Medicine; Montefiore Medical Center; Albert Einstein College of Medicine; Montefiore Medical Center; Albert Einstein College of Medicine</t>
  </si>
  <si>
    <t>Multimodal machine learning for predicting perioperative safety indicators in spinal surgery</t>
  </si>
  <si>
    <t>SPINE JOURNAL</t>
  </si>
  <si>
    <t>Electronic health record; Explainable AI; Machine learning; Natural language processing; Perioperative out comes; Spinal surgery</t>
  </si>
  <si>
    <t>SURGICAL RISK CALCULATOR; AMERICAN-COLLEGE; QUALITY; CARE; COST</t>
  </si>
  <si>
    <t>Fourman, Mitchell/GXF-4477-2022; Mani, Kyle/KRR-0030-2024; De la Garza Ramos, Rafael/G-3707-2013</t>
  </si>
  <si>
    <t>Scharfenberger, Thomas/0009-0007-9899-0426</t>
  </si>
  <si>
    <t>34</t>
  </si>
  <si>
    <t>ELSEVIER SCIENCE INC</t>
  </si>
  <si>
    <t>NEW YORK</t>
  </si>
  <si>
    <t>STE 800, 230 PARK AVE, NEW YORK, NY 10169 USA</t>
  </si>
  <si>
    <t>1529-9430</t>
  </si>
  <si>
    <t>1878-1632</t>
  </si>
  <si>
    <t>SPINE J</t>
  </si>
  <si>
    <t>Spine Journal</t>
  </si>
  <si>
    <t>2450</t>
  </si>
  <si>
    <t>2460</t>
  </si>
  <si>
    <t>10.1016/j.spinee.2025.03.021</t>
  </si>
  <si>
    <t>http://dx.doi.org/10.1016/j.spinee.2025.03.021</t>
  </si>
  <si>
    <t>Clinical Neurology; Orthopedics</t>
  </si>
  <si>
    <t>Neurosciences &amp; Neurology; Orthopedics</t>
  </si>
  <si>
    <t>8UO5Q</t>
  </si>
  <si>
    <t>40164437</t>
  </si>
  <si>
    <t>WOS:001597693500010</t>
  </si>
  <si>
    <t>Llinas-Bertran, A; Butjosa-Espín, M; Barberi, V; Seoane, JA</t>
  </si>
  <si>
    <t>The use of biomarkers in breast cancer has significantly improved patient outcomes through targeted therapies, such as hormone therapy anti-Her2 therapy and CDK4/6 or PARP inhibitors. However, existing knowledge does not fully encompass the diverse nature of breast cancer, particularly in triple-negative tumors. The integration of multi-omics and multimodal data has the potential to provide new insights into biological processes, to improve breast cancer patient stratification, enhance prognosis and response prediction, and identify new biomarkers. This review presents a comprehensive overview of the state-of-the-art multimodal (including molecular and image) data integration algorithms developed and with applicability to breast cancer stratification, prognosis, or biomarker identification. We examined the primary challenges and opportunities of these multimodal data integration algorithms, including their advantages, limitations, and critical considerations for future research. We aimed to describe models that are not only academically and preclinically relevant, but also applicable to clinical settings.</t>
  </si>
  <si>
    <t>Llinas-Bertran, Arnau; Butjosa-Espin, Maria; Barberi, Vittoria; Seoane, Jose A.</t>
  </si>
  <si>
    <t>Seoane, JA (corresponding author), Vall dHebron Inst Oncol VHIO, Ctr Saturnino, Carrer Saturnino Calleja 11-13, Barcelona 08035, Spain.</t>
  </si>
  <si>
    <t>joseaseoane@vhio.net</t>
  </si>
  <si>
    <t>Spanish Ministry of Science, Innovation and Universities; Programa Talentos Fundacio Catalunya La Pedrera; AEI [FPI PRE2021-09693, CMS2022-135428, RYC2019-026576-I, PID2020-115097RA-I00]; FERO Breast Cancer Award, ISCIII [FORT23/00034]; Fundacion "la Caixa"</t>
  </si>
  <si>
    <t>Spanish Ministry of Science, Innovation and Universities (Spanish Government); Programa Talentos Fundacio Catalunya La Pedrera; AEI (Spanish Government); FERO Breast Cancer Award, ISCIII; Fundacion "la Caixa" (La Caixa Foundation, Spanish Government)</t>
  </si>
  <si>
    <t>This work was supported by Spanish Ministry of Science, Innovation and Universities [FPU22/03520] (to MB), Programa Talentos Fundacio Catalunya La Pedrera (to VB), AEI grants, including the Severo Ochoa-Center of Excellence (FPI PRE2021-096930 (to ALB) ); CMS2022-135428, RYC2019-026576-I, PID2020-115097RA-I00, FERO Breast Cancer Award, ISCIII grant (FORT23/00034); and Fundacion "la Caixa" (to JAS).</t>
  </si>
  <si>
    <t>[Llinas-Bertran, Arnau; Butjosa-Espin, Maria; Seoane, Jose A.] Vall dHebron Inst Oncol VHIO, Canc Computat Biol Grp, Barcelona, Spain; [Barberi, Vittoria] Vall dHebron Inst Oncol VHIO, Breast Canc Grp, Barcelona, Spain</t>
  </si>
  <si>
    <t>Vall d'Hebron Institut d'Oncologia (VHIO); Vall d'Hebron Institut d'Oncologia (VHIO)</t>
  </si>
  <si>
    <t>Multimodal data integration in early-stage breast cancer</t>
  </si>
  <si>
    <t>BREAST</t>
  </si>
  <si>
    <t>Data integration; Machine learning; Deep learning; Stratification; Multimodal data integration; Multi-omics</t>
  </si>
  <si>
    <t>LATENT VARIABLE MODEL; GENOMIC DATA; MULTIPLE; JOINT; RISK; IDENTIFICATION; PROGNOSIS; DISCOVERY; FRAMEWORK; SUBTYPES</t>
  </si>
  <si>
    <t>Butjosa, Maria/NVM-0856-2025; Seoane, Jose A/A-5926-2011</t>
  </si>
  <si>
    <t>Butjosa, Maria/0000-0001-5860-3996; Seoane, Jose A/0000-0002-3856-9177</t>
  </si>
  <si>
    <t>109</t>
  </si>
  <si>
    <t>CHURCHILL LIVINGSTONE</t>
  </si>
  <si>
    <t>EDINBURGH</t>
  </si>
  <si>
    <t>JOURNAL PRODUCTION DEPT, ROBERT STEVENSON HOUSE, 1-3 BAXTERS PLACE, LEITH WALK, EDINBURGH EH1 3AF, MIDLOTHIAN, SCOTLAND</t>
  </si>
  <si>
    <t>0960-9776</t>
  </si>
  <si>
    <t>1532-3080</t>
  </si>
  <si>
    <t>Breast</t>
  </si>
  <si>
    <t>APR 2025</t>
  </si>
  <si>
    <t>80</t>
  </si>
  <si>
    <t>103892</t>
  </si>
  <si>
    <t>10.1016/j.breast.2025.103892</t>
  </si>
  <si>
    <t>http://dx.doi.org/10.1016/j.breast.2025.103892</t>
  </si>
  <si>
    <t>Oncology; Obstetrics &amp; Gynecology</t>
  </si>
  <si>
    <t>X3R4K</t>
  </si>
  <si>
    <t>39922065</t>
  </si>
  <si>
    <t>WOS:001424560700001</t>
  </si>
  <si>
    <t>Gao, ZY; Liu, XL; Kang, Y; Hu, P; Zhang, X; Yan, W; Yan, MY; Yu, PM; Zhang, Q; Xiao, WD; Zhang, ZB</t>
  </si>
  <si>
    <t>Background: Clinical notes contain contextualized information beyond structured data related to patients' past and current health status. Objective: This study aimed to design a multimodal deep learning approach to improve the evaluation precision of hospital outcomes for heart failure (HF) using admission clinical notes and easily collected tabular data. Methods: Data for the development and validation of the multimodal model were retrospectively derived from 3 open -access US databases, including the Medical Information Mart for Intensive Care III v1.4 (MIMIC -III) and MIMIC -IV v1.0, collected from a teaching hospital from 2001 to 2019, and the eICU Collaborative Research Database v1.2, collected from 208 hospitals from 2014 to 2015. The study cohorts consisted of all patients with critical HF. The clinical notes, including chief complaint, history of present illness, physical examination, medical history, and admission medication, as well as clinical variables recorded in electronic health records, were analyzed. We developed a deep learning mortality prediction model for in -hospital patients, which underwent complete internal, prospective, and external evaluation. The Integrated Gradients and SHapley Additive exPlanations (SHAP) methods were used to analyze the importance of risk factors. Results: The study included 9989 (16.4%) patients in the development set, 2497 (14.1%) patients in the internal validation set, 1896 (18.3%) in the prospective validation set, and 7432 (15%) patients in the external validation set. The area under the receiver operating characteristic curve of the models was 0.838 (95% CI 0.827-0.851), 0.849 (95% CI 0.841-0.856), and 0.767 (95% CI 0.762-0.772), for the internal, prospective, and external validation sets, respectively. The area under the receiver operating characteristic curve of the multimodal model outperformed that of the unimodal models in all test sets, and tabular data contributed to higher discrimination. The medical history and physical examination were more useful than other factors in early assessments. Conclusions: The multimodal deep learning model for combining admission notes and clinical tabular data showed promising efficacy as a potentially novel method in evaluating the risk of mortality in patients with HF, providing more accurate and timely decision support.</t>
  </si>
  <si>
    <t>Gao, Zhenyue; Liu, Xiaoli; Kang, Yu; Hu, Pan; Zhang, Xiu; Yan, Wei; Yan, Muyang; Yu, Pengming; Zhang, Qing; Xiao, Wendong; Zhang, Zhengbo</t>
  </si>
  <si>
    <t>Zhang, ZB (corresponding author), Gen Hosp Peoples Liberat Army, Ctr Artificial Intelligence Med, 28 Fuxing Rd, Beijing 100853, Peoples R China.</t>
  </si>
  <si>
    <t>zhangzhengbo@301hospital.com.cn</t>
  </si>
  <si>
    <t>National Natural Science Foundations of China (NSFC) [62173032, 62171471]; Foshan Science and Technology Innovation Special Projects [BK22BF005]; Regional Joint Fund of the Guangdong Basic and Applied Basic Research Fund [2022A1515140109]</t>
  </si>
  <si>
    <t>National Natural Science Foundations of China (NSFC) (National Natural Science Foundation of China (NSFC)); Foshan Science and Technology Innovation Special Projects; Regional Joint Fund of the Guangdong Basic and Applied Basic Research Fund</t>
  </si>
  <si>
    <t>We gratefully acknowledge the guidance and assistance of Dr Max Shen from Beth Israel Deaconess Medical Center (BIDMC) . This work was supported in part by the National Natural Science Foundations of China (NSFC) under grants 62173032 and 62171471, the Foshan Science and Technology Innovation Special Projects (grant BK22BF005) , the Regional Joint Fund of the Guangdong Basic and Applied Basic Research Fund (grant 2022A1515140109) . Qing Zhang (qzhang2000cn@163.com ) , Wendong Xiao (wdxiao@ustb.edu.cn) , and Zhengbo Zhang (zhangzhengbo@301hospital.com .cn) are co -corresponding authors of this manuscript.</t>
  </si>
  <si>
    <t>[Gao, Zhenyue; Xiao, Wendong] Univ Sci &amp; Technol Beijing, Sch Automat &amp; Elect Engn, Beijing Engn Res Ctr Ind Spectrum Imaging, Beijing, Peoples R China; [Liu, Xiaoli; Hu, Pan; Yan, Wei; Yan, Muyang; Zhang, Zhengbo] Gen Hosp Peoples Liberat Army, Ctr Artificial Intelligence Med, 28 Fuxing Rd, Beijing 100853, Peoples R China; [Kang, Yu; Zhang, Xiu; Yu, Pengming; Zhang, Qing] Sichuan Univ, West China Hosp, Dept Cardiol, Chengdu, Peoples R China</t>
  </si>
  <si>
    <t>University of Science &amp; Technology Beijing; Sichuan University</t>
  </si>
  <si>
    <t>Improving the Prognostic Evaluation Precision of Hospital Outcomes for Heart Failure Using Admission Notes and Clinical Tabular Data: Multimodal Deep Learning Model</t>
  </si>
  <si>
    <t>JOURNAL OF MEDICAL INTERNET RESEARCH</t>
  </si>
  <si>
    <t>heart failure; multimodal deep learning; mortality prediction; admission notes; clinical tabular data; tabular; notes; deep learning; machine learning; cardiology; heart; cardiac; documentation; prognostic; prognosis; prognoses; predict; prediction; predictions; predictive</t>
  </si>
  <si>
    <t>Yan, Wei/ADK-3861-2022</t>
  </si>
  <si>
    <t>Zhang, Qing/0000-0002-5652-4036; , XIU/0000-0002-7451-8035; Liu, Xiaoli/0000-0001-9592-9020; zhenyue, Gao/0000-0003-2283-2820</t>
  </si>
  <si>
    <t>52</t>
  </si>
  <si>
    <t>JMIR PUBLICATIONS, INC</t>
  </si>
  <si>
    <t>TORONTO</t>
  </si>
  <si>
    <t>130 QUEENS QUAY East, Unit 1100, TORONTO, ON M5A 0P6, CANADA</t>
  </si>
  <si>
    <t>1438-8871</t>
  </si>
  <si>
    <t>J MED INTERNET RES</t>
  </si>
  <si>
    <t>J. Med. Internet Res.</t>
  </si>
  <si>
    <t>MAY 2 2024</t>
  </si>
  <si>
    <t>e54363</t>
  </si>
  <si>
    <t>10.2196/54363</t>
  </si>
  <si>
    <t>http://dx.doi.org/10.2196/54363</t>
  </si>
  <si>
    <t>Health Care Sciences &amp; Services; Medical Informatics</t>
  </si>
  <si>
    <t>RG7T2</t>
  </si>
  <si>
    <t>38696251</t>
  </si>
  <si>
    <t>WOS:001226586000002</t>
  </si>
  <si>
    <t>Zhang, SC; Hu, DH; Luo, L; Cao, JW</t>
  </si>
  <si>
    <t>Background and Objective: The diagnosis of carotid plaques plays an important role in revealing cardiovascular and cerebrovascular diseases, thus attracting widespread research attention. However, most medical examinations rely heavily on specialists and carotid ultrasound images, which are time-consuming, radiative, expensive and limited in tracking disease progression. To alleviate these deficiency, inspired by the human blood supply sequence, a detailed study on the association between carotid plaque and ocular surface image features is proposed in the paper. Methods: This paper systematically verifies the correlation between carotid plaque and ocular surface image through a multi-dimensional feature analysis approach incorporating texture, frequency domain features, and color characteristics. The analysis combines feature selection, confidence evaluation, and distribution property studies to establish robust associations. Besides, multiple machine learning classifiers are used to evaluate the robustness of the extracted features, with subgroup validation conducted across different subsets, systematically assessing the influence of age and gender factors. Results: The proposed method achieves high prediction accuracy on 8875 individuals from Hangzhou Wuyunshan Hospital (Hangzhou Institute for Health Promotion), with electronic health record (EHR) features showing the strongest association (Odds Ratios [ORs]: 4.35 [3.90-4.86] in males; 2.92 [2.60-3.27] in females). Experimental results demonstrate that age, male gender, and ocular surface image features-including EHR, local binary patterns (LBP), gray-level gradient co-occurrence matrix (GLGCM), and gray-level co-occurrence matrix (GLCM)-show strong associations with carotid plaque, where LBP and EHR features are selected most frequently. Conclusions: Ocular surface image analysis offers a practical and non-invasive method for carotid plaque screening. The observed feature associations and strong predictive performance highlight its potential for clinical applications, especially in large-scale population screening.</t>
  </si>
  <si>
    <t>Zhang, Shichen; Hu, Dinghan; Luo, Le; Cao, Jiuwen</t>
  </si>
  <si>
    <t>Hu, DH (corresponding author), Hangzhou Dianzi Univ, Sch Automation, Hangzhou 310018, Zhejiang, Peoples R China.</t>
  </si>
  <si>
    <t>246060078@hdu.edu.cn; hdh@hdu.edu.cn; leluo@189.cn; jwcao@hdu.edu.cn</t>
  </si>
  <si>
    <t>Key Research of Hangzhou Medical and Health Science and Technology Project [Z20250008]; Zhejiang Provincial Natural Science Foundation of China [LQN25F030013, LZ24F030010]</t>
  </si>
  <si>
    <t>Key Research of Hangzhou Medical and Health Science and Technology Project; Zhejiang Provincial Natural Science Foundation of China (Natural Science Foundation of Zhejiang Province)</t>
  </si>
  <si>
    <t>This work was supported in part by the Key Research of Hangzhou Medical and Health Science and Technology Project under Grant Z20250008, and in part by the Zhejiang Provincial Natural Science Foundation of China under Grants LQN25F030013 and LZ24F030010.</t>
  </si>
  <si>
    <t>[Zhang, Shichen; Hu, Dinghan; Cao, Jiuwen] Hangzhou Dianzi Univ, Machine Learning &amp; I Hlth Int Cooperat Base Zhejia, Hangzhou 310018, Peoples R China; [Zhang, Shichen; Hu, Dinghan; Cao, Jiuwen] Hangzhou Dianzi Univ, Sch Automation, Hangzhou 310018, Zhejiang, Peoples R China; [Luo, Le] Hangzhou Wuyunshan Hosp, Hangzhou Inst Hlth Promot, Hangzhou 310013, Peoples R China</t>
  </si>
  <si>
    <t>Hangzhou Dianzi University; Hangzhou Dianzi University</t>
  </si>
  <si>
    <t>Correlative analysis between ocular surface features and carotid plaque : A multimodal machine learning framework</t>
  </si>
  <si>
    <t>Carotid plaque assessment; Correlation analysis; Ocular surface image; Machine learning</t>
  </si>
  <si>
    <t>INTIMA-MEDIA THICKNESS; CARDIOVASCULAR-DISEASE; EVENTS; IMAGES; EYE</t>
  </si>
  <si>
    <t>cao, jiuwen/C-9547-2009</t>
  </si>
  <si>
    <t>MAY 1 2026</t>
  </si>
  <si>
    <t>278</t>
  </si>
  <si>
    <t>109265</t>
  </si>
  <si>
    <t>10.1016/j.cmpb.2026.109265</t>
  </si>
  <si>
    <t>http://dx.doi.org/10.1016/j.cmpb.2026.109265</t>
  </si>
  <si>
    <t>DF9TG</t>
  </si>
  <si>
    <t>41621344</t>
  </si>
  <si>
    <t>WOS:001682508600001</t>
  </si>
  <si>
    <t>Abdullah; Fatima, Z; Ruiz, MJT; Espinosa-Sosa, O; Sánchez-Mejorada, CG; Téllez, RQ; Rodríguez, JLO; Sidorov, G</t>
  </si>
  <si>
    <t>Early diagnosis of cognitive decline is vital for timely treatment of mild cognitive impairment (MCI) and Alzheimer's disease (AD), yet standard clinical assessments often miss subtle longitudinal language changes. We propose a hierarchical hybrid intelligence framework integrating long-context language modeling, temporal progression, semantic graph reasoning, psycholinguistic biomarkers, and contrastive progression learning to classify patient states (Normal, MCI, AD) from longitudinal electronic health record (EHR) notes. The model was trained on 4500 patients and 68,000 clinical notes from Medical Information Mart for Intensive Care III (MIMIC-III) and externally validated on the Medical Information Mart for Intensive Care IV (MIMIC-IV) clinical notes dataset (5200 patients, 72,000 notes). Inputs combined Biomedical and Clinical Bidirectional Encoder Representations from Transformers (BioClinicalBERT) embeddings, Bidirectional Long Short-Term Memory (Bi-LSTM) temporal encodings, Graph Sample and Aggregate (GraphSAGE)-based Unified Medical Language System (UMLS) concept graphs, and psycholinguistic vectors (lexical diversity, grammatical complexity, discourse coherence). On the MIMIC-III hold-out set, the model achieved 99.999% accuracy, a macro F1-score of 0.999, a Receiver Operating Characteristic Area Under the Curve (ROC AUC) of 0.999, and a temporal stability variance of 0.0008. Monte Carlo cross-validation (10,000 folds) yielded 99.997 +/- 0.003% accuracy and 0.999 +/- 0.001 macro F1. Feature ablation confirmed distinct gains from temporal, semantic, and psycholinguistic modules, improving performance by 1.1% over text-only baselines. Cross-cohort zero-shot testing on MIMIC-IV showed strong generalization with minimal decline in macro F1 and balanced accuracy. Explainability analyses, such as SHapley Additive exPlanations (SHAP) token/concept attribution, attention maps, counterfactual perturbations, and psycholinguistic importance, revealed clinically interpretable markers, such as pronoun overuse, reduced lexical diversity, and syntactic simplification, as predictors of decline. Our framework supports scalable, non-invasive early screening in a variety of healthcare settings by providing longitudinally stable predictions.</t>
  </si>
  <si>
    <t>Abdullah; Fatima, Zulaikha; Ruiz, Miguel Jesus Torres; Espinosa-Sosa, Osvaldo; Sanchez-Mejorada, Carlos Guzman; Tellez, Rolando Quintero; Rodriguez, Jose Luis Oropeza; Sidorov, Grigori</t>
  </si>
  <si>
    <t>Ruiz, MJT (corresponding author), Inst Politecn Nacl, Ctr Comp Res, Mexico City 07738, Mexico.</t>
  </si>
  <si>
    <t>sidorov@cic.ipn.mx; mtorres@cic.ipn.mx; cmejorada@cic.ipn.mx; quintero@cic.ipn.mx; joropeza@cic.ipn.mx; su91-bmitm-f23-248@superior.edu.pk; espinosa@cic.ipn.mx; abdullah2025@cic.ipn.mx</t>
  </si>
  <si>
    <t>Instituto Politecnico Nacional [20260208, 20160216, 20260626]; Secretary of Research and Posgraduate Studies (SIP) of Instituto Politecnico Nacional, Mexico</t>
  </si>
  <si>
    <t>Instituto Politecnico Nacional (Instituto Politecnico Nacional - Mexico); Secretary of Research and Posgraduate Studies (SIP) of Instituto Politecnico Nacional, Mexico</t>
  </si>
  <si>
    <t>This work was partially funded by the Instituto Politecnico Nacional undergrants 20260208, 20160216 and 20260626 by Secretary of Research and Posgraduate Studies (SIP) of Instituto Politecnico Nacional, Mexico.</t>
  </si>
  <si>
    <t>[Abdullah; Ruiz, Miguel Jesus Torres; Espinosa-Sosa, Osvaldo; Sanchez-Mejorada, Carlos Guzman; Tellez, Rolando Quintero; Rodriguez, Jose Luis Oropeza; Sidorov, Grigori] Inst Politecn Nacl, Ctr Comp Res, Mexico City 07738, Mexico; [Abdullah] Bahria Univ, Dept Comp Sci, Lahore 54600, Pakistan; [Fatima, Zulaikha] Super Univ, Fac Allied Hlth Sci, Lahore 54000, Pakistan</t>
  </si>
  <si>
    <t>Bahria University</t>
  </si>
  <si>
    <t>Explainable Patient-Level Cognitive Impairment Screening via Temporal, Semantic, and Psycholinguistic Multimodal AI</t>
  </si>
  <si>
    <t>JOURNAL OF INTELLIGENCE</t>
  </si>
  <si>
    <t>cognitive impairment; Alzheimer's disease; mild cognitive impairment; longitudinal clinical notes; psycholinguistic biomarkers; temporal progression; semantic graph reasoning; explainable AI</t>
  </si>
  <si>
    <t>Torres-Ruiz, Miguel/AAU-9308-2021</t>
  </si>
  <si>
    <t>Fatima, Zulaikha/0009-0001-6154-1893</t>
  </si>
  <si>
    <t>2079-3200</t>
  </si>
  <si>
    <t>J INTELL-BASEL</t>
  </si>
  <si>
    <t>J. Intell.</t>
  </si>
  <si>
    <t>APR 15 2026</t>
  </si>
  <si>
    <t>66</t>
  </si>
  <si>
    <t>10.3390/jintelligence14040066</t>
  </si>
  <si>
    <t>http://dx.doi.org/10.3390/jintelligence14040066</t>
  </si>
  <si>
    <t>Psychology, Multidisciplinary</t>
  </si>
  <si>
    <t>Psychology</t>
  </si>
  <si>
    <t>HB0BA</t>
  </si>
  <si>
    <t>42042246</t>
  </si>
  <si>
    <t>WOS:001749764000001</t>
  </si>
  <si>
    <t>Kim, S</t>
  </si>
  <si>
    <t>Background: Chemotherapy-induced peripheral neuropathy (CIPN) is a common and debilitating adverse effect of cancer treatment that substantially impairs patients' quality of life and may lead to dose reduction or treatment discontinuation. Traditional prediction models based on single-modal data have shown limited accuracy in clinical settings. Aim: This study aimed to develop and evaluate a deep learning-based predictive model for CIPN by integrating multimodal data, including clinical, genomic, biosignal, wearable device, and imaging information. Methods: A retrospective and prospective cohort of cancer patients receiving chemotherapy between 2020 and 2025 was analyzed using data collected from multicenter electronic health records (EHRs) and public databases. An intermediate fusion framework was implemented using a Transformer-based architecture, which was compared with LSTM, CNN, and XGBoost models. SHAP (Shapley additive explanations) and Grad-CAM were used to improve model interpretability, while performance was assessed using AUC-ROC (area under the receiver operating characteristic curve), accuracy, sensitivity, specificity, and F1-score. Results: The Transformer-based model achieved the highest performance (AUC = 0.93; accuracy = 88.5%; sensitivity = 85.3%; specificity = 90.1%), outperforming conventional models. SHAP analysis identified chemotherapy dosage, nerve magnetic resonance imaging abnormalities, electrocardiogram changes, CYP2C8 mutations, and diabetes as the most influential predictors. Patients with a high predicted risk of CIPN also demonstrated significantly lower overall survival, indicating a broader systemic impact of CIPN beyond neurological symptoms. Conclusions: This study provides evidence that deep learning models incorporating multimodal data significantly enhance CIPN prediction and have the potential for clinical implementation. The use of explainable artificial intelligence techniques further supports their integration into precision oncology. Future research should focus on multicenter validation, real-time EHR integration, and the development of neuroprotective strategies for high-risk patients.</t>
  </si>
  <si>
    <t>Kim, Sanghee</t>
  </si>
  <si>
    <t>Kim, S (corresponding author), Keimyung Univ, Coll Nursing, Daegu, South Korea.</t>
  </si>
  <si>
    <t>shkim07@gw.kmu.ac.kr</t>
  </si>
  <si>
    <t>[Kim, Sanghee] Keimyung Univ, Coll Nursing, Daegu, South Korea</t>
  </si>
  <si>
    <t>Keimyung University</t>
  </si>
  <si>
    <t>Predicting Chemotherapy-Induced Peripheral Neuropathy Using Transformer-Based Multimodal Deep Learning</t>
  </si>
  <si>
    <t>RESEARCH</t>
  </si>
  <si>
    <t>Kim, Sanghee/LBH-7017-2024</t>
  </si>
  <si>
    <t>AMER ASSOC ADVANCEMENT SCIENCE</t>
  </si>
  <si>
    <t>WASHINGTON</t>
  </si>
  <si>
    <t>1200 NEW YORK AVE, NW, WASHINGTON, DC 20005 USA</t>
  </si>
  <si>
    <t>2096-5168</t>
  </si>
  <si>
    <t>2639-5274</t>
  </si>
  <si>
    <t>RESEARCH-CHINA</t>
  </si>
  <si>
    <t>Research</t>
  </si>
  <si>
    <t>AUG 5 2025</t>
  </si>
  <si>
    <t>0795</t>
  </si>
  <si>
    <t>10.34133/research.0795</t>
  </si>
  <si>
    <t>http://dx.doi.org/10.34133/research.0795</t>
  </si>
  <si>
    <t>5TO1Y</t>
  </si>
  <si>
    <t>40765998</t>
  </si>
  <si>
    <t>WOS:001543996600001</t>
  </si>
  <si>
    <t>Hernández-Arango, A; Arrieta, DM; León, CAD; Castrillon, JGP; Rondón-Carvajal, J; Acosta, MA; Restrepo, D; Barrios, W; Alvarez-López, S; Vargas-Bonilla, JF; Arias, HFG; Echeverri, JJG; Salazar-Martínez, C; Montoya, OLQ</t>
  </si>
  <si>
    <t>Pneumonia remains a leading cause of in-hospital mortality worldwide. Current prognostic tools such as the IDSA/ATS severity score have meaningful limitations, particularly in capturing dynamic disease progression or integrating heterogeneous biological signals. Artificial intelligence (AI) offers the opportunity to derive complementary prognostic information from routinely collected electronic health record data. This exploratory, proof-of-concept retrospective study enrolled adults (&gt;= 18 years) admitted with a primary diagnosis of acute pneumonia at Hospital Alma M &amp; aacute;ter de Antioquia (Medell &amp; iacute;n, Colombia) between January 1 and June 30, 2024. After applying pre-defined exclusion criteria, 121 patients (19 non-survivors, 15.7%) comprised the final analytic cohort. Three independent AI modules were applied: (i) a ResNet-18 deep learning model quantified lung consolidation from chest radiographs (CXRs) using Class Activation Mapping; (ii) a Spanish regular-expression natural language processing (NLP) pipeline extracted modified IDSA/ATS severity scores from clinical notes; and (iii) NeuroKit2-based quantitative heart rate variability (HRV) analysis processed electrocardiogram (ECG) signals digitised from PDF archives. Bivariate associations with all-cause in-hospital mortality were examined using logistic regression. Several features exhibited statistically significant associations with mortality under conventional thresholds: AI-quantified total lung compromise ratio (OR 8.32, 95% CI 1.23-56.29), NLP-derived IDSA/ATS severity score (OR 1.78, 95% CI 1.09-2.88), and a coherent ECG/HRV profile characterised by higher heart rate (120.1 vs. 84.4 bpm, p = 0.023), reduced RMSSD (4.1 vs. 23.5 ms, p = 0.041), reduced Poincar &amp; eacute; SD1 (3.0 vs. 17.6 ms, p = 0.041), and T-wave amplitude reductions surviving FDR correction in multiple leads. Given the small sample size and low event count (n = 19; events-per-variable approximate to 4), all associations are preliminary and hypothesis-generating only. These proof-of-concept findings suggest that integrated multimodal AI biomarkers automatically derived from low-resource clinical data can capture a cardiopulmonary stress profile associated with pneumonia mortality, and support the design of larger prospective validation studies.</t>
  </si>
  <si>
    <t>Hernandez-Arango, Alejandro; Arrieta, Daniel Mejia; Leon, Christian Andres Diaz; Castrillon, Juan G. Paniagua; Rondon-Carvajal, Julian; Acosta, Melissa Alejandra; Restrepo, David; Barrios, Wayner; Alvarez-Lopez, Santiago; Vargas-Bonilla, Jesus Francisco; Arias, Hernan Felipe Garcia; Garces Echeverri, Jose Julian; Salazar-Martinez, Carlos; Montoya, Olga Lucia Quintero</t>
  </si>
  <si>
    <t>Hernández-Arango, A (corresponding author), Univ Antioquia, Sch Med, Dept Internal Med, Medellin, Colombia.; Hernández-Arango, A (corresponding author), Hosp Alma Mater Antioquia, Medellin, Colombia.</t>
  </si>
  <si>
    <t>alejandro.hernandeza@udea.edu.co</t>
  </si>
  <si>
    <t>Minciencias [563-2021]</t>
  </si>
  <si>
    <t>Minciencias</t>
  </si>
  <si>
    <t>This work was supported by the Ministerio de Ciencia, Tecnologia e Innovacion (Minciencias) of Colombia, call number 895-2021, project code 563-2021, project title 'HuMath Curie: decisiones medicas confiables en Unidades de cuidado Respiratorio a partir de Inteligencia Artificial en Enfermedades pulmonares tipo COVID 19.' The funders had no role in study design, data collection and analysis, decision to publish, or preparation of the manuscript.</t>
  </si>
  <si>
    <t>[Hernandez-Arango, Alejandro] Univ Antioquia, Sch Med, Dept Internal Med, Medellin, Colombia; [Hernandez-Arango, Alejandro] Hosp Alma Mater Antioquia, Medellin, Colombia; [Arrieta, Daniel Mejia] Univ Antioquia, Sch Med, Dept Radiol, Medellin, Colombia; [Leon, Christian Andres Diaz; Montoya, Olga Lucia Quintero] Univ EAFIT, Sch Appl Sci &amp; Analyt, Computat &amp; Analyt Area, Medellin, Colombia; [Castrillon, Juan G. Paniagua] ITM Univ Inst, Fac Exact &amp; Appl Sci, Medellin, Colombia; [Rondon-Carvajal, Julian] CES Univ, Pulmonol Program, CardioVID Clin, Medellin, Colombia; [Acosta, Melissa Alejandra; Restrepo, David] Pink Technol Grp Humath, La Estrella, Colombia; [Barrios, Wayner] Wiqonn Technol, Barranquilla, Colombia; [Alvarez-Lopez, Santiago] Univ Nacl Colombia, Hematol Program, Bogota, Colombia; [Vargas-Bonilla, Jesus Francisco; Arias, Hernan Felipe Garcia] Univ Antioquia, Medellin, Colombia; [Garces Echeverri, Jose Julian; Salazar-Martinez, Carlos] Univ EAFIT, Sch Appl Sci &amp; Analyt, Medellin, Colombia</t>
  </si>
  <si>
    <t>Universidad de Antioquia; Universidad de Antioquia; Universidad EAFIT; Universidad CES; Universidad Nacional de Colombia; Universidad de Antioquia; Universidad EAFIT</t>
  </si>
  <si>
    <t>Exploratory association between multimodal AI-derived digital biomarkers and in-hospital mortality in adult patients with pneumonia: A proof-of-concept study</t>
  </si>
  <si>
    <t>PLOS DIGITAL HEALTH</t>
  </si>
  <si>
    <t>COMMUNITY-ACQUIRED PNEUMONIA; HEART-RATE-VARIABILITY; SHORT ECG INDEXES; VALIDATION; RELIABILITY; SEVERITY; DISEASES</t>
  </si>
  <si>
    <t>Castrillón Vallejo, Juan/KJM-0831-2024</t>
  </si>
  <si>
    <t>Hernández-Arango, Alejandro/0000-0002-7140-4358</t>
  </si>
  <si>
    <t>PUBLIC LIBRARY SCIENCE</t>
  </si>
  <si>
    <t>SAN FRANCISCO</t>
  </si>
  <si>
    <t>1160 BATTERY STREET, STE 100, SAN FRANCISCO, CA 94111 USA</t>
  </si>
  <si>
    <t>2767-3170</t>
  </si>
  <si>
    <t>PLOS DIGIT HEALTH</t>
  </si>
  <si>
    <t>PLOS Digit. Health</t>
  </si>
  <si>
    <t>e0000960</t>
  </si>
  <si>
    <t>10.1371/journal.pdig.0000960</t>
  </si>
  <si>
    <t>http://dx.doi.org/10.1371/journal.pdig.0000960</t>
  </si>
  <si>
    <t>HI3ZI</t>
  </si>
  <si>
    <t>42060654</t>
  </si>
  <si>
    <t>WOS:001754777700001</t>
  </si>
  <si>
    <t>Slivnick, JA; Lim, SC; Randazzo, M; Maurer, MS; Helmke, S; Scherrer-Crosbie, M; Vakilpour, A; Zareba, KM; Goyal, A; Cheng, R; Nakamatsu, N; Kitano, T; Takeuchi, M; Hotta, VT; Vieira, MLC; Elissamburu, P; Ronderos, RE; Prado, A; Koutroumpakis, E; Deswal, A; Pursnani, A; Sarswat, N; Addetia, K; Cotella, J; Ruberg, FL; Frost, M; Fontana, M; Ping, CLS; Lang, RM; Asch, FM</t>
  </si>
  <si>
    <t>BACKGROUND:Cardiac amyloidosis (CA) is an underdiagnosed yet treatable cause of heart failure in which timely diagnosis is essential to initiate life-prolonging therapies. While artificial intelligence (AI)-based tools using transthoracic echocardiography (TTE), electrocardiography, or electronic health records have demonstrated promise for CA detection, most rely on single data sources. We aimed to evaluate whether integrating clinical, laboratory, and TTE biomarkers improves the performance of an existing TTE-based AI model for CA detection.METHODS:We developed and tested a combined AI echo-clinical model (AI-ECM) incorporating demographics, laboratory biomarkers, and TTE parameters into a previously validated TTE-only AI model (Us2.Ca). Model training and internal validation were performed using the Amyloidosis Imaging International Consortium, a global multiethnic registry comprised of 727 patients with CA and 316 controls, including 202 with suspected transthyretin-CA with negative diagnostic evaluation and 114 patients with biopsy-proven extracardiac light chain amyloidosis without cardiac involvement. Ground truth CA diagnosis was adjudicated per consensus criteria. AI-ECM and Us2.Ca performance was assessed using area under the curve, accuracy, sensitivity, and specificity.RESULTS:In building the AI-ECM, feature importance analysis showed that having the Us2.Ca prediction scores, relative wall thickness, sex, and estimated glomerular filtration rate contributed most to performance. The AI-ECM demonstrated superior performance (area under the curve, 0.94; accuracy, 90%; sensitivity, 93%; specificity, 85%) compared with the Us2.Ca (area under the curve, 0.89; accuracy, 80%; sensitivity, 76%; specificity, 91%; P=0.006). While the Us2.Ca model classification was indeterminate in 9% of the cases, the AI-ECM allowed classification of all cases. The AI-ECM improved sensitivity for light chain-CA detection and maintained high accuracy across subtypes and control groups.CONCLUSIONS:A multiparametric AI model integrating basic clinical, laboratory, and TTE data with the deep learning Us2.Ca improved performance for CA detection over Us2.Ca alone. This approach represents a step toward scalable, AI-guided precision diagnostics for CA in diverse populations.</t>
  </si>
  <si>
    <t>Slivnick, Jeremy A.; Lim, Sze Chi; Randazzo, Michael; Maurer, Mathew S.; Helmke, Stephen; Scherrer-Crosbie, Marielle; Vakilpour, Azin; Zareba, Karolina M.; Goyal, Akash; Cheng, Richard; Nakamatsu, Nicole; Kitano, Tetsuji; Takeuchi, Masaaki; Hotta, Viviane Tiemi; Vieira, Marcelo Luiz Campos; Elissamburu, Pablo; Ronderos, Ricardo E.; Prado, Aldo; Koutroumpakis, Efstratios; Deswal, Anita; Pursnani, Amit; Sarswat, Nitasha; Addetia, Karima; Cotella, Juan; Ruberg, Frederick L.; Frost, Matthew; Fontana, Marianna; Ping, Carolyn Lam Su; Lang, Roberto M.; Asch, Federico M.</t>
  </si>
  <si>
    <t>Asch, FM (corresponding author), MedStar Hlth Res Inst, 100 Irving St,NW Ste 5123, Washington, DC 20010 USA.</t>
  </si>
  <si>
    <t>jslivnick@uchicagomedicine.org; apursnani@northshore.org; m.fontana@ucl.ac.uk; mluiz766@terra.com.br; marielle.scherrer-crosbie@pennmedicine.upenn.edu; rronderos@icba.com.ar; prado.a@icloud.com; szechi@us2.ai; mjrandazzo13@gmail.com; ADESWAL@MDANDERSON.ORG; akash.goyal@osumc.edu; EKoutroumpakis@mdanderson.org; kaddetia@medicine.bsd.uchicago.edu; takeuchi@med.uoeh-u.ac.jp; federico.asch@medstar.net; rkcheng@uw.edu; matthew@us2.ai; azin.vakilpour@pennmedicine.upenn.edu; karolina.zareba@osumc.edu; elissamburupablo@gmail.com; syuukyuu1986@gmail.com; viviane.hotta@gmail.com; sh2669@cumc.columbia.edu; Frederick.Ruberg@bmc.org; msm10@cumc.columbia.edu; nsarswat@uchicagomedicine.org</t>
  </si>
  <si>
    <t>[Slivnick, Jeremy A.; Sarswat, Nitasha; Addetia, Karima; Lang, Roberto M.] Univ Chicago, Chicago, IL USA; [Lim, Sze Chi; Frost, Matthew; Ping, Carolyn Lam Su] Us2 AI, Singapore, Singapore; [Randazzo, Michael; Maurer, Mathew S.; Vakilpour, Azin] Hosp Univ Penn, Philadelphia, PA USA; [Maurer, Mathew S.; Helmke, Stephen] Columbia Univ, Irving Med Ctr, New York, NY USA; [Zareba, Karolina M.; Goyal, Akash] Ohio State Univ, Wexner Med Ctr, Columbus, OH USA; [Cheng, Richard; Nakamatsu, Nicole] Univ Washington, Seattle, WA USA; [Kitano, Tetsuji; Takeuchi, Masaaki] Hosp Univ Occupat &amp; Environm Hlth, Kitakyushu, Japan; [Hotta, Viviane Tiemi; Vieira, Marcelo Luiz Campos] Heart Inst InCor, Sao Paulo, Brazil; [Elissamburu, Pablo; Ronderos, Ricardo E.] ICBA, Buenos Aires, Argentina; [Prado, Aldo] Ctr Privado Cardiol, San Miguel De Tucuman, Argentina; [Koutroumpakis, Efstratios; Deswal, Anita] Univ Texas MD Anderson Canc Ctr, Houston, TX USA; [Pursnani, Amit] Endeavor NorthShore, Evanston, IL USA; [Cotella, Juan] Altos Salta Swiss Med Grp, San Miguel De Tucuman, Argentina; [Ruberg, Frederick L.] Boston Univ, Chobanian &amp; Avedisian Sch Med, Boston, MA USA; [Fontana, Marianna] Natl Amyloidosis Ctr, London, England; [Asch, Federico M.] MedStar Hlth Res Inst, 100 Irving St,NW Ste 5123, Washington, DC 20010 USA</t>
  </si>
  <si>
    <t>University of Chicago; University of Pennsylvania; Columbia University; Cornell University; Weill Cornell Medicine; NewYork-Presbyterian Hospital; Ohio State University; University System of Ohio; Ohio State University; University of Washington; University of Washington Seattle; University of Occupational &amp; Environmental Health - Japan; Universidade de Sao Paulo; Instituto Cardiovascular de Buenos Aires (ICBA); University of Texas System; UTMD Anderson Cancer Center; Boston University; University of London; University College London</t>
  </si>
  <si>
    <t>Multimodal Artificial Intelligence for Cardiac Amyloidosis Diagnosis: Integrating Echocardiography With Clinical and Laboratory Data for Improved Detection</t>
  </si>
  <si>
    <t>CIRCULATION-CARDIOVASCULAR IMAGING</t>
  </si>
  <si>
    <t>amyloidosis; artificial intelligence; biomarkers; deep learning; heart failure; prealbumin</t>
  </si>
  <si>
    <t>SCINTIGRAPHY; VALIDATION</t>
  </si>
  <si>
    <t>Zareba, Karolina/E-5049-2015; Kitano, Tetsuji/LFS-8010-2024; Pursnani, Amit/HTO-6710-2023; Sarswat, Nitasha/JEF-0537-2023; Vakilpour, Azin/JCO-0166-2023; Vieira, Marcelo/I-5411-2012; Koutroumpakis, Efstratios/T-7498-2019; Hotta, Viviane/L-8689-2014</t>
  </si>
  <si>
    <t>Lim, Sze Chi/0000-0001-8153-858X</t>
  </si>
  <si>
    <t>1941-9651</t>
  </si>
  <si>
    <t>1942-0080</t>
  </si>
  <si>
    <t>CIRC-CARDIOVASC IMAG</t>
  </si>
  <si>
    <t>Circ.-Cardiovasc. Imaging</t>
  </si>
  <si>
    <t>e019610</t>
  </si>
  <si>
    <t>10.1161/CIRCIMAGING.126.019610</t>
  </si>
  <si>
    <t>http://dx.doi.org/10.1161/CIRCIMAGING.126.019610</t>
  </si>
  <si>
    <t>JJ2FE</t>
  </si>
  <si>
    <t>42200278</t>
  </si>
  <si>
    <t>WOS:001790614900009</t>
  </si>
  <si>
    <t>Lai, CX; Yin, ML; Kholmovski, EG; Sani, MM; Gilotra, NA; Chrispin, J; Trayanova, NA</t>
  </si>
  <si>
    <t>Background Patients with cardiac sarcoidosis (CS) are at high risk of sudden cardiac death (SCD), but existing guidelines relying primarily on left ventricular ejection fraction (LVEF) in recommending implantable cardioverter-defibrillator therapy have limited accuracy. Objectives This study sought to develop and evaluate a multimodal artificial intelligence for ventricular risk stratification in CS (MAARS-CS), integrating raw late gadolinium enhancement cardiac magnetic resonance (LGE-CMR) images and clinical covariates to predict SCD risk in patients with sarcoidosis. Methods A retrospective cohort of 317 patients with sarcoidosis was used to train and test MAARS-CS using 5-fold cross-validation. The model comprised a CMR branch using a 3-dimensional convolutional neural network for LGE-CMR image analysis, an electronic health records branch using a feedforward neural network for clinical covariates, and a classifier integrating multimodal information to predict personalized SCD risk. Results MAARS-CS achieved an area under the receiver-operating characteristic curve (AUROC) of 0.86 (95% CI: 0.80-0.91), significantly outperforming the LVEF &lt;= 35% criterion (AUROC: 0.59; 95% CI: 0.53-0.66; P &lt; 0.0001 compared with MAARS-CS) and continuous LVEF (AUROC: 0.77; 95% CI: 0.67-0.85; P = 0.019 compared with MAARS-CS). The model also showed higher area under the precision-recall curve (0.54 vs 0.43) and balanced accuracy (0.83 vs 0.74) compared with continuous LVEF. MAARS-CS maintained robust performance across varying image qualities and magnetic resonance sequences. Interpretation analysis identified key clinical covariates and important image regions contributing to SCD risk predictions. Conclusions MAARS-CS offers superior predictive accuracy and consistency over LVEF in predicting SCD risk among patients with sarcoidosis. The model's robustness and interpretability enhance its potential as a reliable clinical decision support tool. With further validation, MAARS-CS may improve personalized patient care in sarcoidosis.</t>
  </si>
  <si>
    <t>Lai, Changxin; Yin, Minglang; Kholmovski, Eugene G.; Sani, Maryam M.; Gilotra, Nisha A.; Chrispin, Jonathan; Trayanova, Natalia A.</t>
  </si>
  <si>
    <t>Chrispin, J (corresponding author), Johns Hopkins Univ, Sch Med, 1800 Orleans Str,Zayed 7125, Baltimore, MD 21287 USA.; Trayanova, NA (corresponding author), Johns Hopkins Univ, Dept Biomed Engn, Alliance Cardiovasc Diagnost &amp; Treatment Innovat, 3400 North Charles St,Hackerman Hall 216, Baltimore, MD 21218 USA.</t>
  </si>
  <si>
    <t>ntrayanova@jhu.edu; chrispin@jhmi.edu</t>
  </si>
  <si>
    <t>National Institutes of Health [R01HL166759, R01HL174440]; Leducq Foundation; Ann Theodore Foundation</t>
  </si>
  <si>
    <t>National Institutes of Health (United States Department of Health &amp; Human Services, National Institutes of Health (NIH) - USA); Leducq Foundation (Leducq Foundation); Ann Theodore Foundation</t>
  </si>
  <si>
    <t>This work was supported by National Institutes of Health grants R01HL166759 and R01HL174440 to Dr Trayanova, a Leducq Foundation grant to Dr Trayanova, and the Ann Theodore Foundation Breakthrough Sarcoidosis Initiative to Dr Chrispin. Dr Chrispin re-ceives honorarium for teaching activities from Abbott and is a consultant for Biosense Webster and Boston Scientific. All other authors have reported that they have no relationships relevant to the contents of this paper to disclose.</t>
  </si>
  <si>
    <t>[Lai, Changxin; Yin, Minglang; Kholmovski, Eugene G.; Chrispin, Jonathan; Trayanova, Natalia A.] Johns Hopkins Univ, Alliance Cardiovasc Diagnost &amp; Treatment Innovat, Baltimore, MD USA; [Lai, Changxin; Kholmovski, Eugene G.; Chrispin, Jonathan; Trayanova, Natalia A.] Johns Hopkins Univ, Dept Biomed Engn, Baltimore, MD USA; [Sani, Maryam M.; Gilotra, Nisha A.; Chrispin, Jonathan] Johns Hopkins Univ, Sch Med, 1800 Orleans Str,Zayed 7125, Baltimore, MD 21287 USA</t>
  </si>
  <si>
    <t>Johns Hopkins University; Johns Hopkins University; Johns Hopkins University; Johns Hopkins Medicine</t>
  </si>
  <si>
    <t>Predicting Sudden Cardiac Death in Patients With Sarcoidosis Using a Multimodal Artificial Intelligence Model</t>
  </si>
  <si>
    <t>JACC-CLINICAL ELECTROPHYSIOLOGY</t>
  </si>
  <si>
    <t>artificial intelligence; cardiac magnetic resonance imaging; cardiac sarcoidosis; risk stratification; sudden cardiac death</t>
  </si>
  <si>
    <t>VENTRICULAR-ARRHYTHMIAS; RISK; ENHANCEMENT</t>
  </si>
  <si>
    <t>/ABD-0501-2022; Kholmovski, Eugene/AAM-6003-2021; Trayanova, Natalia/A-3386-2010</t>
  </si>
  <si>
    <t>2405-500X</t>
  </si>
  <si>
    <t>2405-5018</t>
  </si>
  <si>
    <t>JACC-CLIN ELECTROPHY</t>
  </si>
  <si>
    <t>JACC-Clin. Electrophysiol.</t>
  </si>
  <si>
    <t>586</t>
  </si>
  <si>
    <t>599</t>
  </si>
  <si>
    <t>10.1016/j.jacep.2025.10.009</t>
  </si>
  <si>
    <t>http://dx.doi.org/10.1016/j.jacep.2025.10.009</t>
  </si>
  <si>
    <t>FV1IC</t>
  </si>
  <si>
    <t>41348081</t>
  </si>
  <si>
    <t>WOS:001728123400001</t>
  </si>
  <si>
    <t>Muneer, A; Waqas, M; Saad, MB; Showkatian, E; Bandyopadhyay, R; Xu, H; Li, WT; Chang, JY; Liao, ZX; Haymaker, C; Soto, LS; Wu, CC; Vokes, NI; Le, XN; Byers, LA; Gibbons, DL; Heymach, JV; Zhang, JJ; Wu, J</t>
  </si>
  <si>
    <t>Cancer research is increasingly driven by the integration of diverse data modalities, spanning from genomics and proteomics to imaging and clinical factors. However, extracting actionable insights from these vast and heterogeneous datasets remains a key challenge. The rise of foundation models (FMs) large deep-learning models pretrained on extensive amounts of data serving as a backbone for a wide range of downstream tasks-offers new avenues for discovering biomarkers, improving diagnosis, and personalizing treatment. This paper presents a comprehensive review of widely adopted integration strategies of multimodal data to assist advance the computational approaches for data-driven discoveries in oncology. We examine emerging trends in machine learning (ML) and deep learning (DL), including methodological frameworks, validation protocols, and open-source resources targeting cancer subtype classification, biomarker discovery, treatment guidance, and outcome prediction. This study also comprehensively covers the shift from traditional ML to FMs for multimodal integration. We present a holistic view of recent FMs advancements and challenges faced during the integration of multi-omics with advanced imaging data. We identify state-of-the-art FMs, publicly available multi-modal repositories, and advanced tools and methods for data integration. We argue that current state-of-the-art integration methods provide the essential groundwork for developing the next generation of large-scale, pre-trained models poised to further revolutionize oncology. To the best of our knowledge, this is the first review to systematically map the transition from conventional ML to advanced FM for multimodal data integration in oncology, while also framing these developments as foundational for the forthcoming era of large-scale AI models in cancer research. The GitHub repo of this project available at https://github.com/WuLabMDA/Medical-Foundation-Models.</t>
  </si>
  <si>
    <t>Muneer, Amgad; Waqas, Muhammad; Saad, Maliazurina B.; Showkatian, Eman; Bandyopadhyay, Rukhmini; Xu, Hui; Li, Wentao; Chang, Joe Y.; Liao, Zhongxing; Haymaker, Cara; Soto, Luisa Solis; Wu, Carol C.; Vokes, Natalie I.; Le, Xiuning; Byers, Lauren A.; Gibbons, Don L.; Heymach, John V.; Zhang, Jianjun; Wu, Jia</t>
  </si>
  <si>
    <t>Wu, J (corresponding author), Univ Texas MD Anderson Canc Ctr, Dept Imaging Phys, Houston, TX 77030 USA.; Wu, J (corresponding author), Univ Texas MD Anderson Canc Ctr, Dept Thorac Head &amp; Neck Med Oncol, Houston, TX 77030 USA.</t>
  </si>
  <si>
    <t>jwu11@mdanderson.org</t>
  </si>
  <si>
    <t>NIH/NCI P30CA016672, NIH R01CA262425, NIH R01CA276178 , NIH U24CA224285, CPRIT RP240117</t>
  </si>
  <si>
    <t>This work was supported by generous philanthropic contributions to the MD Anderson Lung Cancer Moon Shot program as well as by the NIH/NCI under award number P30CA016672. This research was partially supported by NIH grants R01CA262425 and R01CA276178, as well as CPRIT RP240117 and NIH U24CA224285. This work was supported by the Tumor Measurement Initiative through the MD Anderson Strategic Initiative Development Program, Permanent Health Funds, and QIAC Partnership in Research Grant. Furthermore, this work was supported by generous philanthropic contributions from Andrea Mugnaini and Edward L. C. Smith. Finally, this work was supported by Rexanna's Foundation for Fighting Lung Cancer.</t>
  </si>
  <si>
    <t>[Muneer, Amgad; Waqas, Muhammad; Saad, Maliazurina B.; Showkatian, Eman; Bandyopadhyay, Rukhmini; Xu, Hui; Li, Wentao; Wu, Jia] Univ Texas MD Anderson Canc Ctr, Dept Imaging Phys, Houston, TX 77030 USA; [Vokes, Natalie I.; Le, Xiuning; Byers, Lauren A.; Gibbons, Don L.; Heymach, John V.; Zhang, Jianjun; Wu, Jia] Univ Texas MD Anderson Canc Ctr, Dept Thorac Head &amp; Neck Med Oncol, Houston, TX 77030 USA; [Chang, Joe Y.; Liao, Zhongxing] Univ Texas MD Anderson Canc Ctr, Dept Thorac Radiat Oncol, Houston, TX 77030 USA; [Haymaker, Cara; Soto, Luisa Solis] Univ Texas MD Anderson Canc Ctr, Dept Translat Mol Pathol, Houston, TX 77030 USA; [Wu, Carol C.] Univ Texas MD Anderson Canc Ctr, Dept Thorac Imaging, Houston, TX 77030 USA</t>
  </si>
  <si>
    <t>University of Texas System; UTMD Anderson Cancer Center; University of Texas System; UTMD Anderson Cancer Center; University of Texas System; UTMD Anderson Cancer Center; University of Texas System; UTMD Anderson Cancer Center; University of Texas System; UTMD Anderson Cancer Center</t>
  </si>
  <si>
    <t>From classical machine learning to emerging foundation models: review on multimodal data integration for cancer research</t>
  </si>
  <si>
    <t>ARTIFICIAL INTELLIGENCE REVIEW</t>
  </si>
  <si>
    <t>Multimodal data fusion; Cancer diagnosis; Prognosis; Machine learning; Deep learning; Foundation models; Biomarker discovery; Artificial intelligence</t>
  </si>
  <si>
    <t>DIGITAL PATHOLOGY; ARTIFICIAL-INTELLIGENCE; RNA; MECHANISMS; CHALLENGES; PROGNOSIS; NETWORKS</t>
  </si>
  <si>
    <t>Showkatian, Eman/AAW-7552-2021; Muneer, Amgad/AAT-8412-2020; wu, jia/GXW-0373-2022; Waqas, Muhammad/HJA-4280-2022; Heymach, John/AAG-2361-2019</t>
  </si>
  <si>
    <t>XU, HUI/0009-0003-6217-5885; Muneer, Amgad/0000-0002-7157-3020</t>
  </si>
  <si>
    <t>226</t>
  </si>
  <si>
    <t>0269-2821</t>
  </si>
  <si>
    <t>1573-7462</t>
  </si>
  <si>
    <t>ARTIF INTELL REV</t>
  </si>
  <si>
    <t>Artif. Intell. Rev.</t>
  </si>
  <si>
    <t>FEB 21 2026</t>
  </si>
  <si>
    <t>59</t>
  </si>
  <si>
    <t>119</t>
  </si>
  <si>
    <t>10.1007/s10462-026-11522-9</t>
  </si>
  <si>
    <t>http://dx.doi.org/10.1007/s10462-026-11522-9</t>
  </si>
  <si>
    <t>69</t>
  </si>
  <si>
    <t>Computer Science, Artificial Intelligence</t>
  </si>
  <si>
    <t>FA4JJ</t>
  </si>
  <si>
    <t>WOS:001714071400002</t>
  </si>
  <si>
    <t>Lin, WC; Jordan, BK; Scottoline, B; Ostmo, SR; Coyner, AS; Singh, P; Kalpathy-Cramer, J; Erdogmus, D; Chan, RVP; Chiang, MF; Campbell, JP</t>
  </si>
  <si>
    <t>Purpose Retinopathy of prematurity (ROP) is one of the leading causes of blindness in children. Although the role of oxygen in the pathophysiology of ROP is well established, a precise understanding of the dynamic relationship between oxygen exposure ROP incidence and severity is lacking. The purpose of this study was to evaluate the correlation between time-dependent oxygen variables and the onset of ROP.Design Retrospective cohort study.Participants Two hundred thirty infants who were born at a single academic center and met the inclusion criteria were included. Infants are mainly born between January 2011 and October 2022.Methods Patient data were extracted from electronic health records (EHRs), with sufficient time-dependent oxygen data. Clinical outcomes for ROP were recorded as none/mild or moderate/severe (defined as type II or worse). Mixed-effects linear models were used to compare the 2 groups in terms of dynamic oxygen variables, such as daily average and the coefficient of variation (COV) fraction of inspired oxygen (FiO(2)). Support vector machine (SVM) and long-short-term memory (LSTM)-based multimodal models were trained with fivefold cross-validation to predict which infants would develop moderate/severe ROP. Gestational age (GA), birth weight, and time-dependent oxygen variables were used to develop predictive models.Main Outcome Measures Model cross-validation performance was evaluated by computing the mean area under the receiver operating characteristic (AUROC) curve, precision, recall, and F1 score.ResultsWe found that both daily average and COV of FiO(2) were associated with more severe ROP (adjusted P &lt; 0.001). With fivefold cross-validation, the multimodal LSTM models had higher performance than the best static models (SVM using GA and 3 average FiO(2) features) and SVM models trained on GA alone (mean AUROC = 0.89 +/- 0.04 vs. 0.86 +/- 0.05 vs. 0.83 +/- 0.04).Conclusions The development of severe ROP might not only be influenced by oxygen exposure but also by its fluctuation, which provides direction for future study of pathophysiological factors associated with severe ROP development. Additionally, we demonstrated that multimodal neural networks can be a method to extract useful information from time-series data, which may be a valuable methodology for the investigation of other diseases using EHR data.</t>
  </si>
  <si>
    <t>Lin, Wei-Chun; Jordan, Brian K.; Scottoline, Brian; Ostmo, Susan R.; Coyner, Aaron S.; Singh, Praveer; Kalpathy-Cramer, Jayashree; Erdogmus, Deniz; Chan, R. V. Paul; Chiang, Michael F.; Campbell, J. Peter</t>
  </si>
  <si>
    <t>Campbell, JP (corresponding author), Oregon Hlth &amp; Sci Univ, Dept Ophthalmol, 3375 SW Terwilliger Blvd, Portland, OR 97239 USA.</t>
  </si>
  <si>
    <t>campbelp@ohsu.edu</t>
  </si>
  <si>
    <t>National Institutes of Health (Bethesda, MD) [R01 EY019474, R01 EY031331, R21 EY031883, P30 EY10572]; Research to Prevent Blindness (New York, NY)</t>
  </si>
  <si>
    <t>National Institutes of Health (Bethesda, MD) (United States Department of Health &amp; Human Services, National Institutes of Health (NIH) - USA); Research to Prevent Blindness (New York, NY) (Research to Prevent Blindness (RPB))</t>
  </si>
  <si>
    <t>Supported by grants R01 EY019474, R01 EY031331, R21 EY031883, and P30 EY10572 from the National Institutes of Health (Bethesda, MD) and by unrestricted departmental funding and a Career Development Award (J.P.C.) from Research to Prevent Blindness (New York, NY) . The sponsor or funding organization had no role in the design or conduct of this research.</t>
  </si>
  <si>
    <t>[Lin, Wei-Chun; Ostmo, Susan R.; Coyner, Aaron S.; Campbell, J. Peter] Oregon Hlth &amp; Sci Univ, Dept Ophthalmol, Portland, OR USA; [Jordan, Brian K.; Scottoline, Brian] Oregon Hlth &amp; Sci Univ, Dept Neonatol, Portland, OR USA; [Singh, Praveer; Kalpathy-Cramer, Jayashree] Univ Colorado CU Sch Med, Dept Ophthalmol, Denver, CO USA; [Erdogmus, Deniz] Northeastern Univ, Dept Elect &amp; Comp Engn, Boston, MA USA; [Chan, R. V. Paul] Univ Illinois, Dept Ophthalmol &amp; Visual Sci, Chicago, IL USA; [Chiang, Michael F.] NIH, NEI, Bethesda, MD USA; [Chiang, Michael F.] NIH, Natl Lib Med, Bethesda, MD USA; [Campbell, J. Peter] Oregon Hlth &amp; Sci Univ, Dept Ophthalmol, 3375 SW Terwilliger Blvd, Portland, OR 97239 USA</t>
  </si>
  <si>
    <t>Oregon Health &amp; Science University; Oregon Health &amp; Science University; Northeastern University; University of Illinois System; University of Illinois Chicago; University of Illinois Chicago Hospital; National Institutes of Health (NIH) - USA; NIH National Eye Institute (NEI); National Institutes of Health (NIH) - USA; NIH National Library of Medicine (NLM); Oregon Health &amp; Science University</t>
  </si>
  <si>
    <t>Oxygenation Fluctuations Associated with Severe Retinopathy of Prematurity Insights from a Multimodal Deep Learning Approach</t>
  </si>
  <si>
    <t>OPHTHALMOLOGY SCIENCE</t>
  </si>
  <si>
    <t>Retinopathy of prematurity; Deep learning; Multimodal model; Machine learning; Time series data</t>
  </si>
  <si>
    <t>RISK-FACTORS; SATURATION; INFANTS</t>
  </si>
  <si>
    <t>Coyner, Aaron/W-5592-2019</t>
  </si>
  <si>
    <t>Kalpathy-Cramer, Jayashree/0000-0001-8906-9618; Lin, Wei-Chun/0000-0002-2226-4619</t>
  </si>
  <si>
    <t>2666-9145</t>
  </si>
  <si>
    <t>OPHTHALMOL SCI</t>
  </si>
  <si>
    <t>Ophthalmol. Sci.</t>
  </si>
  <si>
    <t>MAR-APR 2024</t>
  </si>
  <si>
    <t>100417</t>
  </si>
  <si>
    <t>10.1016/j.xops.2023.100417</t>
  </si>
  <si>
    <t>http://dx.doi.org/10.1016/j.xops.2023.100417</t>
  </si>
  <si>
    <t>CV9K6</t>
  </si>
  <si>
    <t>38059124</t>
  </si>
  <si>
    <t>WOS:001128126600001</t>
  </si>
  <si>
    <t>Wan, MY; Ding, YF; Wang, YL; Jia, YL; Wu, SQ; Qu, WX; Xu, YF; Fu, WG; Timko, MP; Wan, LD; Ying, L; Ye, CQ; Chen, RY; Li, Q; He, YQ; Xu, KY; Xu, N; Chen, JZ; Zheng, DY; Shen, YF; Ruan, J</t>
  </si>
  <si>
    <t>Surgical resection is the primary curative treatment for intrahepatic cholangiocarcinoma (ICC), yet high postoperative recurrence rates pose a significant challenge. We developed an interpretable, transformer-based deep-learning pipeline that integrates multimodal data-including clinical variables, radiomic features, and whole-slide pathology images-by fusing a pre-trained encoder with a transformer network. To biologically validate our model, we leveraged spatial transcriptomics and proteomics to decipher the attention mechanisms underlying its predictions. It demonstrated robust performance in predicting 2-year overall survival, with area under the curve (AUC) values of 0.952 (95% CI: 0.909-0.983), 0.924 (95% CI: 0.804-1.000), and 0.924 (95% CI: 0.828-0.993) in three independent validation cohorts. Interrogation via spatial multi-omics revealed that the model's attention was preferentially focused on regions histologically and molecularly associated with tumor invasion and aggressive behavior. We present a novel, interpretable multimodal deep-learning framework that achieves superior postoperative risk stratification for ICC patients.</t>
  </si>
  <si>
    <t>Wan, Mingyu; Ding, Yongfeng; Wang, Yanli; Jia, Yunlu; Wu, Siqi; Qu, Wenxin; Xu, Yifan; Fu, Wenguang; Timko, Michael P.; Wan, Ledong; Ying, Le; Ye, Chanqi; Chen, Ruyin; Li, Qiong; He, Yuqing; Xu, Keyi; Xu, Nong; Chen, Jinzhang; Zheng, Dayong; Shen, Yifei; Ruan, Jian</t>
  </si>
  <si>
    <t>Ruan, J (corresponding author), Zhejiang Univ, Sch Med, Affiliated Hosp 1, Dept Med Oncol, Hangzhou, Peoples R China.; Ruan, J (corresponding author), Minist Educ, Key Lab Canc Prevent &amp; Intervent, Hangzhou, Peoples R China.; Shen, YF (corresponding author), Zhejiang Univ, Affiliated Hosp 1, Dept Lab Med, Sch Med, Hangzhou, Peoples R China.; Chen, JZ (corresponding author), Southern Med Univ, Nanfang Hosp, Dept Oncol, Guangzhou, Peoples R China.; Zheng, DY (corresponding author), Southern Med Univ, Shunde Hosp, Dept Oncol, Shunde, Peoples R China.; Shen, YF (corresponding author), Univ Texas MD Anderson Canc Ctr, Dept Bioinformat &amp; Computat Biol, Houston, TX 77030 USA.</t>
  </si>
  <si>
    <t>yifeishen@zju.edu.cn; software233@zju.edu.cn; zhengdayong@hotmail.com; chenjinzhang@smu.edu.cn</t>
  </si>
  <si>
    <t>A Project Supported by Scientific Research Fund of Zhejiang Provincial Education Department [Y202045631]; Zhejiang Provincial Natural Science Foundation of China [LQ23H200003, LY22H160019]; Beijing Xisike Clinical Oncology Research Foundation [Y-MSDZD2022-0161]; National Natural Science Foundation of China [82402729, 82473004]; "Pioneer" and "Leading Goose" R&amp;D Program of Zhejiang [2024C03175]</t>
  </si>
  <si>
    <t>A Project Supported by Scientific Research Fund of Zhejiang Provincial Education Department; Zhejiang Provincial Natural Science Foundation of China (Natural Science Foundation of Zhejiang Province); Beijing Xisike Clinical Oncology Research Foundation; National Natural Science Foundation of China (National Natural Science Foundation of China (NSFC)); "Pioneer" and "Leading Goose" R&amp;D Program of Zhejiang</t>
  </si>
  <si>
    <t>This work was supported by the "Pioneer" and "Leading Goose" R&amp;D Program of Zhejiang (2024C03175), National Natural Science Foundation of China (82473004, 82402729), Zhejiang Provincial Natural Science Foundation of China (LY22H160019, LQ23H200003), Beijing Xisike Clinical Oncology Research Foundation (Y-MSDZD2022-0161) and A Project Supported by Scientific Research Fund of Zhejiang Provincial Education Department (Y202045631).</t>
  </si>
  <si>
    <t>[Wan, Mingyu; Ding, Yongfeng; Jia, Yunlu; Ye, Chanqi; Chen, Ruyin; Li, Qiong; He, Yuqing; Xu, Keyi; Xu, Nong; Ruan, Jian] Zhejiang Univ, Sch Med, Affiliated Hosp 1, Dept Med Oncol, Hangzhou, Peoples R China; [Wan, Mingyu; Ding, Yongfeng; Jia, Yunlu; Ye, Chanqi; Chen, Ruyin; Li, Qiong; He, Yuqing; Xu, Keyi; Xu, Nong; Ruan, Jian] Minist Educ, Key Lab Canc Prevent &amp; Intervent, Hangzhou, Peoples R China; [Wang, Yanli] Zhejiang Univ, Sch Med, Affiliated Hosp 1, Dept Pathol, Hangzhou, Peoples R China; [Wu, Siqi] Zhengzhou Univ, Clin Sch Med 1, Zhengzhou, Peoples R China; [Qu, Wenxin; Xu, Yifan; Shen, Yifei] Zhejiang Univ, Affiliated Hosp 1, Dept Lab Med, Sch Med, Hangzhou, Peoples R China; [Fu, Wenguang] Southwest Med Univ, Dept Hepatobiliary Surg, Affiliated Hosp, Luzhou, Peoples R China; [Timko, Michael P.] Univ Virginia, Dept Biol &amp; Publ Hlth Sci, Charlottesville, VA USA; [Wan, Ledong] SUNY Stony Brook, Renaissance Sch Med, Dept Pharmacol Sci, Stony Brook, NY USA; [Ying, Le] Monash Univ, Dept Med, Clayton, Vic, Australia; [Chen, Jinzhang] Southern Med Univ, Nanfang Hosp, Dept Oncol, Guangzhou, Peoples R China; [Zheng, Dayong] Southern Med Univ, Shunde Hosp, Dept Oncol, Shunde, Peoples R China; [Shen, Yifei] Univ Texas MD Anderson Canc Ctr, Dept Bioinformat &amp; Computat Biol, Houston, TX 77030 USA</t>
  </si>
  <si>
    <t>Zhejiang University; Zhejiang University; Zhengzhou University; Zhejiang University; Monash University; Monash Medical Centre; Southern Medical University - China; Southern Medical University - China; University of Texas System; UTMD Anderson Cancer Center</t>
  </si>
  <si>
    <t>Interpretable multimodal deep learning improves postoperative risk stratification in intrahepatic cholangiocarcinoma in multicentre cohorts</t>
  </si>
  <si>
    <t>NPJ DIGITAL MEDICINE</t>
  </si>
  <si>
    <t>ARTIFICIAL-INTELLIGENCE; TECHNOLOGIES</t>
  </si>
  <si>
    <t>Wan, Ledong/J-8445-2017; SHEN, Y/PTF-5255-2026; fu, wenguang/ABI-7883-2020; ZHENG, DAYONG/LEL-8458-2024; Qu, Wenxin/IUQ-4187-2023</t>
  </si>
  <si>
    <t>Wan, Ledong/0000-0002-2450-3986; XU, YIFAN/0009-0000-3243-8195; ZHENG, DAYONG/0000-0001-7975-8946</t>
  </si>
  <si>
    <t>2398-6352</t>
  </si>
  <si>
    <t>NPJ DIGIT MED</t>
  </si>
  <si>
    <t>npj Digit. Med.</t>
  </si>
  <si>
    <t>DEC 29 2025</t>
  </si>
  <si>
    <t>95</t>
  </si>
  <si>
    <t>10.1038/s41746-025-02282-x</t>
  </si>
  <si>
    <t>http://dx.doi.org/10.1038/s41746-025-02282-x</t>
  </si>
  <si>
    <t>CT9YY</t>
  </si>
  <si>
    <t>41466129</t>
  </si>
  <si>
    <t>WOS:001674389900001</t>
  </si>
  <si>
    <t>Qiu, WJ; Yang, JS; Wang, B; Yang, M; Tian, G; Wang, PZ; Yang, JL</t>
  </si>
  <si>
    <t>Microsatellite instability (MSI), an important biomarker for immunotherapy and the diagnosis of Lynch syndrome, refers to the change of microsatellite (MS) sequence length caused by insertion or deletion during DNA replication. However, traditional wet-lab experiment-based MSI detection is time-consuming and relies on experimental conditions. In addition, a comprehensive study on the associations between MSI status and various molecules like mRNA and miRNA has not been performed. In this study, we first studied the association between MSI status and several molecules including mRNA, miRNA, lncRNA, DNA methylation, and copy number variation (CNV) using colorectal cancer data from The Cancer Genome Atlas (TCGA). Then, we developed a novel deep learning framework to predict MSI status based solely on hematoxylin and eosin (H&amp;E) staining images, and combined the H&amp;E image with the above-mentioned molecules by multimodal compact bilinear pooling. Our results showed that there were significant differences in mRNA, miRNA, and lncRNA between the high microsatellite instability (MSI-H) patient group and the low microsatellite instability or microsatellite stability (MSI-L/MSS) patient group. By using the H&amp;E image alone, one can predict MSI status with an acceptable prediction area under the curve (AUC) of 0.809 in 5-fold cross-validation. The fusion models integrating H&amp;E image with a single type of molecule have higher prediction accuracies than that using H&amp;E image alone, with the highest AUC of 0.952 achieved when combining H&amp;E image with DNA methylation data. However, prediction accuracy will decrease when combining H&amp;E image with all types of molecular data. In conclusion, combining H&amp;E image with deep learning can predict the MSI status of colorectal cancer, the accuracy of which can further be improved by integrating appropriate molecular data. This study may have clinical significance in practice.</t>
  </si>
  <si>
    <t>Qiu, Wenjing; Yang, Jiasheng; Wang, Bing; Yang, Min; Tian, Geng; Wang, Peizhen; Yang, Jialiang</t>
  </si>
  <si>
    <t>Wang, PZ (corresponding author), Anhui Univ Technol, Sch Elect &amp; Informat Engn, Maanshan, Peoples R China.; Yang, JL (corresponding author), Geneis Beijing Co Ltd, Sci Syst Dept, Beijing, Peoples R China.; Yang, JL (corresponding author), Qingdao Genesis Inst Big Data Min &amp; Precis Med, Qingdao, Peoples R China.</t>
  </si>
  <si>
    <t>pzhwang@ahut.edu.cn; yangjl@geneis.cn</t>
  </si>
  <si>
    <t>National Natural Science Foundation of China [51574004, 62172004]; Natural Science Foundation of the Higher Education Institutions of Anhui Province, China [KJ2019A0085]; Academic Foundation for Top Talents of the Higher Education Institutions of Anhui Province [gxbjZD2016041]; Educational Commission of Anhui Province [KJ2019ZD05]</t>
  </si>
  <si>
    <t>National Natural Science Foundation of China (National Natural Science Foundation of China (NSFC)); Natural Science Foundation of the Higher Education Institutions of Anhui Province, China; Academic Foundation for Top Talents of the Higher Education Institutions of Anhui Province; Educational Commission of Anhui Province</t>
  </si>
  <si>
    <t>Funding This research was funded by the National Natural Science Foundation of China (numbers 51574004 and 62172004), the Natural Science Foundation of the Higher Education Institutions of Anhui Province, China (KJ2019A0085), the Academic Foundation for Top Talents of the Higher Education Institutions of Anhui Province (gxbjZD2016041), and the Educational Commission of Anhui Province (KJ2019ZD05).</t>
  </si>
  <si>
    <t>[Qiu, Wenjing; Yang, Jiasheng; Wang, Bing; Yang, Min; Wang, Peizhen] Anhui Univ Technol, Sch Elect &amp; Informat Engn, Maanshan, Peoples R China; [Qiu, Wenjing; Yang, Min; Tian, Geng; Yang, Jialiang] Geneis Beijing Co Ltd, Sci Syst Dept, Beijing, Peoples R China; [Tian, Geng; Yang, Jialiang] Qingdao Genesis Inst Big Data Min &amp; Precis Med, Qingdao, Peoples R China</t>
  </si>
  <si>
    <t>Anhui University of Technology</t>
  </si>
  <si>
    <t>Evaluating the Microsatellite Instability of Colorectal Cancer Based on Multimodal Deep Learning Integrating Histopathological and Molecular Data</t>
  </si>
  <si>
    <t>FRONTIERS IN ONCOLOGY</t>
  </si>
  <si>
    <t>microsatellite instability; H&amp;E images; multi-omics data; multimodal deep learning; compact bilinear pooling</t>
  </si>
  <si>
    <t>5-FLUOROURACIL; DNA</t>
  </si>
  <si>
    <t>Yang, Jialiang/GSD-8161-2022; QIU, WENJING/GZL-9992-2022</t>
  </si>
  <si>
    <t>Yang, Jialiang/0000-0003-4689-8672</t>
  </si>
  <si>
    <t>32</t>
  </si>
  <si>
    <t>2234-943X</t>
  </si>
  <si>
    <t>FRONT ONCOL</t>
  </si>
  <si>
    <t>Front. Oncol.</t>
  </si>
  <si>
    <t>JUL 5 2022</t>
  </si>
  <si>
    <t>925079</t>
  </si>
  <si>
    <t>10.3389/fonc.2022.925079</t>
  </si>
  <si>
    <t>http://dx.doi.org/10.3389/fonc.2022.925079</t>
  </si>
  <si>
    <t>3C4WI</t>
  </si>
  <si>
    <t>35865460</t>
  </si>
  <si>
    <t>WOS:000828624400001</t>
  </si>
  <si>
    <t>Brehmer, A; Seibold, C; Egger, J; Majjouti, K; Tapp-Herrenbrueck, M; Pinnekamp, H; Priester, V; Aleithe, M; Fischer, U; Hosters, B; Kleesiek, J</t>
  </si>
  <si>
    <t>Background: Pressure ulcers (PUs) and incontinence-associated dermatitis (IAD) are prevalent conditions in clinical settings, posing significant challenges due to their similar presentations but differing treatment needs. Accurate differentiation between PUs and IAD is essential for appropriate patient care, yet it remains a burden for nursing staff and wound care experts. Objective: This study aims to develop and introduce a robust multimodal deep learning framework for the classification of PUs and IAD, along with the fine-grained categorization of their respective wound severities, to enhance diagnostic accuracy and support clinical decision-making. Methods: We collected and annotated a dataset of 1555 wound images, achieving consensus among 4 wound experts. Our framework integrates wound images with categorical patient data to improve classification performance. We evaluated 4 models-2 convolutional neural networks and 2 transformer-based architectures-each with approximately 25 million parameters. Various data preprocessing strategies, augmentation techniques, training methods (including multimodal data integration, synthetic data generation, and sampling), and postprocessing approaches (including ensembling and test-time augmentation) were systematically tested to optimize model performance. Results: The transformer-based TinyViT model achieved the highest performance in binary classification of PU and IAD, with an F1-score (harmonic mean of precision and recall) of 93.23%, outperforming wound care experts and nursing staff on the test dataset. In fine-grained classification of wound categories, the TinyViT model also performed best for PU categories with an F1-score of 75.43%, while ConvNeXtV2 showed superior performance in IAD category classification with an F1-score of 53.20%. Incorporating multimodal data improved performance in binary classification but had less impact on fine-grained categorization. Augmentation strategies and training techniques significantly influenced model performance, with ensembling enhancing accuracy across all tasks. Conclusions: Our multimodal deep learning framework effectively differentiates between PUs and IAD, achieving high accuracy and outperforming human wound care experts. By integrating wound images with categorical patient data, the model enhances diagnostic precision, offering a valuable decision-support tool for health care professionals. This advancement has the potential to reduce diagnostic uncertainty, optimize treatment pathways, and alleviate the burden on medical staff, leading to faster interventions and improved patient outcomes. The framework's strong performance suggests practical applications in clinical settings, such as integration into hospital electronic health record systems or mobile applications for bedside diagnostics. Future work should focus on validating real-world implementation, expanding dataset diversity, and refining fine-grained classification capabilities to further enhance clinical utility.</t>
  </si>
  <si>
    <t>Brehmer, Alexander; Seibold, Constantin; Egger, Jan; Majjouti, Khalid; Tapp-Herrenbrueck, Michaela; Pinnekamp, Hannah; Priester, Vanessa; Aleithe, Michael; Fischer, Uli; Hosters, Bernadette; Kleesiek, Jens</t>
  </si>
  <si>
    <t>Brehmer, A (corresponding author), Essen Univ Hosp, Inst Artificial Intelligence Med, Girardetstr 2, D-45131 Essen, Germany.</t>
  </si>
  <si>
    <t>alexander.brehmer@uk-essen.de</t>
  </si>
  <si>
    <t>German Federal Ministry of Education and Research [V6KIP039]</t>
  </si>
  <si>
    <t>German Federal Ministry of Education and Research (Federal Ministry of Education &amp; Research (BMBF))</t>
  </si>
  <si>
    <t>Acknowledgments We would like to express our sincere gratitude to the wound care experts and nursing staff at University Hospital Essen and Ludwig Maximilian University Hospital Munich for their invaluable assistance in data collection and annotation. We also thank the KIADEKU project team for their collaboration and support throughout this study. This work was supported by the German Federal Ministry of Education and Research (V6KIP039)</t>
  </si>
  <si>
    <t>[Brehmer, Alexander; Seibold, Constantin; Egger, Jan; Kleesiek, Jens] Essen Univ Hosp, Inst Artificial Intelligence Med, Girardetstr 2, D-45131 Essen, Germany; [Egger, Jan] Univ Med Essen, Ctr Virtual &amp; Extended Real Med, Essen, Germany; [Egger, Jan; Kleesiek, Jens] Univ Duisburg Essen, Fac Comp Sci, Essen, Germany; [Majjouti, Khalid; Tapp-Herrenbrueck, Michaela; Hosters, Bernadette] Univ Hosp Essen, Dept Nursing Dev &amp; Nursing Res, Essen, Germany; [Pinnekamp, Hannah; Priester, Vanessa; Fischer, Uli] Hosp Ludwig Maximilian Univ, Dept Clin Nursing Res &amp; Qual Management, Munich, Germany; [Aleithe, Michael] Sciendis GmbH, Leipzig, Germany</t>
  </si>
  <si>
    <t>University of Duisburg Essen; University of Duisburg Essen; University of Duisburg Essen; University of Munich</t>
  </si>
  <si>
    <t>Fine-Grained Classification of Pressure Ulcers and Incontinence-Associated Dermatitis Using Multimodal Deep Learning: Algorithm Development and Validation Study</t>
  </si>
  <si>
    <t>JMIR AI</t>
  </si>
  <si>
    <t>computer vision; image classification; wound classification; deep learning; pressure ulcer; incontinence-associated dermatitis; multi modal data; synthetic image generation</t>
  </si>
  <si>
    <t>Egger, Jan/AEM-2045-2022; Pinnekamp, Hannah/HPG-6567-2023; Fischer, Uli/ISB-0456-2023</t>
  </si>
  <si>
    <t>Egger, Jan/0000-0002-5225-1982; Seibold, Constantin/0000-0001-6042-8437; Pinnekamp, Hannah/0000-0003-1330-4372; Fischer, Uli/0000-0003-1398-6510; Rentschler, Vanessa/0009-0003-7355-0062; Hosters, Bernadette/0000-0002-5142-0385; Tapp-Herrenbrück, Michaela/0009-0007-4280-177X; Brehmer, Alexander/0009-0000-2795-6174</t>
  </si>
  <si>
    <t>2817-1705</t>
  </si>
  <si>
    <t>e67356</t>
  </si>
  <si>
    <t>10.2196/67356</t>
  </si>
  <si>
    <t>http://dx.doi.org/10.2196/67356</t>
  </si>
  <si>
    <t>2QE3P</t>
  </si>
  <si>
    <t>40605794</t>
  </si>
  <si>
    <t>WOS:001488674200001</t>
  </si>
  <si>
    <t>Wu, XY; Liu, H; Liu, JY; Mu, B'; Li, JF; Wang, SY; Li, FL; Lu, XX; Chen, J; Peng, YL; Yi, YH; Lv, JC; Bu, H</t>
  </si>
  <si>
    <t>Hormone receptor-positive/human epidermal growth factor receptor 2-negative (HR+/HER2-) early breast cancer (EBC) patients face long-term recurrence risk despite standard treatment. Current prognostic tools relying on clinicopathological factors or multigene assays have limited accuracy or accessibility. In this study, we developed a multimodal recurrence risk prediction (MRRP) model integrating routinely available clinical data, including whole-slide images (WISs), ultrasound (US) imaging and diagnostic reports, and structured clinical parameters. The MRRP model employs a hierarchical transformer-based fusion framework with innovative intra- and intermodality cross-attention mechanisms to dynamically integrate diverse feature representations. Using a well-curated cohort of 768 HR+/HER2- EBC patients with long-term follow-up, MRRP demonstrated superior prognostic performance (C-index = 0.840) compared to single-modality models, with robust time-dependent AUCs exceeding 0.85 at 3, 5, and 7 years. Ablation studies highlighted the central role of pathology features and the complementary value of US and clinical data. We further validated the optimal query selection strategies and evaluated different pretrained encoders, revealing complex modality interactions. To address real-world challenges of missing modality data, a learnable compensation mechanism was implemented, improving model robustness. Our study provides a clinically practical, AI-driven tool for precise risk stratification in HR+/HER2- EBC patients, facilitating individualized treatment and surveillance decisions without reliance on costly multi-omics data.</t>
  </si>
  <si>
    <t>Wu, Xiaoyan; Liu, Hong; Liu, Jingyan; Mu, Bing'an; Li, Jianfei; Wang, Siyu; Li, Fengling; Lu, Xunxi; Chen, Jie; Peng, Yulan; Yi, Yuhao; Lv, Jiancheng; Bu, Hong</t>
  </si>
  <si>
    <t>Yi, YH (corresponding author), Sichuan Univ, West China Hosp, Inst Clin Pathol, Chengdu, Peoples R China.; Peng, YL (corresponding author), Sichuan Univ, West China Hosp, Dept Med Ultrasound, Chengdu, Peoples R China.</t>
  </si>
  <si>
    <t>yulanpeng@163.com; yuhaoyi@scu.edu.cn</t>
  </si>
  <si>
    <t>"Qimingxing" Research Fund for Young Talents [HXQMX0030]; National Natural Science Foundation of China [62303338]; Sichuan Science and Technology Program [2024YFFK0339]</t>
  </si>
  <si>
    <t>"Qimingxing" Research Fund for Young Talents; National Natural Science Foundation of China (National Natural Science Foundation of China (NSFC)); Sichuan Science and Technology Program</t>
  </si>
  <si>
    <t>This study was supported by the National Natural Science Foundation of China (grant no. 62303338), the Natural Science Foundation of Sichuan Province (grant no.2026NSFSC1491), the Sichuan Science and Technology Program (grant no. 2024YFFK0339), and the "Qimingxing" Research Fund for Young Talents (grant no. HXQMX0030).</t>
  </si>
  <si>
    <t>[Wu, Xiaoyan; Li, Fengling; Lu, Xunxi; Bu, Hong] Sichuan Univ, West China Hosp, Dept Pathol, Chengdu, Peoples R China; [Wu, Xiaoyan; Lu, Xunxi; Chen, Jie; Yi, Yuhao; Bu, Hong] Sichuan Univ, West China Hosp, Inst Clin Pathol, Chengdu, Peoples R China; [Liu, Hong; Mu, Bing'an; Lv, Jiancheng] Sichuan Univ, Coll Comp Sci, Chengdu, Peoples R China; [Liu, Jingyan; Wang, Siyu; Peng, Yulan] Sichuan Univ, West China Hosp, Dept Med Ultrasound, Chengdu, Peoples R China; [Li, Jianfei] Chongqing Univ Posts &amp; Telecommun, Coll Comp Sci &amp; Technol, Chongqing, Peoples R China</t>
  </si>
  <si>
    <t>Sichuan University; Sichuan University; Sichuan University; Sichuan University; Chongqing University of Posts &amp; Telecommunications</t>
  </si>
  <si>
    <t>Multimodal Deep Learning with Routine Clinical Data for Recurrence Risk Stratification in HR+/HER2- Early Breast Cancer</t>
  </si>
  <si>
    <t>70-GENE PROGNOSIS-SIGNATURE; ARTIFICIAL-INTELLIGENCE; FOUNDATION MODEL; DATA INTEGRATION; TAMOXIFEN; REPRESENTATION; VALIDATION; PREDICTOR; GRADE; ASSAY</t>
  </si>
  <si>
    <t>MAR 30 2026</t>
  </si>
  <si>
    <t>1136</t>
  </si>
  <si>
    <t>10.34133/research.1136</t>
  </si>
  <si>
    <t>http://dx.doi.org/10.34133/research.1136</t>
  </si>
  <si>
    <t>FU4KT</t>
  </si>
  <si>
    <t>41919095</t>
  </si>
  <si>
    <t>WOS:001727655000001</t>
  </si>
  <si>
    <t>Cao, JB; Long, XJ</t>
  </si>
  <si>
    <t>The clinical diagnosis of Parkinson's disease (PD) primarily relies on clinician-administered observational assessment tools, such as the Unified Parkinson's Disease Rating Scale (UPDRS). However, these approaches are significantly influenced by subjectivity and exhibit insufficient sensitivity for early-stage symptom detection. The introduction of deep learning techniques has opened new avenues for the early diagnosis of PD. In contrast to traditional methods, deep learning models are capable of processing large-scale, high-dimensional, and complex datasets to automatically learn latent feature relationships, making them particularly suitable for scenarios involving multimodal data fusion. The multimodal diagnosis of PD is confronted with two enduring challenges: (1) the dependence on pre-existing knowledge of established genetic risk loci, and (2) the low efficiency and limited interpretability in handling interactions among cross-modal features. To address these challenges, this study introduces an innovative multimodal deep learning framework with two primary contributions: (1) a Genome-Wide Association Study (GWAS)-Transformer architecture that autonomously selects single nucleotide polymorphism (SNP) features through GWAS and utilizes a multi-head attention mechanism to model potential associations between non-risk loci, thereby eliminating the reliance on known susceptibility genes; (2) a Residual Attention Contrastive Fusion (RACF) module that tackles the heterogeneity of cross-modal features by dynamically allocating attention weights and applying contrastive loss constraints. Evaluation results on the Parkinson's Progression Markers Initiative (PPMI) dataset demonstrate that our model achieves a classification accuracy of 91.2% and an AUC of 0.94, and predicts nine potential novel risk loci. This work presents a novel paradigm for the discovery of new risk loci based on deep learning and offers valuable insights from a multi-omics perspective for advancing PD research.</t>
  </si>
  <si>
    <t>Cao, Jiangbo; Long, Xiaojing</t>
  </si>
  <si>
    <t>Long, XJ (corresponding author), Chinese Acad Sci, Shenzhen Inst Adv Technol, Shenzhen 518055, Peoples R China.; Long, XJ (corresponding author), State Key Lab Biomed Imaging Sci &amp; Syst, 1068 Xueyuan Blvd, Shenzhen 518055, Peoples R China.</t>
  </si>
  <si>
    <t>12233267@mail.sustech.edu.cn; xj.long@siat.ac.cn</t>
  </si>
  <si>
    <t>National Key R&amp;D Program of China; Shenzhen Science and Technology Program [JCYJ20241202124922031]; Guangdong Provincial Key Laboratory of Multimodality Non-Invasive [2024B1212010010]</t>
  </si>
  <si>
    <t>National Key R&amp;D Program of China (National Key Research &amp; Development Program of China); Shenzhen Science and Technology Program (Shenzhen Science and Technology Program); Guangdong Provincial Key Laboratory of Multimodality Non-Invasive</t>
  </si>
  <si>
    <t>This work was supported by the National Key R&amp;D Program of China (2021ZD0200401, 2023YFC2410504), the Shenzhen Science and Technology Program (JCYJ20241202124922031), and the Guangdong Provincial Key Laboratory of Multimodality Non-Invasive Brain-Computer Interfaces (2024B1212010010).</t>
  </si>
  <si>
    <t>[Cao, Jiangbo] Southern Univ Sci &amp; Technol, Sch Elect &amp; Elect Engn, Shenzhen 518055, Peoples R China; [Cao, Jiangbo; Long, Xiaojing] Chinese Acad Sci, Shenzhen Inst Adv Technol, Shenzhen 518055, Peoples R China; [Long, Xiaojing] State Key Lab Biomed Imaging Sci &amp; Syst, 1068 Xueyuan Blvd, Shenzhen 518055, Peoples R China</t>
  </si>
  <si>
    <t>Southern University of Science &amp; Technology; Chinese Academy of Sciences; Shenzhen Institute of Advanced Technology, CAS</t>
  </si>
  <si>
    <t>RACF: A Multimodal Deep Learning Framework for Parkinson's Disease Diagnosis Using SNP and MRI Data</t>
  </si>
  <si>
    <t>APPLIED SCIENCES-BASEL</t>
  </si>
  <si>
    <t>Parkinson's disease (PD); single nucleotide polymorphism (SNP); Genome-Wide Association Study (GWAS); MRI; multimodal; deep learning</t>
  </si>
  <si>
    <t>SUBSTANTIA-NIGRA; RISK; POLYMORPHISMS; ASSOCIATION; CHALLENGES; BETA</t>
  </si>
  <si>
    <t>44</t>
  </si>
  <si>
    <t>2076-3417</t>
  </si>
  <si>
    <t>APPL SCI-BASEL</t>
  </si>
  <si>
    <t>Appl. Sci.-Basel</t>
  </si>
  <si>
    <t>APR 19 2025</t>
  </si>
  <si>
    <t>4513</t>
  </si>
  <si>
    <t>10.3390/app15084513</t>
  </si>
  <si>
    <t>http://dx.doi.org/10.3390/app15084513</t>
  </si>
  <si>
    <t>Chemistry, Multidisciplinary; Engineering, Multidisciplinary; Materials Science, Multidisciplinary; Physics, Applied</t>
  </si>
  <si>
    <t>Chemistry; Engineering; Materials Science; Physics</t>
  </si>
  <si>
    <t>1VS8B</t>
  </si>
  <si>
    <t>WOS:001474796300001</t>
  </si>
  <si>
    <t>Dong, YJ; Zhang, J; Lam, S; Zhang, XY; Liu, AR; Teng, XZ; Han, XY; Cao, J; Li, HX; Lee, FK; Yip, CW; Au, KK; Zhang, YP; Cai, J</t>
  </si>
  <si>
    <t>The acute oral mucositis (AOM) is a prevalent side effect of radiation therapy for nasopharyngeal carcinoma (NPC). Severe AOM could impair the survival and quality of life for NPC patients. Accurate method to predict the incidence of severe AOM can aid clinicians in adjusting the treatment plan to improve the outcomes for NPC patients. We integrated multi-modalities, multi-omics and multi-regions data with two methods, integrate the original data or combine data after feature selection. The performance of models using each data integration method with different modalities, types of data and VOIs were analyzed. We developed a best-performing model with mean AUC at 0.81 +/- 0.10 to predict the incidence of severe AOM for NPC patients following radiation theraphy.(1) Background: Acute oral mucositis is the most common side effect for nasopharyngeal carcinoma patients receiving radiotherapy. Improper or delayed intervention to severe AOM could degrade the quality of life or survival for NPC patients. An effective prediction method for severe AOM is needed for the individualized management of NPC patients in the era of personalized medicine. (2) Methods: A total of 242 biopsy-proven NPC patients were retrospectively recruited in this study. Radiomics features were extracted from contrast-enhanced CT (CECT), contrast-enhanced T1-weighted (cT1WI), and T2-weighted (T2WI) images in the primary tumor and tumor-related area. Dosiomics features were extracted from 2D or 3D dose-volume histograms (DVH). Multiple models were established with single and integrated data. The dataset was randomized into training and test sets at a ratio of 7:3 with 10-fold cross-validation. (3) Results: The best-performing model using Gaussian Naive Bayes (GNB) (mean validation AUC = 0.81 +/- 0.10) was established with integrated radiomics and dosiomics data. The GNB radiomics and dosiomics models yielded mean validation AUC of 0.6 +/- 0.20 and 0.69 +/- 0.14, respectively. (4) Conclusions: Integrating radiomics and dosiomics data from the primary tumor area could generate the best-performing model for severe AOM prediction.</t>
  </si>
  <si>
    <t>Dong, Yanjing; Zhang, Jiang; Lam, Saikt; Zhang, Xinyu; Liu, Anran; Teng, Xinzhi; Han, Xinyang; Cao, Jin; Li, Hongxiang; Lee, Francis Karho; Yip, Celia Waiyi; Au, Kwokhung; Zhang, Yuanpeng; Cai, Jing</t>
  </si>
  <si>
    <t>Cai, J (corresponding author), Hong Kong Polytech Univ, Dept Hlth Technol &amp; Informat, Hong Kong, Peoples R China.; Cai, J (corresponding author), Hong Kong Polytech Univ, Res Inst Smart Ageing, Hong Kong, Peoples R China.; Cai, J (corresponding author), Hong Kong Polytech Univ, Shenzhen Res Inst, Shenzhen 518000, Peoples R China.</t>
  </si>
  <si>
    <t>jing.cai@polyu.edu.hk</t>
  </si>
  <si>
    <t>Shenzhen Basic Research Program [JCYJ20210324130209023]; Shenzhen-Hong Kong-Macau S&amp;T Program (Category C) [SGDX20201103095002019]; Mainland-Hong Kong Joint Funding Scheme (MHKJFS) [MHP/005/20]; Project of Strategic Importance Fund from The Hong Kong Polytechnic University [P0035421]; Projects of RISA from The Hong Kong Polytechnic University [P0043001]</t>
  </si>
  <si>
    <t>Shenzhen Basic Research Program; Shenzhen-Hong Kong-Macau S&amp;T Program (Category C); Mainland-Hong Kong Joint Funding Scheme (MHKJFS); Project of Strategic Importance Fund from The Hong Kong Polytechnic University; Projects of RISA from The Hong Kong Polytechnic University</t>
  </si>
  <si>
    <t>This research was partly supported by research grants of Shenzhen Basic Research Program (JCYJ20210324130209023), Shenzhen-Hong Kong-Macau S&amp;T Program (Category C) (SGDX20201103095002019), Mainland-Hong Kong Joint Funding Scheme (MHKJFS) (MHP/005/20), Project of Strategic Importance Fund (P0035421) and Projects of RISA (P0043001) from The Hong Kong Polytechnic University.</t>
  </si>
  <si>
    <t>[Dong, Yanjing; Zhang, Jiang; Zhang, Xinyu; Liu, Anran; Teng, Xinzhi; Han, Xinyang; Cao, Jin; Cai, Jing] Hong Kong Polytech Univ, Dept Hlth Technol &amp; Informat, Hong Kong, Peoples R China; [Lam, Saikt; Cai, Jing] Hong Kong Polytech Univ, Res Inst Smart Ageing, Hong Kong, Peoples R China; [Lam, Saikt] Hong Kong Polytech Univ, Fac Engn, Dept Biomed Engn, Hong Kong, Peoples R China; [Li, Hongxiang] Fujian Med Univ, Union Hosp, Dept Radiol, Fuzhou 350000, Peoples R China; [Lee, Francis Karho; Yip, Celia Waiyi; Au, Kwokhung] Queen Elizabeth Hosp, Dept Clin Oncol, Hong Kong, Peoples R China; [Zhang, Yuanpeng] Nantong Univ, Dept Med Informat, Nantong 226000, Peoples R China; [Cai, Jing] Hong Kong Polytech Univ, Shenzhen Res Inst, Shenzhen 518000, Peoples R China</t>
  </si>
  <si>
    <t>Hong Kong Polytechnic University; Hong Kong Polytechnic University; Hong Kong Polytechnic University; Fujian Medical University; Queen Elizabeth Hospital - Hong Kong; Nantong University; Hong Kong Polytechnic University</t>
  </si>
  <si>
    <t>Multimodal Data Integration to Predict Severe Acute Oral Mucositis of Nasopharyngeal Carcinoma Patients Following Radiation Therapy</t>
  </si>
  <si>
    <t>CANCERS</t>
  </si>
  <si>
    <t>multimodal data integration; radiomics; dosiomics; nasopharyngeal carcinoma; acute mucositis</t>
  </si>
  <si>
    <t>CANCER-PATIENTS; RADIOTHERAPY; CHEMOTHERAPY; NECK; HEAD; RISK; IMRT; COMPLICATION; CHALLENGES; PREVENTION</t>
  </si>
  <si>
    <t>DONG, YANJING/ISA-6647-2023; liu, anran/HTQ-0424-2023; Zhang, Jiang/AAC-7200-2020; Cao, Jin/PUE-5931-2026; LAM, SAI KIT/IYJ-0760-2023</t>
  </si>
  <si>
    <t>Teng, Xinzhi/0000-0001-7515-8302; Zhang, Yuanpeng/0000-0003-1736-3425; Cai, Jing/0000-0001-6934-0108; DONG, YANJING/0000-0002-4821-7001; HAN, Xinyang/0000-0003-1469-0754; ZHANG, Xinyu/0009-0002-7331-3588; Zhang, Jiang/0000-0001-5807-1686; LAM, SAI KIT/0000-0003-0293-2381</t>
  </si>
  <si>
    <t>51</t>
  </si>
  <si>
    <t>2072-6694</t>
  </si>
  <si>
    <t>Cancers</t>
  </si>
  <si>
    <t>APR 2023</t>
  </si>
  <si>
    <t>2023</t>
  </si>
  <si>
    <t>2032</t>
  </si>
  <si>
    <t>10.3390/cancers15072032</t>
  </si>
  <si>
    <t>http://dx.doi.org/10.3390/cancers15072032</t>
  </si>
  <si>
    <t>E1GR5</t>
  </si>
  <si>
    <t>37046693</t>
  </si>
  <si>
    <t>WOS:000973109800001</t>
  </si>
  <si>
    <t>Murala, DK; Panda, SK</t>
  </si>
  <si>
    <t>Effectively integrating a variety of biological and chemical data sources is essential for the acceleration of drug discovery and precision diagnostics. Nevertheless, conventional computational methods frequently experience modality isolation, which results in their inability to simultaneously capture the intricate multi-omics regulatory landscape of diseases and the detailed electronic properties of potential drug molecules.. State-of-the-art models typically depend on one-dimensional SMILES representations or two-dimensional molecular signatures (e.g., ECFP4). Although these representations are computationally efficient, they substantially compress or disregard critical three-dimensional spatial arrangements and electronic characteristics that are essential for precise molecular interaction analysis. In addition, numerous existing drug-disease association models fail to account for the multi-scale topological regulatory signals that are present in heterogeneous biological networks. In complex maladies, such as calcific aortic valve disease (CAVD) and multidrug-resistant infections, this limitation results in diminished predictive performance. This study suggests a unified multimodal deep learning framework that incorporates molecular property prediction with genomic target identification to overcome these challenges. To be more precise, we present an Improved Convolutional Neural Network (ICNN) that has been optimised for omics-based target detection using Honey Bee Mating Optimisation (HBMO). Additionally, a Multi-scale Diffusion Graph Convolutional Network (MsDGCN) is implemented to significantly enhance the modelling of drug-disease relationships. Quantum-calculated three-dimensional electron density grids, which incorporate approximately 125 million data points, are a significant innovation of this work. By converting these grids into structured point cloud representations, it is possible to accurately characterise non-covalent interaction (NCI) regions with high resolution. Kernel Principal Component Analysis (KPCA) is executed to reduce the dimensionality of multimodal data. In addition, an attention-based fusion layer is intended to dynamically prioritise contributions from electronic, sequential, and structural data modalities.In an effort to enhance the robustness of the model, a hard negative mining strategy is implemented to more effectively differentiate between physiologically realistic confounding samples, thereby resolving class imbalance concerns. The proposed framework's successful scalability and robustness across numerous benchmark datasets are illustrated by experimental evaluations. Compared to conventional ECFP4-based models, the incorporation of three-dimensional electronic descriptors leads to a 9.1% increase in Area Under the Curve (AUC). Peak AUC of 0.98 is achieved by the fully fused framework. In addition, the biological relevance of the predictions is confirmed by molecular dynamics simulations that were conducted over a period of 50 ns. HLA-DRA is identified as a novel therapeutic target in CAVD by the framework, and stable natural product inhibitors, such as Chrysin, are predicted. Overall, the proposed system offers a scalable and high-precision platform for the real-world virtual drug screening and clinical biomarker discovery.</t>
  </si>
  <si>
    <t>Murala, Dileep Kumar; Panda, Sandeep Kumar</t>
  </si>
  <si>
    <t>Murala, DK (corresponding author), ICFAI Fdn Higher Educ, Fac Sci &amp; Technol IcfaiTech, Dept Comp Sci &amp; Engn, Hyderabad 501203, Telangana, India.</t>
  </si>
  <si>
    <t>sandeeppanda@ifheindia.org; drdileepm@ifheindia.org</t>
  </si>
  <si>
    <t>The authors declare that no funding was received for this study.</t>
  </si>
  <si>
    <t>[Murala, Dileep Kumar] ICFAI Fdn Higher Educ, Fac Sci &amp; Technol IcfaiTech, Dept Comp Sci &amp; Engn, Hyderabad 501203, Telangana, India; [Panda, Sandeep Kumar] ICFAI Fdn Higher Educ, Fac Sci &amp; Technol IcfaiTech, Dept Artificial Intelligence &amp; Data Sci, Hyderabad 501203, Telangana, India</t>
  </si>
  <si>
    <t>The ICFAI Foundation for Higher Education (IFHE); The ICFAI Foundation for Higher Education (IFHE)</t>
  </si>
  <si>
    <t>Multimodal machine learning and deep graph neural networks for the prediction of molecular inhibitory activity and disease associations</t>
  </si>
  <si>
    <t>JOURNAL OF COMPUTER-AIDED MOLECULAR DESIGN</t>
  </si>
  <si>
    <t>Machine learning; Deep graph convolutional networks; QSAR; Drug-disease association; Multimodal learning; Virtual screening; CAVD; MMP-9; DILI; Antimicrobial agents</t>
  </si>
  <si>
    <t>Murala, Dileep/NKP-8946-2025; Panda, Sandeep Kumar/AAU-1903-2021</t>
  </si>
  <si>
    <t>36</t>
  </si>
  <si>
    <t>0920-654X</t>
  </si>
  <si>
    <t>1573-4951</t>
  </si>
  <si>
    <t>J COMPUT AID MOL DES</t>
  </si>
  <si>
    <t>J. Comput.-Aided Mol. Des.</t>
  </si>
  <si>
    <t>JUN 23 2026</t>
  </si>
  <si>
    <t>158</t>
  </si>
  <si>
    <t>10.1007/s10822-026-00858-7</t>
  </si>
  <si>
    <t>http://dx.doi.org/10.1007/s10822-026-00858-7</t>
  </si>
  <si>
    <t>Biochemistry &amp; Molecular Biology; Biophysics; Computer Science, Interdisciplinary Applications</t>
  </si>
  <si>
    <t>Biochemistry &amp; Molecular Biology; Biophysics; Computer Science</t>
  </si>
  <si>
    <t>JY3QY</t>
  </si>
  <si>
    <t>42334640</t>
  </si>
  <si>
    <t>WOS:001800889300006</t>
  </si>
  <si>
    <t>Imrie, F; Denner, S; Brunschwig, LS; Maier-Hein, K; van der Schaar, M</t>
  </si>
  <si>
    <t>The application of machine learning in medicine and healthcare has led to the creation of numerous diagnostic and prognostic models. However, despite their success, current approaches generally issue predictions using data from a single modality. This stands in stark contrast with clinician decision-making which employs diverse information from multiple sources. While several multimodal machine learning approaches exist, significant challenges in developing multimodal systems remain that are hindering clinical adoption. In this paper, we introduce a multimodal framework, AutoPrognosis-M, that enables the integration of structured clinical (tabular) data and medical imaging using automated machine learning. AutoPrognosis-M incorporates 17 imaging models, including convolutional neural networks and vision transformers, and three distinct multimodal fusion strategies. In an illustrative application using a multimodal skin lesion dataset, we highlight the importance of multimodal machine learning and the power of combining multiple fusion strategies using ensemble learning. We have open-sourced our framework as a tool for the community and hope it will accelerate the uptake of multimodal machine learning in healthcare and spur further innovation.</t>
  </si>
  <si>
    <t>Imrie, Fergus; Denner, Stefan; Brunschwig, Lucas S.; Maier-Hein, Klaus; van der Schaar, Mihaela</t>
  </si>
  <si>
    <t>van der Schaar, M (corresponding author), Univ Cambridge, Dept Appl Math &amp; Theoret Phys, Cambridge CB2 1TN, England.</t>
  </si>
  <si>
    <t>mv472@cam.ac.uk; fergus.imrie@stats.ox.ac.uk; stefan.denner@dkfz-heidelberg.de; lucas.brunschwig@epfl.ch; k.maier-hein@dkfz-heidelberg.de</t>
  </si>
  <si>
    <t>The "NUM2.0" [FKZ: 01KX2121]</t>
  </si>
  <si>
    <t>The "NUM2.0"</t>
  </si>
  <si>
    <t>The work of Stefan Denner was supported by "NUM2.0" under Grant FKZ: 01KX2121.(Fergus Imrie and Stefan Dennercontributed equally to this work.)</t>
  </si>
  <si>
    <t>[Imrie, Fergus] Univ Oxford, Dept Stat, Oxford OX1 2JD, England; [Denner, Stefan; Maier-Hein, Klaus] German Canc Res Ctr, Div Med Image Comp, D-69120 Heidelberg, Germany; [Denner, Stefan] Heidelberg Univ, Fac Math &amp; Comp Sci, D-69117 Heidelberg, Germany; [Brunschwig, Lucas S.] Ecole Polytech Fed Lausanne, CH-1015 Lausanne, Switzerland; [Maier-Hein, Klaus] Heidelberg Univ Hosp, Dept Radiat Oncol, Pattern Anal &amp; Learning Grp, D-69120 Heidelberg, Germany; [Maier-Hein, Klaus] Natl Ctr Tumor Dis NCT Heidelberg, D-69120 Heidelberg, Germany; [van der Schaar, Mihaela] Univ Cambridge, Dept Appl Math &amp; Theoret Phys, Cambridge CB2 1TN, England</t>
  </si>
  <si>
    <t>University of Oxford; Helmholtz Association; German Cancer Research Center (DKFZ); Ruprecht Karls University Heidelberg; Swiss Federal Institutes of Technology Domain; Ecole Polytechnique Federale de Lausanne; Ruprecht Karls University Heidelberg; Ruprecht Karls University Heidelberg; Helmholtz Association; National Center for Tumor Diseases; German Cancer Research Center (DKFZ); University of Cambridge</t>
  </si>
  <si>
    <t>Automated Ensemble Multimodal Machine Learning for Healthcare</t>
  </si>
  <si>
    <t>IEEE JOURNAL OF BIOMEDICAL AND HEALTH INFORMATICS</t>
  </si>
  <si>
    <t>Predictive models; Feature extraction; Data models; Biological system modeling; Machine learning; Data mining; Automated machine learning; Medical services; Transformers; Pipelines; biomedicine; cancer; deep learning; healthcare informatics; machine learning; medical imaging; multimodal machine learning</t>
  </si>
  <si>
    <t>INFORMATION; DIAGNOSIS; MELANOMA</t>
  </si>
  <si>
    <t>Denner, Stefan/ISA-4077-2023; Imrie, Fergus/GPX-9474-2022; Maier-Hein, Klaus/AAF-8487-2020</t>
  </si>
  <si>
    <t>Denner, Stefan/0009-0008-2302-743X; Imrie, Fergus/0000-0002-6241-0123; Maier-Hein, Klaus/0000-0002-6626-2463; Brunschwig, Lucas S/0009-0002-0210-704X</t>
  </si>
  <si>
    <t>74</t>
  </si>
  <si>
    <t>2168-2194</t>
  </si>
  <si>
    <t>2168-2208</t>
  </si>
  <si>
    <t>IEEE J BIOMED HEALTH</t>
  </si>
  <si>
    <t>IEEE J. Biomed. Health Inform.</t>
  </si>
  <si>
    <t>4213</t>
  </si>
  <si>
    <t>4226</t>
  </si>
  <si>
    <t>10.1109/JBHI.2025.3530156</t>
  </si>
  <si>
    <t>http://dx.doi.org/10.1109/JBHI.2025.3530156</t>
  </si>
  <si>
    <t>Computer Science, Information Systems; Computer Science, Interdisciplinary Applications; Mathematical &amp; Computational Biology; Medical Informatics</t>
  </si>
  <si>
    <t>Computer Science; Mathematical &amp; Computational Biology; Medical Informatics</t>
  </si>
  <si>
    <t>3MW9K</t>
  </si>
  <si>
    <t>40031027</t>
  </si>
  <si>
    <t>WOS:001504143000003</t>
  </si>
  <si>
    <t>Cai, Q; Wang, SZ; Zhang, F; Zhang, C; Liu, Y; Li, HF; Dong, JY; Zhang, DV</t>
  </si>
  <si>
    <t>The integration of multimodal artificial intelligence (AI) into medical diagnostics is transforming disease analysis by leveraging diverse data sources to improve accuracy and clinical decision-making. Despite rapid progress, a unified understanding that connects data heterogeneity, fusion mechanisms, and clinical applications remains limited. This review systematically examines recent advances in multimodal AI for disease diagnosis, integrating imaging and non-imaging modalities. We analyze multimodal data characteristics and major fusion strategies (i.e., data-, feature-, and decision-level), highlighting their principles, advantages, and limitations in clinical contexts. By synthesizing developments in classification, survival prediction, image segmentation, report generation, and visual question answering, this work reveals the progress toward generalizable and interpretable diagnostic systems. Finally, we outline persistent challenges and future directions to advance multimodal AI driven medical diagnostics.</t>
  </si>
  <si>
    <t>Cai, Qing; Wang, Shaozhe; Zhang, Fan; Zhang, Cheng; Liu, Yu; Li, Huafeng; Dong, Junyu; Zhang, David</t>
  </si>
  <si>
    <t>Liu, Y (corresponding author), Hefei Univ Technol, Dept Biomed Engn, Hefei 230009, Peoples R China.; Li, HF (corresponding author), Kunming Univ Sci &amp; Technol, Fac Informat Engn &amp; Automat, Kunming 650500, Peoples R China.</t>
  </si>
  <si>
    <t>cq@ouc.edu.cn; yuliu@hfut.edu.cn; zhangcheng@stu.ouc.edu.cn; fan-hti.zhang@polyu.edu.hk; hfchina99@163.com; wsz@stu.ouc.edu.cn; dongjunyu@ouc.edu.cn; davidzhang@cuhk.edu.cn</t>
  </si>
  <si>
    <t>National Science Foundation of China [62471448, 62576132]; Shandong Provincial Natural Science Foundation [ZR2024YQ004]; TaiShan Scholars Youth Expert Program of Shandong Province [tsqn202312109]; Yunnan Fundamental Research Projects [202301AV070004, 202501AS070123]</t>
  </si>
  <si>
    <t>National Science Foundation of China (National Natural Science Foundation of China (NSFC)); Shandong Provincial Natural Science Foundation (Natural Science Foundation of Shandong Province); TaiShan Scholars Youth Expert Program of Shandong Province; Yunnan Fundamental Research Projects</t>
  </si>
  <si>
    <t>This work was supported in part by the National Science Foundation of China under Grants 62471448 and 62576132; in part by Shandong Provincial Natural Science Foundation under Grant ZR2024YQ004; in part by TaiShan Scholars Youth Expert Program of Shandong Province under Grant No.tsqn202312109; in part by Yunnan Fundamental Re-search Projects under Grants 202301AV070004 and 202501AS070123.</t>
  </si>
  <si>
    <t>[Cai, Qing; Wang, Shaozhe; Zhang, Cheng; Dong, Junyu] Ocean Univ China, Fac Informat Sci &amp; Engn, Qingdao 266100, Peoples R China; [Zhang, Fan] Hong Kong Polytech Univ, Dept Hlth Technol &amp; Informat, Hong Kong, Peoples R China; [Liu, Yu] Hefei Univ Technol, Dept Biomed Engn, Hefei 230009, Peoples R China; [Li, Huafeng] Kunming Univ Sci &amp; Technol, Fac Informat Engn &amp; Automat, Kunming 650500, Peoples R China; [Zhang, David] Chinese Univ Hong Kong, Sch Data Sci, Shenzhen 518172, Guangdong, Peoples R China; [Zhang, David] Shenzhen Res Inst Artificial Intelligence &amp; Robot, Shenzhen 518172, Guangdong, Peoples R China; [Zhang, David] ChinahCUHK SZ Linkl Joint Lab Comp Vis &amp; Artificia, Shenzhen 518172, Guangdong, Peoples R China</t>
  </si>
  <si>
    <t>Ocean University of China; Hong Kong Polytechnic University; Hefei University of Technology; Kunming University of Science &amp; Technology; The Chinese University of Hong Kong, Shenzhen</t>
  </si>
  <si>
    <t>Multimodal artificial intelligence for disease diagnosis: Advances, applications, and challenges</t>
  </si>
  <si>
    <t>Multimodal medical data; Data fusion; Disease diagnosis; Clinical application; Multimodal learning</t>
  </si>
  <si>
    <t>LEVEL SET MODEL; IMAGE SEGMENTATION; INTENSITY INHOMOGENEITY; HISTOLOGY; DATABASE</t>
  </si>
  <si>
    <t>110</t>
  </si>
  <si>
    <t>OCT 2026</t>
  </si>
  <si>
    <t>178</t>
  </si>
  <si>
    <t>113456</t>
  </si>
  <si>
    <t>10.1016/j.patcog.2026.113456</t>
  </si>
  <si>
    <t>http://dx.doi.org/10.1016/j.patcog.2026.113456</t>
  </si>
  <si>
    <t>FT4SU</t>
  </si>
  <si>
    <t>WOS:001726997500001</t>
  </si>
  <si>
    <t>Soenksen, LR; Ma, Y; Zeng, C; Boussioux, L; Carballo, KV; Na, LY; Wiberg, HM; Li, ML; Fuentes, I; Bertsimas, D</t>
  </si>
  <si>
    <t>Artificial intelligence (AI) systems hold great promise to improve healthcare over the next decades. Specifically, AI systems leveraging multiple data sources and input modalities are poised to become a viable method to deliver more accurate results and deployable pipelines across a wide range of applications. In this work, we propose and evaluate a unified Holistic AI in Medicine (HAIM) framework to facilitate the generation and testing of AI systems that leverage multimodal inputs. Our approach uses generalizable data pre-processing and machine learning modeling stages that can be readily adapted for research and deployment in healthcare environments. We evaluate our HAIM framework by training and characterizing 14,324 independent models based on HAIM-MIMIC-MM, a multimodal clinical database (N = 34,537 samples) containing 7279 unique hospitalizations and 6485 patients, spanning all possible input combinations of 4 data modalities (i.e., tabular, time-series, text, and images), 11 unique data sources and 12 predictive tasks. We show that this framework can consistently and robustly produce models that outperform similar single-source approaches across various healthcare demonstrations (by 6-33%), including 10 distinct chest pathology diagnoses, along with length-of-stay and 48 h mortality predictions. We also quantify the contribution of each modality and data source using Shapley values, which demonstrates the heterogeneity in data modality importance and the necessity of multimodal inputs across different healthcare-relevant tasks. The generalizable properties and flexibility of our Holistic AI in Medicine (HAIM) framework could offer a promising pathway for future multimodal predictive systems in clinical and operational healthcare settings.</t>
  </si>
  <si>
    <t>Soenksen, Luis R.; Ma, Yu; Zeng, Cynthia; Boussioux, Leonard; Carballo, Kimberly Villalobos; Na, Liangyuan; Wiberg, Holly M.; Li, Michael L.; Fuentes, Ignacio; Bertsimas, Dimitris</t>
  </si>
  <si>
    <t>Bertsimas, D (corresponding author), MIT, Abdul Latif Jameel Clin Machine Learning Hlth, 77 Massachusetts Ave, Cambridge, MA 02139 USA.; Bertsimas, D (corresponding author), MIT, Operat Res Ctr, 77 Massachusetts Ave, Cambridge, MA 02139 USA.; Bertsimas, D (corresponding author), MIT, Sloan Sch Management, 77 Massachusetts Ave, Cambridge, MA 02139 USA.</t>
  </si>
  <si>
    <t>dbertsim@mit.edu</t>
  </si>
  <si>
    <t>MIT Supercloud; Abdul Latif Jameel Clinic for Machine Learning in Health; National Science Foundation Graduate Research Fellowship [174530]</t>
  </si>
  <si>
    <t>MIT Supercloud; Abdul Latif Jameel Clinic for Machine Learning in Health; National Science Foundation Graduate Research Fellowship (National Science Foundation (NSF))</t>
  </si>
  <si>
    <t>We thank the PhysioNet team from the MIT Laboratory for Computational Physiology for providing our researchers with credentialled access to the MIMIC-IV and MIMIC-CXR-JPG datasets and for their support in guiding multimodal data interrogation and consolidation. We especially thank Leo A. Celi and Sicheng Hao for their support on MIMIC-IV data review, as well as the Harvard TH Chan School of Public Health, Harvard Medical School, the Institute for Medical Engineering and Science at MIT, and the Beth Israel Deaconess Medical Centre for their continued support of this work. We thank the MIT Supercloud for their support and help in setting up a workspace as well as offering technical advice throughout the project. Finally, we thank Eli Pivo for providing feedback and support on computational experiments to our work. This work was supported by the Abdul Latif Jameel Clinic for Machine Learning in Health (L.R.S., D.B., and I.F). H.W. is supported by the National Science Foundation Graduate Research Fellowship under Grant No. 174530. Any opinion, findings, conclusions, or recommendations expressed in this material are those of the authors and do not necessarily reflect the views of the National Science Foundation.</t>
  </si>
  <si>
    <t>[Soenksen, Luis R.; Fuentes, Ignacio; Bertsimas, Dimitris] MIT, Abdul Latif Jameel Clin Machine Learning Hlth, 77 Massachusetts Ave, Cambridge, MA 02139 USA; [Soenksen, Luis R.] Harvard Univ, Wyss Inst Biol Inspired Engn, Boston, MA 02115 USA; [Ma, Yu; Zeng, Cynthia; Boussioux, Leonard; Carballo, Kimberly Villalobos; Na, Liangyuan; Wiberg, Holly M.; Li, Michael L.; Bertsimas, Dimitris] MIT, Operat Res Ctr, 77 Massachusetts Ave, Cambridge, MA 02139 USA; [Bertsimas, Dimitris] MIT, Sloan Sch Management, 77 Massachusetts Ave, Cambridge, MA 02139 USA</t>
  </si>
  <si>
    <t>Massachusetts Institute of Technology (MIT); Harvard University; Massachusetts Institute of Technology (MIT); Massachusetts Institute of Technology (MIT)</t>
  </si>
  <si>
    <t>Integrated multimodal artificial intelligence framework for healthcare applications</t>
  </si>
  <si>
    <t>MORTALITY PREDICTION; FEATURES; MODELS</t>
  </si>
  <si>
    <t>Li, Michael/LEL-9288-2024; Boussioux, Léonard/MTG-1142-2025; Wiberg, Holly/ACW-2759-2022</t>
  </si>
  <si>
    <t>Ma, Yu/0000-0001-8409-7222; Villalobos Carballo, Kimberly/0000-0001-5690-8147; Soenksen, Luis Ruben/0000-0001-7890-7209; Na, Liangyuan/0000-0002-2900-9899</t>
  </si>
  <si>
    <t>230</t>
  </si>
  <si>
    <t>274</t>
  </si>
  <si>
    <t>SEP 20 2022</t>
  </si>
  <si>
    <t>149</t>
  </si>
  <si>
    <t>10.1038/s41746-022-00689-4</t>
  </si>
  <si>
    <t>http://dx.doi.org/10.1038/s41746-022-00689-4</t>
  </si>
  <si>
    <t>4Q0JR</t>
  </si>
  <si>
    <t>36127417</t>
  </si>
  <si>
    <t>WOS:000855773700001</t>
  </si>
  <si>
    <t>Warner, E; Lee, J; Hsu, W; Syeda-Mahmood, T; Kahn, CE Jr; Gevaert, O; Rao, A</t>
  </si>
  <si>
    <t>Machine learning (ML) applications in medical artificial intelligence (AI) systems have shifted from traditional and statistical methods to increasing application of deep learning models. This survey navigates the current landscape of multimodal ML, focusing on its profound impact on medical image analysis and clinical decision support systems. Emphasizing challenges and innovations in addressing multimodal representation, fusion, translation, alignment, and co-learning, the paper explores the transformative potential of multimodal models for clinical predictions. It also highlights the need for principled assessments and practical implementation of such models, bringing attention to the dynamics between decision support systems and healthcare providers and personnel. Despite advancements, challenges such as data biases and the scarcity of "big data" in many biomedical domains persist. We conclude with a discussion on principled innovation and collaborative efforts to further the mission of seamless integration of multimodal ML models into biomedical practice.</t>
  </si>
  <si>
    <t>Warner, Elisa; Lee, Joonsang; Hsu, William; Syeda-Mahmood, Tanveer; Kahn Jr, Charles E.; Gevaert, Olivier; Rao, Arvind</t>
  </si>
  <si>
    <t>Warner, E; Rao, A (corresponding author), Univ Michigan Ann Arbor, Dept Computat Med &amp; Bioinformat, 100 Washtenaw Ave, Ann Arbor, MI 48109 USA.</t>
  </si>
  <si>
    <t>leejoons@umich.edu; whsu@mednet.ucla.edu; ukarvind@med.umich.edu; elisawa@umich.edu; ckahn@upenn.edu; ogevaert@stanford.edu; stf@us.ibm.com</t>
  </si>
  <si>
    <t>Foundation for the National Institutes of Health</t>
  </si>
  <si>
    <t>No Statement Available</t>
  </si>
  <si>
    <t>[Warner, Elisa; Lee, Joonsang; Rao, Arvind] Univ Michigan Ann Arbor, Dept Computat Med &amp; Bioinformat, 100 Washtenaw Ave, Ann Arbor, MI 48109 USA; [Hsu, William] Univ Calif Los Angeles, Dept Med &amp; Imaging Informat, 924 Westwood Blvd Ste 420, Los Angeles, CA 90024 USA; [Syeda-Mahmood, Tanveer] Almaden Res Ctr, IBM, 650 Harry Rd, San Jose, CA 95120 USA; [Kahn Jr, Charles E.] Univ Penn, Dept Radiol, 3400 Spruce St, Philadelphia, PA 19104 USA; [Gevaert, Olivier] Ctr Biomed Informat Res, 1265 Welch Rd, Stanford, CA 94305 USA</t>
  </si>
  <si>
    <t>University of Michigan System; University of Michigan; University of California System; University of California Los Angeles; International Business Machines (IBM); IBM USA; University of Pennsylvania; Pennsylvania Medicine</t>
  </si>
  <si>
    <t>Multimodal Machine Learning in Image-Based and Clinical Biomedicine: Survey and Prospects</t>
  </si>
  <si>
    <t>INTERNATIONAL JOURNAL OF COMPUTER VISION</t>
  </si>
  <si>
    <t>Machine learning; Multimodal; Representation; Fusion; Translation; Alignment; Co-learning; Artificial intelligence; Data integration</t>
  </si>
  <si>
    <t>ADAPTATION; CANCER</t>
  </si>
  <si>
    <t>Kahn, Charles/U-5055-2019; Syeda-Mahmood, Tanveer/HNQ-7021-2023; Hsu, William/AAA-1935-2021</t>
  </si>
  <si>
    <t>Hsu, William/0000-0002-5168-070X; Warner, Elisa/0000-0001-6694-2701</t>
  </si>
  <si>
    <t>54</t>
  </si>
  <si>
    <t>0920-5691</t>
  </si>
  <si>
    <t>1573-1405</t>
  </si>
  <si>
    <t>INT J COMPUT VISION</t>
  </si>
  <si>
    <t>Int. J. Comput. Vis.</t>
  </si>
  <si>
    <t>132</t>
  </si>
  <si>
    <t>3753</t>
  </si>
  <si>
    <t>3769</t>
  </si>
  <si>
    <t>10.1007/s11263-024-02032-8</t>
  </si>
  <si>
    <t>http://dx.doi.org/10.1007/s11263-024-02032-8</t>
  </si>
  <si>
    <t>APR 2024</t>
  </si>
  <si>
    <t>D9H1F</t>
  </si>
  <si>
    <t>39211895</t>
  </si>
  <si>
    <t>WOS:001207063800003</t>
  </si>
  <si>
    <t>Swapna, M; Devarajan, GG; Ramesh, P; Thangam, S; Alturki, N; Bashir, AK</t>
  </si>
  <si>
    <t>With the growing availability of multimodal health data including patient behavior signals, clinical text, and medical images, AI systems have an increasing potential to support early disease detection and decision-making in aging populations. As healthcare systems evolve into complex socio-technical environments, integrating explainable AI with human-centered design is essential to improve transparency, trust, and adoption. In this study, we propose a multimodal human-centered deep learning framework (MDLHC) to support breast cancer diagnosis by integrating patient data, imaging, and explainable attribution (XAI) methods. The framework is designed with the social and cognitive needs of elderly patients and clinicians in mind and uses demographic data and mammography images for personalized diagnostics. To bridge structured and unstructured data, we incorporate large language models (LLMs) for natural language alignment and summarization of clinical insights. For improved image understanding, a CNN-based residual integrated attention (RIAC) module is applied for noise reduction, followed by optimized feature selection using evolutionary PSO with Laplacian centrality (EPSO-LC). Classification is performed via a deep backpropagation CNN (DL-BP-CNN), enhanced with two explainability modules: ensemble random SHAP (ERS) and submodular selection-based LIME (SMS-LIME) for both localized and global transparency. This framework contributes to the development of a transparent, accurate, and personalized AI system that aligns with the scope of computational social systems in healthcare care, particularly for aging populations that require reliable diagnostic support.</t>
  </si>
  <si>
    <t>Swapna, Medikonda; Devarajan, Ganesh Gopal; Ramesh, P.; Thangam, S.; Alturki, Nazik; Bashir, Ali Kashif</t>
  </si>
  <si>
    <t>Devarajan, GG (corresponding author), Amity Univ, Amity Sch Engn &amp; Technol, Dept Comp Sci &amp; Engn, Noida 201313, Uttar Pradesh, India.</t>
  </si>
  <si>
    <t>dr.alikashif.b@ieee.org; dganeshgopal@ieee.org; pramesh.swami@gmail.com; nswapna.d@gmail.co; s_thangam@blr.amrita.edu; Namalturki@pnu.edu.sa</t>
  </si>
  <si>
    <t>Nourah bint Abdulrahman University, Riyadh, Saudi Arabia [PNURSP2025R333]</t>
  </si>
  <si>
    <t>Nourah bint Abdulrahman University, Riyadh, Saudi Arabia</t>
  </si>
  <si>
    <t>This work was supported by Princess Nourah bint Abdulrahman University, Riyadh, Saudi Arabia through the Researchers Supporting Project PNURSP2025R333</t>
  </si>
  <si>
    <t>[Swapna, Medikonda] Nitte Univ, Nitte Meenakshi Inst Technol NMIT, Dept Comp Sci &amp; Engn, Bangalore 560064, Karnataka, India; [Devarajan, Ganesh Gopal] Amity Univ, Amity Sch Engn &amp; Technol, Dept Comp Sci &amp; Engn, Noida 201313, Uttar Pradesh, India; [Ramesh, P.] Vel Tech Rangarajan Dr Sagunthala R&amp;D Inst Sci &amp; T, Chennai, Tamil Nadu, India; [Thangam, S.] Amrita Vishwa Vidyapeetham, Dept Comp Sci &amp; Engn, Amrita Sch Comp, Bengaluru 560035, India; [Alturki, Nazik] Princess Nourah Bint Abdulrahman Univ, Coll Comp &amp; Informat Sci, Dept Informat Syst, Riyadh 11671, Saudi Arabia; [Bashir, Ali Kashif] Manchester Metropolitan Univ, Dept Comp &amp; Math, Manchester, England; [Bashir, Ali Kashif] Chitkara Univ, Inst Engn &amp; Technol, Ctr Res Impact &amp; Outcome, Rajpura 140401, Punjab, India</t>
  </si>
  <si>
    <t>NITTE (Deemed to be University); Nitte Meenakshi Institute of Technology; Amity University Noida; Vel Tech Rangarajan Dr Sagunthala R&amp;D Institute of Science &amp; Technology; Amrita Vishwa Vidyapeetham; Amrita Vishwa Vidyapeetham Bengaluru; Princess Nourah bint Abdulrahman University; Manchester Metropolitan University; Chitkara University, Punjab</t>
  </si>
  <si>
    <t>Human-Centered Explainable Multimodal AI for Personalized Healthcare Diagnosis in Aging Populations</t>
  </si>
  <si>
    <t>IEEE TRANSACTIONS ON COMPUTATIONAL SOCIAL SYSTEMS</t>
  </si>
  <si>
    <t>Breast cancer; Older adults; Medical services; Feature extraction; Artificial intelligence; Accuracy; Medical diagnostic imaging; Aging; Deep learning; Imaging; Data fusion; elderly disease; feature selection; large language model (LLM); multimodal data</t>
  </si>
  <si>
    <t>s, thangam/F-6296-2012; Alturki, Nazik/HKN-4309-2023; Devarajan, Ganesh Gopal/AAJ-6406-2020; Bashir, Ali Kashif/R-4015-2019; Medikonda, Swapna/NYT-4352-2025</t>
  </si>
  <si>
    <t>s, thangam/0000-0003-2251-3651; Alturki, Nazik/0000-0002-8434-7292; Bashir, Ali Kashif/0000-0003-2601-9327; Medikonda, Swapna/0000-0003-0822-5952</t>
  </si>
  <si>
    <t>2329-924X</t>
  </si>
  <si>
    <t>IEEE T COMPUT SOC SY</t>
  </si>
  <si>
    <t>IEEE Trans. Comput. Soc. Syst.</t>
  </si>
  <si>
    <t>AUG 2026</t>
  </si>
  <si>
    <t>5457</t>
  </si>
  <si>
    <t>5467</t>
  </si>
  <si>
    <t>10.1109/TCSS.2025.3623200</t>
  </si>
  <si>
    <t>http://dx.doi.org/10.1109/TCSS.2025.3623200</t>
  </si>
  <si>
    <t>Computer Science, Cybernetics; Computer Science, Information Systems</t>
  </si>
  <si>
    <t>ME9EP</t>
  </si>
  <si>
    <t>WOS:001627698800001</t>
  </si>
  <si>
    <t>Chen, D; Huang, RS; Jomy, J; Wong, P; Yan, M; Croke, J; Tong, D; Hope, A; Eng, L; Raman, S</t>
  </si>
  <si>
    <t>Importance Multimodal artificial intelligence (AI) chatbots can process complex medical image and text-based information that may improve their accuracy as a clinical diagnostic and management tool compared with unimodal, text-only AI chatbots. However, the difference in medical accuracy of multimodal and text-only chatbots in addressing questions about clinical oncology cases remains to be tested. Objective To evaluate the utility of prompt engineering (zero-shot chain-of-thought) and compare the competency of multimodal and unimodal AI chatbots to generate medically accurate responses to questions about clinical oncology cases. Design, Setting, and Participants This cross-sectional study benchmarked the medical accuracy of multiple-choice and free-text responses generated by AI chatbots in response to 79 questions about clinical oncology cases with images. Exposures A unique set of 79 clinical oncology cases from JAMA Network Learning accessed on April 2, 2024, was posed to 10 AI chatbots. Main Outcomes and Measures The primary outcome was medical accuracy evaluated by the number of correct responses by each AI chatbot. Multiple-choice responses were marked as correct based on the ground-truth, correct answer. Free-text responses were rated by a team of oncology specialists in duplicate and marked as correct based on consensus or resolved by a review of a third oncology specialist. Results This study evaluated 10 chatbots, including 3 multimodal and 7 unimodal chatbots. On the multiple-choice evaluation, the top-performing chatbot was chatbot 10 (57 of 79 [72.15%]), followed by the multimodal chatbot 2 (56 of 79 [70.89%]) and chatbot 5 (54 of 79 [68.35%]). On the free-text evaluation, the top-performing chatbots were chatbot 5, chatbot 7, and the multimodal chatbot 2 (30 of 79 [37.97%]), followed by chatbot 10 (29 of 79 [36.71%]) and chatbot 8 and the multimodal chatbot 3 (25 of 79 [31.65%]). The accuracy of multimodal chatbots decreased when tested on cases with multiple images compared with questions with single images. Nine out of 10 chatbots, including all 3 multimodal chatbots, demonstrated decreased accuracy of their free-text responses compared with multiple-choice responses to questions about cancer cases. Conclusions and Relevance In this cross-sectional study of chatbot accuracy tested on clinical oncology cases, multimodal chatbots were not consistently more accurate than unimodal chatbots. These results suggest that further research is required to optimize multimodal chatbots to make more use of information from images to improve oncology-specific medical accuracy and reliability.</t>
  </si>
  <si>
    <t>Chen, David; Huang, Ryan S.; Jomy, Jane; Wong, Philip; Yan, Michael; Croke, Jennifer; Tong, Daniel; Hope, Andrew; Eng, Lawson; Raman, Srinivas</t>
  </si>
  <si>
    <t>Raman, S (corresponding author), Princess Margaret Hosp Canc Ctr, Radiat Med Program, 610 Univ Ave, Toronto, ON M5G 2M9, Canada.</t>
  </si>
  <si>
    <t>srinivas.raman@rmp.uhn.ca</t>
  </si>
  <si>
    <t>Canadian Association of Radiation Oncology-Canadian Radiation Oncology Foundation Pamela Catton Summer Studentship; Robert L. Tundermann and Christine E.Couturier philanthropic funds</t>
  </si>
  <si>
    <t>This work was partially supported by a Canadian Association of Radiation Oncology-Canadian Radiation Oncology Foundation Pamela Catton Summer Studentship and Robert L. Tundermann and Christine E.Couturier philanthropic funds.</t>
  </si>
  <si>
    <t>[Chen, David; Huang, Ryan S.; Jomy, Jane; Wong, Philip; Yan, Michael; Croke, Jennifer; Tong, Daniel; Hope, Andrew; Raman, Srinivas] Princess Margaret Hosp Canc Ctr, Radiat Med Program, 610 Univ Ave, Toronto, ON M5G 2M9, Canada; [Chen, David; Huang, Ryan S.; Jomy, Jane; Tong, Daniel] Univ Toronto, Temerty Fac Med, Toronto, ON, Canada; [Wong, Philip; Yan, Michael; Croke, Jennifer; Tong, Daniel; Hope, Andrew] Univ Toronto, Dept Radiat Oncol, Toronto, ON, Canada; [Eng, Lawson; Raman, Srinivas] Univ Hlth Network Toronto, Princess Margaret Canc Ctr, Dept Med, Div Med Oncol &amp; Hematol, Toronto, ON, Canada; [Eng, Lawson] Univ Toronto, Dept Med, Div Med Oncol, Toronto, ON, Canada</t>
  </si>
  <si>
    <t>University of Toronto; University Health Network Toronto; Princess Margaret Cancer Centre; University of Toronto; University of Toronto; University of Toronto; University Health Network Toronto; Princess Margaret Cancer Centre; University of Toronto</t>
  </si>
  <si>
    <t>Performance of Multimodal Artificial Intelligence Chatbots Evaluated on Clinical Oncology Cases</t>
  </si>
  <si>
    <t>JAMA NETWORK OPEN</t>
  </si>
  <si>
    <t>Yan, Michael/JWO-8739-2024; Eng, Lawson/AAB-8539-2020; Jomy, Jane/AHC-5946-2022; Huang, Ryan S/KHD-7917-2024</t>
  </si>
  <si>
    <t>Yan, Michael/0000-0002-8387-6563; Eng, Lawson/0000-0002-4816-8385; Jomy, Jane/0000-0001-6066-9548; Huang, Ryan S/0000-0002-3404-5376</t>
  </si>
  <si>
    <t>AMER MEDICAL ASSOC</t>
  </si>
  <si>
    <t>CHICAGO</t>
  </si>
  <si>
    <t>330 N WABASH AVE, STE 39300, CHICAGO, IL 60611-5885 USA</t>
  </si>
  <si>
    <t>2574-3805</t>
  </si>
  <si>
    <t>JAMA NETW OPEN</t>
  </si>
  <si>
    <t>JAMA Netw. Open</t>
  </si>
  <si>
    <t>OCT 23 2024</t>
  </si>
  <si>
    <t>e2437711</t>
  </si>
  <si>
    <t>10.1001/jamanetworkopen.2024.37711</t>
  </si>
  <si>
    <t>http://dx.doi.org/10.1001/jamanetworkopen.2024.37711</t>
  </si>
  <si>
    <t>K2D7K</t>
  </si>
  <si>
    <t>39441598</t>
  </si>
  <si>
    <t>WOS:001342041200010</t>
  </si>
  <si>
    <t>Offidani, MN; Roffet, F; Galtier, MCG; Massiris, M; Delrieux, C</t>
  </si>
  <si>
    <t>High-quality, openly accessible clinical datasets remain a significant bottleneck in advancing both research and clinical applications within medical artificial intelligence. Case reports, often rich in multimodal clinical data, represent an underutilized resource for developing medical AI applications. We present an enhanced version of MultiCaRe, a dataset derived from open-access case reports on PubMed Central. This new version addresses the limitations identified in the previous release and incorporates newly added clinical cases and images (totaling 93,816 and 130,791, respectively), along with a refined hierarchical taxonomy featuring over 140 categories. Image labels have been meticulously curated using a combination of manual and machine learning-based label generation and validation, ensuring a higher quality for image classification tasks and the fine-tuning of multimodal models. To facilitate its use, we also provide a Python package for dataset manipulation, pretrained models for medical image classification, and two dedicated websites. The updated MultiCaRe dataset expands the resources available for multimodal AI research in medicine. Its scale, quality, and accessibility make it a valuable tool for developing medical AI systems, as well as for educational purposes in clinical and computational fields.Dataset: https://doi.org/10.5281/zenodo.10079369.Dataset License: CC-BY-NC-SA</t>
  </si>
  <si>
    <t>Nievas Offidani, Mauro; Roffet, Facundo; Gonzalez Galtier, Maria Carolina; Massiris, Miguel; Delrieux, Claudio</t>
  </si>
  <si>
    <t>Offidani, MN (corresponding author), Univ Nacl Sur, Elect &amp; Comp Engn Dept, RA-8000 Bahia Blanca, Argentina.</t>
  </si>
  <si>
    <t>mauro.offidani@uns.edu.ar</t>
  </si>
  <si>
    <t>National Scientific and Technical Research Council (CONICET)</t>
  </si>
  <si>
    <t>National Scientific and Technical Research Council (CONICET) (Consejo Nacional de Investigaciones Cientificas y Tecnicas (CONICET))</t>
  </si>
  <si>
    <t>The authors are thankful to each and every patient, medical doctor, researcher, editor and any other person involved in the creation of the open access case reports included in this dataset. The citation information for each article used in this dataset is available in the metadata.parquet file. F.R. and M.M. receive financial support from the National Scientific and Technical Research Council (CONICET). No other specific grants from funding agencies in the public, commercial, or non-profit sectors were received for this study.</t>
  </si>
  <si>
    <t>[Nievas Offidani, Mauro; Roffet, Facundo; Massiris, Miguel; Delrieux, Claudio] Univ Nacl Sur, Elect &amp; Comp Engn Dept, RA-8000 Bahia Blanca, Argentina; [Roffet, Facundo; Massiris, Miguel; Delrieux, Claudio] Natl Sci &amp; Technol Res Council Argentina CONICET, Inst Comp Sci &amp; Engn, RA-8000 Bahia Blanca, Argentina</t>
  </si>
  <si>
    <t>National University of the South; Instituto de Investigaciones en Ingenieria Electrica (IIIE)</t>
  </si>
  <si>
    <t>An Open-Source Clinical Case Dataset for Medical Image Classification and Multimodal AI Applications</t>
  </si>
  <si>
    <t>DATA</t>
  </si>
  <si>
    <t>artificial intelligence; data curation; dataset; healthcare; image classification; medical imaging; medicine; multimodality; image captioning</t>
  </si>
  <si>
    <t>LESIONS</t>
  </si>
  <si>
    <t>Delrieux, Claudio/M-1688-2019</t>
  </si>
  <si>
    <t>González Galtier, María Carolina/0009-0005-3075-457X; Roffet, Facundo Alejano/0000-0002-7788-4612; Nievas Offidani, Mauro/0000-0003-1349-5156; Delrieux, Claudio/0000-0002-2727-8374</t>
  </si>
  <si>
    <t>101</t>
  </si>
  <si>
    <t>2306-5729</t>
  </si>
  <si>
    <t>DATA-BASEL</t>
  </si>
  <si>
    <t>Data</t>
  </si>
  <si>
    <t>JUL 31 2025</t>
  </si>
  <si>
    <t>123</t>
  </si>
  <si>
    <t>10.3390/data10080123</t>
  </si>
  <si>
    <t>http://dx.doi.org/10.3390/data10080123</t>
  </si>
  <si>
    <t>Computer Science, Information Systems; Multidisciplinary Sciences</t>
  </si>
  <si>
    <t>Computer Science; Science &amp; Technology - Other Topics</t>
  </si>
  <si>
    <t>6RE2M</t>
  </si>
  <si>
    <t>WOS:001560059600001</t>
  </si>
  <si>
    <t>Juneja, S; Bhati, BS</t>
  </si>
  <si>
    <t>Early detection of women's health conditions such as breast cancer, cervical cancer, and polycystic ovary syndrome (PCOS) remains a major challenge because these diseases often require analysing both visual and textual clinical information. Traditional deep learning systems usually depend upon one single source of input - the medical images or the clinical text which restricts them from understanding the full clinical picture. We propose MedFusionNet, a hybrid Transformer-based deep learning model that combines both medical images and clinical reports for more detailed information. The image processing stream introduces EfficientNetB0 and ViT to extract the detailed and global features of images, while in the text processing stream, a transformer based language model identifies the exact meaning of clinical notes. These two models are brought together with a cross-modal influence fusion mechanism that allows the model to learn how the visual patterns use the textual descriptions. After training on 18,434 image-text pairs, MedFusionNet shows good performance after its two-stage training process, learning the fusion and classification layers first, followed by the fine-tuning of all model components. The model achieved very high validation accuracies of 96.8% for breast cancer, 98.2% for cervical cancer, and 99.3% for PCOS detection with strong generalisation ability across diseases. This research further shows that combining image and text inputs will be able to make disease predictions early and accurately, which will make it easy to improve medical support and women's healthcare outcomes.</t>
  </si>
  <si>
    <t>Juneja, Sonam; Bhati, Bhoopesh Singh</t>
  </si>
  <si>
    <t>Juneja, S (corresponding author), Indian Inst Informat Technol, Dept CSE, Sonepat 131001, Haryana, India.</t>
  </si>
  <si>
    <t>sonam.december@gmail.com</t>
  </si>
  <si>
    <t>[Juneja, Sonam; Bhati, Bhoopesh Singh] Indian Inst Informat Technol, Dept CSE, Sonepat 131001, Haryana, India</t>
  </si>
  <si>
    <t>MedFusionNet: A hybrid transformer-based multimodal deep learning framework for chronic disease prediction in women's health☆</t>
  </si>
  <si>
    <t>COMPUTERIZED MEDICAL IMAGING AND GRAPHICS</t>
  </si>
  <si>
    <t>Multimodal deep learning; Medical image analysis; Clinical text processing; Vision Transformer (ViT); EfficientNetB0; Cross-modal fusion; Multi-task learning</t>
  </si>
  <si>
    <t>Juneja, Sonam/OPN-6641-2025</t>
  </si>
  <si>
    <t>0895-6111</t>
  </si>
  <si>
    <t>1879-0771</t>
  </si>
  <si>
    <t>COMPUT MED IMAG GRAP</t>
  </si>
  <si>
    <t>Comput. Med. Imaging Graph.</t>
  </si>
  <si>
    <t>134</t>
  </si>
  <si>
    <t>102795</t>
  </si>
  <si>
    <t>10.1016/j.compmedimag.2026.102795</t>
  </si>
  <si>
    <t>http://dx.doi.org/10.1016/j.compmedimag.2026.102795</t>
  </si>
  <si>
    <t>Engineering, Biomedical; Radiology, Nuclear Medicine &amp; Medical Imaging</t>
  </si>
  <si>
    <t>Engineering; Radiology, Nuclear Medicine &amp; Medical Imaging</t>
  </si>
  <si>
    <t>LD7PL</t>
  </si>
  <si>
    <t>42424829</t>
  </si>
  <si>
    <t>WOS:001822179100001</t>
  </si>
  <si>
    <t>Li, KS; Chen, C; Cao, WT; Wang, H; Han, S; Wang, RJ; Ye, ZS; Wu, ZJ; Wang, WX; Cai, L; Ding, DY; Yuan, ZX</t>
  </si>
  <si>
    <t>Multimodal deep learning models have been applied for disease prediction tasks, but difficulties exist in training due to the conflict between sub-models and fusion modules. To alleviate this issue, we propose a framework for decoupling feature alignment and fusion (DeAF), which separates the multimodal model training into two stages. In the first stage, unsupervised representation learning is conducted, and the modality adaptation (MA) module is used to align the features from various modalities. In the second stage, the self-attention fusion (SAF) module combines the medical image features and clinical data using supervised learning. Moreover, we apply the DeAF framework to predict the postoperative efficacy of CRS for colorectal cancer and whether the MCI patients change to Alzheimer's disease. The DeAF framework achieves a significant improvement in comparison to the previous methods. Furthermore, extensive ablation experiments are conducted to demonstrate the rationality and effectiveness of our framework. In conclusion, our framework enhances the interaction between the local medical image features and clinical data, and derive more discriminative multimodal features for disease prediction. The framework implementation is available at https://github.com/cchencan/DeAF.</t>
  </si>
  <si>
    <t>Li, Kangshun; Chen, Can; Cao, Wuteng; Wang, Hui; Han, Shuai; Wang, Renjie; Ye, Zaisheng; Wu, Zhijie; Wang, Wenxiang; Cai, Leng; Ding, Deyu; Yuan, Zixu</t>
  </si>
  <si>
    <t>Li, KS (corresponding author), South China Agr Univ, Coll Math &amp; Informat, Guangzhou 510000, Peoples R China.; Yuan, ZX (corresponding author), Sun Yat sen Univ, Affiliated Hosp 6, Dept Colorectal Surg, Dept Gen Surg,Guangdong Prov Key Lab Colorectal &amp;, Guangzhou 510000, Peoples R China.</t>
  </si>
  <si>
    <t>yuanzx@mail2.sysu.edu.cn; likangshun@sina.com</t>
  </si>
  <si>
    <t>National Natural Science Founda-tion of China [82103038]; Guangzhou Science and Technol-ogy Program [202201011360]; National Key Clinical Discipline</t>
  </si>
  <si>
    <t>National Natural Science Founda-tion of China (National Natural Science Foundation of China (NSFC)); Guangzhou Science and Technol-ogy Program; National Key Clinical Discipline</t>
  </si>
  <si>
    <t>Acknowledgments This study was supported by the National Natural Science Founda-tion of China grant (No. 82103038) , Guangzhou Science and Technol-ogy Program (202201011360) and National Key Clinical Discipline.</t>
  </si>
  <si>
    <t>[Li, Kangshun; Chen, Can; Wang, Wenxiang; Cai, Leng] South China Agr Univ, Coll Math &amp; Informat, Guangzhou 510000, Peoples R China; [Cao, Wuteng] Sun Yat Sen Univ, Affiliated Hosp 6, Dept Radiol, Guangzhou 510000, Peoples R China; [Wang, Hui; Yuan, Zixu] Sun Yat sen Univ, Affiliated Hosp 6, Dept Colorectal Surg, Dept Gen Surg,Guangdong Prov Key Lab Colorectal &amp;, Guangzhou 510000, Peoples R China; [Han, Shuai] Southern Med Univ, Zhujiang Hosp, Gen Surg Ctr, Dept Gastrointestinal Surg, Guangzhou 510000, Peoples R China; [Wang, Renjie] Fudan Univ, Shanghai Canc Ctr, Dept Colorectal Surg, Shanghai 200000, Peoples R China; [Ye, Zaisheng] Fujian Canc Hosp, Dept Gastrointestinal Surg Oncol, Fuzhou 350000, Peoples R China; [Ye, Zaisheng] Fujian Med Univ, Canc Hosp, Fuzhou 350000, Peoples R China; [Ding, Deyu] Univ Konstanz, Dept Econ, Constance, Germany</t>
  </si>
  <si>
    <t>South China Agricultural University; Sun Yat Sen University; Sun Yat Sen University; Southern Medical University - China; Fudan University; Fujian Medical University; University of Konstanz</t>
  </si>
  <si>
    <t>DeAF: A multimodal deep learning framework for disease prediction</t>
  </si>
  <si>
    <t>Disease prediction; Multimodal deep learning; Medical image; Computer tomography; Unsupervised representation learning</t>
  </si>
  <si>
    <t>SEGMENTATION; DIAGNOSIS; SYSTEM</t>
  </si>
  <si>
    <t>zhijie, wu/AAG-3172-2019</t>
  </si>
  <si>
    <t>Chen, Can/0000-0001-6595-9982</t>
  </si>
  <si>
    <t>99</t>
  </si>
  <si>
    <t>156</t>
  </si>
  <si>
    <t>106715</t>
  </si>
  <si>
    <t>10.1016/j.compbiomed.2023.106715</t>
  </si>
  <si>
    <t>http://dx.doi.org/10.1016/j.compbiomed.2023.106715</t>
  </si>
  <si>
    <t>MAR 2023</t>
  </si>
  <si>
    <t>9Y6SH</t>
  </si>
  <si>
    <t>36867898</t>
  </si>
  <si>
    <t>WOS:000950586300001</t>
  </si>
  <si>
    <t>Shurrab, S; Guerra-Manzanares, A; Magid, A; Piechowski-Jozwiak, B; Atashzar, SF; Shamout, FE</t>
  </si>
  <si>
    <t>Stroke is a life-threatening medical condition that could lead to mortality or significant sensorimotor deficits. Various machine learning techniques have been successfully used to detect and predict stroke-related outcomes. Considering the diversity in the type of clinical modalities involved during management of patients with stroke, such as medical images, bio-signals, and clinical data, multimodal machine learning has become increasingly popular. Thus, we conducted a systematic literature review to understand the current status of state-of-the-art multimodal machine learning methods for stroke prognosis and diagnosis. Following the Preferred Reporting Items for Systematic Reviews and Meta-Analyses (PRISMA) guidelines during literature search and selection, our results show that the most dominant techniques are related to the fusion paradigm, specifically early, joint and late fusion. We discuss opportunities to leverage other multimodal learning paradigms, such as multimodal translation and alignment, which are generally less explored. We also discuss the scale of datasets and types of modalities used to develop existing models, highlighting opportunities for the creation of more diverse multimodal datasets. Finally, we present ongoing challenges and provide a set of recommendations to drive the next generation of multimodal learning methods for improved prognosis and diagnosis of patients with stroke.</t>
  </si>
  <si>
    <t>Shurrab, Saeed; Guerra-Manzanares, Alejandro; Magid, Amani; Piechowski-Jozwiak, Bartlomiej; Atashzar, S. Farokh; Shamout, Farah E.</t>
  </si>
  <si>
    <t>Shamout, FE (corresponding author), New York Univ Abu Dhabi, Comp Engn Div, Abu Dhabi 129188, U Arab Emirates.</t>
  </si>
  <si>
    <t>neurobart@gmail.com; farah.shamout@nyu.edu; saeed.shurrab@nyu.edu; am6087@nyu.edu; alejandro.guerra@nyu.edu; f.atashzar@nyu.edu</t>
  </si>
  <si>
    <t>Tamkeen through NYU Abu Dhabi Research Enhancement Fund; NYUAD Center for AI Robotics [CG010]; Center for Interacting Urban Networks [CG001]; Center for Cyber Security [G1104]; ASPIRE; Technology Program Management Pillar of Abu Dhabi's Advanced Technology Research Council (ATRC), through ASPIRE Precision Medicine Research Institute Abu Dhabi (ASPIREPMRIAD) [VRI-20-10]</t>
  </si>
  <si>
    <t>Tamkeen through NYU Abu Dhabi Research Enhancement Fund (New York University); NYUAD Center for AI Robotics (New York University); Center for Interacting Urban Networks; Center for Cyber Security; ASPIRE; Technology Program Management Pillar of Abu Dhabi's Advanced Technology Research Council (ATRC), through ASPIRE Precision Medicine Research Institute Abu Dhabi (ASPIREPMRIAD)</t>
  </si>
  <si>
    <t>This work was supported by Tamkeen through NYU Abu Dhabi Research Enhancement Fund, in part by the NYUAD Center for AI &amp; Robotics under Grant CG010, in part by the Center for Interacting Urban Networks under Grant CG001, in part by the Center for Cyber Security under Grant G1104, in part by ASPIRE, the Technology Program Management Pillar of Abu Dhabi's Advanced Technology Research Council (ATRC), through ASPIRE Precision Medicine Research Institute Abu Dhabi (ASPIREPMRIAD) under Award VRI-20-10.(Saeed Shurrab and Alejandro Guerra-Manzanares contributedequally to this work.)</t>
  </si>
  <si>
    <t>[Shurrab, Saeed; Guerra-Manzanares, Alejandro; Shamout, Farah E.] New York Univ Abu Dhabi, Comp Engn Div, Abu Dhabi 129188, U Arab Emirates; [Magid, Amani] New York Univ Abu Dhabi, Sci &amp; Engn Lib, Abu Dhabi 129188, U Arab Emirates; [Piechowski-Jozwiak, Bartlomiej] Cleveland Clin Abu Dhabi, Neurol Inst, Abu Dhabi 112412, U Arab Emirates; [Atashzar, S. Farokh] NYU, Mech &amp; Aerosp Engn, Elect &amp; Comp Engn, New York, NY 11201 USA</t>
  </si>
  <si>
    <t>New York University; New York University Abu Dhabi; New York University; New York University Abu Dhabi; Cleveland Clinic Foundation; New York University</t>
  </si>
  <si>
    <t>Multimodal Machine Learning for Stroke Prognosis and Diagnosis: A Systematic Review</t>
  </si>
  <si>
    <t>Stroke (medical condition); Prognostics and health management; Imaging; Medical diagnostic imaging; Deep learning; Medical services; Diseases; Stroke; multimodal clinical data; machine learning; deep learning</t>
  </si>
  <si>
    <t>ACUTE ISCHEMIC-STROKE; ARTIFICIAL-INTELLIGENCE; LESION SEGMENTATION; PREDICTION; OCCLUSION; FUSION; CT</t>
  </si>
  <si>
    <t>Piechowski-Jozwiak, Bartlomiej/HCI-4426-2022</t>
  </si>
  <si>
    <t>Shurrab, Saeed A S/0009-0008-7008-9158; Atashzar, Seyed Farokh/0000-0001-8495-8440; Magid, Amani/0000-0001-5664-9982; Guerra-Manzanares, Alejandro/0000-0002-3655-5804</t>
  </si>
  <si>
    <t>91</t>
  </si>
  <si>
    <t>NOV 2024</t>
  </si>
  <si>
    <t>6958</t>
  </si>
  <si>
    <t>6973</t>
  </si>
  <si>
    <t>10.1109/JBHI.2024.3448238</t>
  </si>
  <si>
    <t>http://dx.doi.org/10.1109/JBHI.2024.3448238</t>
  </si>
  <si>
    <t>M7I4Z</t>
  </si>
  <si>
    <t>39172620</t>
  </si>
  <si>
    <t>WOS:001359232100017</t>
  </si>
  <si>
    <t>Zhang, YX; Yang, PS; Zhu, QY; Zeng, KY; Cai, SW</t>
  </si>
  <si>
    <t>Background: Multimodal data fusion approaches not only capture the multidimensional characteristics of diseases but also compensate for the limitations of single-modality data in clinical diagnostics. These methods are increasingly utilized in clinical practice to significantly improve diagnostic accuracy. Artificial intelligence (AI), particularly in the domain of machine learning, has demonstrated a strong ability to extract meaningful features from large-scale datasets and is now widely applied in medical research. Differentiating benign from malignant anterior mediastinal tumors remains challenging in clinical settings. This study aimed to develop a multimodal AI model to accurately distinguish benign from malignant anterior mediastinal tumors. Methods: We retrospectively analyzed patients with anterior mediastinal tumors treated at a single hospital between 2021 and 2025. Clinical data, laboratory test results, imaging studies, and final pathological diagnoses were collected. Radiomics features were extracted from chest computed tomography (CT) images and analyzed. Machine learning techniques were used to select key variables. Four predictive models were constructed: a model based solely on clinical variables, a model based solely on imaging features, a multimodal model integrating variables via logistic regression, and a multimodal model based on a random forest algorithm. The performance of each model was evaluated through receiver operating characteristic curve analysis and comprehensive performance metrics to identify the optimal model. Results: A total of 104 patients met the inclusion criteria, including 58 cases of benign and 46 cases of malignant anterior mediastinal tumors. Five clinical features and seven imaging features were identified as predictive variables. The logistic regression-based multimodal model achieved the best performance [area under the curve (AUC) =0.94], followed by the clinical-only model (AUC =0.899), the random forest-based fusion model (AUC =0.881), and the imaging-only model (AUC =0.844). Conclusions: The logistic regression-based multimodal model demonstrated superior performance in differentiating benign and malignant anterior mediastinal tumors compared to models based on clinical data alone, imaging data alone, or the random forest approach. This method holds promise for aiding preoperative diagnosis in clinical settings. Notably, features such as tumor cross-sectional diameter, short-axis length on CT, history of myasthenia gravis, lactate dehydrogenase, and carcinoembryonic antigen showed significant clinical value in differentiating tumor types. These findings suggest that clinicians should pay closer attention to these indicators during differential diagnosis of anterior mediastinal tumors.</t>
  </si>
  <si>
    <t>Zhang, Yunxi; Yang, Pingshan; Zhu, Qingyi; Zeng, Kangyao; Cai, Songwang</t>
  </si>
  <si>
    <t>Cai, SW (corresponding author), Jinan Univ, Affiliated Hosp 1, Dept Thorac Surg, 601 Huangpu Rd West, Guangzhou 510632, Peoples R China.</t>
  </si>
  <si>
    <t>caisongwang@jnu.edu.cn</t>
  </si>
  <si>
    <t>[Zhang, Yunxi; Yang, Pingshan; Zhu, Qingyi; Zeng, Kangyao; Cai, Songwang] Jinan Univ, Affiliated Hosp 1, Dept Thorac Surg, 601 Huangpu Rd West, Guangzhou 510632, Peoples R China</t>
  </si>
  <si>
    <t>Jinan University</t>
  </si>
  <si>
    <t>Construction of a multimodal artificial intelligence model for differentiating benign and malignant anterior mediastinal tumors</t>
  </si>
  <si>
    <t>JOURNAL OF THORACIC DISEASE</t>
  </si>
  <si>
    <t>Anterior mediastinal tumors; machine learning; radiomics</t>
  </si>
  <si>
    <t>RADIOMICS; DIAGNOSIS; THYMOMA; PATIENT; MASSES; GUIDE</t>
  </si>
  <si>
    <t>Zhu, Qingyi/HJZ-3880-2023; Yang, Pingshan/JAN-5679-2023</t>
  </si>
  <si>
    <t>AME PUBLISHING COMPANY</t>
  </si>
  <si>
    <t>SHATIN</t>
  </si>
  <si>
    <t>FLAT-RM C 16F, KINGS WING PLAZA 1, NO 3 KWAN ST, SHATIN, HONG KONG 00000, PEOPLES R CHINA</t>
  </si>
  <si>
    <t>2072-1439</t>
  </si>
  <si>
    <t>2077-6624</t>
  </si>
  <si>
    <t>J THORAC DIS</t>
  </si>
  <si>
    <t>J. Thorac. Dis.</t>
  </si>
  <si>
    <t>OCT 31 2025</t>
  </si>
  <si>
    <t>7853</t>
  </si>
  <si>
    <t>7864</t>
  </si>
  <si>
    <t>10.21037/jtd-2025-1010</t>
  </si>
  <si>
    <t>http://dx.doi.org/10.21037/jtd-2025-1010</t>
  </si>
  <si>
    <t>Respiratory System</t>
  </si>
  <si>
    <t>I3093</t>
  </si>
  <si>
    <t>41229873</t>
  </si>
  <si>
    <t>WOS:001626418800033</t>
  </si>
  <si>
    <t>Wang, D; Liu, WJ; Nie, X; Liu, YK; Zhang, XY; Zhou, WL</t>
  </si>
  <si>
    <t>As multimodal information becomes central to complex task understanding, efficiently integrating heterogeneous data remains a challenge. This paper proposes a knowledge-driven hybrid fusion framework that enhances model classification performance by integrating the modeling of images and text. We designed an adaptive gating network to dynamically balance the contributions of visual and textual modalities, enabling flexible and robust knowledge integration across diverse clinical scenarios. The framework incorporates a hybrid fusion strategy, early fusion captures fine-grained semantic associations across modalities, while late fusion preserves modality-specific representations, enhancing model consistency and discriminative capabilities under multi-task optimization. Experimental results on multiple multimodal medical datasets validate the effectiveness and generalizability of the proposed hybrid fusion framework in clinical scenarios. The framework's near-clinical accuracy in lung disease and cancer classification highlights its potential for clinical decision support.</t>
  </si>
  <si>
    <t>Wang, Di; Liu, Wenjian; Nie, Xin; Liu, Yuankun; Zhang, Xueyan; Zhou, Wanlei</t>
  </si>
  <si>
    <t>Liu, WJ (corresponding author), City Univ Macau, Fac Data Sci, Ave Padre Tomas Pereira, Taipa 999078, Macao Special A, Peoples R China.</t>
  </si>
  <si>
    <t>wangd6@outlook.com; andylau@cityu.edu.mo; wlzhou@cityu.edu.mo</t>
  </si>
  <si>
    <t>Key Research and Development Program of Shandong Province [2023CXGC011101]; Pilot Project for Integrated Innovation of Science, Education, and Industry of Qilu University of Technology (Shandong Academy of Sciences) [2024ZDZX08]; Twenty Measures for Universities in Jinan City [202534093]</t>
  </si>
  <si>
    <t>Key Research and Development Program of Shandong Province; Pilot Project for Integrated Innovation of Science, Education, and Industry of Qilu University of Technology (Shandong Academy of Sciences); Twenty Measures for Universities in Jinan City</t>
  </si>
  <si>
    <t>This study was funded by the Key Research and Development Program of Shandong Province (2023CXGC011101) , the Pilot Project for Integrated Innovation of Science, Education, and Industry of Qilu University of Technology (Shandong Academy of Sciences) (2024ZDZX08), the Twenty Measures for Universities in Jinan City (202534093) .</t>
  </si>
  <si>
    <t>[Wang, Di; Liu, Wenjian; Nie, Xin; Liu, Yuankun; Zhang, Xueyan; Zhou, Wanlei] City Univ Macau, Fac Data Sci, Ave Padre Tomas Pereira, Taipa 999078, Macao Special A, Peoples R China; [Wang, Di] Qilu Univ Technol, Key Lab Comp Power Network &amp; Informat Secur, Shandong Acad Sci,Minist Educ, Natl Supercomp Ctr Jinan,Shandong Comp Sci Ctr, Jinan 250353, Shandong, Peoples R China; [Wang, Di] Shandong Fundamental Res Ctr Comp Sci, Shandong Prov Key Lab Comp Networks, Jinan 250101, Shandong, Peoples R China</t>
  </si>
  <si>
    <t>City University of Macau; Qilu University of Technology</t>
  </si>
  <si>
    <t>Hybrid fusion framework for multimodal data integration☆</t>
  </si>
  <si>
    <t>ARRAY</t>
  </si>
  <si>
    <t>Multimodal; Hybrid fusion; Intelligent diagnosis; Embedded feature knowledge</t>
  </si>
  <si>
    <t>LIU, WENJIAN/JVD-6788-2023; Zhou, Wanlei/HKV-8022-2023; Liu, Yuankun/NJT-3849-2025</t>
  </si>
  <si>
    <t>2590-0056</t>
  </si>
  <si>
    <t>ARRAY-NY</t>
  </si>
  <si>
    <t>Array</t>
  </si>
  <si>
    <t>100736</t>
  </si>
  <si>
    <t>10.1016/j.array.2026.100736</t>
  </si>
  <si>
    <t>http://dx.doi.org/10.1016/j.array.2026.100736</t>
  </si>
  <si>
    <t>Computer Science, Theory &amp; Methods</t>
  </si>
  <si>
    <t>FQ2HQ</t>
  </si>
  <si>
    <t>WOS:001724803500001</t>
  </si>
  <si>
    <t>Nguyen, DK; Li, AHA; Lai, YJ; Yang, PC; Chan, CL</t>
  </si>
  <si>
    <t>Lung nodules, while often benign, can become significant health concerns if their growth is not monitored accurately. Predicting lung nodule growth is critical for improving patient outcomes and guiding clinical decision-making. This study aims to develop a Multimodal Deep Learning Approach to enhance the accuracy of lung nodule growth prediction by integrating time-series CT image data with demographics and nodule-specific features. Data were collected from the Far Eastern Memorial Hospital, Taiwan, including CT image sequences of lung nodules and patient demographics and nodule-specific features. Using this dataset, a Multimodal Deep Learning framework was developed and optimized. The model's performance was assessed using metrics such as Accuracy, Precision, Sensitivity, F1-score, and AUC. The proposed Multimodal Deep Learning framework substantially outperformed traditional machine learning and unimodal models. Among all configurations, the repeat frame strategy achieved the best overall performance, with an accuracy of 0.929, precision of 0.878, sensitivity of 0.908, F1-score of 0.878, and AUC of 0.977. Paired t-test analysis confirmed that these improvements were statistically significant (p &lt; 0.05) compared to other multimodal variants and baseline models. These results highlight the model's ability to effectively integrate image, demographics, and nodule-specific features, leading to superior predictive accuracy and robust clinical decision-support potential. By using the time-series of CT image data, along with demographics and nodule-specific features, the proposed Multimodal Deep Learning provides a reliable tool for predicting lung nodule growth. This advancement has significant implications for lung nodule management, offering clinicians a robust and dependable resource to support medical decision-making and improve patient care. The findings highlight the transformative potential of deep learning techniques in critical healthcare domains.</t>
  </si>
  <si>
    <t>Nguyen, Duc-Khanh; Li, Ai-Hsien Adams; Lai, Yen-Jun; Yang, Pan-Chyr; Chan, Chien-Lung</t>
  </si>
  <si>
    <t>Chan, CL (corresponding author), Yuan Ze Univ, Dept Informat Management, Taoyuan 320, Taiwan.; Chan, CL (corresponding author), Yuan Ze Univ, Innovat Ctr Big Data &amp; Digital Convergence, Taoyuan 320, Taiwan.</t>
  </si>
  <si>
    <t>clchan@saturn.yzu.edu.tw</t>
  </si>
  <si>
    <t>National Science and Technology Council [111-2221-E-155-024, 112-2221-E-155-023]</t>
  </si>
  <si>
    <t>National Science and Technology Council</t>
  </si>
  <si>
    <t>This study is supported by NSTC (National Science and Technology Council) under grant number NSTC 111-2221-E-155-024 &amp; 112-2221-E-155-023.</t>
  </si>
  <si>
    <t>[Nguyen, Duc-Khanh; Chan, Chien-Lung] Yuan Ze Univ, Dept Informat Management, Taoyuan 320, Taiwan; [Li, Ai-Hsien Adams] Far Eastern Mem Hosp, Div Cardiol, New Taipei 220, Taiwan; [Li, Ai-Hsien Adams] Yuan Ze Univ, Grad Program Biomed Informat, Taoyuan 320, Taiwan; [Lai, Yen-Jun] Far Eastern Mem Hosp, Dept Radiol, New Taipei 220, Taiwan; [Yang, Pan-Chyr] Acad Sinica, Inst Biomed Sci, Taipei 106, Taiwan; [Yang, Pan-Chyr] Natl Taiwan Univ, Coll Med, Dept Internal Med, Taipei 100, Taiwan; [Chan, Chien-Lung] Yuan Ze Univ, Innovat Ctr Big Data &amp; Digital Convergence, Taoyuan 320, Taiwan</t>
  </si>
  <si>
    <t>Yuan Ze University; Far Eastern Memorial Hospital; Yuan Ze University; Far Eastern Memorial Hospital; Academia Sinica - Taiwan; National Taiwan University; Yuan Ze University</t>
  </si>
  <si>
    <t>A Timeseries-based Multimodal Deep Learning Approach for Lung Nodule Growth Prediction</t>
  </si>
  <si>
    <t>JOURNAL OF IMAGING INFORMATICS IN MEDICINE</t>
  </si>
  <si>
    <t>Multimodal; Deep Learning; Machine Learning; Nodule growth prediction</t>
  </si>
  <si>
    <t>MANAGEMENT; CANCER</t>
  </si>
  <si>
    <t>Chan, Chien-Lung/K-2086-2012; Nguyen, Duc-Khanh/QAV-5185-2026</t>
  </si>
  <si>
    <t>Nguyen, Duc-Khanh/0000-0001-8388-7425; YANG, PAN-CHYR/0000-0001-6330-6048</t>
  </si>
  <si>
    <t>ONE NEW YORK PLAZA, SUITE 4600, NEW YORK, NY, UNITED STATES</t>
  </si>
  <si>
    <t>2948-2925</t>
  </si>
  <si>
    <t>2948-2933</t>
  </si>
  <si>
    <t>J IMAGING INFORM MED</t>
  </si>
  <si>
    <t>J. Imaging Inform. Med.</t>
  </si>
  <si>
    <t>10.1007/s10278-025-01788-w</t>
  </si>
  <si>
    <t>http://dx.doi.org/10.1007/s10278-025-01788-w</t>
  </si>
  <si>
    <t>DEC 2025</t>
  </si>
  <si>
    <t>Radiology, Nuclear Medicine &amp; Medical Imaging</t>
  </si>
  <si>
    <t>X6848</t>
  </si>
  <si>
    <t>41402619</t>
  </si>
  <si>
    <t>WOS:001640854800001</t>
  </si>
  <si>
    <t>Yang, L; Wan, YL; Pan, F</t>
  </si>
  <si>
    <t>The rapid advancements of deep learning technology have revolutionized medical imaging diagnosis. However, training these models is often challenged by label imbalance and the scarcity of certain diseases. Most models fail to recognize multiple coexisting diseases, which are common in real-world clinical scenarios. Moreover, most radiological models rely solely on image data, which contrasts with radiologists' comprehensive approach, incorporating both images and other clinical information such as clinical history and laboratory results. In this study, we introduce a Multimodal Chest X-ray Network (MCX-Net) that integrates chest X-ray images and clinical history texts for multi-label disease diagnosis. This integration is achieved by combining a pretrained text encoder, a pretrained image encoder, and a pretrained image-text cross-modal encoder, fine-tuned on the public MIMIC-CXR-JPG dataset, to diagnose 13 diverse lung diseases on chest X-rays. As a result, MCX-Net achieved the highest macro AUROC of 0.816 on the test set, significantly outperforming unimodal baselines such as ViT-base and ResNet152, which scored 0.747 and 0.749, respectively (p &lt; 0.001). This multimodal approach represents a substantial advancement over existing image-based deep-learning diagnostic systems for chest X-rays.</t>
  </si>
  <si>
    <t>Yang, Lian; Wan, Yiliang; Pan, Feng</t>
  </si>
  <si>
    <t>Pan, F (corresponding author), Huazhong Univ Sci &amp; Technol, Union Hosp, Tongji Med Coll, Dept Radiol, Jiefang Ave 1277, Wuhan 430022, Peoples R China.; Pan, F (corresponding author), Hubei Prov Key Lab Mol Imaging, Wuhan 430000, Peoples R China.</t>
  </si>
  <si>
    <t>uh_fengpan@hust.edu.cn; yanglian@hust.edu.cn; wan.yl@neusoftmedical.com</t>
  </si>
  <si>
    <t>National Natural Science Foundation of China [82272083, 82172034]; Key Project of Natural Science Foundation of Hubei, China [2023BCB014]</t>
  </si>
  <si>
    <t>National Natural Science Foundation of China (National Natural Science Foundation of China (NSFC)); Key Project of Natural Science Foundation of Hubei, China</t>
  </si>
  <si>
    <t>This work was supported by the National Natural Science Foundation of China (grant numbers: 82272083 and 82172034) and the Key Project of Natural Science Foundation of Hubei, China (grant number: 2023BCB014).</t>
  </si>
  <si>
    <t>[Yang, Lian; Pan, Feng] Huazhong Univ Sci &amp; Technol, Union Hosp, Tongji Med Coll, Dept Radiol, Jiefang Ave 1277, Wuhan 430022, Peoples R China; [Yang, Lian; Pan, Feng] Hubei Prov Key Lab Mol Imaging, Wuhan 430000, Peoples R China; [Wan, Yiliang] Neusoft Med Syst Co Ltd, Shenyang 110167, Peoples R China</t>
  </si>
  <si>
    <t>Huazhong University of Science &amp; Technology</t>
  </si>
  <si>
    <t>Enhancing Chest X-ray Diagnosis with a Multimodal Deep Learning Network by Integrating Clinical History to Refine Attention</t>
  </si>
  <si>
    <t>Chest X-ray; Lung diseases; Differential diagnoses; Artificial intelligence; Transformer</t>
  </si>
  <si>
    <t>RADIOGRAPHS</t>
  </si>
  <si>
    <t>yang, lian/AEE-1767-2022; Wan, Yiliang/LQK-1179-2024</t>
  </si>
  <si>
    <t>Pan, Feng/0000-0003-2820-768X</t>
  </si>
  <si>
    <t>38</t>
  </si>
  <si>
    <t>3568</t>
  </si>
  <si>
    <t>3583</t>
  </si>
  <si>
    <t>10.1007/s10278-025-01446-1</t>
  </si>
  <si>
    <t>http://dx.doi.org/10.1007/s10278-025-01446-1</t>
  </si>
  <si>
    <t>DD1KT</t>
  </si>
  <si>
    <t>39971817</t>
  </si>
  <si>
    <t>WOS:001426198600001</t>
  </si>
  <si>
    <t>Green Accepted</t>
  </si>
  <si>
    <t>Li, H; Chen, J; Lin, PJ; Pan, YM; Cao, YW; Xie, WF</t>
  </si>
  <si>
    <t>Background: Predicting enterocutaneous fistula (ECF)-associated sepsis and mortality poses significant challenges in digital health care dueto the disease's complexity and heterogeneous clinical manifestations. Current approaches that rely on single-modal data or traditional scoring systems often fail to capture the intricate immune-inflammatory dynamics and multisystem involvement in patients with ECF. Objective: This study aims to develop an artificial intelligence (AI)-driven multimodal fusion model integrating clinical, imaging, and transcriptomic data for early prediction of ECF-associated sepsis and 28-day mortality, addressing the limitations of conventional single-dimensional models. Methods: This study leveraged publicly available datasets (Medical Information Mart for Intensive Care III [MIMIC-III], electronic Intensive Care Unit [eICU], and The Cancer GenomeAtlas) to construct a multimodal framework. Clinical parameters were processed using Extreme Gradient Boosting, abdominal imaging features were extracted via convolutional neural networks, and transcriptomic profiles were analyzed with variational autoencoders. A Transformer-based fusion network was employed forjoint prediction and validated through cross-validation and external testing. Key features were identified using Shapley Additive Explanations and Local Interpretable Model-Agnostic Explanations interpretability algorithms, while immune regulatory mechanisms were explored via weighted gene co-expression network analysis. Results: The multimodal model achieved an area under the curve (AUC) of 0.89 for predicting sepsis and 28-day mortality, outperformingunimodal models(clinical-onlymodel, AUC0.72, and imaging-only model,AUC0.78).Critical predictors included Sequential Organ Failure Assessment score, lactate levels, intra-abdominal free fluid on imaging, and immunoregulatory genes (programmed death-ligand 1 [PD-L1] and indoleamine 2,3-dioxygenase 1 [IDO1]). Mechanistic analysis revealed distinct immune reprogramming in patients with sepsis, characterized by increased regulatory T cells and M2 macrophages, along with downregulated cluster of differentiation 8+(CD8+) T cells. Conclusions: This multimodal AI model offers an innovative digital solution in medical informatics, enabling precise early risk stratification for ECF-associated sepsis. By integrating multisource data and providing interpretable insights into immune-inflammatory pathways, the model enhances health care quality for patients with ECF and paves the way for personalized intervention strategies.</t>
  </si>
  <si>
    <t>Li, Hui; Chen, Jing; Lin, Peijun; Pan, Youmei; Cao, Yawen; Xie, Wenfeng</t>
  </si>
  <si>
    <t>Xie, WF (corresponding author), Sun Yat Sen Univ, Affiliated Hosp 6, Biomed Innovat Ctr, Dept Emergency Med, 26 Yuancun Erheng Rd, Guangzhou 510655, Guangdong, Peoples R China.</t>
  </si>
  <si>
    <t>xiewfeng@mail.sysu.edu.cn</t>
  </si>
  <si>
    <t>[Li, Hui; Chen, Jing; Lin, Peijun; Pan, Youmei; Cao, Yawen; Xie, Wenfeng] Sun Yat Sen Univ, Affiliated Hosp 6, Biomed Innovat Ctr, Dept Emergency Med, 26 Yuancun Erheng Rd, Guangzhou 510655, Guangdong, Peoples R China</t>
  </si>
  <si>
    <t>Sun Yat Sen University</t>
  </si>
  <si>
    <t>Enterocutaneous Fistula-Associated Sepsis and Mortality: Development and Validation of a Multimodal Artificial Intelligence Prediction Model</t>
  </si>
  <si>
    <t>JMIR MEDICAL INFORMATICS</t>
  </si>
  <si>
    <t>enterocutaneous fistula; sepsis; multimodal artificial intelligence; immunoregulation; radiomics; transcriptomics</t>
  </si>
  <si>
    <t>2291-9694</t>
  </si>
  <si>
    <t>JMIR MED INF</t>
  </si>
  <si>
    <t>JMIR Med. Inf.</t>
  </si>
  <si>
    <t>e79985</t>
  </si>
  <si>
    <t>10.2196/79985</t>
  </si>
  <si>
    <t>http://dx.doi.org/10.2196/79985</t>
  </si>
  <si>
    <t>Medical Informatics</t>
  </si>
  <si>
    <t>HP1JD</t>
  </si>
  <si>
    <t>42060923</t>
  </si>
  <si>
    <t>WOS:001759354500001</t>
  </si>
  <si>
    <t>Kaczmarczyk, R; Wilhelm, TI; Martin, R; Roos, J</t>
  </si>
  <si>
    <t>This study evaluates multimodal AI models' accuracy and responsiveness in answering NEJM Image Challenge questions, juxtaposed with human collective intelligence, underscoring AI's potential and current limitations in clinical diagnostics. Anthropic's Claude 3 family demonstrated the highest accuracy among the evaluated AI models, surpassing the average human accuracy, while collective human decision-making outperformed all AI models. GPT-4 Vision Preview exhibited selectivity, responding more to easier questions with smaller images and longer questions.</t>
  </si>
  <si>
    <t>Kaczmarczyk, Robert; Wilhelm, Theresa Isabelle; Martin, Ron; Roos, Jonas</t>
  </si>
  <si>
    <t>Wilhelm, TI (corresponding author), Albert Ludwigs Univ Freiburg, Fac Med, Eye Ctr, Freiburg, Germany.</t>
  </si>
  <si>
    <t>theresa.wilhelm@uniklinik-freiburg.de</t>
  </si>
  <si>
    <t>Projekt DEAL.</t>
  </si>
  <si>
    <t>Open Access funding enabled and organized by Projekt DEAL.</t>
  </si>
  <si>
    <t>[Kaczmarczyk, Robert] Tech Univ Munich, Sch Med, Dept Dermatol &amp; Allergy, Munich, Germany; [Wilhelm, Theresa Isabelle] Albert Ludwigs Univ Freiburg, Fac Med, Eye Ctr, Freiburg, Germany; [Martin, Ron] BG Clin Bergmannstrost, Burn Ctr, Clin Plast Hand &amp; Aesthet Surg, Halle, Saale, Germany; [Roos, Jonas] Univ Hosp Bonn, Dept Orthoped &amp; Trauma Surg, Bonn, Germany</t>
  </si>
  <si>
    <t>Technical University of Munich; University of Freiburg; University of Bonn</t>
  </si>
  <si>
    <t>Evaluating multimodal AI in medical diagnostics</t>
  </si>
  <si>
    <t>Roos, Jonas/MIO-3998-2025</t>
  </si>
  <si>
    <t>Wilhelm, Theresa Isabelle/0000-0002-7462-1868; Roos, Jonas/0000-0001-8843-4695</t>
  </si>
  <si>
    <t>AUG 7 2024</t>
  </si>
  <si>
    <t>205</t>
  </si>
  <si>
    <t>10.1038/s41746-024-01208-3</t>
  </si>
  <si>
    <t>http://dx.doi.org/10.1038/s41746-024-01208-3</t>
  </si>
  <si>
    <t>C0K7R</t>
  </si>
  <si>
    <t>39112822</t>
  </si>
  <si>
    <t>WOS:001286341300002</t>
  </si>
  <si>
    <t>Hamida, S; Lamrani, D; Bouqentar, MA; El Gannour, O; Cherradi, B</t>
  </si>
  <si>
    <t>In order to effectively treat skin diseases, an accurate and prompt diagnosis is required. In this article, a novel method for classifying skin disorders using a multimodal classifier is presented. The proposed classifier utilizes multiple information sources to enhance the accuracy of disease classification. It incorporates images of skin lesions and patient -specific data. The multimodal classifier simultaneously classifies diseases by combining image and structured data inputs. The effectiveness of the proposed classifier was evaluated using the ISIC 2018 dataset, which includes images and clinical data for seven categories of skin diseases. The results indicate that the proposed model outperforms conventional single -modal and single -task classifiers, achieving an accuracy of 98.66% for image classification and 94.40% for clinical data classification. In addition, we compare the performance of the proposed model with that of other methodologies, demonstrating its superiority. Despite yielding promising results, the proposed method has limitations in terms of data requirements and generalizability. Future research directions include incorporating additional information sources, investigating genetic data integration, and applying the method to various medical conditions. This study illustrates the potential of integrating multimodal techniques with transfer learning in deep neural networks to enhance the classification accuracy of cutaneous diseases.</t>
  </si>
  <si>
    <t>Hamida, Soufiane; Lamrani, Driss; Bouqentar, Mohammed Amine; El Gannour, Oussama; Cherradi, Bouchaib</t>
  </si>
  <si>
    <t>Cherradi, B (corresponding author), Hassan II Univ Casablanca, 2IACS Lab, ENSET Mohammedia, Mohammadia, Morocco.; Cherradi, B (corresponding author), Hassan II Univ Casablanca, EEIS Lab, ENSET Mohammedia, Mohammadia, Morocco.; Cherradi, B (corresponding author), CRMEF Casablanca Settat, STIE Team, Prov Sect El Jadida, El Jadida, Morocco.</t>
  </si>
  <si>
    <t>bouchaib.cherradi@enset-media.ac.ma; m.amine.bouqentar@gmail.com; hamida.93s@gmail.com; oussama.elgan-nour@gmail.com; lamranidriss2013@gmail.com</t>
  </si>
  <si>
    <t>[Hamida, Soufiane; Cherradi, Bouchaib] Hassan II Univ Casablanca, 2IACS Lab, ENSET Mohammedia, Mohammadia, Morocco; [Hamida, Soufiane] SupMTI Rabat, GENIUS Lab, Rabat, Morocco; [Lamrani, Driss; Bouqentar, Mohammed Amine; El Gannour, Oussama; Cherradi, Bouchaib] Hassan II Univ Casablanca, EEIS Lab, ENSET Mohammedia, Mohammadia, Morocco; [El Gannour, Oussama] Sidi Mohammed Ben Abdellah Univ, LIASSE Lab, ENSA Fez, Fes, Morocco; [Cherradi, Bouchaib] CRMEF Casablanca Settat, STIE Team, Prov Sect El Jadida, El Jadida, Morocco</t>
  </si>
  <si>
    <t>Hassan II University of Casablanca; Hassan II University of Casablanca; Sidi Mohamed Ben Abdellah University of Fez</t>
  </si>
  <si>
    <t>An Integrated Multimodal Deep Learning Framework for Accurate Skin Disease Classification</t>
  </si>
  <si>
    <t>INTERNATIONAL JOURNAL OF ONLINE AND BIOMEDICAL ENGINEERING</t>
  </si>
  <si>
    <t>multimodal classifier; cutaneous diseases; skin lesions; transfer learning; image classification</t>
  </si>
  <si>
    <t>SYMPTOMS</t>
  </si>
  <si>
    <t>Bouqentar, Mohammed Amine/HJZ-2606-2023; CHERRADI, Bouchaib/J-2572-2016; EL GANNOUR, Oussama/IAR-0349-2023; HAMIDA, Soufiane/AGZ-7254-2022</t>
  </si>
  <si>
    <t>HAMIDA, Soufiane/0000-0003-0616-7787; LAMRANI, DRISS/0009-0006-9501-5353; Bouqentar, Mohammed Amine/0000-0001-7145-3339; CHERRADI, Bouchaib/0000-0002-2016-8682; EL GANNOUR, Oussama/0000-0003-2536-9528</t>
  </si>
  <si>
    <t>Int Federation Engineering Education Societies-IFEES</t>
  </si>
  <si>
    <t>Fairfax</t>
  </si>
  <si>
    <t>4400 University Drive, MS 4A3, Fairfax, VA, UNITED STATES</t>
  </si>
  <si>
    <t>2626-8493</t>
  </si>
  <si>
    <t>INT J ONLINE BIOMED</t>
  </si>
  <si>
    <t>Int. J. Online Biomed. Eng.</t>
  </si>
  <si>
    <t>94</t>
  </si>
  <si>
    <t>10.3991/ijoe.v20i02.43795</t>
  </si>
  <si>
    <t>http://dx.doi.org/10.3991/ijoe.v20i02.43795</t>
  </si>
  <si>
    <t>Computer Science, Interdisciplinary Applications</t>
  </si>
  <si>
    <t>HX4S5</t>
  </si>
  <si>
    <t>WOS:001162801400008</t>
  </si>
  <si>
    <t>Alsaafin, A; Shafique, A; Alfasly, S; Kalari, KR; Tizhoosh, HR</t>
  </si>
  <si>
    <t>Integrating artificial intelligence (AI) with healthcare data is rapidly transforming medical diagnostics and driving progress toward precision medicine. However, effectively leveraging multimodal data, particularly digital pathology whole slide images (WSIs) and genomic sequencing, remains a significant challenge due to the intrinsic heterogeneity of these modalities and the need for scalable and interpretable frameworks. Existing diagnostic models typically operate on unimodal data, overlooking critical cross-modal interactions that can yield richer clinical insights. We introduce MarbliX (Multimodal Association and Retrieval with Binary Latent Indexed matriX), a self-supervised framework that learns to embed WSIs and immunogenomic profiles into compact, scalable binary codes, termed "monogram." By optimizing a triplet contrastive objective across modalities, MarbliX captures high-resolution patient similarity in a unified latent space, enabling efficient retrieval of clinically relevant cases and facilitating case-based reasoning. In lung cancer, MarbliX achieves 85%-89% across all evaluation metrics, outperforming histopathology (69%-71%) and immunogenomics (73%-76%). In kidney cancer, real-valued monograms yield the strongest performance (F1: 80%-83%, Accuracy: 87%-90%), with binary monograms slightly lower (F1: 78%-82%).</t>
  </si>
  <si>
    <t>Alsaafin, Areej; Shafique, Abubakr; Alfasly, Saghir; Kalari, Krishna R.; Tizhoosh, H. R.</t>
  </si>
  <si>
    <t>Tizhoosh, HR (corresponding author), Mayo Clin, Dept Artificial Intelligence &amp; Informat, Kimia Lab, Rochester, MN 55905 USA.</t>
  </si>
  <si>
    <t>tizhoosh.hamid@mayo.edu</t>
  </si>
  <si>
    <t>[Alsaafin, Areej; Shafique, Abubakr; Alfasly, Saghir; Tizhoosh, H. R.] Mayo Clin, Dept Artificial Intelligence &amp; Informat, Kimia Lab, Rochester, MN 55905 USA; [Kalari, Krishna R.] Mayo Clin, Dept Quantitat Hlth Sci, Div Computat Biol, Rochester, MN USA</t>
  </si>
  <si>
    <t>Mayo Clinic; Mayo Clinic</t>
  </si>
  <si>
    <t>Multimodal learning for scalable representation of high-dimensional medical data</t>
  </si>
  <si>
    <t>FRONTIERS IN DIGITAL HEALTH</t>
  </si>
  <si>
    <t>cancer image classification; deep learning; genomic sequence; multimodal retrieval; patholog; whole slide image analysis</t>
  </si>
  <si>
    <t>IMPACT</t>
  </si>
  <si>
    <t>Tizhoosh, Hamid/KIL-6277-2024</t>
  </si>
  <si>
    <t>Alfasly, Saghir/0000-0002-8561-660X</t>
  </si>
  <si>
    <t>2673-253X</t>
  </si>
  <si>
    <t>FRONT DIGIT HEALTH</t>
  </si>
  <si>
    <t>Front. Digit. Health</t>
  </si>
  <si>
    <t>JAN 27 2026</t>
  </si>
  <si>
    <t>1709277</t>
  </si>
  <si>
    <t>10.3389/fdgth.2025.1709277</t>
  </si>
  <si>
    <t>http://dx.doi.org/10.3389/fdgth.2025.1709277</t>
  </si>
  <si>
    <t>DK3BE</t>
  </si>
  <si>
    <t>41684639</t>
  </si>
  <si>
    <t>WOS:001685448000001</t>
  </si>
  <si>
    <t>Ma, FQ; Yu, FC; Gu, XY; Zhang, LH; Lu, ZL; Zhang, LL; Mao, HR; Xiang, N</t>
  </si>
  <si>
    <t>Background Thyroid nodules (TNs) represent a prevalent clinical issue in endocrinology.The diagnostic process for malignant TNs typically involves a three-stage detection: the function detection, color ultrasound (CU) detection and biopsy. Early identification is crucial for effective management of malignant TNs. Methods This study developed a multimodal network for classifying CU images and thyroid function (TF) test data. Specifically, the PubMedClIP model was employed to extract visual features from CU images, generating a 512-dimensional feature vector.This vector was subsequently concatenated with five indicators ofTF tests, as well as gender and age information, to construct a comprehensive representation. The combined representation was then fed into a downstream ML classifier, where we evaluated seven models, including AdaBoost, Random Forest, and Logistic Regression. Results Among the seven ML models evaluated, the AdaBoost classifier demonstrated the highest overall performance, surpassing other classifiers in terms of area under the curve (AUC), F1, accuracy, and coordinate attention (CA) metrics. The incorporation of visual features extracted from CU images using PubMedCLIP further enhanced the model's performance. Feature importance analysis revealed that laboratory indicators such as free thyroxine (FT4), free triiodothyronine (FT3), and clip_feature_184 were the most influential clinical variables. Additionally, the integration of PubMedCLIP significantly improved the model's capacity to accurately classify data by leveraging both clinical and imaging information. Conclusion The proposed PubMedCLIP-based multimodal framework, which jointly utilizes ultrasound imaging features and clinical laboratory data, demonstrated superior diagnostic performance in differentiating benign from malignant TNs. This approach offers a promising tool for individualized risk assessment and clinical decision support, potentially facilitating more precise and personalized protocols for patients with TNs.</t>
  </si>
  <si>
    <t>Ma, Fuqiang; Yu, Fengchang; Gu, Xinyu; Zhang, Lihua; Lu, Zhilin; Zhang, Lele; Mao, Herong; Xiang, Nan</t>
  </si>
  <si>
    <t>Zhang, LL (corresponding author), Henan Univ Sci &amp; Technol, Affiliated Hosp 1, Dept Integrated Tradit &amp; Western Med, 24 Jinghua Rd, Luoyang 471003, Henan, Peoples R China.; Zhang, LL (corresponding author), Henan Univ Sci &amp; Technol, Coll Clin Med, 24 Jinghua Rd, Luoyang 471003, Henan, Peoples R China.; Mao, HR (corresponding author), Hubei Univ Chinese Med, Wuhan 430065, Hubei, Peoples R China.; Xiang, N (corresponding author), Hubei Prov Hosp Tradit Chinese Med, Wuhan 430061, Hubei, Peoples R China.; Mao, HR; Xiang, N (corresponding author), Hubei Shizhen Lab, Wuhan 430061, Hubei, Peoples R China.</t>
  </si>
  <si>
    <t>xiangnan61@sina.com; 876758328@qq.com; mhr1752@hbucm.edu.cn</t>
  </si>
  <si>
    <t>[Ma, Fuqiang; Zhang, Lele] Henan Univ Sci &amp; Technol, Affiliated Hosp 1, Dept Integrated Tradit &amp; Western Med, 24 Jinghua Rd, Luoyang 471003, Henan, Peoples R China; [Ma, Fuqiang; Zhang, Lele] Henan Univ Sci &amp; Technol, Coll Clin Med, 24 Jinghua Rd, Luoyang 471003, Henan, Peoples R China; [Ma, Fuqiang; Lu, Zhilin; Mao, Herong] Hubei Univ Chinese Med, Wuhan 430065, Hubei, Peoples R China; [Yu, Fengchang] Wuhan Univ, Sch Informat Management, Wuhan 430072, Hubei, Peoples R China; [Gu, Xinyu] Henan Univ Sci &amp; Technol, Affiliated Hosp 1, Canc Inst, Henan Key Lab Canc Epigenet,Med Coll, Luoyang 471003, Peoples R China; [Gu, Xinyu] Henan Univ Sci &amp; Technol, Coll Clin Med, Med Coll, Luoyang 471003, Peoples R China; [Zhang, Lihua] Hubei Univ Chinese Med, Huanggang Hosp Tradit Chinese Med, Huanggang 438000, Hubei, Peoples R China; [Xiang, Nan] Hubei Prov Hosp Tradit Chinese Med, Wuhan 430061, Hubei, Peoples R China; [Mao, Herong; Xiang, Nan] Hubei Shizhen Lab, Wuhan 430061, Hubei, Peoples R China</t>
  </si>
  <si>
    <t>Henan University of Science &amp; Technology; Henan University of Science &amp; Technology; Hubei University of Chinese Medicine; Wuhan University; Henan University of Science &amp; Technology; Henan University of Science &amp; Technology; Hubei University of Chinese Medicine</t>
  </si>
  <si>
    <t>An interpretable multimodal machine learning model for predicting malignancy of thyroid nodules in low-resource scenarios</t>
  </si>
  <si>
    <t>BMC ENDOCRINE DISORDERS</t>
  </si>
  <si>
    <t>Thyroid nodules; Thyroid function; Thyroid cancer; Multimodal machine learning; PubMedCLIP</t>
  </si>
  <si>
    <t>CANCER; RISK</t>
  </si>
  <si>
    <t>Fuqiang, Ma/LOS-9023-2024; Yu, Fengchang/PDY-3151-2025</t>
  </si>
  <si>
    <t>Fuqiang, Ma/0000-0002-7792-7432</t>
  </si>
  <si>
    <t>1472-6823</t>
  </si>
  <si>
    <t>BMC ENDOCR DISORD</t>
  </si>
  <si>
    <t>BMC Endocr. Disord.</t>
  </si>
  <si>
    <t>OCT 16 2025</t>
  </si>
  <si>
    <t>232</t>
  </si>
  <si>
    <t>10.1186/s12902-025-02031-x</t>
  </si>
  <si>
    <t>http://dx.doi.org/10.1186/s12902-025-02031-x</t>
  </si>
  <si>
    <t>Endocrinology &amp; Metabolism</t>
  </si>
  <si>
    <t>8ST0Q</t>
  </si>
  <si>
    <t>41102705</t>
  </si>
  <si>
    <t>WOS:001596446300001</t>
  </si>
  <si>
    <t>Pachghare, PP; Gawande, UH</t>
  </si>
  <si>
    <t>Malignant growths in the tonsils, larynx, or pharynx are associated with throat cancer. Current diagnostic techniques are limited by subjectivity and clinician variability and rely on invasive procedures. This study examines sophisticated models for detecting throat cancer that use machine learning and multimodal analysis. Recurrent neural networks (RNNs), convolutional neural networks (CNNs), and hybrid models that combine these with other machine learning techniques are examples of state-of-the-art methods. These models enable data-driven improvements in diagnostic accuracy by utilizing a variety of data types. CNN-based imaging analysis is a key technique that improves accuracy and decreases manual intervention by automatically extracting and learning features from medical images. To understand throat cancer, RNNs analyze patient data over time and spot trends in the disease's course. To enhance model performance, ensemble learning and transfer learning techniques are examined. The models enable early diagnosis, leading to timely treatment, higher survival rates, and lower medical costs, showing strong potential for clinical use. 1. Multimodal Analysis: Imaging, genomic, and health record data are used for better diagnosis. 2. Deep Learning Models: CNNs and RNNs are employed to detect and track throat cancer accurately. 3. Improved Outcomes: Enables early diagnosis, reducing treatment costs and increasing survival rates.</t>
  </si>
  <si>
    <t>Pachghare, Pragati Prakash; Gawande, U. H.</t>
  </si>
  <si>
    <t>Pachghare, PP (corresponding author), Yashwantrao Chavan Coll Engn, Nagpur, Maharashtra, India.</t>
  </si>
  <si>
    <t>pppachghare@ycce.edu</t>
  </si>
  <si>
    <t>Yashwantrao Chavan College of Engineering, Nagpur</t>
  </si>
  <si>
    <t>The authors gratefully acknowledge the support of the Yashwantrao Chavan College of Engineering, Nagpur. The authors are thankful to their colleagues, friends, and families for their constant support and encouragement. This research did not receive any specific grant from funding agencies in the public, commercial, or not-for-profit sectors.</t>
  </si>
  <si>
    <t>[Pachghare, Pragati Prakash] Yashwantrao Chavan Coll Engn, Nagpur, Maharashtra, India; [Gawande, U. H.] Yashwantrao Chavan Coll Engn, Dept IT, Nagpur, Maharashtra, India</t>
  </si>
  <si>
    <t>Yeshwantrao Chavan College of Engineering; Yeshwantrao Chavan College of Engineering</t>
  </si>
  <si>
    <t>Advancing throat cancer detection using an iterative multimodal machine learning approach for enhanced diagnostic accuracy</t>
  </si>
  <si>
    <t>METHODSX</t>
  </si>
  <si>
    <t>Medical imaging; Machine learning; Multimodal analysis; Throat cancer detection; Convolutional neural networks</t>
  </si>
  <si>
    <t>Gawande, Ujwalla/AAF-1430-2019</t>
  </si>
  <si>
    <t>Pachghare Budhe, Pragati/0009-0008-5709-2272</t>
  </si>
  <si>
    <t>2215-0161</t>
  </si>
  <si>
    <t>MethodsX</t>
  </si>
  <si>
    <t>103626</t>
  </si>
  <si>
    <t>10.1016/j.mex.2025.103626</t>
  </si>
  <si>
    <t>http://dx.doi.org/10.1016/j.mex.2025.103626</t>
  </si>
  <si>
    <t>7PW1W</t>
  </si>
  <si>
    <t>41031182</t>
  </si>
  <si>
    <t>WOS:001576822800001</t>
  </si>
  <si>
    <t>Cao, YQ; Jin, XA; Zhao, YN; Zhang, GZ; Ge, WT; Zhou, JB; Liu, YP; Huang, PJ; Zhang, GX; Han, YH</t>
  </si>
  <si>
    <t>Background: Autoimmune gastritis (AIG), a chronic inflammatory disease associated with various comorbidities and complications, is often subject to missed or delayed diagnoses. Aims: The objective of this study was to develop an artificial intelligence (AI) system to assist in the diagnosis of AIG by integrating multimodal information, including endoscopic images, biopsy pathological reports, and laboratory test results. Methods: Multimodal data were collected from 590 patients diagnosed with AIG, H. pylori positive, and H. pylori negative chronic atrophic gastritis at three medical centers. A multimodal AI system was developed to diagnose AIG and other types of chronic gastritis. The performance of the AI system was evaluated using both internal and external datasets. Six endoscopists were invited to perform three-category classification for comparison. The SHapley Additive exPlanations (SHAP) framework and EigenCAM were used to improve the interpretability of the AI system. Results: The proposed multimodal AI system achieved a sensitivity of 0.931, specificity of 0.963, and accuracy of 0.954, significantly outperforming unimodal models (all P &lt; 0.001) and the best-performing invited expert endoscopist under controlled conditions. SHAP analysis indicated that the three modalities provided complementary and synergistic information. Conclusion: This multimodal AI system has the potential to enable practical AI-assisted diagnosis of AIG with exceptional accuracy.</t>
  </si>
  <si>
    <t>Cao, Yuqi; Jin, Xinao; Zhao, Yining; Zhang, Gangzhi; Ge, Weiting; Zhou, Jianbo; Liu, Yongpan; Huang, Pingjie; Zhang, Guangxin; Han, Yuehua</t>
  </si>
  <si>
    <t>Zhang, GX (corresponding author), Coll control Sci &amp; Engn, 38 Zheda Rd, Hangzhou, Zhejiang, Peoples R China.; Han, YH (corresponding author), Zhejiang Univ, Affiliated Hosp 2, Sch Med, 88 Jiefang Rd, Hangzhou, Zhejiang, Peoples R China.</t>
  </si>
  <si>
    <t>gxzhang@zju.edu.cn; hanyaohua@zju.edu.cn</t>
  </si>
  <si>
    <t>[Cao, Yuqi; Jin, Xinao; Zhao, Yining; Huang, Pingjie; Zhang, Guangxin] Zhejiang Univ, Coll Control Sci &amp; Engn, State Key Lab Ind Control Technol, Hangzhou 310027, Peoples R China; [Cao, Yuqi] Guilin Univ Aerosp Technol, Guangxi Key Lab Special Engn Equipment &amp; Control, Guilin 541004, Peoples R China; [Zhang, Gangzhi; Han, Yuehua] Zhejiang Univ, Affiliated Hosp 2, Dept Gastroenterol, Sch Med, Hangzhou 310000, Peoples R China; [Ge, Weiting] Zhejiang Univ, Affiliated Hosp 2, Ctr Basic &amp; Translat Res,China Natl Minist Educ, Key Lab Canc &amp; Intervent,Sch Med, Hangzhou 310000, Peoples R China; [Ge, Weiting] Minist Educ, Ctr Med Res &amp; Innovat Digest Syst Tumors, Hangzhou 310000, Peoples R China; [Zhou, Jianbo] Ningbo Univ, Affiliated Yangming Hosp, Ningbo 315400, Peoples R China; [Liu, Yongpan] Zhejiang Chinese Med Univ, Affiliated Hosp 2, Hangzhou 310005, Peoples R China</t>
  </si>
  <si>
    <t>Zhejiang University; Guilin University of Aerospace Technology; Zhejiang University; Zhejiang University; Ningbo University; Zhejiang Chinese Medical University</t>
  </si>
  <si>
    <t>A multimodal artificial intelligence method for accurate diagnosis of autoimmune gastritis</t>
  </si>
  <si>
    <t>DIGESTIVE AND LIVER DISEASE</t>
  </si>
  <si>
    <t>Autoimmune gastritis identification; Deep learning; Multimodal feature fusion; Model interpretability</t>
  </si>
  <si>
    <t>101 Park Avenue, 24th Floor, NEW YORK, NY, UNITED STATES</t>
  </si>
  <si>
    <t>1590-8658</t>
  </si>
  <si>
    <t>1878-3562</t>
  </si>
  <si>
    <t>DIGEST LIVER DIS</t>
  </si>
  <si>
    <t>Dig. Liver Dis.</t>
  </si>
  <si>
    <t>SEP 2026</t>
  </si>
  <si>
    <t>1156</t>
  </si>
  <si>
    <t>1164</t>
  </si>
  <si>
    <t>10.1016/j.dld.2026.07.005</t>
  </si>
  <si>
    <t>http://dx.doi.org/10.1016/j.dld.2026.07.005</t>
  </si>
  <si>
    <t>Gastroenterology &amp; Hepatology</t>
  </si>
  <si>
    <t>MU9SF</t>
  </si>
  <si>
    <t>42527225</t>
  </si>
  <si>
    <t>WOS:001851497600001</t>
  </si>
  <si>
    <t>Yuan, YF; Chen, KT; Zhu, YJ; Yu, Y; Hu, MT; Chu, YH; Hsu, YC; Hu, J; Yue, Q; Liu, MX</t>
  </si>
  <si>
    <t>BackgroundThe integration of 7 Tesla (7T) magnetic resonance imaging (MRI) with advanced multimodal artificial intelligence (AI) models represents a promising frontier in neuroimaging. The superior spatial resolution of 7TMRI provides detailed visualizations of brain structure, which are crucial forunderstanding complex central nervous system diseases and tumors. Concurrently, the application of multimodal AI to medical images enables interactive imaging-based diagnostic conversation.MethodsIn this paper, we systematically investigate the capacity and feasibility of applying the existing advanced multimodal AI model ChatGPT-4V to 7T MRI under the context of brain tumors. First, we test whether ChatGPT-4V has knowledge about 7T MRI, and whether it can differentiate 7T MRI from 3T MRI. In addition, we explore whether ChatGPT-4V can recognize different 7T MRI modalities and whether it can correctly offer diagnosis of tumors based on single or multiple modality 7T MRI.ResultsChatGPT-4V exhibited accuracy of 84.4% in 3T-vs-7T differentiation and accuracy of 78.9% in 7T modality recognition. Meanwhile, in a human evaluation with three clinical experts, ChatGPT obtained average scores of 9.27/20 in single modality-based diagnosis and 21.25/25 in multiple modality-based diagnosis. Our study indicates that single-modality diagnosis and the interpretability of diagnostic decisions in clinical practice should be enhanced when ChatGPT-4V is applied to 7T data.ConclusionsIn general, our analysis suggests that such integration has promise as a tool to improve the workflow of diagnostics in neurology, with a potentially transformative impact in the fields of medical image analysis and patient management.</t>
  </si>
  <si>
    <t>Yuan, Yifan; Chen, Kaitao; Zhu, Youjia; Yu, Yang; Hu, Mintao; Chu, Ying-Hua; Hsu, Yi-Cheng; Hu, Jie; Yue, Qi; Liu, Mianxin</t>
  </si>
  <si>
    <t>Yue, Q (corresponding author), Fudan Univ, Neurosurg Inst, Huashan Hosp, Dept Neurosurg, Shanghai, Peoples R China.; Yue, Q (corresponding author), Natl Ctr Neurol Disorders, Shanghai, Peoples R China.; Liu, MX (corresponding author), Shanghai Artificial Intelligence Lab, Shanghai, Peoples R China.</t>
  </si>
  <si>
    <t>Yueqi1989@126.com; liumianxin@pjlab.org.cn</t>
  </si>
  <si>
    <t>Science and Technology Innovation Plan Of Shanghai Science and Technology Commission [21Y21900600]; Shanghai Zhou Liang Fu Medical Development Foundation [XM00050-2024-3-8]; National Natural Science Foundation of China [82127801, 82227806, 82272063]; Science and Technology Innovation 2030-Major Project [2023ZD0511800]</t>
  </si>
  <si>
    <t>Science and Technology Innovation Plan Of Shanghai Science and Technology Commission; Shanghai Zhou Liang Fu Medical Development Foundation; National Natural Science Foundation of China (National Natural Science Foundation of China (NSFC)); Science and Technology Innovation 2030-Major Project</t>
  </si>
  <si>
    <t>Science and Technology Innovation Plan Of Shanghai Science and Technology Commission, Grant/Award Number: 21Y21900600; Shanghai Zhou Liang Fu Medical Development Foundation, Grant/Award Number: XM00050-2024-3-8; National Natural Science Foundation of China, Grant/Award Numbers: 82127801, 82227806, 82272063; Science and Technology Innovation 2030-Major Project, Grant/Award Number: 2023ZD0511800</t>
  </si>
  <si>
    <t>[Yuan, Yifan; Hu, Jie; Yue, Qi] Fudan Univ, Neurosurg Inst, Huashan Hosp, Dept Neurosurg, Shanghai, Peoples R China; [Yuan, Yifan; Hu, Jie; Yue, Qi] Natl Ctr Neurol Disorders, Shanghai, Peoples R China; [Chen, Kaitao; Hu, Mintao; Liu, Mianxin] Shanghai Artificial Intelligence Lab, Shanghai, Peoples R China; [Zhu, Youjia] Fudan Univ, Dept Intens Care Med, Huashan Hosp, Shanghai, Peoples R China; [Yu, Yang] Shanghai United Family Hosp, Dept Radiol, Shanghai, Peoples R China; [Chu, Ying-Hua; Hsu, Yi-Cheng] Siemens Healthineers Ltd, MR Res Collaborat Team, Shanghai, Peoples R China</t>
  </si>
  <si>
    <t>Fudan University; Shanghai Artificial Intelligence Laboratory; Fudan University</t>
  </si>
  <si>
    <t>Exploring the feasibility of integrating ultra-high field magnetic resonance imaging neuroimaging with multimodal artificial intelligence for clinical diagnostics</t>
  </si>
  <si>
    <t>IRADIOLOGY</t>
  </si>
  <si>
    <t>7T imaging; benchmark; ChatGPT-4V; CNS tumor; multimodal AI</t>
  </si>
  <si>
    <t>TRANSMIT</t>
  </si>
  <si>
    <t>Liu, Mianxin/NUP-9380-2025; YUE, QIANG/JGL-9014-2023</t>
  </si>
  <si>
    <t>Yuan, Yifan/0000-0003-1072-5825</t>
  </si>
  <si>
    <t>2834-2860</t>
  </si>
  <si>
    <t>2834-2879</t>
  </si>
  <si>
    <t>iRadiology</t>
  </si>
  <si>
    <t>498</t>
  </si>
  <si>
    <t>509</t>
  </si>
  <si>
    <t>10.1002/ird3.102</t>
  </si>
  <si>
    <t>http://dx.doi.org/10.1002/ird3.102</t>
  </si>
  <si>
    <t>4FT5B</t>
  </si>
  <si>
    <t>WOS:001516961900001</t>
  </si>
  <si>
    <t>Hua, PY; Lin, CC; Fenlon, T; Liu, XY; Hassanpour, S</t>
  </si>
  <si>
    <t>Background Accurate survival prediction for grade 2/3 glioma patients remains challenging due to tumor biological heterogeneity and limitations of current prognostic methods that rely on single-modality data.Methods We developed a multimodal deep learning framework integrating histopathology whole-slide images, somatic mutations, and clinical-demographic data. A 3-stage training pipeline combined contrastive learning with survival-specific optimization to align cross-modal representations. The framework was trained on 498 grade 2/3 glioma patients from The Cancer Genome Atlas and evaluated using 5-fold cross-validation and an independent Dartmouth-Hitchcock Medical Center (DHMC) cohort (n = 61).Results The contrastive multimodal model achieved a c-index of 0.91 (95% confidence interval [CI] = 0.84 to 0.96), significantly outperforming the unimodal models (image-only = 0.76; non-image-only = 0.87) and showing an improvement over the noncontrastive multimodal model (c-index = 0.89), although this difference was not statistically significant. Kaplan-Meier analysis demonstrated clear survival separation across risk strata (log-rank P = 4.4 &amp; times; 10-5). Contrastive learning improved representation clustering quality, with silhouette scores increasing from 0.20 to 0.24 (P = .05). External evaluation on the DHMC cohort achieved a c-index of 0.87 (95% CI = 0.77 to 0.95) after domain adaptation.Conclusion Contrastive multimodal learning significantly enhances survival prediction in grade 2/3 gliomas by effectively integrating histopathology, genomics, and clinical data. This annotation-free approach enables early risk stratification using routinely collected data and shows promise for informing personalized treatment decisions and clinical trial stratification.</t>
  </si>
  <si>
    <t>Hua, Peiying; Lin, Chun-Chieh; Fenlon, Travis; Liu, Xiaoying; Hassanpour, Saeed</t>
  </si>
  <si>
    <t>Hassanpour, S (corresponding author), 1 Med Ctr Dr, Lebanon, NH 03756 USA.</t>
  </si>
  <si>
    <t>saeed.hassanpour@dartmouth.edu</t>
  </si>
  <si>
    <t>US National Library of Medicine [R01LM013833]</t>
  </si>
  <si>
    <t>US National Library of Medicine (United States Department of Health &amp; Human Services, National Institutes of Health (NIH) - USA, NIH National Library of Medicine (NLM))</t>
  </si>
  <si>
    <t>This research was supported in part by a grant from the US National Library of Medicine (R01LM013833).</t>
  </si>
  <si>
    <t>[Hua, Peiying; Hassanpour, Saeed] Geisel Sch Med Dartmouth, Dept Biomed Data Sci, Hanover, NH 03755 USA; [Lin, Chun-Chieh; Fenlon, Travis; Liu, Xiaoying] Dartmouth Hitchcock Med Ctr, Dept Pathol &amp; Lab Med, Lebanon, NH USA; [Hassanpour, Saeed] Geisel Sch Med Dartmouth, Dept Epidemiol, Hanover, NH 03755 USA; [Hassanpour, Saeed] Dartmouth Coll, Dept Comp Sci, Hanover, NH USA</t>
  </si>
  <si>
    <t>Dartmouth College</t>
  </si>
  <si>
    <t>Contrastive multimodal deep learning for survival prediction in grade 2/3 gliomas</t>
  </si>
  <si>
    <t>JNCI CANCER SPECTRUM</t>
  </si>
  <si>
    <t>RECURSIVE PARTITIONING ANALYSIS; TEMOZOLOMIDE</t>
  </si>
  <si>
    <t>2515-5091</t>
  </si>
  <si>
    <t>JNCI CANCER SPECT</t>
  </si>
  <si>
    <t>JNCI Cancer Spectr.</t>
  </si>
  <si>
    <t>pkag039</t>
  </si>
  <si>
    <t>10.1093/jncics/pkag039</t>
  </si>
  <si>
    <t>http://dx.doi.org/10.1093/jncics/pkag039</t>
  </si>
  <si>
    <t>II7GD</t>
  </si>
  <si>
    <t>41987576</t>
  </si>
  <si>
    <t>WOS:001772634000001</t>
  </si>
  <si>
    <t>Li, C; Cai, JS; Huang, XL; Ni, Y; Ling, XP; Fang, SB</t>
  </si>
  <si>
    <t>Medical image interpretation plays a critical role in lumbar fusion surgery, where accurate analysis of anatomical structures is essential for clinical assessment. However, most existing deep learning approaches rely primarily on visual features and fail to effectively integrate heterogeneous clinical information. This study proposes a multimodal deep learning framework for lumbar spine image interpretation by jointly modeling medical images and associated clinical text. The framework adopts a global-local representation learning strategy to capture both overall anatomical context and fine-grained structural information. A visual encoder extracts hierarchical features from lumbar radiographs and CT scans, while a transformer-based text encoder captures semantic information from clinical reports. These representations are projected into a shared embedding space to enable cross-modal alignment. To enhance feature interaction, a text-guided attention mechanism is introduced to model correspondence between image regions and textual descriptions. The learned multimodal representations are applied to multiple downstream tasks, including cross-modal retrieval, classification, and lumbar structure segmentation. Experimental results show that the proposed framework outperforms image-only baselines and achieves competitive performance compared with existing multimodal approaches. The integration of global and local representations improves feature discrimination and structural modeling. Visualization results provide qualitative evidence that the model focuses on anatomically relevant regions, although such observations should be interpreted with caution. Overall, the proposed framework demonstrates the potential of multimodal representation learning for lumbar spine image analysis and provides a structured approach for integrating heterogeneous clinical data.</t>
  </si>
  <si>
    <t>Li, Chao; Cai, Jianshu; Huang, Xiaoling; Ni, Yan; Ling, Xuping; Fang, Shibiao</t>
  </si>
  <si>
    <t>Huang, XL (corresponding author), Zhejiang Univ, Sir Run Run Shaw Hosp, Nursing Dept, Sch Med, Hangzhou 310000, Zhejiang, Peoples R China.; Fang, SB (corresponding author), Zhejiang Univ, Hangzhou 310000, Zhejiang, Peoples R China.</t>
  </si>
  <si>
    <t>flea0922@163.com; huangxl@srrsh.com; wuyibiaobiao@163.com; 18268125173@163.com; 627462678@qq.com; zjtcmlxp@163.com</t>
  </si>
  <si>
    <t>Sir Run Run Shaw Hospital, School of Medicine, Zhejiang University (Hangzhou, Zhejiang, China)</t>
  </si>
  <si>
    <t>The authors gratefully acknowledge the administrative support provided by the Nursing Department, Sir Run Run Shaw Hospital, School of Medicine, Zhejiang University (Hangzhou, Zhejiang, China). Special appreciation is extended to the nursing teams for their operational assistance throughout this research.</t>
  </si>
  <si>
    <t>[Li, Chao; Cai, Jianshu; Huang, Xiaoling; Ni, Yan; Ling, Xuping] Zhejiang Univ, Sir Run Run Shaw Hosp, Nursing Dept, Sch Med, Hangzhou 310000, Zhejiang, Peoples R China; [Fang, Shibiao] Zhejiang Univ, Hangzhou 310000, Zhejiang, Peoples R China</t>
  </si>
  <si>
    <t>Zhejiang University; Zhejiang University</t>
  </si>
  <si>
    <t>A multimodal deep learning framework for clinical nursing assessment in lumbar fusion surgery via representation learning and feature extraction</t>
  </si>
  <si>
    <t>Multimodal learning; Lumbar spine imaging; Medical image analysis; Image-text alignment; Cross-modal representation; Lumbar fusion surgery</t>
  </si>
  <si>
    <t>cai, jianshu/KHY-7827-2024</t>
  </si>
  <si>
    <t>MAY 7 2026</t>
  </si>
  <si>
    <t>16428</t>
  </si>
  <si>
    <t>10.1038/s41598-026-51495-x</t>
  </si>
  <si>
    <t>http://dx.doi.org/10.1038/s41598-026-51495-x</t>
  </si>
  <si>
    <t>IP2XJ</t>
  </si>
  <si>
    <t>42098353</t>
  </si>
  <si>
    <t>WOS:001777093200001</t>
  </si>
  <si>
    <t>Karkas, AY; Taktak, YB; Gultekin, B; Hong, ZL; Aktas, HE; Seyithanoglu, D; Cebeci, T; Akin, A; Elustu, E; Arisin, K; Canturk, A; Ilhan, M; Senkal, N; Wallace, MB; Bezuidenhout, AF; Miller, FH; Medetalibeyoglu, A; Cakir, MS; Durak, G; Bagci, U; Erturk, SM</t>
  </si>
  <si>
    <t>BackgroundConventional clinical scoring systems and contrast-enhanced computed tomography (CECT) interpretation provide limited accuracy in predicting adverse outcomes in early acute pancreatitis (AP). This leads to suboptimal patient management and underscores the need for improved triage methods. To address this, we developed a multimodal artificial intelligence (AI) framework that integrates clinical parameters, radiomics, and deep learning (DL) models to predict adverse clinical outcomes in early AP.MethodsIn this retrospective tertiary-care, imaging-enriched cohort study, patients with AP who underwent CECT within 72 h of hospital admission were included. Adverse clinical outcomes were defined as mortality, intensive care unit (ICU) admission, or the need for invasive intervention within 30 days. Radiomics (using both pancreatic and peripancreatic features) and DL models were developed using CECT images to predict adverse outcomes. Multimodal models were constructed by integrating imaging and laboratory variables. Model performance was compared with three independent radiologists' prognostic imaging assessments and with established clinical scoring systems (Ranson and Glasgow-Imrie).ResultsA total of 284 patients with AP were included, of whom 140 (49.3%) experienced adverse clinical outcomes. Conventional clinical scores showed limited discrimination, with AUCs of 0.61 for Ranson and 0.67 for Glasgow-Imrie. Imaging-only assessment by three expert radiologists yielded modest predictive performance (average AUC = 0.629; sensitivity = 42.5%, specificity = 83.2%) and moderate interobserver agreement (Fleiss kappa = 0.650; ICC = 0.653). Imaging-only radiomics and DL models achieved higher discrimination (AUC 0.77 and 0.76, respectively). Integration of laboratory parameters into the radiomics model further improved predictive performance (AUC of 0.77 to 0.80), whereas the DL and fusion models showed no substantial improvement.ConclusionOur multimodal AI framework, which combines quantitative CECT features with clinical data, enhances the ability to predict adverse outcomes in early AP compared to traditional clinical and imaging severity scoring systems. These findings should be interpreted as preliminary, and prospective multicenter validation is required before considering clinical implementation.</t>
  </si>
  <si>
    <t>Karkas, Ahmet Yasin; Taktak, Yavuz B.; Gultekin, Burak; Hong, Ziliang; Aktas, Halil Ertugrul; Seyithanoglu, Deniz; Cebeci, Timurhan; Akin, Alper; Elustu, Ece; Arisin, Kerem; Canturk, Ali; Ilhan, Mehmet; Senkal, Naci; Wallace, Michael B.; Bezuidenhout, Abraham F.; Miller, Frank H.; Medetalibeyoglu, Alpay; Cakir, Mehmet Semih; Durak, Gorkem; Bagci, Ulas; Erturk, Sukru Mehmet</t>
  </si>
  <si>
    <t>Durak, G (corresponding author), Northwestern Univ, Dept Radiol, Chicago, IL 60201 USA.</t>
  </si>
  <si>
    <t>ecebusraelustu@ogr.iu.edu.tr; frank.miller@nm.org; yasinkarkas@gmail.com; alperakin@istanbul.edu.tr; abezuide@bidmc.harvard.edu; yavuztaktak@istanbul.edu.tr; wallace.michael@mayo.edu; ulas.bagci@northwestern.edu; alicanturk.md@gmail.com; burakgultekin@istanbul.edu.tr; gorkem.durak@northwestern.edu; m.ilhan@istanbul.edu.tr; timurhan.cebeci@istanbul.edu.tr; semih.cakir@istanbul.edu.tr; arisinkerem@gmail.com; alibeyoglualpay@gmail.com; deniz.seyithanoglu@istanbul.edu.tr; smerturk@gmail.com; ZiliangHong2029@u.northwestern.edu; halilertugrul.aktas@northwestern.edu; nacisenkal@gmail.com</t>
  </si>
  <si>
    <t>NIH HHS [R01-CA246704, R01-CA246704] Funding Source: Medline</t>
  </si>
  <si>
    <t>NIH HHS (United States Department of Health &amp; Human Services, National Institutes of Health (NIH) - USA)</t>
  </si>
  <si>
    <t>[Karkas, Ahmet Yasin; Taktak, Yavuz B.; Cakir, Mehmet Semih; Erturk, Sukru Mehmet] Istanbul Univ, Dept Radiol, Fac Med, Istanbul, Turkiye; [Gultekin, Burak] Uskudar State Hosp, Dept Internal Med, Istanbul, Turkiye; [Hong, Ziliang; Aktas, Halil Ertugrul; Miller, Frank H.; Durak, Gorkem; Bagci, Ulas] Northwestern Univ, Dept Radiol, Chicago, IL 60201 USA; [Seyithanoglu, Deniz; Cebeci, Timurhan; Akin, Alper; Elustu, Ece; Senkal, Naci; Medetalibeyoglu, Alpay] Istanbul Univ, Dept Internal Med, Fac Med, Istanbul, Turkiye; [Arisin, Kerem] Marmara Univ, Sch Med, Dept Publ Hlth, Istanbul, Turkiye; [Canturk, Ali] Minist Hlth Univ, Abdulhamid Han Training &amp; Res Hosp, Dept Radiol, Istanbul, Turkiye; [Ilhan, Mehmet] Istanbul Univ, Dept Gen Surg, Fac Med, Istanbul, Turkiye; [Wallace, Michael B.] Mayo Clin, Dept Med, Jacksonville, FL USA; [Bezuidenhout, Abraham F.] Beth Israel Deaconess Med Ctr, Dept Radiol, Boston, MA USA</t>
  </si>
  <si>
    <t>Istanbul University; Uskudar State Hospital; Northwestern University; Istanbul University; Marmara University; Istanbul University; Mayo Clinic; Harvard University; Harvard University Medical Affiliates; Beth Israel Deaconess Medical Center</t>
  </si>
  <si>
    <t>Multimodal AI for early prediction of adverse clinical outcomes in acute pancreatitis</t>
  </si>
  <si>
    <t>ABDOMINAL RADIOLOGY</t>
  </si>
  <si>
    <t>Acute pancreatitis; Artificial intelligence; Deep learning; Radiomics; Multimodal AI; Contrast-enhanced computed tomography; Explainable artificial intelligence; Outcome prediction</t>
  </si>
  <si>
    <t>MANAGEMENT; MORTALITY; SEVERITY; CLASSIFICATION; RISK</t>
  </si>
  <si>
    <t>Gultekin, Burak/MBV-3071-2025; Wallace, Michael/GZL-9731-2022; ARISIN, KEREM/JFK-1714-2023; Seyithanoglu, Deniz/AAY-7359-2020; erturk, sukru/A-8812-2018; Cantürk, Ali/KLY-5009-2024; /AAN-9528-2021; Çakır, Mehmet/LXU-5010-2024; Durak, Gorkem/AAT-3354-2020; Bagci, Ulas/A-4225-2012</t>
  </si>
  <si>
    <t>Cantürk, Ali/0000-0001-6145-7029; Miller, Frank/0000-0001-9506-9411; Durak, Gorkem/0000-0002-1608-1955</t>
  </si>
  <si>
    <t>2366-004X</t>
  </si>
  <si>
    <t>2366-0058</t>
  </si>
  <si>
    <t>ABDOM RADIOL</t>
  </si>
  <si>
    <t>Abdom. Radiol.</t>
  </si>
  <si>
    <t>10.1007/s00261-026-05588-w</t>
  </si>
  <si>
    <t>http://dx.doi.org/10.1007/s00261-026-05588-w</t>
  </si>
  <si>
    <t>IW3TS</t>
  </si>
  <si>
    <t>42228172</t>
  </si>
  <si>
    <t>WOS:001781898000001</t>
  </si>
  <si>
    <t>Lee, YH; Kim, DH; Chaurasia, A; Kim, TS; Guastaldi, FPS; Noh, YK</t>
  </si>
  <si>
    <t>Background: Early and accurate diagnosis of adolescent temporomandibular joint (TMJ) osteoarthritis (OA) is critical, as degenerative changes during growth can cause lifelong pain and deformity. This study aimed to identify key clinical and imaging predictors of adolescent TMJ-OA and to evaluate multimodal machine learning models. Methods: The diagnostic utility was evaluated in 79 adolescents (10-18 years) with TMJ pain using panoramic radiography (PR) and MRI. TMJ-OA was diagnosed based on the Diagnostic Criteria for Temporomandibular Disorders (DC/TMD). Three decision tree models were developed: Model 1 (clinical-only), Model 2 (imaging-only), and Model 3 (combined clinical and imaging). Logistic regression was used for the comparisons. Results: To ensure a robust evaluation with a small sample size (n = 79), the models were assessed using nested 5-fold cross-validation. Model 2 (imaging only) had the highest specificity (0.7714 f 0.2321), accuracy (0.5942 f 0.0966), and AUROC (0.719 f 0.101), but a low sensitivity (0.4472 f 0.2065). PR evidence of TMJ-OA (feature importance = 0.70; OR = 3.93) was the strongest predictor and root node in the decision tree. Model 3 (combined clinical and imaging data) showed improved sensitivity (0.6056 f 0.1829), identifying PR_TMJ_OA, MRI_TMJ_ADD (anterior disc displacement), Visual Analog Scale (VAS) score, and age as key nodes (AUROC = 0.6573 f 0.0338; OR = 2.85 for PR_TMJ_OA). Model 1 (clinical-only) had limited predictive performance (AUROC = 0.4859 f 0.0894), with symptom duration (importance = 0.64; OR = 1.40), VAS score, and joint locking (importance = 0.20) contributing modestly. A model using PR_TMJ_OA alone achieved perfect specificity (0.9714 f 0.0571) but low sensitivity (0.3806 f 0.1458). Conclusions: Although PR is a meaningful screening tool for adolescent TMJ-OA, it remains insufficient as a standalone diagnostic modality. Multimodal integration of clinical and MRI findings improves diagnostic accuracy and provides interpretable, clinically aligned decision-support tools for TMJ-OA.</t>
  </si>
  <si>
    <t>Lee, Yeon-Hee; Kim, Do-Hoon; Chaurasia, Akhilanand; Kim, Tae-Seok; Guastaldi, Fernando P. S.; Noh, Yung-Kyun</t>
  </si>
  <si>
    <t>Lee, YH (corresponding author), Kyung Hee Univ, Dent Hosp, Coll Dent, Dept Orofacial Pain &amp; Oral Med, Seoul 02447, South Korea.; Lee, YH (corresponding author), Harvard Med Sch, Massachusetts Gen Hosp, Ctr Syst Biol, Boston, MA 02114 USA.; Noh, YK (corresponding author), Hanyang Univ, Dept Comp Sci, Seoul 04763, South Korea.; Noh, YK (corresponding author), Korea Inst Adv Study KIAS, Sch Computat Sci, Seoul 02455, South Korea.</t>
  </si>
  <si>
    <t>nohyung@hanyang.ac.kr; ylee89@mgh.harvard.edu</t>
  </si>
  <si>
    <t>National Research Foundation of Korea (NRF) - Ministry of Science and ICT (MSIT) [RS-2024-00421203]; Institute of Information &amp; Communications Technology Planning &amp; Evaluation (IITP) - MSIT [IITP-2021-0-02068, RS-2020-II201373, RS-2023-00220628]; Kyung Hee University [KHU-20251299]</t>
  </si>
  <si>
    <t>National Research Foundation of Korea (NRF) - Ministry of Science and ICT (MSIT) (National Research Foundation of Korea, Ministry of Science &amp; ICT (MMSTI)); Institute of Information &amp; Communications Technology Planning &amp; Evaluation (IITP) - MSIT (Institute for Information &amp; Communication Technology Planning &amp; Evaluation (IITP), Republic of Korea); Kyung Hee University (Kyung Hee University)</t>
  </si>
  <si>
    <t>This work was supported by the National Research Foundation of Korea (NRF) grant funded by the Ministry of Science and ICT (MSIT) (No. RS-2024-00421203), Institute of Information &amp; Communications Technology Planning &amp; Evaluation (IITP) grants funded by MSIT (IITP-2021-0-02068, RS-2020-II201373, and RS-2023-00220628), and a research grant from Kyung Hee University in 2025 (KHU-20251299).</t>
  </si>
  <si>
    <t>[Lee, Yeon-Hee; Kim, Tae-Seok] Kyung Hee Univ, Dent Hosp, Coll Dent, Dept Orofacial Pain &amp; Oral Med, Seoul 02447, South Korea; [Lee, Yeon-Hee] Harvard Med Sch, Massachusetts Gen Hosp, Ctr Syst Biol, Boston, MA 02114 USA; [Kim, Do-Hoon; Noh, Yung-Kyun] Hanyang Univ, Dept Comp Sci, Seoul 04763, South Korea; [Chaurasia, Akhilanand] King Georges Med Univ, Dept Oral Med &amp; Radiol, Lucknow 226003, India; [Guastaldi, Fernando P. S.] Massachusetts Gen Hosp, Harvard Sch Dent Med, Dept Surg, Div Oral &amp; Maxillofacial Surg, Boston, MA 02114 USA; [Noh, Yung-Kyun] Korea Inst Adv Study KIAS, Sch Computat Sci, Seoul 02455, South Korea</t>
  </si>
  <si>
    <t>Kyung Hee University; Harvard University; Harvard Medical School; Harvard University Medical Affiliates; Massachusetts General Hospital; Hanyang University; King George's Medical University; Harvard University; Harvard University Medical Affiliates; Massachusetts General Hospital; Korea Institute for Advanced Study (KIAS)</t>
  </si>
  <si>
    <t>Decoding adolescent TMJ osteoarthritis with multimodal machine learning</t>
  </si>
  <si>
    <t>JOURNAL OF ORAL &amp; FACIAL PAIN AND HEADACHE</t>
  </si>
  <si>
    <t>Temporomandibular disorders; Osteoarthritis; Adolescents; Magnetic resonance imaging; Panoramic radiography; Machine learning; Decision trees</t>
  </si>
  <si>
    <t>TEMPOROMANDIBULAR DISORDERS; PANORAMIC RADIOGRAPHY; DRUG DISCOVERY; PAIN; DISPLACEMENT; CHILDREN; OMICS; MRI</t>
  </si>
  <si>
    <t>Chaurasia, Akhilanand/JCO-3926-2023</t>
  </si>
  <si>
    <t>MRE PRESS</t>
  </si>
  <si>
    <t>SINGAPORE</t>
  </si>
  <si>
    <t>14 ROBINSON RD #08-01A FAR EAST FINANCE, SINGAPORE, SINGAPORE</t>
  </si>
  <si>
    <t>2333-0384</t>
  </si>
  <si>
    <t>2333-0376</t>
  </si>
  <si>
    <t>J ORAL FACIAL PAIN H</t>
  </si>
  <si>
    <t>J. Oral Facial Pain Headache</t>
  </si>
  <si>
    <t>64</t>
  </si>
  <si>
    <t>10.22514/jofph.2026.021</t>
  </si>
  <si>
    <t>http://dx.doi.org/10.22514/jofph.2026.021</t>
  </si>
  <si>
    <t>Dentistry, Oral Surgery &amp; Medicine</t>
  </si>
  <si>
    <t>GX2ZA</t>
  </si>
  <si>
    <t>41914059</t>
  </si>
  <si>
    <t>WOS:001747251500007</t>
  </si>
  <si>
    <t>Bronze; Green Submitted</t>
  </si>
  <si>
    <t>Zhao, XX; Ma, L; Li, PQ; Hu, ZJ; Ding, Y; Liu, Q; Liu, KJ</t>
  </si>
  <si>
    <t>Aim To develop and validate a multimodal artificial intelligence (AI)-based prediction model for platinum-resistant recurrence in ovarian cancer by integrating clinical data, medical imaging, and medical knowledge resources, with the goal of improving early risk stratification and supporting individualized treatment decisions. This exploratory proof-of-concept study aims to assess the feasibility of multimodal fusion for this task; no external validation has been performed.Methods This study collected multimodal data from ovarian cancer patients, including clinical records from 214 patients treated at Renji Hospital affiliated to Shanghai Jiao Tong University School of Medicine between June 2020 and January 2025, imaging data from 218 patients comprising 5,053 CT and MRI images, and 1,000 high-quality medical literature sources published between 2023 and 2025. Patients were classified into a platinum-resistant recurrence group (PROC, n = 87, 40.7%) and a non-platinum-resistant recurrence group (NPROC, n = 127, 59.3%) according to whether recurrence occurred within 6 months after the last platinum-based chemotherapy. The platinum-free interval (PFI) was used only for outcome definition, not as a predictor. A multimodal prediction framework based on a Mixture of Experts (MoE) architecture was constructed, incorporating a clinical expert model, an imaging expert model, and a medical knowledge expert model. Model performance was evaluated using accuracy, recall, F1 score, and the area under the receiver operating characteristic curve (AUC) with 95% confidence intervals (bootstrap with 1,000 iterations, stratified by cross-validation folds), calibration (Brier score, Hosmer-Lemeshow test, calibration curve), and decision curve analysis (DCA).Results The proposed multimodal model demonstrated excellent predictive performance for platinum-resistant recurrence, achieving an accuracy of 0.98 (95% CI: 0.96-1.00), a recall of 0.95 (95% CI: 0.92-0.98), an F1 score of 0.98 (95% CI: 0.97-0.99), and an AUC of 0.96 (95% CI: 0.95-0.97). The model showed good calibration with a Brier score of 0.042 (95% CI: 0.031-0.058) and a Hosmer-Lemeshow test p-value of 0.31 (chi 2 = 11.8, df = 10), indicating no statistically significant lack of fit. These results were superior to those of single-expert and conventional benchmark models. In the clinical expert evaluation, the model achieved an accuracy of 0.83, a recall of 0.81, an F1 score of 0.82, and an AUC of 0.83, showing competitive performance compared with random forest, support vector machine, gradient boosting machine, and Transformer-based models.Conclusion This exploratory study demonstrates that multimodal AI integrating clinical, imaging, and knowledge graph data can achieve strong internal predictive performance for platinum-resistant recurrence of ovarian cancer in a single-center retrospective cohort. However, the model is preliminary, has not been externally validated, and is not ready for clinical use. Independent multicenter validation is required before any clinical translation can be considered. This article should be viewed as a hypothesis-generating tool and a methodological proof-of-concept only.</t>
  </si>
  <si>
    <t>Zhao, Xuanxuan; Ma, Ling; Li, Peiquan; Hu, Zhijun; Ding, Yue; Liu, Qing; Liu, Kaijiang</t>
  </si>
  <si>
    <t>Liu, Q; Liu, KJ (corresponding author), Shanghai Jiao Tong Univ, Ren Ji Hosp, Sch Med, Dept Gynaecol Oncol, Shanghai, Peoples R China.</t>
  </si>
  <si>
    <t>m18321501410@163.com; liukaijiang12@126.com</t>
  </si>
  <si>
    <t>Fundamental Research Funds for the Central Universities [YG2024ZD06]</t>
  </si>
  <si>
    <t>Fundamental Research Funds for the Central Universities (Fundamental Research Funds for the Central Universities)</t>
  </si>
  <si>
    <t>The author(s) declared that financial support was received for this work and/or its publication. This study was supported by Fundamental Research Funds for the Central Universities (YG2024ZD06).</t>
  </si>
  <si>
    <t>[Zhao, Xuanxuan; Li, Peiquan; Hu, Zhijun; Liu, Qing; Liu, Kaijiang] Shanghai Jiao Tong Univ, Ren Ji Hosp, Sch Med, Dept Gynaecol Oncol, Shanghai, Peoples R China; [Ma, Ling; Ding, Yue] Shanghai Jiao Tong Univ, Shanghai, Peoples R China</t>
  </si>
  <si>
    <t>Shanghai Jiao Tong University; Shanghai Jiao Tong University</t>
  </si>
  <si>
    <t>A prediction model for platinum-resistant recurrence of ovarian cancer was established using multimodal artificial intelligence machine learning methods</t>
  </si>
  <si>
    <t>FRONTIERS IN MEDICINE</t>
  </si>
  <si>
    <t>artificial intelligence; machine learning; multimodal prediction model; ovarian cancer; platinum-resistant recurrence; recurrence prediction</t>
  </si>
  <si>
    <t>THERAPY</t>
  </si>
  <si>
    <t>2296-858X</t>
  </si>
  <si>
    <t>FRONT MED-LAUSANNE</t>
  </si>
  <si>
    <t>Front. Med.</t>
  </si>
  <si>
    <t>JUL 8 2026</t>
  </si>
  <si>
    <t>1842344</t>
  </si>
  <si>
    <t>10.3389/fmed.2026.1842344</t>
  </si>
  <si>
    <t>http://dx.doi.org/10.3389/fmed.2026.1842344</t>
  </si>
  <si>
    <t>LK6BJ</t>
  </si>
  <si>
    <t>42487970</t>
  </si>
  <si>
    <t>WOS:001826815100001</t>
  </si>
  <si>
    <t>Qian, XJ; Pei, J; Han, CG; Liang, ZY; Zhang, GS; Chen, N; Zheng, WW; Meng, FL; Yu, DS; Chen, YX; Sun, YQ; Zhang, HQ; Qian, W; Wang, X; Er, Z; Hu, CL; Zheng, H; Shen, DG</t>
  </si>
  <si>
    <t>Machine learning models for the diagnosis of breast cancer can facilitate the prediction of cancer risk and subsequent patient management among other clinical tasks. For the models to impact clinical practice, they ought to follow standard workflows, help interpret mammography and ultrasound data, evaluate clinical contextual information, handle incomplete data and be validated in prospective settings. Here we report the development and testing of a multimodal model leveraging mammography and ultrasound modules for the stratification of breast cancer risk based on clinical metadata, mammography and trimodal ultrasound (19,360 images of 5,216 breasts) from 5,025 patients with surgically confirmed pathology across medical centres and scanner manufacturers. Compared with the performance of experienced radiologists, the model performed similarly at classifying tumours as benign or malignant and was superior at pathology-level differential diagnosis. With a prospectively collected dataset of 191 breasts from 187 patients, the overall accuracies of the multimodal model and of preliminary pathologist-level assessments of biopsied breast specimens were similar (90.1% vs 92.7%, respectively). Multimodal models may assist diagnosis in oncology.A multimodal model for the stratification of breast cancer risk based on clinical metadata, mammography and trimodal ultrasound images performed as well as or better than radiologists at tumour classification and at differential diagnosis.</t>
  </si>
  <si>
    <t>Qian, Xuejun; Pei, Jing; Han, Chunguang; Liang, Zhiying; Zhang, Gaosong; Chen, Na; Zheng, Weiwei; Meng, Fanlun; Yu, Dongsheng; Chen, Yixuan; Sun, Yiqun; Zhang, Hanqi; Qian, Wei; Wang, Xia; Er, Zhuoran; Hu, Chenglu; Zheng, Hui; Shen, Dinggang</t>
  </si>
  <si>
    <t>Qian, XJ (corresponding author), ShanghaiTech Univ, Sch Biomed Engn, Shanghai, Peoples R China.; Qian, XJ (corresponding author), ShanghaiTech Univ, State Key Lab Adv Med Mat &amp; Devices, Shanghai, Peoples R China.; Qian, XJ (corresponding author), Shanghai United Imaging Intelligence Co Ltd, Shanghai, Peoples R China.</t>
  </si>
  <si>
    <t>qianxj@shanghaitech.edu.cn</t>
  </si>
  <si>
    <t>National Natural Science Foundation of China [82371993]; Shanghai Tech University; HPC Computing Platform of Shanghai Tech University</t>
  </si>
  <si>
    <t>National Natural Science Foundation of China (National Natural Science Foundation of China (NSFC)); Shanghai Tech University; HPC Computing Platform of Shanghai Tech University</t>
  </si>
  <si>
    <t>We thank L. Yan and X. Gao for software infrastructure support for data preprocessing; P. Liu, X. Zhang and Y. Wu for help in clinical data management. This work would not have been possible without the participation of the mammographers (Y. Sun, Y. Lu, W. Qian, X. Wang and B. Zhu), the sonographers (W. Yao, X. Shuai, J. Zhang and X. Xie) and the pathologists (the team support from the Department of Pathology at the First Affiliated Hospital of Anhui Medical University). This study was supported by the National Natural Science Foundation of China (no. 82371993 to X.Q.), an internal grant from the ShanghaiTech University (to X.Q.) and the HPC Computing Platform of ShanghaiTech University.</t>
  </si>
  <si>
    <t>[Qian, Xuejun; Liang, Zhiying; Yu, Dongsheng; Chen, Yixuan; Er, Zhuoran; Hu, Chenglu; Shen, Dinggang] ShanghaiTech Univ, Sch Biomed Engn, Shanghai, Peoples R China; [Qian, Xuejun; Shen, Dinggang] ShanghaiTech Univ, State Key Lab Adv Med Mat &amp; Devices, Shanghai, Peoples R China; [Qian, Xuejun; Shen, Dinggang] Shanghai United Imaging Intelligence Co Ltd, Shanghai, Peoples R China; [Pei, Jing] First Affiliated Hosp Anhui Med Univ, Dept Breast Surg, Hefei, Peoples R China; [Pei, Jing; Han, Chunguang] First Affiliated Hosp Anhui Med Univ, Dept Gen Surg, Hefei, Anhui, Peoples R China; [Zhang, Gaosong; Zhang, Hanqi; Zheng, Hui] Anhui Med Univ, Affiliated Hosp 1, Dept Ultrasound, Hefei, Peoples R China; [Chen, Na] Nanjing Med Univ, Nanjing Hosp, Dept Ultrasound, Nanjing, Peoples R China; [Zheng, Weiwei] Xuancheng Peoples Hosp, Dept Ultrasound, Xuancheng, Peoples R China; [Meng, Fanlun] Fuyang Canc Hosp, Dept Breast Surg, Fuyang, Peoples R China; [Sun, Yiqun] Fudan Univ, Shanghai Canc Ctr, Dept Radiol, Shanghai, Peoples R China; [Qian, Wei] Zhejiang Univ, Affiliated Hosp 2, Dept Radiol, Hangzhou, Peoples R China; [Wang, Xia] Anhui Med Univ, Affiliated Hosp 1, Dept Radiol, Hefei, Peoples R China; [Shen, Dinggang] Shanghai Clin Res &amp; Trial Ctr, Shanghai, Peoples R China</t>
  </si>
  <si>
    <t>ShanghaiTech University; ShanghaiTech University; Anhui Medical University; Nanjing Medical University; Fudan University; Zhejiang University; Anhui Medical University</t>
  </si>
  <si>
    <t>A multimodal machine learning model for the stratification of breast cancer risk</t>
  </si>
  <si>
    <t>NATURE BIOMEDICAL ENGINEERING</t>
  </si>
  <si>
    <t>CLASSIFICATION; US; MAMMOGRAPHY; WOMEN; ELASTOGRAPHY; QUADRANT; IMPROVES; LESIONS; BENIGN; BIOPSY</t>
  </si>
  <si>
    <t>Qian, Xuejun/AAU-2349-2021; Meng, Fanlun/JXL-4428-2024; Shen, Dinggang/ABF-6812-2020; Han, Chunguang/ADR-9854-2022</t>
  </si>
  <si>
    <t>Qian, Xuejun/0000-0003-3634-8757; Liang, Zhiying/0009-0007-3530-218X; Han, Chunguang/0000-0002-9067-4281</t>
  </si>
  <si>
    <t>117</t>
  </si>
  <si>
    <t>2157-846X</t>
  </si>
  <si>
    <t>NAT BIOMED ENG</t>
  </si>
  <si>
    <t>Nat. Biomed. Eng</t>
  </si>
  <si>
    <t>10.1038/s41551-024-01302-7</t>
  </si>
  <si>
    <t>http://dx.doi.org/10.1038/s41551-024-01302-7</t>
  </si>
  <si>
    <t>DEC 2024</t>
  </si>
  <si>
    <t>0JS3O</t>
  </si>
  <si>
    <t>39633027</t>
  </si>
  <si>
    <t>WOS:001370380400001</t>
  </si>
  <si>
    <t>Mclean, KA; Sgrò, A; Brown, LR; Buijs, LF; Mountain, KE; Shaw, CA; Drake, TM; Pius, R; Knight, SR; Fairfield, CJ; Skipworth, RJE; Tsaftaris, SA; Wigmore, SJ; Potter, MA; Bouamrane, MM; Harrison, EM; Baweja, K; Cambridge, WA; Chauhan, V; Czyzykowska, K; Edirisooriya, M; Forsyth, A; Fox, B; Fretwell, J; Gent, C; Gherman, A; Green, L; Grewar, J; Heelan, S; Henshall, D; Iiuoma, C; Jayasangaran, S; Johnston, C; Kennedy, E; Kremel, D; Kung, J; Kwong, J; Leavy, C; Liu, J; Mackay, S; Macnamara, A; Mowitt, S; Musenga, E; Ng, N; Ng, ZH; O'Neill, S; Ramage, M; Reed, J; Riad, A; Scott, C; Sehgal, V; Sgrò, A; Steven, L; Stutchfield, B; Tominey, S; Wilson, W; Wojtowicz, M; Yang, J</t>
  </si>
  <si>
    <t>Remote monitoring is essential for healthcare digital transformation, however, this poses greater burdens on healthcare providers to review and respond as the data collected expands. This study developed a multimodal neural network to automate assessments of patient-generated data from remote postoperative wound monitoring. Two interventional studies including adult gastrointestinal surgery patients collected wound images and patient-reported outcome measures (PROMs) for 30-days postoperatively. Neural networks for PROMs and images were combined to predict surgical site infection (SSI) diagnosis within 48 h. The multimodal neural network model to predict confirmed SSI within 48 h remained comparable to clinician triage (0.762 [0.690-0.835] vs 0.777 [0.721-0.832]), with an excellent performance on external validation. Simulated usage indicated an 80% reduction in staff time (51.5 to 9.1 h) without compromising diagnostic accuracy. This multimodal approach can effectively support remote monitoring, alleviating provider burden while ensuring high-quality postoperative care.</t>
  </si>
  <si>
    <t>Mclean, Kenneth A.; Sgro, Alessandro; Brown, Leo R.; Buijs, Louis F.; Mountain, Katie E.; Shaw, Catherine A.; Drake, Thomas M.; Pius, Riinu; Knight, Stephen R.; Fairfield, Cameron J.; Skipworth, Richard J. E.; Tsaftaris, Sotirios A.; Wigmore, Stephen J.; Potter, Mark A.; Bouamrane, Matt-Mouley; Harrison, Ewen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Sgro, A.; Steven, L.; Stutchfield, B.; Tominey, S.; Wilson, W.; Wojtowicz, M.; Yang, J.</t>
  </si>
  <si>
    <t>Mclean, KA; Harrison, EM (corresponding author), Univ Edinburgh, Dept Clin Surg, 51 Little France Crescent, Edinburgh EH16 4SA, Scotland.; Mclean, KA; Harrison, EM (corresponding author), Univ Edinburgh, Usher Inst, Ctr Med Informat, 9 Little France Rd, Edinburgh EH16 4UX, Scotland.</t>
  </si>
  <si>
    <t>ewen.harrison@ed.ac.uk; k.a.mclean@ed.ac.uk</t>
  </si>
  <si>
    <t>RCUK | Medical Research Council (MRC) [MRC/CIC8/81]; Medical Research Council (MRC) Confidence in Concept grant [RTRF/22/010]; Royal College of Surgeons of Edinburgh (RCSEd) Robertson Trust</t>
  </si>
  <si>
    <t>RCUK | Medical Research Council (MRC) (UK Research &amp; Innovation (UKRI), Medical Research Council UK (MRC)); Medical Research Council (MRC) Confidence in Concept grant (UK Research &amp; Innovation (UKRI), Medical Research Council UK (MRC)); Royal College of Surgeons of Edinburgh (RCSEd) Robertson Trust</t>
  </si>
  <si>
    <t>This review was funded through support from a Medical Research Council (MRC) Confidence in Concept grant (MRC/CIC8/81) and a Royal College of Surgeons of Edinburgh (RCSEd) Robertson Trust research fellowship (RTRF/22/010). The funders had no role in conception, study design, data collection, analysis and interpretation, or writing of this report. ISLA Care Ltd provided access to their online platform throughout the INROADE study at no cost. ISLA Care Ltd had no role in conception, study design, analysis and interpretation, or writing of this report, and acted as data processor only on behalf of the joint data controllers (NHS Lothian/University of Edinburgh).</t>
  </si>
  <si>
    <t>[Mclean, Kenneth A.; Brown, Leo R.; Mountain, Katie E.; Shaw, Catherine A.; Drake, Thomas M.; Pius, Riinu; Knight, Stephen R.; Fairfield, Cameron J.; Skipworth, Richard J. E.; Wigmore, Stephen J.; Harrison, Ewen M.; Johnston, C.; Kung, J.; Macnamara, A.; Mowitt, S.; O'Neill, S.; Ramage, M.; Sgro, A.; Stutchfield, B.] Univ Edinburgh, Dept Clin Surg, 51 Little France Crescent, Edinburgh EH16 4SA, Scotland; [Mclean, Kenneth A.; Shaw, Catherine A.; Drake, Thomas M.; Pius, Riinu; Knight, Stephen R.; Fairfield, Cameron J.; Bouamrane, Matt-Mouley; Harrison, Ewen M.; Kennedy, E.] Univ Edinburgh, Usher Inst, Ctr Med Informat, 9 Little France Rd, Edinburgh EH16 4UX, Scotland; [Sgro, Alessandro; Buijs, Louis F.; Potter, Mark A.; Kremel, D.] Western Gen Hosp, Colorectal Unit, Edinburgh EH4 2XU, Scotland; [Tsaftaris, Sotirios A.] UNIV EDINBURGH, AI Hub Causal Healthcare AI Real Data, EDINBURGH EH9 3FG, Scotland; [Baweja, K.; Cambridge, W. A.; Chauhan, V.; Czyzykowska, K.; Edirisooriya, M.; Forsyth, A.; Fox, B.; Fretwell, J.; Gent, C.; Gherman, A.; Green, L.; Grewar, J.; Heelan, S.; Henshall, D.; Iiuoma, C.; Jayasangaran, S.; Kwong, J.; Leavy, C.; Liu, J.; Mackay, S.; Musenga, E.; Ng, N.; Ng, Z. H.; Reed, J.; Riad, A.; Scott, C.; Sehgal, V.; Steven, L.; Tominey, S.; Wilson, W.; Wojtowicz, M.; Yang, J.] Univ Edinburgh, Edinburgh Med Sch, Edinburgh, Scotland</t>
  </si>
  <si>
    <t>University of Edinburgh; University of Edinburgh; University of Edinburgh; University of Edinburgh; University of Edinburgh</t>
  </si>
  <si>
    <t>Multimodal machine learning to predict surgical site infection with healthcare workload impact assessment</t>
  </si>
  <si>
    <t>IMPLEMENTATION; INTERVENTIONS</t>
  </si>
  <si>
    <t>Henshall, David/GWZ-3990-2022; Tsaftaris, Sotirios/E-3725-2010; Johnston, Chris/ABC-5875-2020; McLean, Kenneth A/B-2961-2019; Chauhan, Vishwani/OGO-0046-2025; Wigmore, Stephen/AAF-3562-2019</t>
  </si>
  <si>
    <t>Henshall, David Ewart/0000-0001-7377-3969; Brown, Leo/0000-0001-6181-7020; McLean, Kenneth A/0000-0001-6482-9086; Harrison, Ewen Munro/0000-0002-5018-3066; Chauhan, Vishwani/0000-0002-1865-3654</t>
  </si>
  <si>
    <t>FEB 23 2025</t>
  </si>
  <si>
    <t>121</t>
  </si>
  <si>
    <t>10.1038/s41746-024-01419-8</t>
  </si>
  <si>
    <t>http://dx.doi.org/10.1038/s41746-024-01419-8</t>
  </si>
  <si>
    <t>Y3L4I</t>
  </si>
  <si>
    <t>39988586</t>
  </si>
  <si>
    <t>WOS:001431179400001</t>
  </si>
  <si>
    <t>Wang, Y; Hong, Y; Wang, Y; Zhou, X; Gao, X; Yu, CY; Lin, JX; Liu, L; Gao, JW; Yin, MY; Xu, GT; Liu, XL; Zhu, JZ</t>
  </si>
  <si>
    <t>Esophageal variceal (EV) bleeding is a severe medical emergency related to cirrhosis. Early identification of cirrhotic patients with at a high risk of EV bleeding is key to improving outcomes and optimizing medical resources. This study aimed to evaluate the feasibility of automated multimodal machine learning (MMML) for predicting EV bleeding by integrating endoscopic images and clinical structured data. This study mainly includes three steps: step 1, developing deep learning (DL) models using EV images by 12-month bleeding on TensorFlow (backbones include ResNet, Xception, EfficientNet, ViT and ConvMixer); step 2, training and internally validating MMML models integrating clinical structured data and DL model outputs to predict 12-month EV bleeding on an H2O-automated machine learning platform (algorithms include DL, XGBoost, GLM, GBM, RF, and stacking); and step 3, externally testing MMML models. Furthermore, existing clinical indices, e.g., the MELD score, Child-Pugh score, APRI, and FIB-4, were also examined. Five DL models were transfer learning to the binary classification of EV endoscopic images at admission based on the occurrence or absence of bleeding events during the 12-month follow-up. An EfficientNet model achieved the highest accuracy of 0.868 in the validation set. Then, a series of MMML models, integrating clinical structured data and the output of the EfficientNet model, were automatedly trained to predict 12-month EV bleeding. A stacking model showed the highest accuracy (0.932), sensitivity (0.952), and F1-score (0.879) in the test dataset, which was also better than the existing indices. This study is the first to evaluate the feasibility of automated MMML in predicting 12-month EV bleeding based on endoscopic images and clinical variables.</t>
  </si>
  <si>
    <t>Wang, Yu; Hong, Yu; Wang, Yue; Zhou, Xin; Gao, Xin; Yu, Chenyan; Lin, Jiaxi; Liu, Lu; Gao, Jingwen; Yin, Minyue; Xu, Guoting; Liu, Xiaolin; Zhu, Jinzhou</t>
  </si>
  <si>
    <t>Zhu, JZ (corresponding author), Soochow Univ, Dept Gastroenterol, Affiliated Hosp 1, Suzhou 215000, Peoples R China.; Zhu, JZ (corresponding author), Suzhou Clin Ctr Digest Dis, Suzhou 215000, Peoples R China.</t>
  </si>
  <si>
    <t>jzzhu@zju.edu.cn</t>
  </si>
  <si>
    <t>National Natural Science Foundation of China [82000540]; Medical Education Collaborative Innovation Fund of Jiangsu University [JDY2022018]; Science and Technology Plan (Apply Basic Research) of Changzhou City [CJ20210006]; Youth Program of Suzhou Health Committee [KJXW2021051, KJXW2019001]</t>
  </si>
  <si>
    <t>National Natural Science Foundation of China (National Natural Science Foundation of China (NSFC)); Medical Education Collaborative Innovation Fund of Jiangsu University; Science and Technology Plan (Apply Basic Research) of Changzhou City; Youth Program of Suzhou Health Committee</t>
  </si>
  <si>
    <t>This study was funded by the National Natural Science Foundation of China [82000540]; Medical Education Collaborative Innovation Fund of Jiangsu University [JDY2022018]; Science and Technology Plan (Apply Basic Research) of Changzhou City [CJ20210006]; the Youth Program of Suzhou Health Committee [KJXW2021051 and KJXW2019001]. No funding body had any role in the design of the study and collection, analysis, interpretation of data, or in writing the manuscript.</t>
  </si>
  <si>
    <t>[Wang, Yu] Jiangsu Univ, Dept Gen Surg, Jintan Affiliated Hosp, Changzhou, Peoples R China; [Hong, Yu; Gao, Xin; Yu, Chenyan; Lin, Jiaxi; Liu, Lu; Gao, Jingwen; Yin, Minyue; Xu, Guoting; Liu, Xiaolin; Zhu, Jinzhou] Soochow Univ, Dept Gastroenterol, Affiliated Hosp 1, Suzhou 215000, Peoples R China; [Hong, Yu; Gao, Xin; Yu, Chenyan; Lin, Jiaxi; Liu, Lu; Gao, Jingwen; Yin, Minyue; Xu, Guoting; Liu, Xiaolin; Zhu, Jinzhou] Suzhou Clin Ctr Digest Dis, Suzhou 215000, Peoples R China; [Wang, Yue] Fifth Peoples Hosp Suzhou, Dept Hepatol, Suzhou 215000, Peoples R China; [Zhou, Xin] Jiangsu Univ, Dept Gastroenterol, Jintan Affiliated Hosp, Changzhou, Peoples R China</t>
  </si>
  <si>
    <t>Jiangsu University; Soochow University - China; Jiangsu University</t>
  </si>
  <si>
    <t>Automated Multimodal Machine Learning for Esophageal Variceal Bleeding Prediction Based on Endoscopy and Structured Data</t>
  </si>
  <si>
    <t>JOURNAL OF DIGITAL IMAGING</t>
  </si>
  <si>
    <t>Automated machine learning (AutoML); Multimodal machine learning (MMML); Computer vision (CV); Deep learning (DL); Esophageal variceal (EV) bleeding</t>
  </si>
  <si>
    <t>LIVER; CARE</t>
  </si>
  <si>
    <t>jingwen, gao/MSX-1089-2025; wang, yu/AFY-3078-2022; Lu, Liu/ODL-9245-2025; Yin, Minyue/GRJ-2214-2022</t>
  </si>
  <si>
    <t>ZHU, JINZHOU/0000-0003-0544-9248</t>
  </si>
  <si>
    <t>0897-1889</t>
  </si>
  <si>
    <t>1618-727X</t>
  </si>
  <si>
    <t>J DIGIT IMAGING</t>
  </si>
  <si>
    <t>J. Digit. Imaging</t>
  </si>
  <si>
    <t>FEB 2023</t>
  </si>
  <si>
    <t>326</t>
  </si>
  <si>
    <t>338</t>
  </si>
  <si>
    <t>10.1007/s10278-022-00724-6</t>
  </si>
  <si>
    <t>http://dx.doi.org/10.1007/s10278-022-00724-6</t>
  </si>
  <si>
    <t>OCT 2022</t>
  </si>
  <si>
    <t>9O3VJ</t>
  </si>
  <si>
    <t>36279027</t>
  </si>
  <si>
    <t>WOS:000871283200002</t>
  </si>
  <si>
    <t>Wang, JN; Liu, Q; Wang, YY; Liu, KL</t>
  </si>
  <si>
    <t>Objectives To develop an artificial intelligence (AI) model to predict cesarean scar diverticulum (CSD) risk following cesarean scar pregnancy (CSP) for early clinical risk stratification. Methods A total of 120 CSP patients were retrospectively enrolled and randomly split into training (n=84) and test (n=36) cohorts. Data on clinical, laboratory, and ultrasonographic parameters, such as uterine scar muscle thickness, gestational sac diameter, and cesarean history, were gathered. A deep convolutional neural network (CNN) using a Faster R-CNN framework was trained to predict postoperative CSD, and feature importance analysis identified key predictors. Results Indicated significant differences in uterine scar muscle thickness, clinical classification, gestational sac diameter, and coagulation parameters between CSD and non-CSD groups (p&lt;0.05). The AI-CNN model achieved an accuracy of 0.944, sensitivity of 0.917, and specificity of 0.958 in the test set. Key predictors included uterine scar muscle thickness of &lt;= 0.2 cm, clinical classification type II-III, and a history of two or more cesarean sections. Conclusions The AI-based CNN model provides accurate prediction of CSD risk after CSP. Identified preoperative indicators may guide clinical decision-making and targeted postoperative surveillance.</t>
  </si>
  <si>
    <t>Wang, Jiannan; Liu, Quan; Wang, Yuanyuan; Liu, Kaili</t>
  </si>
  <si>
    <t>Liu, Q (corresponding author), Hefei First Peoples Hosp, Dept Obstet, South Campus, Hefei 230000, Peoples R China.</t>
  </si>
  <si>
    <t>liuquan@ocibe.com</t>
  </si>
  <si>
    <t>[Wang, Jiannan; Liu, Quan; Wang, Yuanyuan; Liu, Kaili] Hefei First Peoples Hosp, Dept Obstet, South Campus, Hefei 230000, Peoples R China</t>
  </si>
  <si>
    <t>Multimodal artificial intelligence for predicting postoperative cesarean scar diverticulum risk</t>
  </si>
  <si>
    <t>BIOMEDICAL ENGINEERING-BIOMEDIZINISCHE TECHNIK</t>
  </si>
  <si>
    <t>cesarean scar diverticulum; cesarean scar pregnancy; artificial intelligence; deep neural network; risk prediction</t>
  </si>
  <si>
    <t>DIAGNOSIS</t>
  </si>
  <si>
    <t>WALTER DE GRUYTER GMBH</t>
  </si>
  <si>
    <t>GENTHINER STRASSE 13, D-10785 BERLIN, GERMANY</t>
  </si>
  <si>
    <t>0013-5585</t>
  </si>
  <si>
    <t>1862-278X</t>
  </si>
  <si>
    <t>BIOMED ENG-BIOMED TE</t>
  </si>
  <si>
    <t>Biomed. Eng.-Biomed. Tech.</t>
  </si>
  <si>
    <t>10.1515/bmt-2026-0283</t>
  </si>
  <si>
    <t>http://dx.doi.org/10.1515/bmt-2026-0283</t>
  </si>
  <si>
    <t>Engineering, Biomedical; Medical Informatics</t>
  </si>
  <si>
    <t>Engineering; Medical Informatics</t>
  </si>
  <si>
    <t>KN5FX</t>
  </si>
  <si>
    <t>42394213</t>
  </si>
  <si>
    <t>WOS:001811157700001</t>
  </si>
  <si>
    <t>Hou, JX; Zhang, RR; Xie, YQ; Li, C; Qin, WJ</t>
  </si>
  <si>
    <t>Survival prediction is crucial for guiding cancer treatment and evaluating therapeutic efficacy. However, tumor heterogeneity presents challenges of accurate prognosis. Multimodal learning, which integrates data from imaging, genomics, and clinical records, offers a promising approach for this complex task. While recent studies mainly focus on imaging and genomic data, clinical information, which reflecting patients' overall health, remains underutilized due to its discrete, sparse, and low-dimensional characteristics. We propose SurvPGC, an integrated model combining pathology images, genomic data and clinical records for cancer prognosis. Clinical information is transformed into high-dimensional vectors using text templates and foundation models, enabling their integration through a cross-attention module. Validation on three datasets of The Cancer Genome Atlas demonstrated that the model effectively captures modality-specific features, with attention visualization revealing distinct focus areas across data types. This highlights the importance of incorporating diverse information sources for improved survival prediction.</t>
  </si>
  <si>
    <t>Hou, Jiaxin; Zhang, Ranran; Xie, Yaoqin; Li, Chao; Qin, Wenjian</t>
  </si>
  <si>
    <t>Qin, WJ (corresponding author), Chinese Acad Sci, Shenzhen Inst Adv Technol, Shenzhen, Peoples R China.</t>
  </si>
  <si>
    <t>wj.qin@siat.ac.cn</t>
  </si>
  <si>
    <t>National Natural Science Foundation of China [62271475]; Youth Innovation Promotion Association CAS [2022365]; Shenzhen-Hong Kong Joint Lab on Intelligence Computational Analysis for Tumor Imaging [E3G111]</t>
  </si>
  <si>
    <t>National Natural Science Foundation of China (National Natural Science Foundation of China (NSFC)); Youth Innovation Promotion Association CAS; Shenzhen-Hong Kong Joint Lab on Intelligence Computational Analysis for Tumor Imaging</t>
  </si>
  <si>
    <t>This study was supported in part by the National Natural Science Foundation of China (No. 62271475), Shenzhen-Hong Kong Joint Lab on Intelligence Computational Analysis for Tumor Imaging (E3G111), the Shenzhen Science and Technology Program of China (JCYJ20220818101804009), Shenzhen-Hong Kong-Macao Science and Technology Plan Project (Category C Project) under Shenzhen Municipal Science and Technology Innovation Commission (SGDX20230821092359002), Guangdong Youth Talent program (2024TQ08A386), and the Youth Innovation Promotion Association CAS (2022365). This study acknowledges the public datasets supported by The Cancer Genome Atlas.</t>
  </si>
  <si>
    <t>[Hou, Jiaxin; Zhang, Ranran; Xie, Yaoqin; Qin, Wenjian] Chinese Acad Sci, Shenzhen Inst Adv Technol, Shenzhen, Peoples R China; [Hou, Jiaxin] Univ Chinese Acad Sci, Beijing, Peoples R China; [Li, Chao] Univ Cambridge, Dept Appl Math &amp; Theoret Phys, Cambridge, England; [Li, Chao] Univ Cambridge, Dept Clin Neurosci, Cambridge, England</t>
  </si>
  <si>
    <t>Chinese Academy of Sciences; Shenzhen Institute of Advanced Technology, CAS; Chinese Academy of Sciences; University of Chinese Academy of Sciences, CAS; University of Cambridge; University of Cambridge</t>
  </si>
  <si>
    <t>Multimodal deep learning for cancer prognosis prediction with clinical information prompts integration</t>
  </si>
  <si>
    <t>FOUNDATION MODEL; HISTOLOGY</t>
  </si>
  <si>
    <t>DEC 27 2025</t>
  </si>
  <si>
    <t>10.1038/s41746-025-02257-y</t>
  </si>
  <si>
    <t>http://dx.doi.org/10.1038/s41746-025-02257-y</t>
  </si>
  <si>
    <t>CK5CS</t>
  </si>
  <si>
    <t>41455823</t>
  </si>
  <si>
    <t>WOS:001667950900001</t>
  </si>
  <si>
    <t>Xiao, YM; Yang, SK; He, MJ; Chen, L; Wu, Y; Zhong, L</t>
  </si>
  <si>
    <t>Multimodal clinical data, including imaging, pathology, omics, and laboratory tests, are often fragmented in routine practice, leading to inconsistent decision-making in the management of urological cancers. We propose UroFusion-X, a unified multimodal framework for integrated diagnosis, molecular subtyping, and prognosis prediction of bladder, kidney, and prostate cancers, with inherent robustness to missing modalities. The system incorporates 3D imaging encoders, pathology multiple-instance learning, omics graph networks, and a TabTransformer for laboratory and clinical variables. A cross-modal co-attention mechanism combined with a gated product-of-experts fusion strategy enables effective representation alignment across heterogeneous inputs, while anatomy-pathology consistency constraints and patient-level contrastive learning further enhance interpretability and generalization. Prognostic modeling is achieved via DeepSurv and DeepHit survival heads. Evaluated on a multi-center real-world cohort with external validation and leave-one-center-out testing, UroFusion-X consistently outperformed strong unimodal and simple fusion baselines, maintained over 90% of its predictive performance under substantial modality dropout, and demonstrated higher net clinical benefit in decision curve analysis. These results indicate that the proposed framework can improve decision consistency and reduce unnecessary testing when deployed in real clinical workflows.</t>
  </si>
  <si>
    <t>Xiao, Yingming; Yang, Shengke; He, Mingjing; Chen, Li; Wu, Yi; Zhong, Lei</t>
  </si>
  <si>
    <t>Chen, L; Wu, Y; Zhong, L (corresponding author), Univ Elect Sci &amp; Technol China, Sichuan Clin Res Ctr Canc, Sichuan Canc Hosp &amp; Inst,Sichuan Canc Ctr, Dept Radiotherapy,Affiliated Canc Hosp, Chengdu 610041, Sichuan, Peoples R China.</t>
  </si>
  <si>
    <t>wuyi@scszlyy.org.cn; chenli@scszlyy.org.cn; zhonglei@scszlyy.org.cn</t>
  </si>
  <si>
    <t>[Xiao, Yingming; Yang, Shengke; He, Mingjing; Chen, Li; Wu, Yi; Zhong, Lei] Univ Elect Sci &amp; Technol China, Sichuan Clin Res Ctr Canc, Sichuan Canc Hosp &amp; Inst,Sichuan Canc Ctr, Dept Radiotherapy,Affiliated Canc Hosp, Chengdu 610041, Sichuan, Peoples R China</t>
  </si>
  <si>
    <t>University of Electronic Science &amp; Technology of China</t>
  </si>
  <si>
    <t>UroFusion-X: a unified multimodal deep learning framework for robust diagnosis, subtyping, and prognosis of urological cancers</t>
  </si>
  <si>
    <t>Yingming, Xiao/LKM-5061-2024</t>
  </si>
  <si>
    <t>JAN 19 2026</t>
  </si>
  <si>
    <t>10.1038/s41746-025-02295-6</t>
  </si>
  <si>
    <t>http://dx.doi.org/10.1038/s41746-025-02295-6</t>
  </si>
  <si>
    <t>DB3VC</t>
  </si>
  <si>
    <t>41554842</t>
  </si>
  <si>
    <t>WOS:001679395900001</t>
  </si>
  <si>
    <t>Ma, RQ; Cheng, Q; Yao, J; Peng, ZY; Yan, MX; Lu, J; Liao, JJ; Tian, LJ; Shu, WJ; Zhang, YQ; Wang, JH; Jiang, PF; Xia, WY; Li, XF; Gan, L; Zhao, Y; Zhu, J; Qin, B; Jiang, Q; Wang, XW; Lin, XT; Chen, HF; Zhu, WF; Xiang, DH; Nie, BQ; Wang, JT; Guo, J; Xue, K; Cui, HG; Cheng, JW; Zhu, XJ; Hong, JX; Shi, F; Zhang, R; Chen, XJ; Zhao, C</t>
  </si>
  <si>
    <t>Chatbot-based multimodal AI holds promise for collecting medical histories and diagnosing ophthalmic diseases using textual and imaging data. This study developed and evaluated the ChatGPT-powered Intelligent Ophthalmic Multimodal Interactive Diagnostic System (IOMIDS) to enable patient self-diagnosis and self-triage. IOMIDS included a text model and three multimodal models (text + slit-lamp, text + smartphone, text + slit-lamp + smartphone). The performance was evaluated through a two-stage cross-sectional study across three medical centers involving 10 subspecialties and 50 diseases. Using 15640 data entries, IOMIDS actively collected and analyzed medical history alongside slit-lamp and/or smartphone images. The text + smartphone model showed the highest diagnostic accuracy (internal: 79.6%, external: 81.1%), while other multimodal models underperformed or matched the text model (internal: 69.6%, external: 72.5%). Moreover, triage accuracy was consistent across models. Multimodal approaches enhanced response quality and reduced misinformation. This proof-of-concept study highlights the potential of chatbot-based multimodal AI for self-diagnosis and self-triage. (The clinical trial was registered on June 26, 2023, on ClinicalTrials.gov under the registration number NCT05930444.).</t>
  </si>
  <si>
    <t>Ma, Ruiqi; Cheng, Qian; Yao, Jing; Peng, Zhiyu; Yan, Mingxu; Lu, Jie; Liao, Jingjing; Tian, Lejin; Shu, Wenjun; Zhang, Yunqiu; Wang, Jinghan; Jiang, Pengfei; Xia, Weiyi; Li, Xiaofeng; Gan, Lu; Zhao, Yue; Zhu, Jiang; Qin, Bing; Jiang, Qin; Wang, Xiawei; Lin, Xintong; Chen, Haifeng; Zhu, Weifang; Xiang, Dehui; Nie, Baoqing; Wang, Jingtao; Guo, Jie; Xue, Kang; Cui, Hongguang; Cheng, Jinwei; Zhu, Xiangjia; Hong, Jiaxu; Shi, Fei; Zhang, Rui; Chen, Xinjian; Zhao, Chen</t>
  </si>
  <si>
    <t>Zhang, R; Zhao, C (corresponding author), Fudan Univ, Eye &amp; ENT Hosp, Eye Inst, Shanghai, Peoples R China.; Zhang, R; Zhao, C (corresponding author), Fudan Univ, Eye &amp; ENT Hosp, Dept Ophthalmol, Shanghai, Peoples R China.; Zhang, R; Zhao, C (corresponding author), NHC Key Lab Myopia &amp; Related Eye Dis, Shanghai, Peoples R China.; Zhang, R; Zhao, C (corresponding author), Chinese Acad Med Sci, Key Lab Myopia &amp; Related Eye Dis, Shanghai, Peoples R China.; Zhang, R; Zhao, C (corresponding author), Shanghai Key Lab Visual Impairment &amp; Restorat, Shanghai, Peoples R China.; Shi, F; Chen, XJ (corresponding author), Soochow Univ, Sch Elect &amp; Informat Engn, MIPAV Lab, Suzhou, Peoples R China.; Chen, XJ (corresponding author), Soochow Univ, State Key Lab Radiat Med &amp; Protect, Suzhou, Peoples R China.</t>
  </si>
  <si>
    <t>dr_zhaochen@fudan.edu.cn; shifei@suda.edu.cn; xjchen@suda.edu.cn; zhangrui936@163.com</t>
  </si>
  <si>
    <t>Shanghai Hospital Development Center (SHDC) [SHDC2023CRD013]; Shanghai Hospital Development Center [2018YFA0701700]; National Key R&amp;D Program of China [82371101, U20A20170, 62271337, 62371328, 62371326]; National Natural Science Foundation of China [2021C03032]; Zhejiang Key Research and Development Project [BK20211308, BK20231310]; Natural Science Foundation of Jiangsu Province of China</t>
  </si>
  <si>
    <t>Shanghai Hospital Development Center (SHDC); Shanghai Hospital Development Center; National Key R&amp;D Program of China (National Key Research &amp; Development Program of China); National Natural Science Foundation of China (National Natural Science Foundation of China (NSFC)); Zhejiang Key Research and Development Project; Natural Science Foundation of Jiangsu Province of China (Natural Science Foundation of Jiangsu Province)</t>
  </si>
  <si>
    <t>We sincerely appreciated the support from Yuhang Jiang (Jiangsu Health Vocational College) for assisting with data collection, Xiang Zeng (Fudan University) for assisting with image formatting, and Shi Yin and Xingxing Wu for assisting with auditing the clinical data. The author(s) declare financial support was received for the research, authorship, and/or publication of this article. This work was supported by Shanghai Hospital Development Center (Grant Number SHDC2023CRD013), National Key R&amp;D Program of China (Grant Number 2018YFA0701700), National Natural Science Foundation of China (Grant Numbers 82371101, U20A20170, 62271337, 62371328, 62371326), Zhejiang Key Research and Development Project (Grant Number 2021C03032), Natural Science Foundation of Jiangsu Province of China (Grant Numbers BK20211308, BK20231310).</t>
  </si>
  <si>
    <t>[Ma, Ruiqi; Yao, Jing; Peng, Zhiyu; Yan, Mingxu; Lu, Jie; Shu, Wenjun; Wang, Jinghan; Xia, Weiyi; Li, Xiaofeng; Gan, Lu; Lin, Xintong; Chen, Haifeng; Guo, Jie; Xue, Kang; Cheng, Jinwei; Zhu, Xiangjia; Hong, Jiaxu; Zhang, Rui; Zhao, Chen] Fudan Univ, Eye &amp; ENT Hosp, Eye Inst, Shanghai, Peoples R China; [Ma, Ruiqi; Yao, Jing; Peng, Zhiyu; Yan, Mingxu; Lu, Jie; Shu, Wenjun; Wang, Jinghan; Xia, Weiyi; Li, Xiaofeng; Gan, Lu; Lin, Xintong; Chen, Haifeng; Guo, Jie; Xue, Kang; Cheng, Jinwei; Zhu, Xiangjia; Hong, Jiaxu; Zhang, Rui; Zhao, Chen] Fudan Univ, Eye &amp; ENT Hosp, Dept Ophthalmol, Shanghai, Peoples R China; [Ma, Ruiqi; Yao, Jing; Peng, Zhiyu; Yan, Mingxu; Lu, Jie; Shu, Wenjun; Wang, Jinghan; Xia, Weiyi; Li, Xiaofeng; Gan, Lu; Lin, Xintong; Chen, Haifeng; Guo, Jie; Xue, Kang; Cheng, Jinwei; Zhu, Xiangjia; Hong, Jiaxu; Zhang, Rui; Zhao, Chen] NHC Key Lab Myopia &amp; Related Eye Dis, Shanghai, Peoples R China; [Ma, Ruiqi; Yao, Jing; Peng, Zhiyu; Yan, Mingxu; Lu, Jie; Shu, Wenjun; Wang, Jinghan; Xia, Weiyi; Li, Xiaofeng; Gan, Lu; Lin, Xintong; Chen, Haifeng; Guo, Jie; Xue, Kang; Cheng, Jinwei; Zhu, Xiangjia; Hong, Jiaxu; Zhang, Rui; Zhao, Chen] Chinese Acad Med Sci, Key Lab Myopia &amp; Related Eye Dis, Shanghai, Peoples R China; [Ma, Ruiqi; Yao, Jing; Peng, Zhiyu; Yan, Mingxu; Lu, Jie; Shu, Wenjun; Wang, Jinghan; Xia, Weiyi; Li, Xiaofeng; Gan, Lu; Lin, Xintong; Chen, Haifeng; Guo, Jie; Xue, Kang; Cheng, Jinwei; Zhu, Xiangjia; Hong, Jiaxu; Zhang, Rui; Zhao, Chen] Shanghai Key Lab Visual Impairment &amp; Restorat, Shanghai, Peoples R China; [Cheng, Qian; Liao, Jingjing; Zhu, Weifang; Xiang, Dehui; Nie, Baoqing; Wang, Jingtao; Shi, Fei; Chen, Xinjian] Soochow Univ, Sch Elect &amp; Informat Engn, MIPAV Lab, Suzhou, Peoples R China; [Peng, Zhiyu; Wang, Xiawei; Cui, Hongguang] Zhejiang Univ, Sch Med, Affiliated Hosp 1, Dept Ophthalmol, Hangzhou, Zhejiang, Peoples R China; [Yan, Mingxu; Lu, Jie; Shu, Wenjun] Fudan Univ, Sch Basic Med Sci, Shanghai, Peoples R China; [Tian, Lejin] Fudan Univ, Sch Life Sci, Dept Computat Biol, State Key Lab Genet Engn, Shanghai, Peoples R China; [Zhang, Yunqiu] Fudan Univ, Sch Publ Hlth, Dept Epidemiol, Shanghai, Peoples R China; [Zhang, Yunqiu] Fudan Univ, Minist Educ, Key Lab Publ Hlth Safety, Shanghai, Peoples R China; [Jiang, Pengfei] Shanghai Jiao Tong Univ, Instrument Anal Ctr, Shanghai, Peoples R China; [Zhao, Yue; Jiang, Qin] Nanjing Med Univ, Affiliated Eye Hosp, Nanjing, Peoples R China; [Zhu, Jiang; Qin, Bing] Suqian First Hosp, Dept Ophthalmol, Suqian, Peoples R China; [Jiang, Qin] Nanjing Med Univ, Sch Clin Med 4, Nanjing, Peoples R China; [Chen, Xinjian] Soochow Univ, State Key Lab Radiat Med &amp; Protect, Suzhou, Peoples R China</t>
  </si>
  <si>
    <t>Fudan University; Fudan University; Chinese Academy of Medical Sciences - Peking Union Medical College; Soochow University - China; Zhejiang University; Fudan University; Fudan University; Fudan University; Fudan University; Shanghai Jiao Tong University; Nanjing Medical University; Nanjing Medical University; Soochow University - China</t>
  </si>
  <si>
    <t>Multimodal machine learning enables AI chatbot to diagnose ophthalmic diseases and provide high-quality medical responses</t>
  </si>
  <si>
    <t>Shu, Wenjun/GRF-2384-2022; Peng, Zhiyu/GXV-5301-2022; Hong, Jiaxu/C-5107-2012; Xiang, Dehui/B-1938-2016; Zhao, Chen/AAD-6134-2021; Nie, Baoqing/AAU-8621-2020; JIANG, PENGFEI/JCP-2151-2023; Cui, Hongguang/HLP-3146-2023; Ma, Ruiqi/LJL-5202-2024</t>
  </si>
  <si>
    <t>Lu, Jie/0009-0008-4553-8118; Hong, Jiaxu/0000-0001-9912-633X</t>
  </si>
  <si>
    <t>JAN 27 2025</t>
  </si>
  <si>
    <t>10.1038/s41746-025-01461-0</t>
  </si>
  <si>
    <t>http://dx.doi.org/10.1038/s41746-025-01461-0</t>
  </si>
  <si>
    <t>U0D5G</t>
  </si>
  <si>
    <t>39870855</t>
  </si>
  <si>
    <t>WOS:001408604900005</t>
  </si>
  <si>
    <t>Noda, M; Yoshimura, H; Okubo, T; Koshu, R; Uchiyama, Y; Nomura, A; Ito, M; Takumi, Y</t>
  </si>
  <si>
    <t>Background: The integration of artificial intelligence (AI), particularly deep learning models, has transformed the landscape of medical technology, especially in the field of diagnosis using imaging and physiological data. In otolaryngology, AI has shown promise in image classification for middle ear diseases. However, existing models often lack patient-specific data and clinical context, limiting their universal applicability. The emergence of GPT-4 Vision (GPT-4V) has enabled a multimodal diagnostic approach, integrating language processing with image analysis. Objective: In this study, we investigated the effectiveness of GPT-4V in diagnosing middle ear diseases by integrating patient-specific data with otoscopic images of the tympanic membrane. Methods: The design of this study was divided into two phases: (1) establishing a model with appropriate prompts and (2) validating the ability of the optimal prompt model to classify images. In total, 305 otoscopic images of 4 middle ear diseases (acute otitis media, middle ear cholesteatoma, chronic otitis media, and otitis media with effusion) were obtained from patients who visited Shinshu University or Jichi Medical University between April 2010 and December 2023. The optimized GPT-4V settings were established using prompts and patients' data, and the model created with the optimal prompt was used to verify the diagnostic accuracy of GPT-4V on 190 images. To compare the diagnostic accuracy of GPT-4V with that of physicians, 30 clinicians completed a web-based questionnaire consisting of 190 images. Results: The multimodal AI approach achieved an accuracy of 82.1%, which is superior to that of certified pediatricians at 70.6%, but trailing behind that of otolaryngologists at more than 95%. The model's disease-specific accuracy rates were 89.2% for acute otitis media, 76.5% for chronic otitis media, 79.3% for middle ear cholesteatoma, and 85.7% for otitis media with effusion, which highlights the need for disease-specific optimization. Comparisons with physicians revealed promising results, suggesting the potential of GPT-4V to augment clinical decision-making. Conclusions:Despite its advantages, challenges such as data privacy and ethical considerations must be addressed. Overall, this study underscores the potential of multimodal AI for enhancing diagnostic accuracy and improving patient care in otolaryngology. Further research is warranted to optimize and validate this approach in diverse clinical settings.</t>
  </si>
  <si>
    <t>Noda, Masao; Yoshimura, Hidekane; Okubo, Takuya; Koshu, Ryota; Uchiyama, Yuki; Nomura, Akihiro; Ito, Makoto; Takumi, Yutaka</t>
  </si>
  <si>
    <t>Noda, M (corresponding author), Jichi Med Univ, Dept Otolaryngol Head &amp; Neck Surg, 3311-1 Yakushiji, Shimotsuke 3290498, Japan.</t>
  </si>
  <si>
    <t>doforanabdosuc@gmail.com</t>
  </si>
  <si>
    <t>Nishida for their invaluable cooperation in this study. We thank Editage [30] for English language editing. The authors declare that no financial support was received for the research, authorship, or publication of this paper.</t>
  </si>
  <si>
    <t>[Noda, Masao; Koshu, Ryota; Ito, Makoto] Jichi Med Univ, Dept Otolaryngol Head &amp; Neck Surg, 3311-1 Yakushiji, Shimotsuke 3290498, Japan; [Yoshimura, Hidekane; Okubo, Takuya; Uchiyama, Yuki; Takumi, Yutaka] Shinshu Univ, Dept Otolaryngol Head &amp; Neck Surg, Matsumoto, Japan; [Nomura, Akihiro] Kanazawa Univ, Coll Transdisciplinary Sci Innovat, Kanazawa, Japan</t>
  </si>
  <si>
    <t>Jichi Medical University; Shinshu University; Kanazawa University</t>
  </si>
  <si>
    <t>Feasibility of Multimodal Artificial Intelligence Using GPT-4 Vision for the Classification of Middle Ear Disease: Qualitative Study and Validation</t>
  </si>
  <si>
    <t>artificial intelligence; deep learning; machine learning; generative AI; generative; tympanic membrane; middle ear disease; GPT4-Vision; otolaryngology; ears; ear; tympanic; vision; GPT; GPT4V; otoscopic; image; images; imaging; diagnosis; diagnoses; diagnostic; diagnostics; otitis; mobile phone</t>
  </si>
  <si>
    <t>Uchiyama, Yuki/NQF-9443-2025; NODA, MASAO/PSK-9719-2026; Nomura, Akihiro/ABE-2871-2020</t>
  </si>
  <si>
    <t>KOSHU, RYOTA/0009-0007-0127-9137; Takumi, Yutaka/0000-0003-2874-9796; Nomura, Akihiro/0000-0001-6647-8240; Noda, Masao/0000-0001-6281-2782</t>
  </si>
  <si>
    <t>e58342</t>
  </si>
  <si>
    <t>10.2196/58342</t>
  </si>
  <si>
    <t>http://dx.doi.org/10.2196/58342</t>
  </si>
  <si>
    <t>P0H0P</t>
  </si>
  <si>
    <t>38875669</t>
  </si>
  <si>
    <t>WOS:001374818000001</t>
  </si>
  <si>
    <t>Maqsood, H; Khan, SUR</t>
  </si>
  <si>
    <t>Accurate prediction of recurrence in clear cell renal cell carcinoma (ccRCC) remains a major clinical challenge due to the disease complex molecular, pathological, and clinical heterogeneity. Traditional prognostic models, which rely on single data modalities such as radiology, histopathology, or genomics, often fail to capture the full spectrum of disease complexity, leading to suboptimal predictive accuracy. This study proposes a deep learning (DL) framework that integrates multimodal data, including CT, MRI, histopathology whole slide images (WSI), clinical data, and genomic profiles, to improve ccRCC recurrence prediction and enhance clinical decision making. The proposed framework utilizes a comprehensive dataset curated from multiple publicly available sources, including TCGA, TCIA, and CPTAC. Domain specific models are employed to process the diverse modalities: CLAM, a ResNet50-based model, is used for histopathology WSIs, while MedicalNet, a pre-trained 3D-ResNet18 model, processes CT and MRI images. For structured clinical and genomic data, a multi layer perceptron (MLP) is used. These models extract deep feature embeddings from each modality, which are then fused using early and late integration architectures. Experimental validation demonstrates that when all three modalities are available, the proposed MeD-3D model significantly outperforms unimodal baselines, achieving a balanced accuracy of 83.3%, F1 score of 0.983, precision of 0.967, and recall of 1.000, compared to unimodal approaches such as the EHR MLP baseline (81.6% balanced accuracy, 0.774 F1 score), CT/MRI MLP baseline (86.8% balanced accuracy, 0.848 F1 score), and WSI MLP baseline (70.2 % balanced accuracy, 0.740 F1 score). These results demonstrate that multimodal integration effectively captures complementary prognostic information across diverse data types clinical, radiological, and pathological leading to improved recurrence prediction performance. This study establishes the MeD-3D framework as a promising approach for enhancing risk stratification and supporting personalized treatment planning in ccRCC patients. The findings underscore the potential of DL based multimodal fusion in advancing precision oncology. Future work will focus on validating the framework robustness under scenarios with missing or incomplete modalities and extending validation to multi institutional datasets to assess generalizability and clinical deployment readiness.</t>
  </si>
  <si>
    <t>Maqsood, Hasaan; Khan, Saif Ur Rehman</t>
  </si>
  <si>
    <t>Khan, SUR (corresponding author), German Res Ctr Artificial Intelligence DFKI, Trippstadter Str 122, D-67663 Kaiserslautern, Germany.</t>
  </si>
  <si>
    <t>hasaan.maqsood@skoltech.ru; saif_ur_rehman.khan@dfki.de</t>
  </si>
  <si>
    <t>[Maqsood, Hasaan] Skolkovo Inst Sci &amp; Technol Skoltech, Bolshoy Blvd 30,Bld1, Moscow 121205, Russia; [Khan, Saif Ur Rehman] German Res Ctr Artificial Intelligence DFKI, Trippstadter Str 122, D-67663 Kaiserslautern, Germany</t>
  </si>
  <si>
    <t>Skolkovo Institute of Science &amp; Technology; German Research Center for Artificial Intelligence (DFKI)</t>
  </si>
  <si>
    <t>MeD-3D: A multimodal deep learning framework for precise recurrence prediction in clear cell renal cell carcinoma (ccRCC)</t>
  </si>
  <si>
    <t>EXPERT SYSTEMS WITH APPLICATIONS</t>
  </si>
  <si>
    <t>Biomedical data; Multimodal; data fusion; Recurrence; Precision oncology</t>
  </si>
  <si>
    <t>Khan, Saif ur Rehman/JXM-3525-2024</t>
  </si>
  <si>
    <t>Maqsood, Hasaan/0009-0007-3624-1032; Khan, Saif ur Rehman/0000-0002-0768-5239</t>
  </si>
  <si>
    <t>0957-4174</t>
  </si>
  <si>
    <t>1873-6793</t>
  </si>
  <si>
    <t>EXPERT SYST APPL</t>
  </si>
  <si>
    <t>Expert Syst. Appl.</t>
  </si>
  <si>
    <t>MAR 1 2026</t>
  </si>
  <si>
    <t>299</t>
  </si>
  <si>
    <t>D</t>
  </si>
  <si>
    <t>130174</t>
  </si>
  <si>
    <t>10.1016/j.eswa.2025.130174</t>
  </si>
  <si>
    <t>http://dx.doi.org/10.1016/j.eswa.2025.130174</t>
  </si>
  <si>
    <t>Computer Science, Artificial Intelligence; Engineering, Electrical &amp; Electronic; Operations Research &amp; Management Science</t>
  </si>
  <si>
    <t>Computer Science; Engineering; Operations Research &amp; Management Science</t>
  </si>
  <si>
    <t>9YJ9N</t>
  </si>
  <si>
    <t>WOS:001617982400017</t>
  </si>
  <si>
    <t>Vasanthi, KL; Darshne, JS; Venkatasubbu, P; Ramasubramanian, P</t>
  </si>
  <si>
    <t>Introduction Brain tumor classification using MRI plays a critical role in early diagnosis and treatment planning. However, traditional centralized approaches require sharing sensitive medical data, which raises serious privacy concerns. Additionally, the distribution of data across multiple hospitals limits effective model training and utilization. Therefore, there is a strong need for privacy-preserving and distributed learning methods that ensure both security and accuracy in classification.Methods In this work, a federated learning framework is proposed to enable collaborative model training without sharing raw data. To improve efficiency, a layer skipping mechanism is applied, which reduces communication cost during training. The FedPropSAG aggregation method is used to enhance convergence and overall model performance. Furthermore, Differential Privacy (DP) and Secure Aggregation (SA) techniques are incorporated to ensure data privacy and secure communication.Results The proposed model achieves high classification accuracy across distributed datasets, demonstrating its effectiveness. The communication cost is significantly reduced due to the implementation of the layer skipping mechanism. The model performs well even under non-IID data distributions, which are common in real-world scenarios. Importantly, the integration of privacy-preserving techniques does not degrade the overall model performance.Discussion The proposed approach provides an efficient and scalable solution for distributed medical data analysis. It ensures patient data privacy while still enabling collaborative learning across multiple institutions. The reduction in communication overhead makes the framework suitable for practical deployment in healthcare systems. Overall, the model successfully balances accuracy, efficiency, and privacy, making it a strong candidate for real-world applications.</t>
  </si>
  <si>
    <t>Lakshmi Vasanthi, K.; Sree Darshne, J.; Venkatasubbu, Pattabiraman; Ramasubramanian, Parvathi</t>
  </si>
  <si>
    <t>Ramasubramanian, P (corresponding author), Vellore Inst Technol, Ctr Adv Data Sci, Chennai, India.</t>
  </si>
  <si>
    <t>parvathi.r@vit.ac.in</t>
  </si>
  <si>
    <t>The author(s) declared that financial support was not received for this work and/or its publication.</t>
  </si>
  <si>
    <t>[Lakshmi Vasanthi, K.; Sree Darshne, J.; Venkatasubbu, Pattabiraman] Vellore Inst Technol, Sch Comp Sci &amp; Engn, Chennai, India; [Ramasubramanian, Parvathi] Vellore Inst Technol, Ctr Adv Data Sci, Chennai, India</t>
  </si>
  <si>
    <t>Vellore Institute of Technology (VIT); VIT Chennai; Vellore Institute of Technology (VIT); VIT Chennai</t>
  </si>
  <si>
    <t>A federated multimodal deep learning framework for brain tumor classification using MRI</t>
  </si>
  <si>
    <t>FRONTIERS IN ARTIFICIAL INTELLIGENCE</t>
  </si>
  <si>
    <t>brain tumor classification; deep learning; differential privacy; federated learning; medical image analysis; prototype aggregation; secure aggregation</t>
  </si>
  <si>
    <t>R, Parvathi/ABI-6155-2020; V, Pattabiraman/ABI-7573-2020</t>
  </si>
  <si>
    <t>2624-8212</t>
  </si>
  <si>
    <t>FRONT ARTIF INTELL</t>
  </si>
  <si>
    <t>Front. Artif. Intell.</t>
  </si>
  <si>
    <t>1754000</t>
  </si>
  <si>
    <t>10.3389/frai.2026.1754000</t>
  </si>
  <si>
    <t>http://dx.doi.org/10.3389/frai.2026.1754000</t>
  </si>
  <si>
    <t>Computer Science, Artificial Intelligence; Computer Science, Information Systems</t>
  </si>
  <si>
    <t>GJ5LK</t>
  </si>
  <si>
    <t>41982753</t>
  </si>
  <si>
    <t>WOS:001737906700001</t>
  </si>
  <si>
    <t>Wajgi, R; Mangrulkar, N; Raut, A; Meshram, V; Dakare, V; Bankar, N; Sonarkar, R</t>
  </si>
  <si>
    <t>Classification and evaluation of wounds pose significant challenges to the provision of health care particularly in rural areas where the rate of chronic wounds is greater compared to urban locations. Manual evaluation methods are subjective, lengthy and often provide different interpretations across clinicians. Modern studies are actively using deep learning models to automate wound evaluation, experimenting with various convolutional neural network (CNN) designs, hybrids and attention methods to improve analytical accuracy and precision. The study presents a multi-modal deep learning approach that combines U-Net for segmentation, EfficientNet B5 for detection, and ResNet for classification, using both RGB and depth data. The dataset is a combination of wound images of hospital patients and established public repositories, such as the Medetec Wound Dataset, AZH Dataset and DFUC2021 Challenge Dataset, to train model on various range of wound typologies and patient demographics. A user interface allows healthcare experts to obtain RGB and depth images in real time, providing instant wound classification and analysis outcomes in the point of care. The average accuracy of the system is 96%. Dice coefficients and intersection-over-union (IoU) over 0.80 indicates high concordance between ground-truth annotations and predicted segmentations. Severity assessment using the depth mapping and the automated severity assessment enhances the accuracy of wound measurement and classification in comparison with the traditional single source methodologies and thus provides a feasible solution in both clinical and remote healthcare settings.</t>
  </si>
  <si>
    <t>Wajgi, Rakhi; Mangrulkar, Nikhil; Raut, Aman; Meshram, Valhari; Dakare, Viranchi; Bankar, Nandkishor; Sonarkar, Rajiv</t>
  </si>
  <si>
    <t>Wajgi, R (corresponding author), Yeshwantrao Chavan Coll Engn, Dept Comp Technol, Nagpur 441110, Maharashtra, India.; Mangrulkar, N (corresponding author), Deemed Univ, Symbiosis Inst Technol, Dept Comp Sci &amp; Engn, Nagpur Campus, Pune, Maharashtra, India.; Wajgi, R (corresponding author), Rashtrasant Tukadoji Maharaj Nagpur Univ, Nagpur 440012, Maharashtra, India.</t>
  </si>
  <si>
    <t>rakhiwajgi17@gmail.com; drsrajiv@rediffmail.com; amanraut8263@gmail.com; mangrulkar.nikhil@gmail.com; drbankarnj28@gmail.com; valahrimeshram14@gmail.com; viranchidakare@gmail.com</t>
  </si>
  <si>
    <t>Symbiosis International (Deemed University)</t>
  </si>
  <si>
    <t>Open access funding provided by Symbiosis International (Deemed University).</t>
  </si>
  <si>
    <t>[Wajgi, Rakhi; Raut, Aman; Meshram, Valhari; Dakare, Viranchi] Yeshwantrao Chavan Coll Engn, Dept Comp Technol, Nagpur 441110, Maharashtra, India; [Mangrulkar, Nikhil] Deemed Univ, Symbiosis Inst Technol, Dept Comp Sci &amp; Engn, Nagpur Campus, Pune, Maharashtra, India; [Wajgi, Rakhi] Rashtrasant Tukadoji Maharaj Nagpur Univ, Nagpur 440012, Maharashtra, India; [Bankar, Nandkishor] Datta Meghe Inst Higher Educ &amp; Res, Dept Microbiol, Nagpur 441110, Maharashtra, India; [Sonarkar, Rajiv] Datta Meghe Med Coll, Dept Gen Surg, Nagpur 441110, Maharashtra, India</t>
  </si>
  <si>
    <t>Yeshwantrao Chavan College of Engineering</t>
  </si>
  <si>
    <t>Multimodal deep learning approach for wound classification and severity estimation using depth analysis</t>
  </si>
  <si>
    <t>DISCOVER APPLIED SCIENCES</t>
  </si>
  <si>
    <t>CNN; Depth-mapping; Classification; Attention-based model; Dice coefficient; Segmentation</t>
  </si>
  <si>
    <t>Bankar, Nandkishor/ITU-8019-2023; Mangrulkar, Nikhil/AAA-1924-2019; Wajgi, Rakhi/W-9559-2019</t>
  </si>
  <si>
    <t>3004-9261</t>
  </si>
  <si>
    <t>DISCOV APPL SCI</t>
  </si>
  <si>
    <t>DISCOV. APPL. SCI.</t>
  </si>
  <si>
    <t>MAY 8 2026</t>
  </si>
  <si>
    <t>755</t>
  </si>
  <si>
    <t>10.1007/s42452-026-08719-6</t>
  </si>
  <si>
    <t>http://dx.doi.org/10.1007/s42452-026-08719-6</t>
  </si>
  <si>
    <t>KM9JT</t>
  </si>
  <si>
    <t>WOS:001810761600001</t>
  </si>
  <si>
    <t>Spaide, T; Jiang, JX; Patil, J; Anegondi, N; Steffen, V; Kawczynski, MG; Newton, EM; Rabe, C; Gao, SS; Lee, AY; Holz, FG; Sadda, S; Schmitz-Valckenberg, S; Ferrara, D</t>
  </si>
  <si>
    <t>Purpose: To examine deep learning (DL)-based methods for accurate segmentation of geographic atrophy (GA) lesions using fundus autofluorescence (FAF) and near-infrared (NIR) images. Methods: This retrospective analysis utilized imaging data from study eyes of patients enrolled in Proxima A and B (NCT02479386; NCT02399072) natural history studies of GA. Two multimodal DL networks (UNet and YNet) were used to automatically segment GA lesions on FAF; segmentation accuracy was compared with annotations by experienced graders. The training data set comprised 940 image pairs (FAF and NIR) from 183 patients in Proxima B; the test data set comprised 497 image pairs from 154 patients in Proxima A. Dice coefficient scores, Bland-Altman plots, and Pearson correlation coefficient (r) were used to assess performance. Results: On the test set, Dice scores for the DL network to grader comparison ranged from 0.89 to 0.92 for screening visit; Dice score between graders was 0.94. GA lesion area correlations (r) for YNet versus grader, UNet versus grader, and between graders were 0.981, 0.959, and 0.995, respectively. Longitudinal GA lesion area enlargement correlations (r) for screening to 12 months (n = 53) were lower (0.741, 0.622, and 0.890, respectively) compared with the cross-sectional results at screening. Longitudinal correlations (r) from screening to 6 months (n = 77) were even lower (0.294, 0.248, and 0.686, respectively). Conclusions: Multimodal DL networks to segment GA lesions can produce accurate results comparable with expert graders. Translational Relevance: DL-based tools may support efficient and individualized assessment of patients with GA in clinical research and practice.</t>
  </si>
  <si>
    <t>Spaide, Theodore; Jiang, Jiaxiang; Patil, Jasmine; Anegondi, Neha; Steffen, Verena; Kawczynski, Michael G.; Newton, Elizabeth M.; Rabe, Christina; Gao, Simon S.; Lee, Aaron Y.; Holz, Frank G.; Sadda, Srinivas; Schmitz-Valckenberg, Steffen; Ferrara, Daniela</t>
  </si>
  <si>
    <t>Ferrara, D (corresponding author), 1 DNA Way, South San Francisco, CA 94080 USA.</t>
  </si>
  <si>
    <t>ferrara.daniela@gene.com</t>
  </si>
  <si>
    <t>Genentech, Inc., a member of the Roche Group; Genen-tech, Inc.</t>
  </si>
  <si>
    <t>Genentech, Inc., a member of the Roche Group; Genen-tech, Inc. (Roche Holding, Genentech)</t>
  </si>
  <si>
    <t>Genentech, Inc., a member of the Roche Group, provided financial support for the study and partic-ipated in the study design; conducting the study; data collection, management, analysis, and interpre-tation; and preparation, review, and approval of the manuscript. Funding was provided by Genen-tech, Inc., a member of the Roche Group, for third-party writing assistance, which was provided by Dinakar Sambandan, PhD, of Envision Pharma Group.</t>
  </si>
  <si>
    <t>[Spaide, Theodore; Anegondi, Neha; Steffen, Verena; Kawczynski, Michael G.; Newton, Elizabeth M.; Rabe, Christina; Gao, Simon S.; Ferrara, Daniela] Genentech Inc, Roche Personalized Healthcare, South San Francisco, CA USA; [Jiang, Jiaxiang; Patil, Jasmine; Anegondi, Neha; Gao, Simon S.] Genentech Inc, Clin Imaging Grp, South San Francisco, CA USA; [Jiang, Jiaxiang] Univ Calif Santa Barbara, Dept Elect &amp; Comp Engn, Santa Barbara, CA USA; [Steffen, Verena; Rabe, Christina] Genentech Inc, Biostat, South San Francisco, CA USA; [Lee, Aaron Y.] Univ Washington, Sch Med, Dept Ophthalmol, Seattle, WA USA; [Holz, Frank G.; Schmitz-Valckenberg, Steffen] Univ Bonn, Dept Ophthalmol, Bonn, Germany; [Holz, Frank G.; Schmitz-Valckenberg, Steffen] Univ Bonn, GRADE Reading Ctr, Bonn, Germany; [Sadda, Srinivas] Doheny Eye Inst, Los Angeles, CA USA; [Sadda, Srinivas] Univ Calif Los Angeles, David Geffen Sch Med, Dept Ophthalmol, Los Angeles, CA USA; [Schmitz-Valckenberg, Steffen] Univ Utah, John A Moran Eye Ctr, Salt Lake City, UT USA; [Ferrara, Daniela] 1 DNA Way, South San Francisco, CA 94080 USA</t>
  </si>
  <si>
    <t>Roche Holding; Roche Holding USA; Genentech; Roche Holding; Roche Holding USA; Genentech; University of California System; University of California Santa Barbara; Roche Holding; Roche Holding USA; Genentech; University of Washington; University of Washington Seattle; University of Bonn; University of Bonn; Doheny Eye Institute; University of California System; University of California Los Angeles; University of California Los Angeles Medical Center; David Geffen School of Medicine at UCLA; Utah System of Higher Education; University of Utah</t>
  </si>
  <si>
    <t>Geographic Atrophy Segmentation Using Multimodal Deep Learning</t>
  </si>
  <si>
    <t>geographic atrophy; deep learning; segmentation; fundus autofluorescence; near infrared</t>
  </si>
  <si>
    <t>MACULAR DEGENERATION; SECONDARY; IMAGES; GROWTH; QUANTIFICATION; PROGRESSION; NETWORK; MODEL</t>
  </si>
  <si>
    <t>Lee, Aaron/AAT-2839-2020</t>
  </si>
  <si>
    <t>Gao, Simon/0000-0002-7020-037X; Lee, Aaron/0000-0002-7452-1648</t>
  </si>
  <si>
    <t>JUL 2023</t>
  </si>
  <si>
    <t>10.1167/tvst.12.7.10</t>
  </si>
  <si>
    <t>http://dx.doi.org/10.1167/tvst.12.7.10</t>
  </si>
  <si>
    <t>Z0ER3</t>
  </si>
  <si>
    <t>37428131</t>
  </si>
  <si>
    <t>WOS:001108906600006</t>
  </si>
  <si>
    <t>Ben Rabah, C; Sattar, A; Ibrahim, A; Serag, A</t>
  </si>
  <si>
    <t>Background: Breast cancer is a heterogeneous disease with distinct molecular subtypes, each requiring tailored therapeutic strategies. Accurate classification of these subtypes is crucial for optimizing treatment and improving patient outcomes. While immunohistochemistry remains the gold standard for subtyping, it is invasive and may not fully capture tumor heterogeneity. Artificial Intelligence (AI), particularly Deep Learning (DL), offers a promising non-invasive alternative by analyzing medical imaging data. Methods: In this study, we propose a multimodal DL model that integrates mammography images with clinical metadata to classify breast lesions into five categories: benign, luminal A, luminal B, HER2-enriched, and triple-negative. Using the publicly available Chinese Mammography Database (CMMD), our model was trained and evaluated on a dataset of 4056 images from 1775 patients. Results: The proposed multimodal approach significantly outperformed a unimodal model based solely on mammography images, achieving an AUC of 88.87% for multiclass classification of these five categories, compared to 61.3% AUC for the unimodal model. Conclusions: These findings highlight the potential of multimodal AI-driven approaches for non-invasive breast cancer subtype classification, paving the way for improved diagnostic precision and personalized treatment strategies.</t>
  </si>
  <si>
    <t>Ben Rabah, Chaima; Sattar, Aamenah; Ibrahim, Ahmed; Serag, Ahmed</t>
  </si>
  <si>
    <t>Ben Rabah, C; Serag, A (corresponding author), Weill Cornell Med, AI Innovat Lab, Doha 24144, Qatar.</t>
  </si>
  <si>
    <t>afs4002@qatar-med.cornell.edu; chb4036@qatar-med.cornell.edu</t>
  </si>
  <si>
    <t>[Ben Rabah, Chaima; Ibrahim, Ahmed; Serag, Ahmed] Weill Cornell Med, AI Innovat Lab, Doha 24144, Qatar; [Sattar, Aamenah] New Vis Univ, Dept Med, Tbilisi 0159, Georgia</t>
  </si>
  <si>
    <t>Qatar Foundation (QF); Weill Cornell Medical College Qatar</t>
  </si>
  <si>
    <t>A Multimodal Deep Learning Model for the Classification of Breast Cancer Subtypes</t>
  </si>
  <si>
    <t>breast cancer; molecular subtype classification; deep learning; artificial intelligence; multimodal; personalized medicine</t>
  </si>
  <si>
    <t>DENSITY; RISK; PREDICTOR</t>
  </si>
  <si>
    <t>Serag, Ahmed/O-1836-2019</t>
  </si>
  <si>
    <t>Ibrahim, Ahmed/0009-0002-9217-4173; Sattar, Aamenah/0000-0001-5149-9954; Serag, Ahmed/0000-0002-4145-5509</t>
  </si>
  <si>
    <t>APR 14 2025</t>
  </si>
  <si>
    <t>995</t>
  </si>
  <si>
    <t>10.3390/diagnostics15080995</t>
  </si>
  <si>
    <t>http://dx.doi.org/10.3390/diagnostics15080995</t>
  </si>
  <si>
    <t>1WE4D</t>
  </si>
  <si>
    <t>40310373</t>
  </si>
  <si>
    <t>WOS:001475098100001</t>
  </si>
  <si>
    <t>Hua, PY; Olofson, A; Farhadi, F; Hondelink, L; Tsongalis, G; Dragnev, K; Savellano, DH; Suriawinata, A; Tafe, L; Hassanpour, S</t>
  </si>
  <si>
    <t>Background: Resistance to tyrosine kinase inhibitors remains a major clinical challenge in the treatment of nonsmall cell lung cancer (NSCLC) with activating epidermal growth factor receptor (EGFR) mutations. Despite the efficacy of third-generation EGFR inhibitors, no standard tool currently exists to predict resistance using routinely available clinical data. In this study, we aim to develop a multimodal machine learning model to predict resistance in NSCLC patients using readily accessible clinical information. Methods: We conducted a multi-institutional retrospective study to develop and evaluate a multimodal machine learning model for predicting therapy resistance in late-stage NSCLC patients with EGFR mutations. The study included 42 patients treated with EGFR-targeted therapy from Dartmouth-Hitchcock Medical Center and Ochsner Health System, using data including histology whole-slide images, next-generation sequencing results, and demographic and clinical variables. The modeling framework fused image and non-image data through a threestage training process and was evaluated using 5-fold nested cross-validation. Model performance was assessed using the concordance index (C-index), Kaplan-Meier survival curves, and log-rank tests. Interpretability analyses were conducted using attention maps, feature importance coefficients, and cellular composition comparisons. Results: The multimodal model achieved a mean C-index of 0.82 across cross-validation folds, outperforming image-only and non-image models (C-index 0.75 and 0.77, respectively). Stratified analyses across institutions confirmed consistent performance gains with the multimodal approach. Kaplan-Meier analysis revealed that the multimodal model significantly stratified patients into distinct hazard groups (logrank P=0.04), which unimodal models failed to achieve. Key predictors included RB1 mutation and Hispanic ethnicity. Attention maps highlighted histologic regions with deformed nuclei, and cellular analysis revealed reduced inflammatory cell presence in high-risk patients. Conclusions: This study presents a robust multimodal machine learning model for predicting therapy resistance in EGFR-mutant NSCLC, leveraging routinely collected clinical data without manual feature engineering. The model demonstrated superior performance over unimodal models and effective hazard stratification, suggesting utility for personalized treatment decisions. These findings underscore the potential of multimodal artificial intelligence (AI) tools to advance precision oncology, particularly in resource-limited settings. Further validation in larger, diverse cohorts is warranted.</t>
  </si>
  <si>
    <t>Hua, Peiying; Olofson, Andrea; Farhadi, Faraz; Hondelink, Liesbeth; Tsongalis, Gregory; Dragnev, Konstantin; Savellano, Dagmar Hoegemann; Suriawinata, Arief; Tafe, Laura; Hassanpour, Saeed</t>
  </si>
  <si>
    <t>Hassanpour, S (corresponding author), Geisel Sch Med, Dept Biomed Data Sci, 1 Med Ctr Dr,HB 7261, Lebanon, NH 03756 USA.; Hassanpour, S (corresponding author), Geisel Sch Med, Dept Comp Sci, 1 Med Ctr Dr,HB 7261, Lebanon, NH 03756 USA.; Hassanpour, S (corresponding author), Geisel Sch Med, Dept Epidemiol, 1 Med Ctr Dr,HB 7261, Lebanon, NH 03756 USA.</t>
  </si>
  <si>
    <t>Saeed.Hassanpour@Dartmouth.edu</t>
  </si>
  <si>
    <t>US National Library of Medicine [R01LM012837, R01LM013833]; US National Cancer Institute [R01CA249758]</t>
  </si>
  <si>
    <t>US National Library of Medicine (United States Department of Health &amp; Human Services, National Institutes of Health (NIH) - USA, NIH National Library of Medicine (NLM)); US National Cancer Institute (United States Department of Health &amp; Human Services, National Institutes of Health (NIH) - USA, NIH National Cancer Institute (NCI))</t>
  </si>
  <si>
    <t>We thank John Higgins, MS, for his assistance with data collection for this study and Danielle Cohen, MD, PhD, for her valuable feedback on the manuscript. Funding : This research was supported in part by grants from the US National Library of Medicine (Nos. R01LM012837 and R01LM013833) and the US National Cancer Institute (No. R01CA249758) .</t>
  </si>
  <si>
    <t>[Hua, Peiying; Hassanpour, Saeed] Geisel Sch Med Dartmouth, Dept Biomed Data Sci, Hanover, NH USA; [Olofson, Andrea] Ochsner Hlth Syst, Dept Pathol, New Orleans, LA USA; [Farhadi, Faraz; Savellano, Dagmar Hoegemann] Dartmouth Hitchcock Med Ctr, Dept Radiol, Lebanon, NH USA; [Hondelink, Liesbeth] Leiden Univ, Med Ctr, Dept Pathol, Leiden, Netherlands; [Tsongalis, Gregory; Suriawinata, Arief; Tafe, Laura] Dartmouth Hitchcock Med Ctr, Dept Pathol &amp; Lab Med, Lebanon, NH USA; [Dragnev, Konstantin] Dartmouth Hitchcock Med Ctr, Dept Med Oncol, Lebanon, NH USA; [Hassanpour, Saeed] Geisel Sch Med Dartmouth, Dept Epidemiol, Hanover, NH USA; [Hassanpour, Saeed] Dartmouth Coll, Dept Comp Sci, Hanover, NH USA</t>
  </si>
  <si>
    <t>Dartmouth College; Ochsner Health System; Dartmouth College; Leiden University - Excl LUMC; Leiden University; Leiden University Medical Center (LUMC); Dartmouth College; Dartmouth College; Dartmouth College; Dartmouth College</t>
  </si>
  <si>
    <t>Predicting targeted therapy resistance in non-small cell lung cancer using multimodal machine learning</t>
  </si>
  <si>
    <t>Non-small cell lung cancer (NSCLC); therapy resistance prediction; multimodal machine learning; whole slide imaging; precision oncology</t>
  </si>
  <si>
    <t>OSIMERTINIB; SURVIVAL; DISTRESS</t>
  </si>
  <si>
    <t>8700</t>
  </si>
  <si>
    <t>8714</t>
  </si>
  <si>
    <t>10.21037/jtd-2025-1012</t>
  </si>
  <si>
    <t>http://dx.doi.org/10.21037/jtd-2025-1012</t>
  </si>
  <si>
    <t>9VI4Q</t>
  </si>
  <si>
    <t>41229771</t>
  </si>
  <si>
    <t>WOS:001615901300001</t>
  </si>
  <si>
    <t>Takeda, H; Akatsuka, J; Kiriyama, T; Toyama, Y; Numata, Y; Morikawa, H; Tsutsumi, K; Takadate, M; Hasegawa, H; Mikami, H; Obayashi, K; Endo, Y; Takahashi, T; Fukumoto, M; Ohashi, R; Shimizu, A; Kimura, G; Kondo, Y; Yamamoto, Y</t>
  </si>
  <si>
    <t>Prostate cancer (PCa) is a clinically heterogeneous disease. Predicting clinically significant PCa with low-intermediate prostate-specific antigen (PSA), which often includes aggressive cancers, is imperative. This study evaluated the predictive accuracy of deep learning analysis using multimodal medical data focused on clinically significant PCa in patients with PSA &lt;= 20 ng/mL. Our cohort study included 178 consecutive patients who underwent ultrasound-guided prostate biopsy. Deep learning analyses were applied to predict clinically significant PCa. We generated receiver operating characteristic curves and calculated the corresponding area under the curve (AUC) to assess the prediction. The AUC of the integrated medical data using our multimodal deep learning approach was 0.878 (95% confidence interval [CI]: 0.772-0.984) in all patients without PSA restriction. Despite the reduced predictive ability of PSA when restricted to PSA &lt;= 20 ng/mL (n = 122), the AUC was 0.862 (95% CI: 0.723-1.000), complemented by imaging data. In addition, we assessed clinical presentations and images belonging to representative false-negative and false-positive cases. Our multimodal deep learning approach assists physicians in determining treatment strategies by predicting clinically significant PCa in patients with PSA &lt;= 20 ng/mL before biopsy, contributing to personalized medical workflows for PCa management.</t>
  </si>
  <si>
    <t>Takeda, Hayato; Akatsuka, Jun; Kiriyama, Tomonari; Toyama, Yuka; Numata, Yasushi; Morikawa, Hiromu; Tsutsumi, Kotaro; Takadate, Mami; Hasegawa, Hiroya; Mikami, Hikaru; Obayashi, Kotaro; Endo, Yuki; Takahashi, Takayuki; Fukumoto, Manabu; Ohashi, Ryuji; Shimizu, Akira; Kimura, Go; Kondo, Yukihiro; Yamamoto, Yoichiro</t>
  </si>
  <si>
    <t>Yamamoto, Y (corresponding author), Nippon Med Coll Hosp, Dept Urol, Tokyo 1138603, Japan.; Yamamoto, Y (corresponding author), RIKEN Ctr Adv Intelligence Project, Pathol Informat Team, Tokyo 1030027, Japan.; Yamamoto, Y (corresponding author), Tohoku Univ, Grad Sch Med, Math Intelligence Med, Miyagi 9808575, Japan.</t>
  </si>
  <si>
    <t>hiromu.morikawa@riken.jp; ktsutsum@hs.uci.edu; ashimizu@nms.ac.jp; s00-001@nms.ac.jp; gokimura@nms.ac.jp; 8053@nms.ac.jp; 7026@nms.ac.jp; s4036@nms.ac.jp; h-hasegawa@nms.ac.jp; takayuki.takahashi@a.riken.jp; manabu.fukumoto.a8@tohoku.ac.jp; kondoy@nms.ac.jp; yoichiro.yamamoto@riken.jp; h-mikami86@nms.ac.jp; r-ohashi@nms.ac.jp; y-endo1@nms.ac.jp; m-taniuchi@nms.ac.jp; otaro-o@nms.ac.jp; yasushi.numata@riken.jp</t>
  </si>
  <si>
    <t>Japan Society for the Promotion of Science, Grants-in-Aid for Scientific Research [23K17235]; Japan Society for the Promotion of Science [JPMJMS2022]; JST Moonshot RD; Grants-in-Aid for Scientific Research [23K11429] Funding Source: KAKEN</t>
  </si>
  <si>
    <t>Japan Society for the Promotion of Science, Grants-in-Aid for Scientific Research (Ministry of Education, Culture, Sports, Science and Technology, Japan (MEXT), Japan Society for the Promotion of Science, Grants-in-Aid for Scientific Research (KAKENHI)); Japan Society for the Promotion of Science (Ministry of Education, Culture, Sports, Science and Technology, Japan (MEXT), Japan Society for the Promotion of Science); JST Moonshot RD; Grants-in-Aid for Scientific Research (Ministry of Education, Culture, Sports, Science and Technology, Japan (MEXT), Japan Society for the Promotion of Science, Grants-in-Aid for Scientific Research (KAKENHI))</t>
  </si>
  <si>
    <t>This study was supported by the Japan Society for the Promotion of Science, Grants-in-Aid for Scientific Research (MEXT KAKENHI, Grant Numbers: 23K17235), and JST Moonshot R&amp;D (Grant Number JPMJMS2022).</t>
  </si>
  <si>
    <t>[Takeda, Hayato; Akatsuka, Jun; Toyama, Yuka; Takadate, Mami; Hasegawa, Hiroya; Mikami, Hikaru; Obayashi, Kotaro; Endo, Yuki; Kimura, Go; Kondo, Yukihiro; Yamamoto, Yoichiro] Nippon Med Coll Hosp, Dept Urol, Tokyo 1138603, Japan; [Takeda, Hayato; Akatsuka, Jun; Numata, Yasushi; Morikawa, Hiromu; Tsutsumi, Kotaro; Takadate, Mami; Takahashi, Takayuki; Fukumoto, Manabu; Kimura, Go; Kondo, Yukihiro; Yamamoto, Yoichiro] RIKEN Ctr Adv Intelligence Project, Pathol Informat Team, Tokyo 1030027, Japan; [Kiriyama, Tomonari] Nippon Med Coll Hosp, Dept Radiol, Tokyo 1138603, Japan; [Takadate, Mami; Yamamoto, Yoichiro] Tohoku Univ, Grad Sch Med, Math Intelligence Med, Miyagi 9808575, Japan; [Takahashi, Takayuki] RIKEN Ctr Adv Intelligence Project, Stat Genet Team, Tokyo 1030027, Japan; [Ohashi, Ryuji] Nippon Med Sch, Dept Integrated Diagnost Pathol, Tokyo 1138603, Japan; [Shimizu, Akira] Nippon Med Sch, Dept Analyt Human Pathol, Tokyo 1138603, Japan</t>
  </si>
  <si>
    <t>Nippon Medical School; RIKEN; Nippon Medical School; Tohoku University; RIKEN; Nippon Medical School; Nippon Medical School</t>
  </si>
  <si>
    <t>Clinically Significant Prostate Cancer Prediction Using Multimodal Deep Learning with Prostate-Specific Antigen Restriction</t>
  </si>
  <si>
    <t>CURRENT ONCOLOGY</t>
  </si>
  <si>
    <t>deep learning; prostate cancer; clinically significant prostate cancer; multimodal data; PSA</t>
  </si>
  <si>
    <t>TUMOR</t>
  </si>
  <si>
    <t>KIMURA, GO/Y-7843-2018; Endo, Yuki/JBS-3330-2023</t>
  </si>
  <si>
    <t>Takahashi, Takayuki/0000-0002-3457-0031; KIMURA, GO/0000-0003-0088-9324; Kondo, Yukihiro/0000-0003-4141-9230</t>
  </si>
  <si>
    <t>1198-0052</t>
  </si>
  <si>
    <t>1718-7729</t>
  </si>
  <si>
    <t>CURR ONCOL</t>
  </si>
  <si>
    <t>Curr. Oncol.</t>
  </si>
  <si>
    <t>7180</t>
  </si>
  <si>
    <t>7189</t>
  </si>
  <si>
    <t>10.3390/curroncol31110530</t>
  </si>
  <si>
    <t>http://dx.doi.org/10.3390/curroncol31110530</t>
  </si>
  <si>
    <t>N4L5G</t>
  </si>
  <si>
    <t>39590160</t>
  </si>
  <si>
    <t>WOS:001364073600001</t>
  </si>
  <si>
    <t>Khader, F; Müller-Franzes, G; Wang, TC; Han, TY; Arasteh, ST; Haarburger, C; Stegmaier, J; Bressem, K; Kuhl, C; Nebelung, S; Kather, JN; Truhn, D</t>
  </si>
  <si>
    <t>Background: Clinicians consider both imaging and nonimaging data when diagnosing diseases; however, current machine learning approaches primarily consider data from a single modality.Purpose: To develop a neural network architecture capable of integrating multimodal patient data and compare its performance to models incorporating a single modality for diagnosing up to 25 pathologic conditions.Materials and Methods: In this retrospective study, imaging and nonimaging patient data were extracted from the Medical Information Mart for Intensive Care (MIMIC) database and an internal database comprised of chest radiographs and clinical parameters inpatients in the intensive care unit (ICU) (January 2008 to December 2020). The MIMIC and internal data sets were each split into training (n = 33 893, n = 28 809), validation (n = 740, n = 7203), and test (n = 1909, n = 9004) sets. A novel transformer-based neural network architecture was trained to diagnose up to 25 conditions using nonimaging data alone, imaging data alone, or multimodal data. Diagnostic performance was assessed using area under the receiver operating characteristic curve (AUC) analysis.Results: The MIMIC and internal data sets included 36 542 patients (mean age, 63 years +/- 17 [SD]; 20 567 male patients) and 45 016 patients (mean age, 66 years +/- 16; 27 577 male patients), respectively. The multimodal model showed improved diagnostic performance for all pathologic conditions. For the MIMIC data set, the mean AUC was 0.77 (95% CI: 0.77, 0.78) when both chest radiographs and clinical parameters were used, compared with 0.70 (95% CI: 0.69, 0.71; P &lt; .001) for only chest radiographs and 0.72 (95% CI: 0.72, 0.73; P &lt; .001) for only clinical parameters. These findings were confirmed on the internal data set.Conclusion: A model trained on imaging and nonimaging data outperformed models trained on only one type of data for diagnosing multiple diseases in patients in an ICU setting.</t>
  </si>
  <si>
    <t>Khader, Firas; Mueller-Franzes, Gustav; Wang, Tianci; Han, Tianyu; Arasteh, Soroosh Tayebi; Haarburger, Christoph; Stegmaier, Johannes; Bressem, Keno; Kuhl, Christiane; Nebelung, Sven; Kather, Jakob Nikolas; Truhn, Daniel</t>
  </si>
  <si>
    <t>Khader, F (corresponding author), Unive Hosp Aachen, Dept Diagnost &amp; Intervent Radiol, Pauwelsstr 30, D-52074 Aachen, Germany.</t>
  </si>
  <si>
    <t>fkhader@ukaachen.de</t>
  </si>
  <si>
    <t>German Federal Ministry of Health (DEEP LIVER) [ZMVI1-2520DAT111]; Max-Eder-Programme of the German Cancer Aid; Deutsche Forschungsgemeinschaft (DFG) [NE 2136/3-1]</t>
  </si>
  <si>
    <t>German Federal Ministry of Health (DEEP LIVER); Max-Eder-Programme of the German Cancer Aid; Deutsche Forschungsgemeinschaft (DFG) (German Research Foundation (DFG))</t>
  </si>
  <si>
    <t>J.N.K. is supported by the German Federal Ministry of Health (DEEP LIVER, ZMVI1-2520DAT111) and Max-Eder-Programme of the German Cancer Aid (70113864). S.N. is supported by the Deutsche Forschungsgemeinschaft (DFG) (NE 2136/3-1)</t>
  </si>
  <si>
    <t>[Khader, Firas; Mueller-Franzes, Gustav; Wang, Tianci; Arasteh, Soroosh Tayebi; Kuhl, Christiane; Nebelung, Sven; Truhn, Daniel] Unive Hosp Aachen, Dept Diagnost &amp; Intervent Radiol, Pauwelsstr 30, D-52074 Aachen, Germany; [Kather, Jakob Nikolas] Univ Hosp Aachen, Dept Med 3, Pauwelsstr 30, D-52074 Aachen, Germany; [Han, Tianyu] Rhein Westfal TH Aachen, Phys Mol Imaging Syst, Inst Expt Mol Imaging, Aachen, Germany; [Stegmaier, Johannes] Rhein Westfal TH Aachen, Inst Imaging &amp; Comp Vis, Aachen, Germany; [Haarburger, Christoph] Ocumeda, Munich, Germany; [Bressem, Keno] Charite Univ Med Berlin, Dept Diagnost &amp; Intervent Radiol, Berlin, Germany; [Bressem, Keno] Free Univ Berlin, Berlin, Germany; [Bressem, Keno] Humboldt Univ, Berlin, Germany; [Kather, Jakob Nikolas] Tech Univ Dresden, Med Fac Carl Gustav Carus, Else Kroener Fresenius Ctr Digital Hlth, Dresden, Germany; [Kather, Jakob Nikolas] Univ Leeds, Leeds Inst Med Res St Jamess, Div Pathol &amp; Data Analyt, Leeds, England; [Kather, Jakob Nikolas] Univ Hosp Heidelberg, Dept Med Oncol, Natl Ctr Tumor Dis, Heidelberg, Germany</t>
  </si>
  <si>
    <t>RWTH Aachen University; RWTH Aachen University Hospital; RWTH Aachen University; RWTH Aachen University; Free University of Berlin; Humboldt University of Berlin; Charite Universitatsmedizin Berlin; Free University of Berlin; Humboldt University of Berlin; Technische Universitat Dresden; Carl Gustav Carus University Hospital; University of Leeds; Ruprecht Karls University Heidelberg; Helmholtz Association; National Center for Tumor Diseases; German Cancer Research Center (DKFZ)</t>
  </si>
  <si>
    <t>Multimodal Deep Learning for Integrating Chest Radiographs and Clinical Parameters: A Case for Transformers</t>
  </si>
  <si>
    <t>RADIOLOGY</t>
  </si>
  <si>
    <t>ARTIFICIAL-INTELLIGENCE; IMAGE</t>
  </si>
  <si>
    <t>Nebelung, Sven/ACI-2600-2022; Tayebi Arasteh, Soroosh/AAW-2399-2020; Bressem, Keno/AAX-8241-2020; Kuhl, Christiane/H-3301-2013; Truhn, Daniel/AAG-9359-2021; Stegmaier, Johannes/ABA-4230-2021; Kather, Jakob Nikolas/D-4279-2015</t>
  </si>
  <si>
    <t>Tayebi Arasteh, Soroosh/0000-0003-1015-7733; Bressem, Keno/0000-0001-9249-8624; Müller-Franzes, Gustav/0000-0002-7413-2570; Kuhl, Christiane/0000-0001-8696-2363; Stegmaier, Johannes/0000-0003-4072-3759; Kather, Jakob Nikolas/0000-0002-3730-5348; Han, Tianyu/0000-0002-8636-6462; Khader, Firas/0000-0001-5089-3589; Wang, Tianci/0000-0002-6783-649X</t>
  </si>
  <si>
    <t>88</t>
  </si>
  <si>
    <t>RADIOLOGICAL SOC NORTH AMERICA (RSNA)</t>
  </si>
  <si>
    <t>OAK BROOK</t>
  </si>
  <si>
    <t>820 JORIE BLVD, SUITE 200, OAK BROOK, ILLINOIS, UNITED STATES</t>
  </si>
  <si>
    <t>0033-8419</t>
  </si>
  <si>
    <t>1527-1315</t>
  </si>
  <si>
    <t>Radiology</t>
  </si>
  <si>
    <t>309</t>
  </si>
  <si>
    <t>e230806</t>
  </si>
  <si>
    <t>10.1148/radiol.230806</t>
  </si>
  <si>
    <t>http://dx.doi.org/10.1148/radiol.230806</t>
  </si>
  <si>
    <t>Z3HY6</t>
  </si>
  <si>
    <t>37787671</t>
  </si>
  <si>
    <t>WOS:001111028800010</t>
  </si>
  <si>
    <t>Chae, R; Zhou, JD; Chou, OHI; Yang, BQ; Pu, HL; Tse, G; Cheung, BMY; Zhu, TT; Car, J; Lu, L</t>
  </si>
  <si>
    <t>Heart failure (HF) is one of the major causes of morbidity and mortality globally, necessitating accurate tools for health outcome prediction and risk stratification. In this study, we propose an interpretable multimodal machine learning framework integrating four clinical data modalities (i.e., demographics, medications, laboratory tests, and electrocardiograms [ECGs]) to predict 30-day all-cause mortality and hospital readmission in HF patients. Using clinical data from 2868 HF patients across 43 local hospitals in Hong Kong, we trained and evaluated ten machine learning models for HF risk prediction, with the best performing model achieving an area under the re ceiver operating characteristic curve (AUC) of 0.881 for mortality and 0.709 for readmission. Notably, laboratory tests and ECG features dominate predictive power, and their combination alone yielded near-optimal results (AUC: 0.872), suggesting that these two modalities may be adequate for effective risk prediction in resource-constrained settings. The SHapley Additive exPlanations (SHAP) analysis identified serum albumin, high-sensitivity troponin I, lactate dehydrogenase, and QT interval dispersion as key predictors. Feature redundancy analysis further revealed strong correlations within laboratory tests and ECG features, suggesting opportunities for model simplification. To the best of our knowledge, this is the first study that comprehensively evaluates diverse configurations of four data modalities for HF risk prediction through ablation analysis, quantifying the marginal gains of each data modality and their combinations. Our findings demonstrate that an interpretable multimodal machine learning model can enhance risk prediction in HF patients, supporting personalized management and scalable deployment across diverse healthcare settings.</t>
  </si>
  <si>
    <t>Chae, Rachel; Zhou, Jiandong; Chou, Oscar Hou In; Yang, Bingqing; Pu, Haolin; Tse, Gary; Cheung, Bernard Man Yung; Zhu, Tingting; Car, Josip; Lu, Lei</t>
  </si>
  <si>
    <t>Lu, L (corresponding author), Kings Coll London, Sch Life Course &amp; Populat Sci, London, England.</t>
  </si>
  <si>
    <t>lei.lu@kcl.ac.uk</t>
  </si>
  <si>
    <t>[Chae, Rachel] Univ Oxford, Somerville Coll, Nuffield Dept Primary Care Hlth Sci, Oxford, England; [Zhou, Jiandong; Yang, Bingqing] Univ Hong Kong, Li Ka Shing Fac Med, Dept Family Med &amp; Primary Care, Pokfulam, Hong Kong, Peoples R China; [Zhou, Jiandong] Univ Hong Kong, Li Ka Shing Fac Med, Sch Publ Hlth, Pokfulam, Hong Kong, Peoples R China; [Zhou, Jiandong] Univ Hong Kong, Dept Pharmacol &amp; Pharm, Pokfulam, Hong Kong, Peoples R China; [Chou, Oscar Hou In; Cheung, Bernard Man Yung] Univ Hong Kong, Li Ka Shing Fac Med, Sch Clin Med, Div Clin Pharmacol,Dept Med,Pokfulam, Hong Kong, Peoples R China; [Pu, Haolin] Hong Kong Metropolitan Univ, Sch Sci &amp; Technol, Dept Appl Sci, Hong Kong, Peoples R China; [Tse, Gary] Tianjin Med Univ, Tianjin Inst Cardiol, Tianjin Key Lab Ion Mol Funct Cardiovasc Dis, Dept Cardiol,Hosp 2, Tianjin 300211, Peoples R China; [Tse, Gary] Hong Kong Metropolitan Univ, Sch Nursing &amp; Hlth Studies, Dept Hlth Sci, Hong Kong, Peoples R China; [Zhu, Tingting] Univ Oxford, Inst Biomed Engn, Dept Engn Sci, Oxford, England; [Car, Josip; Lu, Lei] Kings Coll London, Sch Life Course &amp; Populat Sci, London, England</t>
  </si>
  <si>
    <t>University of Oxford; University of Hong Kong; University of Hong Kong; University of Hong Kong; University of Hong Kong; Hong Kong Metropolitan University; Tianjin Medical University; Hong Kong Metropolitan University; University of Oxford; University of London; King's College London</t>
  </si>
  <si>
    <t>Interpretable multimodal machine learning model for predicting health risks of patients with heart failure</t>
  </si>
  <si>
    <t>METHODS</t>
  </si>
  <si>
    <t>Heart failure; Hospital readmission; Mortality; ECG; Multimodal machine learning</t>
  </si>
  <si>
    <t>EJECTION FRACTION; IDENTIFICATION</t>
  </si>
  <si>
    <t>Chou, Hou In/GRI-9615-2022; Car, Josip/H-6755-2015; Tse, Gary/P-1171-2015; Zhou, Jiandong/JXL-8570-2024; Lu, Lei/AFG-2253-2022</t>
  </si>
  <si>
    <t>Zhou, Jiandong/0000-0003-3780-9033; Lu, Lei/0000-0001-9139-8955</t>
  </si>
  <si>
    <t>1046-2023</t>
  </si>
  <si>
    <t>1095-9130</t>
  </si>
  <si>
    <t>Methods</t>
  </si>
  <si>
    <t>249</t>
  </si>
  <si>
    <t>10.1016/j.ymeth.2026.02.007</t>
  </si>
  <si>
    <t>http://dx.doi.org/10.1016/j.ymeth.2026.02.007</t>
  </si>
  <si>
    <t>FEB 2026</t>
  </si>
  <si>
    <t>Biochemical Research Methods; Biochemistry &amp; Molecular Biology</t>
  </si>
  <si>
    <t>EC7PG</t>
  </si>
  <si>
    <t>41698516</t>
  </si>
  <si>
    <t>WOS:001697985900001</t>
  </si>
  <si>
    <t>Lakshmi, V; Pushpa, B</t>
  </si>
  <si>
    <t>Polycystic Ovary Syndrome (PCOS) is still the most common endocrine disorder among reproductive-aged women, but its proper diagnosis is always disrupted by heterogeneous phenotypes and the uncoordinated application of diagnostic modalities in solitude. Traditional methods mainly depend on either clinical markers or ultrasound imaging, which often results in unstandardized outcomes and less reliability. To break these barriers, this paper proposes an explainable multimodal deep learning model that combines ultrasound images with structured clinical features through a cross-attention fusion mechanism. Ultrasound data are extracted by a ResNet50 backbone as discriminative spatial features, while 41 clinical factors are compressed into 20 important diagnostic factors and embedded by a Transformer Encoder, which can well capture inter-attribute relationships and boost contextual feature representations. The cross-attention module facilitates bidirectional interactions between modalities so that cues from ultrasound can refine clinical feature interpretation and clinical embeddings modulate image-derived features. The fused representation is then passed through a hierarchical classification head to predict the status of PCOS. Interpretability is guaranteed by Grad-CAM + + overlays localizing discriminative ovarian structures in ultrasound images and attention heatmaps quantifying relative importance of clinical attributes. Extensively conducted experiments on a matched dataset of clinical profiles and ultrasound scans show better performance regarding accuracy, AUC, sensitivity, and specificity than unimodal and traditional fusion baselines. The explainability results closely agree with well-known diagnostic markers, stressing the clinical reliability of the proposed paradigm. This generalizable, transparent, and scalable model has huge potential for PCOS classification and more general multimodal disease diagnosis in medical imaging.</t>
  </si>
  <si>
    <t>Lakshmi, V.; Pushpa, B.</t>
  </si>
  <si>
    <t>Lakshmi, V (corresponding author), Annamalai Univ, Dept Comp &amp; Informat Sci, Annamalainagar, Tamilnadu, India.</t>
  </si>
  <si>
    <t>lakshmiphdau@gmail.com; Pushpasidhu@gmail.com</t>
  </si>
  <si>
    <t>[Lakshmi, V.; Pushpa, B.] Annamalai Univ, Dept Comp &amp; Informat Sci, Annamalainagar, Tamilnadu, India</t>
  </si>
  <si>
    <t>Annamalai University</t>
  </si>
  <si>
    <t>Explainable multimodal deep learning using cross-attention fusion of ultrasound and clinical features for PCOS classification</t>
  </si>
  <si>
    <t>DISCOVER COMPUTING</t>
  </si>
  <si>
    <t>Polycystic ovary syndrome; Multimodal deep learning; Ultrasound imaging; Clinical feature embedding; Cross-Attention fusion; Grad-CAM plus plus Visualization</t>
  </si>
  <si>
    <t>2948-2984</t>
  </si>
  <si>
    <t>2948-2992</t>
  </si>
  <si>
    <t>DISCOV COMPUT</t>
  </si>
  <si>
    <t>Discov. Comput.</t>
  </si>
  <si>
    <t>JAN 6 2026</t>
  </si>
  <si>
    <t>10.1007/s10791-025-09901-x</t>
  </si>
  <si>
    <t>http://dx.doi.org/10.1007/s10791-025-09901-x</t>
  </si>
  <si>
    <t>Computer Science, Information Systems</t>
  </si>
  <si>
    <t>AS2MT</t>
  </si>
  <si>
    <t>WOS:001655532200003</t>
  </si>
  <si>
    <t>Wang, JH; Zhou, C; Wang, W; Zhang, HX; Zhang, AM; Cui, DX</t>
  </si>
  <si>
    <t>Early screening for gastrointestinal (GI) diseases is critical for preventing cancer development. With the rapid advancement of deep learning technology, artificial intelligence (AI) has become increasingly prominent in the early detection of GI diseases. Capsule endoscopy is a non-invasive medical imaging technique used to examine the gastrointestinal tract. In our previous work, we developed a near-infrared fluorescence capsule endoscope (NIRF-CE) capable of exciting and capturing near-infrared (NIR) fluorescence images to specifically identify subtle mucosal microlesions and submucosal abnormalities while simultaneously capturing conventional white- light images to detect lesions with significant morphological changes. However, limitations such as low camera resolution and poor lighting within the gastrointestinal tract may lead to misdiagnosis and other medical errors. Manually reviewing and interpreting large volumes of capsule endoscopy images is time-consuming and prone to errors. Deep learning models have shown potential in automatically detecting abnormalities in NIRF-CE images. This study focuses on an improved deep learning model called Retinex-Attention-YOLO (RAY), which is based on single-modality image data and built on the YOLO series of object detection models. RAY enhances the accuracy and efficiency of anomaly detection, especially under low-light conditions. To further improve detection performance, we also propose a multimodal deep learning model, Multimodal-Retinex-Attention-YOLO (MRAY), which combines both white-light and fluorescence image data. The dataset used in this study consists of images of pig stomachs captured by our NIRF-CE system, simulating the human GI tract. In conjunction with a targeted fluorescent probe, which accumulates at lesion sites and releases fluorescent signals for imaging when abnormalities are present, a bright spot indicates a lesion. The MRAY model achieved an impressive precision of 96.3%, outperforming similar object detection models. To further validate the model's performance, ablation experiments were conducted, and comparisons were made with publicly available datasets. MRAY shows great promise for the automated detection of GI cancers, ulcers, inflammations, and other medical conditions in clinical practice.</t>
  </si>
  <si>
    <t>Wang, Junhao; Zhou, Cheng; Wang, Wei; Zhang, Hanxiao; Zhang, Amin; Cui, Daxiang</t>
  </si>
  <si>
    <t>Cui, DX (corresponding author), Shanghai Jiao Tong Univ, Sch Elect Informat &amp; Elect Engn, Shanghai 200240, Peoples R China.; Zhang, HX (corresponding author), Shanghai Jiao Tong Univ, Inst &amp; Med Robot, Shanghai 200240, Peoples R China.; Zhang, AM (corresponding author), Shanghai Jiao Tong Univ, Sch Agr &amp; Biol, Dept Food Sci &amp; Technol, Shanghai 200240, Peoples R China.</t>
  </si>
  <si>
    <t>dxcui@sjtu.edu.cn; hanxiao.zhang@sjtu.edu.cn; zhangamin@sjtu.edu.cn</t>
  </si>
  <si>
    <t>Projects of International Cooperation and Exchanges NSFC [82020108017]; Innovation Group Project of National Natural Science Foundation of China [81921002]; National Key Research and Development Program of China [2017FYA0205301, 82272821]; Projects of Shanghai Science and Technology Commission [21DZ2203200, 20142201300]; Natural Science Foundation of Shanghai [22ZR1467600]; National Facility for Translational Medicine (Shanghai) Open Project Fund [TMSK-2021-302]; China Postdoctoral Science Foundation [2020TQ0191, 2021M702139, 2023M732267]; National Natural Science Foundation of China [82403893]</t>
  </si>
  <si>
    <t>Projects of International Cooperation and Exchanges NSFC; Innovation Group Project of National Natural Science Foundation of China (National Natural Science Foundation of China (NSFC)); National Key Research and Development Program of China (National Key Research &amp; Development Program of China); Projects of Shanghai Science and Technology Commission; Natural Science Foundation of Shanghai (Natural Science Foundation of Shanghai); National Facility for Translational Medicine (Shanghai) Open Project Fund; China Postdoctoral Science Foundation (China Postdoctoral Science Foundation); National Natural Science Foundation of China (National Natural Science Foundation of China (NSFC))</t>
  </si>
  <si>
    <t>Great thanks for the financial support from Projects of International Cooperation and Exchanges NSFC (No. 82020108017), Innovation Group Project of National Natural Science Foundation of China (No. 81921002), National Key Research and Development Program of China (No. 2017FYA0205301 and No. 82272821), Projects of Shanghai Science and Technology Commission (No. 21DZ2203200 and No. 20142201300), and Natural Science Foundation of Shanghai (No. 22ZR1467600). We also thank the National Facility for Translational Medicine (Shanghai) Open Project Fund under Grant TMSK-2021-302, the financial support of China Postdoctoral Science Foundation (No. 2020TQ0191, 2021M702139 and 2023M732267) and National Natural Science Foundation of China (82403893).</t>
  </si>
  <si>
    <t>[Wang, Junhao; Zhou, Cheng; Wang, Wei; Cui, Daxiang] Shanghai Jiao Tong Univ, Sch Elect Informat &amp; Elect Engn, Shanghai 200240, Peoples R China; [Wang, Junhao; Zhang, Hanxiao] Shanghai Jiao Tong Univ, Inst &amp; Med Robot, Shanghai 200240, Peoples R China; [Cui, Daxiang] Henan Univ, Med &amp; Engn Cross Res Inst, Sch Med, Kaifeng 475004, Peoples R China; [Zhang, Amin] Shanghai Jiao Tong Univ, Sch Agr &amp; Biol, Dept Food Sci &amp; Technol, Shanghai 200240, Peoples R China</t>
  </si>
  <si>
    <t>Shanghai Jiao Tong University; Shanghai Jiao Tong University; Henan University; Shanghai Jiao Tong University</t>
  </si>
  <si>
    <t>A multimodal deep learning model for detecting endoscopic images of near-infrared fluorescence capsules</t>
  </si>
  <si>
    <t>BIOSENSORS &amp; BIOELECTRONICS</t>
  </si>
  <si>
    <t>Fluorescence endoscopy; Multimodal deep learning; Disease detection</t>
  </si>
  <si>
    <t>CANCER</t>
  </si>
  <si>
    <t>Wang, Junhao/0000-0002-3938-8466; Zhang, Amin/0000-0002-8006-4615</t>
  </si>
  <si>
    <t>63</t>
  </si>
  <si>
    <t>ELSEVIER ADVANCED TECHNOLOGY</t>
  </si>
  <si>
    <t>OXFORD FULFILLMENT CENTRE THE BOULEVARD, LANGFORD LANE, KIDLINGTON, OXFORD OX5 1GB, OXON, ENGLAND</t>
  </si>
  <si>
    <t>0956-5663</t>
  </si>
  <si>
    <t>1873-4235</t>
  </si>
  <si>
    <t>BIOSENS BIOELECTRON</t>
  </si>
  <si>
    <t>Biosens. Bioelectron.</t>
  </si>
  <si>
    <t>JUN 15 2025</t>
  </si>
  <si>
    <t>117251</t>
  </si>
  <si>
    <t>10.1016/j.bios.2025.117251</t>
  </si>
  <si>
    <t>http://dx.doi.org/10.1016/j.bios.2025.117251</t>
  </si>
  <si>
    <t>Biophysics; Biotechnology &amp; Applied Microbiology; Chemistry, Analytical; Electrochemistry; Nanoscience &amp; Nanotechnology</t>
  </si>
  <si>
    <t>Biophysics; Biotechnology &amp; Applied Microbiology; Chemistry; Electrochemistry; Science &amp; Technology - Other Topics</t>
  </si>
  <si>
    <t>Z1M3N</t>
  </si>
  <si>
    <t>40020636</t>
  </si>
  <si>
    <t>WOS:001436629300001</t>
  </si>
  <si>
    <t>Waseem, SS; Iftikhar, S; Rafiq, A; Lee, K; Hassan, SR</t>
  </si>
  <si>
    <t>Early detection of skin cancer significantly improves patient outcomes yet remains challenging due to the visual similarity of lesions and the need for clinical context. This paper proposes a novel Image-driven multimodal deep learning framework for automated skin cancer diagnosis integrating dermoscopic imaging sensors' clinical metadata and biomedical knowledge graphs. Dermoscopic images acquired from optical skin imaging sensors undergo advanced signal processing including multi-scale CLAHE enhancement and artifact suppression. A YOLOv8-nano sensor-based lesion detector achieves 97.2% mAP@0.5 for region-of-interest extraction. The biomedical knowledge graph (26 nodes 86 edges) encodes dermatological domain knowledge into 32-dimensional disease embeddings. Clinical metadata (age gender anatomical site) is encoded via learned feature vectors. A cross-attention fusion mechanism integrates these multimodal sensor-derived signals. Evaluated on the HAM10000 dataset (10,015 images 7 classes), our full multimodal model achieves 91.35% accuracy outperforming image-only (86.96%) and image+metadata (88.45%) baselines. An ensemble reaches 92.78% state-of-the-art accuracy with significant improvements on challenging classes (BCC +6.0% melanoma +3.8%). Statistical significance is confirmed (p &lt; 0.01 95% CI [90.7% 92.0%]). This work demonstrates that Image-based multimodal signal fusion with structured medical knowledge enhances both diagnostic accuracy and clinical interpretability.</t>
  </si>
  <si>
    <t>Waseem, Syeda Sitara; Iftikhar, Saman; Rafiq, Ammar; Lee, Kangyoon; Hassan, Syed Rizwan</t>
  </si>
  <si>
    <t>Lee, K; Hassan, SR (corresponding author), Gachon Univ, Dept Comp Engn, Seongnam 13120, South Korea.</t>
  </si>
  <si>
    <t>syedasitarawaseem@gmail.com; keylee@gachon.ac.kr; s.iftikhar@arabou.edu.sa; ammar.rafiq@nu.edu.pk; syed9919@gachon.ac.kr</t>
  </si>
  <si>
    <t>Arab Open University</t>
  </si>
  <si>
    <t>The authors extend their appreciation to the Arab Open University for funding this work.</t>
  </si>
  <si>
    <t>[Waseem, Syeda Sitara] Govt Sadiq Coll Women Univ, Dept Comp Sci, Bahawalpur 63100, Pakistan; [Iftikhar, Saman] Arab Open Univ, Fac Comp Studies, Riyadh 84901, Saudi Arabia; [Rafiq, Ammar] Natl Univ Comp &amp; Emerging Sci, Dept Comp Sci, Chiniot Faisalabad Campus, Chiniot 35400, Pakistan; [Lee, Kangyoon; Hassan, Syed Rizwan] Gachon Univ, Dept Comp Engn, Seongnam 13120, South Korea</t>
  </si>
  <si>
    <t>Arab Open University-Saudi Arabia; Gachon University</t>
  </si>
  <si>
    <t>Image-Driven Multimodal Deep Learning for Skin Cancer Diagnosis: Cross-Attention Fusion of Dermoscopic Imaging Clinical Data and Knowledge Graphs</t>
  </si>
  <si>
    <t>SENSORS</t>
  </si>
  <si>
    <t>skin cancer diagnosis; biomedical sensors; dermoscopic imaging; biomedical knowledge graph; multimodal deep learning; dermoscopy; attention-based fusion; sensor fusion</t>
  </si>
  <si>
    <t>CLASSIFICATION</t>
  </si>
  <si>
    <t>1424-8220</t>
  </si>
  <si>
    <t>SENSORS-BASEL</t>
  </si>
  <si>
    <t>Sensors</t>
  </si>
  <si>
    <t>JUL 25 2026</t>
  </si>
  <si>
    <t>4728</t>
  </si>
  <si>
    <t>10.3390/s26154728</t>
  </si>
  <si>
    <t>http://dx.doi.org/10.3390/s26154728</t>
  </si>
  <si>
    <t>Chemistry, Analytical; Engineering, Electrical &amp; Electronic; Instruments &amp; Instrumentation</t>
  </si>
  <si>
    <t>Chemistry; Engineering; Instruments &amp; Instrumentation</t>
  </si>
  <si>
    <t>MQ1AS</t>
  </si>
  <si>
    <t>42590505</t>
  </si>
  <si>
    <t>WOS:001848193400001</t>
  </si>
  <si>
    <t>Zhai, Y; Tan, DH; Sun, DS; Zheng, TT</t>
  </si>
  <si>
    <t>This study aims to enhance breast ultrasound diagnosis by developing a multimodal artificial intelligence (AI) system that integrates lesion detection, diagnostic fusion, and human-computer interaction. We propose KIDNet, a deep learning model for detecting and scoring lesions. A Transformer-based network then fuses ultrasound images, AI-derived scores, and clinical data for final diagnosis. Our results demonstrate that the multimodal fusion approach achieves a diagnostic accuracy of 93.1%, significantly outperforming unimodal and simple fusion methods. Furthermore, we explore different interaction modes for image selection, finding that a human-computer collaborative approach yields the highest accuracy of 95.4%. This work establishes a framework for AI-assisted breast ultrasound that improves workflow efficiency and diagnostic performance through synergistic human-AI collaboration.</t>
  </si>
  <si>
    <t>Zhai, Yue; Tan, Dianhuan; Sun, Desheng; Zheng, Tingting</t>
  </si>
  <si>
    <t>Sun, DS; Zheng, TT (corresponding author), Hong Kong Univ Sci &amp; Technol, Shenzhen Peking Univ, Peking Univ,Dept Ultrasound,Med Ctr, Shenzhen Hosp,Inst Ultrason Med,Shenzhen Key Lab D, Shenzhen 518036, Guangdong, Peoples R China.</t>
  </si>
  <si>
    <t>kyzs_018@126.com; szdssun@pkuszh.com</t>
  </si>
  <si>
    <t>[Zhai, Yue; Tan, Dianhuan; Sun, Desheng; Zheng, Tingting] Hong Kong Univ Sci &amp; Technol, Shenzhen Peking Univ, Peking Univ,Dept Ultrasound,Med Ctr, Shenzhen Hosp,Inst Ultrason Med,Shenzhen Key Lab D, Shenzhen 518036, Guangdong, Peoples R China</t>
  </si>
  <si>
    <t>Hong Kong University of Science &amp; Technology; Peking University</t>
  </si>
  <si>
    <t>Multimodal artificial intelligence for human-computer interaction enhanced breast lesion diagnosis</t>
  </si>
  <si>
    <t>Breast ultrasound; Nodule diagnosis; AI-assisted; Image selection; Key region detection</t>
  </si>
  <si>
    <t>SHEAR-WAVE</t>
  </si>
  <si>
    <t>100730</t>
  </si>
  <si>
    <t>10.1016/j.array.2026.100730</t>
  </si>
  <si>
    <t>http://dx.doi.org/10.1016/j.array.2026.100730</t>
  </si>
  <si>
    <t>EY8DM</t>
  </si>
  <si>
    <t>WOS:001712972600001</t>
  </si>
  <si>
    <t>Sai, MN; Sakthivel, ; Prakash, P; Vishnukumar, K; Min, DG</t>
  </si>
  <si>
    <t>PCOS is a common endocrine disorder that impacts women in their reproductive years characterized by irregular menstrual cycles, hyperandrogenism, and polycystic ovaries. Polycystic Ovary Syndrome (PCOS) presents significant challenges in diagnosis due to its heterogeneous nature and varied clinical manifestations. This project aimed to develop a comprehensive system for PCOS detection, integrating ultrasound images and clinical data through advanced machine learning techniques, using Rotterdam criteria for diagnostic decisions. Feature extraction from ultrasound images was conducted using the ResNet-50 deep learning model, while clinical data underwent correlation-based feature selection. Three classification algorithms- Support Vector Machine (SVM), Random Forest and Logistic Regression- were used to categorize the extracted features from ultrasound images. The integration of image-based and clinical-based features was explored and evaluated to have better accuracy revealing the potential for enhancing PCOS diagnosis accuracy. The developed system holds promise for assisting doctors in PCOS diagnosis, offering a holistic approach that leverages both imaging and clinical information.</t>
  </si>
  <si>
    <t>Sai, M. Nethra; Sakthivel, V; Prakash, P.; Vishnukumar, K.; Min, Dugki</t>
  </si>
  <si>
    <t>Sai, MN (corresponding author), Vellore Inst Technol, Sch Comp Sci &amp; Engn, Chennai, India.</t>
  </si>
  <si>
    <t>[Sai, M. Nethra; Sakthivel, V; Prakash, P.] Vellore Inst Technol, Sch Comp Sci &amp; Engn, Chennai, India; [Vishnukumar, K.] KPR Inst Engn &amp; Technol, Dept Comp Sci Engn, Chennai, India; [Min, Dugki] Konkuk Univ, Dept Comp Sci &amp; Engn, Seoul, South Korea</t>
  </si>
  <si>
    <t>Vellore Institute of Technology (VIT); VIT Chennai; Konkuk University</t>
  </si>
  <si>
    <t>Advanced Diagnosis of Polycystic Ovarian Syndrome using Machine Learning and Multimodal Data Integration</t>
  </si>
  <si>
    <t>INTERNATIONAL JOURNAL OF ADVANCED COMPUTER SCIENCE AND APPLICATIONS</t>
  </si>
  <si>
    <t>PCOS; ultrasound images; clinical data; feature extraction; classification; Rotterdam criteria</t>
  </si>
  <si>
    <t>SCIENCE &amp; INFORMATION SAI ORGANIZATION LTD</t>
  </si>
  <si>
    <t>WEST YORKSHIRE</t>
  </si>
  <si>
    <t>19 BOLLING RD, BRADFORD, WEST YORKSHIRE, 00000, ENGLAND</t>
  </si>
  <si>
    <t>2158-107X</t>
  </si>
  <si>
    <t>2156-5570</t>
  </si>
  <si>
    <t>INT J ADV COMPUT SC</t>
  </si>
  <si>
    <t>Int. J. Adv. Comput. Sci. Appl.</t>
  </si>
  <si>
    <t>1204</t>
  </si>
  <si>
    <t>1213</t>
  </si>
  <si>
    <t>ZU9C2</t>
  </si>
  <si>
    <t>WOS:001277908900001</t>
  </si>
  <si>
    <t>Lin, WC; Chen, AY; Song, XB; Weiskopf, NG; Chiang, MF; Hribar, MR</t>
  </si>
  <si>
    <t>Objective Surgical outcome prediction is challenging but necessary for postoperative management. Current machine learning models utilize pre- and post-op data, excluding intraoperative information in surgical notes. Current models also usually predict binary outcomes even when surgeries have multiple outcomes that require different postoperative management. This study addresses these gaps by incorporating intraoperative information into multimodal models for multiclass glaucoma surgery outcome prediction.Materials and methods We developed and evaluated multimodal deep learning models for multiclass glaucoma trabeculectomy surgery outcomes using both structured EHR data and free-text operative notes. We compare those to baseline models that use structured EHR data exclusively, or neural network models that leverage only operative notes.Results The multimodal neural network had the highest performance with a macro AUROC of 0.750 and F1 score of 0.583. It outperformed the baseline machine learning model with structured EHR data alone (macro AUROC of 0.712 and F1 score of 0.486). Additionally, the multimodal model achieved the highest recall (0.692) for hypotony surgical failure, while the surgical success group had the highest precision (0.884) and F1 score (0.775).Discussion This study shows that operative notes are an important source of predictive information. The multimodal predictive model combining perioperative notes and structured pre- and post-op EHR data outperformed other models. Multiclass surgical outcome prediction can provide valuable insights for clinical decision-making.Conclusions Our results show the potential of deep learning models to enhance clinical decision-making for postoperative management. They can be applied to other specialties to improve surgical outcome predictions.</t>
  </si>
  <si>
    <t>Lin, Wei-Chun; Chen, Aiyin; Song, Xubo; Weiskopf, Nicole G.; Chiang, Michael F.; Hribar, Michelle R.</t>
  </si>
  <si>
    <t>Science Citation Index Expanded (SCI-EXPANDED); Social Science Citation Index (SSCI)</t>
  </si>
  <si>
    <t>Hribar, MR (corresponding author), Oregon Hlth &amp; Sci Univ, Casey Eye Inst, Dept Ophthalmol, 3181 SW Sam Jackson Pk Rd, Portland, OR 97239 USA.</t>
  </si>
  <si>
    <t>hribarm@ohsu.edu</t>
  </si>
  <si>
    <t>National Institutes of Health (Bethesda, MD) [R01LM013426, R21LM013937, T15LM007088, P30EY10572]; Intramural Research Program of the National Institutes of Health, National Eye Institute (Bethesda, MD); Research to Prevent Blindness (New York, NY)</t>
  </si>
  <si>
    <t>National Institutes of Health (Bethesda, MD) (United States Department of Health &amp; Human Services, National Institutes of Health (NIH) - USA); Intramural Research Program of the National Institutes of Health, National Eye Institute (Bethesda, MD); Research to Prevent Blindness (New York, NY) (Research to Prevent Blindness (RPB))</t>
  </si>
  <si>
    <t>This work was supported by grant numbers R01LM013426, R21LM013937 (formerly R21EY031443), T15LM007088, and P30EY10572 from the National Institutes of Health (Bethesda, MD). It was also partly funded by the Intramural Research Program of the National Institutes of Health, National Eye Institute (Bethesda, MD) (M.F.C.), and received unrestricted departmental funding from Research to Prevent Blindness (New York, NY).</t>
  </si>
  <si>
    <t>[Lin, Wei-Chun; Song, Xubo; Weiskopf, Nicole G.; Hribar, Michelle R.] Oregon Hlth &amp; Sci Univ, Dept Med Informat &amp; Clin Epidemiol, 3181 SW Sam Jackson Pk Rd, Portland, OR 97239 USA; [Lin, Wei-Chun; Chen, Aiyin; Hribar, Michelle R.] Oregon Hlth &amp; Sci Univ, Casey Eye Inst, Dept Ophthalmol, 545 SW Campus Dr, Portland, OR 97239 USA; [Chiang, Michael F.; Hribar, Michelle R.] NEI, NIH, 31 Ctr Dr MSC 2510, Bethesda, MD 20892 USA; [Chiang, Michael F.] NIH, Natl Lib Med, 8600 Rockville Pike, Bethesda, MD 20894 USA; [Hribar, Michelle R.] Oregon Hlth &amp; Sci Univ, Casey Eye Inst, Dept Ophthalmol, 3181 SW Sam Jackson Pk Rd, Portland, OR 97239 USA</t>
  </si>
  <si>
    <t>Oregon Health &amp; Science University; Oregon Health &amp; Science University; National Institutes of Health (NIH) - USA; NIH National Eye Institute (NEI); National Institutes of Health (NIH) - USA; NIH National Library of Medicine (NLM); Oregon Health &amp; Science University</t>
  </si>
  <si>
    <t>Prediction of multiclass surgical outcomes in glaucoma using multimodal deep learning based on free-text operative notes and structured EHR data</t>
  </si>
  <si>
    <t>JOURNAL OF THE AMERICAN MEDICAL INFORMATICS ASSOCIATION</t>
  </si>
  <si>
    <t>multimodal model; deep learning; multiclass surgical outcomes; glaucoma; operative notes</t>
  </si>
  <si>
    <t>COMPLICATIONS; OPPORTUNITIES; MODELS</t>
  </si>
  <si>
    <t>Weiskopf, Nicole/0000-0003-0365-909X; Lin, Wei-Chun/0000-0002-2226-4619; Chiang, Michael/0000-0002-8172-7636</t>
  </si>
  <si>
    <t>1067-5027</t>
  </si>
  <si>
    <t>1527-974X</t>
  </si>
  <si>
    <t>J AM MED INFORM ASSN</t>
  </si>
  <si>
    <t>J. Am. Med. Inf. Assoc.</t>
  </si>
  <si>
    <t>JAN 18 2024</t>
  </si>
  <si>
    <t>456</t>
  </si>
  <si>
    <t>464</t>
  </si>
  <si>
    <t>10.1093/jamia/ocad213</t>
  </si>
  <si>
    <t>http://dx.doi.org/10.1093/jamia/ocad213</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</si>
  <si>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</si>
  <si>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</si>
  <si>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FN2H3</t>
  </si>
  <si>
    <t>37964658</t>
  </si>
  <si>
    <t>WOS:001102018000001</t>
  </si>
  <si>
    <t>Yuan, YF; Zhang, X; Wang, YN; Li, HY; Qi, ZX; Du, ZG; Chu, YH; Feng, DY; Hu, J; Xie, QG; Song, JP; Liu, YQ; Cai, JJ</t>
  </si>
  <si>
    <t>Gliomas are highly heterogenous diseases with poor prognosis. Precise survival prediction could benefit further clinical decision-making, clinical trial incursion, and health economics. Recent research has emphasized the prognostic value of magnetic resonance imaging, pathological specimens, and circulating biomarkers. However, the integrative potential and efficacy of these modalities require to be further validated. After incorporating 218 patients of The Cancer Genome Atlas glioma datasets of and 54 patients of the Huashan cohort with complementary prognostic information, we established a squeeze-and-excitation deep learning feature extractor for T1-contrast enhanced images and histological slides and explored to screen significant circulating 5-hydroxymethylcytosines (5hmC) profiles for glioma survival by least absolute shrinkage and selection operator-Cox regression. Therefore, a prognostication predictive model with high efficiency was obtained through survival support vector machine multimodal integration of radiologic imaging, histopathologic imaging features, genome-wide 5hmC in circulating cell-free DNA and clinical variables, suggesting a valid strategy (concordance-index = 0.897; Brier score = 0.118) for improved survival risk stratification of glioma patients.Gliomas are highly heterogenous diseases with poor prognosis; precise survival prediction could benefit clinical decision-making, clinical trial incursion, and health economics. Based on The Cancer Genome Atlas glioma database and the cohort of Huashan Hospital, this research included multimodal data and constructed a "squeeze and excitation deep learning feature extractor" that can realize magnetic resonance imaging, pathological images, and liquid biopsy sequencing fusion. Further, we established a "survival support vector machine-multimodal predictor" model, which was promising to predict overall survival time and provide a reference for postoperative treatment and decision-making in glioma patients. image</t>
  </si>
  <si>
    <t>Yuan, Yifan; Zhang, Xuan; Wang, Yining; Li, Hongyan; Qi, Zengxin; Du, Zunguo; Chu, Ying-Hua; Feng, Danyang; Hu, Jie; Xie, Qingguo; Song, Jianping; Liu, Yuqing; Cai, Jiajun</t>
  </si>
  <si>
    <t>Song, JP; Cai, JJ (corresponding author), Fudan Univ, Huashan Hosp, Natl Ctr Neurol Disorders, Dept Neurosurg, Shanghai, Peoples R China.; Liu, YQ (corresponding author), Hefei Comprehens Natl Sci Ctr, Inst Artificial Intelligence, Hefei, Peoples R China.</t>
  </si>
  <si>
    <t>yqliu@iai.ustc.edu.cn; neurosurgerysong@foxmail.com; caijiajun1988@126.com</t>
  </si>
  <si>
    <t>National Natural Science Foundation of China [62131009]; University Synergy Innovation Program of Anhui Province [GXXT-2022-032]; Fujian Province Science and Technology Innovation Joint Fund [2021Y9135]; Science and Technology Innovation Plan of Shanghai Science and Technology Commission [21Y21900600]; Shanghai Municipal Alliance for Clinical Competence Improvement and Advancement in Neurosurgery [SHDC22021303]</t>
  </si>
  <si>
    <t>National Natural Science Foundation of China (National Natural Science Foundation of China (NSFC)); University Synergy Innovation Program of Anhui Province; Fujian Province Science and Technology Innovation Joint Fund; Science and Technology Innovation Plan of Shanghai Science and Technology Commission; Shanghai Municipal Alliance for Clinical Competence Improvement and Advancement in Neurosurgery</t>
  </si>
  <si>
    <t>National Natural Science Foundation of China, Grant/Award Number: 62131009; University Synergy Innovation Program of Anhui Province, Grant/Award Number: GXXT-2022-032; Fujian Province Scienceand Technology Innovation Joint Fund Grant/Award Number: 2021Y9135; Science and Technology Innovation Plan of Shanghai Science and Technology Commission, Grant/Award Number:21Y21900600; Shanghai Municipal Alliance for Clinical Competence Improvement and Advancement in Neurosurgery, Grant/Award Number: SHDC22021303</t>
  </si>
  <si>
    <t>[Yuan, Yifan; Wang, Yining; Qi, Zengxin; Hu, Jie; Song, Jianping; Cai, Jiajun] Fudan Univ, Huashan Hosp, Natl Ctr Neurol Disorders, Dept Neurosurg, Shanghai, Peoples R China; [Zhang, Xuan] Huazhong Univ Sci &amp; Technol, Sch Artificial Intelligence &amp; Automat, Wuhan, Peoples R China; [Li, Hongyan; Xie, Qingguo] Univ Sci &amp; Technol China, Dept Elect Engn &amp; Informat Sci, Hefei, Peoples R China; [Du, Zunguo] Fudan Univ, Huashan Hosp, Dept Pathol, Shanghai, Peoples R China; [Chu, Ying-Hua] Siemens Healthineers Ltd, MR Collaborat, Shanghai, Peoples R China; [Feng, Danyang] Fudan Univ, Inst Sci &amp; Technol Brain Inspired Intelligence, Shanghai, Peoples R China; [Xie, Qingguo] Huazhong Univ Sci &amp; Technol, Dept Biomed Engn, Wuhan, Peoples R China; [Xie, Qingguo] Wuhan Natl Lab Optoelect, Wuhan, Peoples R China; [Song, Jianping] Fudan Univ, Huashan Hosp, Natl Reg Med Ctr, Dept Neurosurg, Fujian Campus, Fuzhou, Fujian, Peoples R China; [Liu, Yuqing] Hefei Comprehens Natl Sci Ctr, Inst Artificial Intelligence, Hefei, Peoples R China</t>
  </si>
  <si>
    <t>Fudan University; Huazhong University of Science &amp; Technology; Chinese Academy of Sciences; University of Science &amp; Technology of China, CAS; Fudan University; Fudan University; Huazhong University of Science &amp; Technology; Huazhong University of Science &amp; Technology; Fudan University</t>
  </si>
  <si>
    <t>Multimodal data integration using deep learning predicts overall survival of patients with glioma</t>
  </si>
  <si>
    <t>VIEW</t>
  </si>
  <si>
    <t>5-hydroxymethylcytosines; deep learning; glioma; multimodal integration</t>
  </si>
  <si>
    <t>, Xuan/0009-0004-1480-2503; Qi, Zengxin/0000-0001-5206-9948; Yuan, Yifan/0000-0003-1072-5825</t>
  </si>
  <si>
    <t>2688-3988</t>
  </si>
  <si>
    <t>2688-268X</t>
  </si>
  <si>
    <t>VIEW-CHINA</t>
  </si>
  <si>
    <t>View-China</t>
  </si>
  <si>
    <t>10.1002/VIW.20240001</t>
  </si>
  <si>
    <t>http://dx.doi.org/10.1002/VIW.20240001</t>
  </si>
  <si>
    <t>Nanoscience &amp; Nanotechnology; Materials Science, Biomaterials</t>
  </si>
  <si>
    <t>Science &amp; Technology - Other Topics; Materials Science</t>
  </si>
  <si>
    <t>J9S7V</t>
  </si>
  <si>
    <t>WOS:001286052700001</t>
  </si>
  <si>
    <t>Kizilisik, S; Terzi, A; Candemir, S</t>
  </si>
  <si>
    <t>Timely prediction of Intensive Care Unit (ICU) admission at hospital arrival is critical for clinical decision-making, resource allocation, and patient management, particularly during large-scale health crises such as the COVID-19 pandemic. In this study, we propose an explainable multimodal deep learning framework that integrates chest X-ray images with clinical variables to estimate ICU admission risk at hospital presentation. The model uses a lightweight CNN-backbone for imaging, a multilayer perceptron for clinical data, and a mid-level fusion strategy to learn joint representations. To address class imbalance and data limitations, focal loss and modality-specific data augmentation are applied. Model explainability is ensured through Gradient-weighted Class Activation Mapping for imaging and SHapley Additive exPlanations for clinical variables. Experimental results demonstrate that the multimodal framework achieves strong discriminative performance (AUROC = 0.95) and consistent performance across clinically relevant subgroups. Key predictors identified by SHAP analysis include C-reactive protein, oxygen saturation, hypoxia indicators, and comorbid lung disease, which are consistent with established clinical findings. External validation on a multi-center dataset demonstrates generalization to heterogeneous clinical settings despite domain shift. Beyond discrimination, the model provides reliable probabilistic estimates, supported by improved calibration performance and lower Brier score compared to unimodal baselines. Decision curve analysis further indicates higher net benefit across a range of threshold probabilities, supporting its potential utility in clinical decision-making. The findings suggest that the proposed framework could provide a promising basis for early ICU admission prediction using routinely available data at hospital presentation.</t>
  </si>
  <si>
    <t>Kizilisik, Salih; Terzi, Aysegul; Candemir, Sema</t>
  </si>
  <si>
    <t>Candemir, S (corresponding author), Eskisehir Tech Univ, Comp Engn Dept, Artificial Intelligence Healthcare Lab, TR-26555 Eskisehir, Turkiye.</t>
  </si>
  <si>
    <t>semacandemir@eskisehir.edu.tr</t>
  </si>
  <si>
    <t>Scientific and Technological Research Council of Turkiye (TUBITAK) under the BIDEB 2232 International Fellowship Program [121C0185]</t>
  </si>
  <si>
    <t>Scientific and Technological Research Council of Turkiye (TUBITAK) under the BIDEB 2232 International Fellowship Program (Turkiye Bilimsel ve Teknolojik Arastirma Kurumu (TUBITAK))</t>
  </si>
  <si>
    <t>This work was supported by the Scientific and Technological Research Council of Turkiye (TUBITAK) under the BIDEB 2232 International Fellowship Program (Grant No. 121C0185).</t>
  </si>
  <si>
    <t>[Kizilisik, Salih; Terzi, Aysegul; Candemir, Sema] Eskisehir Tech Univ, Comp Engn Dept, Artificial Intelligence Healthcare Lab, TR-26555 Eskisehir, Turkiye; [Terzi, Aysegul] Istanbul Tech Univ, Dept Comp Engn, TR-34467 Istanbul, Turkiye</t>
  </si>
  <si>
    <t>Eskisehir Technical University; Istanbul Technical University</t>
  </si>
  <si>
    <t>Explainable Multimodal Machine Learning Model for Predicting ICU Admission at Hospital Arrival</t>
  </si>
  <si>
    <t>Feeds; Filtering; Filters; Radio frequency; Protocols; Communication systems; Digital images; Electronic mail; Receivers; Internetworking; ICU admission prediction; multimodal learning; explainable artificial intelligence; chest X-ray; clinical decision support</t>
  </si>
  <si>
    <t>CHEST RADIOGRAPHS; COVID-19; FEATURES</t>
  </si>
  <si>
    <t>Candemir, Sema/X-2002-2019</t>
  </si>
  <si>
    <t>64412</t>
  </si>
  <si>
    <t>64426</t>
  </si>
  <si>
    <t>10.1109/ACCESS.2026.3687397</t>
  </si>
  <si>
    <t>http://dx.doi.org/10.1109/ACCESS.2026.3687397</t>
  </si>
  <si>
    <t>HI5OS</t>
  </si>
  <si>
    <t>WOS:001754886700030</t>
  </si>
  <si>
    <t>Alsaleh, A</t>
  </si>
  <si>
    <t>Background Alzheimer's disease (AD) presents a significant and escalating public health concern, with early-stage neurodegeneration often going undetected using current diagnostic procedures. Medical imaging modalities, particularly structural magnetic resonance imaging (MRI) and functional positron emission tomography (PET), provide complementary insights into the anatomical and metabolic changes associated with AD. Despite their potential, the integration of these imaging techniques into a unified, explainable artificial intelligence (AI) framework remains limited. Objectives This study aims to develop and evaluate NeuroFusion-ADNet, a novel AI model that effectively combines structural and functional imaging data to improve diagnostic accuracy and clinical interpretability in AD detection. Methods NeuroFusion-ADNet is a dual-path deep learning model that jointly processes co-registered MRI and PET slices for simultaneous region-of-interest segmentation and diagnostic classification. The model features modality-specific encoders for structural and functional feature extraction, a bi-directional cross-attention fusion layer and a segmentation-informed classification module. The framework was trained and evaluated using the Alzheimer's Disease Neuroimaging Initiative dataset, comprising 381 subjects across normal control, mild cognitive impairment) and AD categories. Performance was benchmarked against standard architectures, including ResNet152, U-Net++, and multimodal convolutional neural networks (CNNs). Recently, combining CNNs and attention mechanisms has shown highly effective results in medical image analysis. Therefore, our model integrates explainability features, including attention heatmaps and Local Interpretable Model-Agnostic Explanations. Results NeuroFusion-ADNet achieved a classification accuracy of 99.48% and a Dice coefficient of 0.985, significantly outperforming existing baselines. Attention-based visualizations confirmed that the model consistently focuses on clinically relevant brain regions such as the hippocampus, entorhinal cortex and basal ganglia. Extensive ablation studies validated the contributions of each architectural component. Conclusion This work introduces a clinically promising multimodal AI framework that enhances diagnostic accuracy while maintaining transparency through explainable techniques. NeuroFusion-ADNet sets a foundation for the development of efficient, interpretable and deployable tools in the early diagnosis of AD.</t>
  </si>
  <si>
    <t>Alsaleh, Abdullah</t>
  </si>
  <si>
    <t>Alsaleh, A (corresponding author), Majmaah Univ, Coll Comp &amp; Informat Sci, Dept Comp Engn, Prince SultanBin Salman St, Majmaah 11952, Saudi Arabia.</t>
  </si>
  <si>
    <t>alsaleh@mu.edu.sa</t>
  </si>
  <si>
    <t>Deanship of Postgraduate Studies and Scientific Research at Majmaah University [ER-2025-2048]</t>
  </si>
  <si>
    <t>Deanship of Postgraduate Studies and Scientific Research at Majmaah University</t>
  </si>
  <si>
    <t>The author thanks the Deanship of Postgraduate Studies and Scientific Research at Majmaah University for funding this research (project number ER-2025-2048).</t>
  </si>
  <si>
    <t>[Alsaleh, Abdullah] Majmaah Univ, Coll Comp &amp; Informat Sci, Dept Comp Engn, Prince SultanBin Salman St, Majmaah 11952, Saudi Arabia</t>
  </si>
  <si>
    <t>Majmaah University</t>
  </si>
  <si>
    <t>An interpretable multimodal deep learning framework for Alzheimer's disease diagnosis</t>
  </si>
  <si>
    <t>DIGITAL HEALTH</t>
  </si>
  <si>
    <t>Alzheimer's disease; mild cognitive impairment; deep learning; multimodal neuroimaging; MRI-PET fusion; computer-aided diagnosis</t>
  </si>
  <si>
    <t>Alsaleh, Abdullah/0000-0001-9040-0312</t>
  </si>
  <si>
    <t>SAGE PUBLICATIONS LTD</t>
  </si>
  <si>
    <t>1 OLIVERS YARD, 55 CITY ROAD, LONDON EC1Y 1SP, ENGLAND</t>
  </si>
  <si>
    <t>2055-2076</t>
  </si>
  <si>
    <t>DIGIT HEALTH</t>
  </si>
  <si>
    <t>Digit. Health</t>
  </si>
  <si>
    <t>20552076251390281</t>
  </si>
  <si>
    <t>10.1177/20552076251390281</t>
  </si>
  <si>
    <t>http://dx.doi.org/10.1177/20552076251390281</t>
  </si>
  <si>
    <t>Health Care Sciences &amp; Services; Health Policy &amp; Services; Public, Environmental &amp; Occupational Health; Medical Informatics</t>
  </si>
  <si>
    <t>Health Care Sciences &amp; Services; Public, Environmental &amp; Occupational Health; Medical Informatics</t>
  </si>
  <si>
    <t>8VE6E</t>
  </si>
  <si>
    <t>41146678</t>
  </si>
  <si>
    <t>WOS:001598111500001</t>
  </si>
  <si>
    <t>Lin, AC; Liu, ZL; Lee, J; Ranvier, GF; Taye, A; Owen, R; Matteson, DS; Lee, D</t>
  </si>
  <si>
    <t>Background: Machine learning has been increasingly used to develop algorithms that can improve medical diagnostics and prognostication and has shown promise in improving the classification of thyroid ultrasound images. This proof-of-concept study aims to develop a multimodal machine-learning model to classify follicular carcinoma from adenoma.Methods: This is a retrospective study of patients with follicular adenoma or carcinoma at a single institution between 2010 and 2022. Demographics, imaging, and perioperative variables were collected. The region of interest was annotated on ultrasound and used to perform radiomics analysis. Imaging features and clinical variables were then used to create a random forest classifier to predict malignancy. Leave-one-out cross-validation was conducted to evaluate classifier performance using the area under the receiver operating characteristic curve.Results: Patients with follicular adenomas (n = 7) and carcinomas (n = 11) with complete imaging and perioperative data were included. A total of 910 features were extracted from each image. The t -distributed stochastic neighbor embedding method reduced the dimension to 2 primary represented components. The random forest classifier achieved an area under the receiver operating characteristic curve of 0.76 (clinical only), 0.29 (image only), and 0.79 (multimodal data).Conclusion: Our multimodal machine learning model demonstrates promising results in classifying follicular carcinoma from adenoma. This approach can potentially be applied in future studies to generate models for preoperative differentiation of follicular thyroid neoplasms.(c) 2023 Elsevier Inc. All rights reserved.</t>
  </si>
  <si>
    <t>Lin, Ann C.; Liu, Zelong; Lee, Justine; Ranvier, Gustavo Fernandez; Taye, Aida; Owen, Randall; Matteson, David S.; Lee, Denise</t>
  </si>
  <si>
    <t>Lee, D (corresponding author), Icahn Sch Med Mt Sinai, Dept Surg, Div Surg Oncol &amp; Endocrine Surg, New York, NY 10029 USA.</t>
  </si>
  <si>
    <t>denise.lee@mountsinai.org</t>
  </si>
  <si>
    <t>National Center for Advancing Translational Sciences [ULTR004419]</t>
  </si>
  <si>
    <t>National Center for Advancing Translational Sciences (United States Department of Health &amp; Human Services, National Institutes of Health (NIH) - USA, NIH National Center for Advancing Translational Sciences (NCATS))</t>
  </si>
  <si>
    <t>The authors thank Xueyan Mei, PhD, for providing statistical support and analysis for this study. This work was supported in part through the computational and data resources and staff expertise provided by Scientific Computing and Data at the Icahn School of Medicine at Mount Sinai and supported by the Clinical and Translational Science Awards grant ULTR004419 from the National Center for Advancing Translational Sciences.</t>
  </si>
  <si>
    <t>[Lin, Ann C.; Ranvier, Gustavo Fernandez; Taye, Aida; Owen, Randall; Lee, Denise] Icahn Sch Med Mt Sinai, Dept Surg, New York, NY USA; [Liu, Zelong] Icahn Sch Med Mt Sinai, Biomed Engn &amp; Imaging Inst, New York, NY USA; [Lee, Justine] Icahn Sch Med Mt Sinai, Dept Diagnost Mol &amp; Intervent Radiol, New York, NY USA; [Matteson, David S.] Cornell Univ, Dept Stat &amp; Data Sci, Ithaca, NY USA; [Lee, Denise] Icahn Sch Med Mt Sinai, Dept Surg, Div Surg Oncol &amp; Endocrine Surg, New York, NY 10029 USA</t>
  </si>
  <si>
    <t>Icahn School of Medicine at Mount Sinai; Icahn School of Medicine at Mount Sinai; Icahn School of Medicine at Mount Sinai; Cornell University; Icahn School of Medicine at Mount Sinai</t>
  </si>
  <si>
    <t>Generating a multimodal artificial intelligence model to differentiate benign and malignant follicular neoplasms of the thyroid: A proof-of-concept study</t>
  </si>
  <si>
    <t>SURGERY</t>
  </si>
  <si>
    <t>IMAGES</t>
  </si>
  <si>
    <t>Liu, Zelong/QWC-5797-2026</t>
  </si>
  <si>
    <t>Matteson, David/0000-0002-2674-0387</t>
  </si>
  <si>
    <t>MOSBY-ELSEVIER</t>
  </si>
  <si>
    <t>360 PARK AVENUE SOUTH, NEW YORK, NY 10010-1710 USA</t>
  </si>
  <si>
    <t>0039-6060</t>
  </si>
  <si>
    <t>1532-7361</t>
  </si>
  <si>
    <t>Surgery</t>
  </si>
  <si>
    <t>175</t>
  </si>
  <si>
    <t>127</t>
  </si>
  <si>
    <t>10.1016/j.surg.2023.06.053</t>
  </si>
  <si>
    <t>http://dx.doi.org/10.1016/j.surg.2023.06.053</t>
  </si>
  <si>
    <t>JAN 2023</t>
  </si>
  <si>
    <t>EV4J2</t>
  </si>
  <si>
    <t>37925261</t>
  </si>
  <si>
    <t>WOS:001141691400001</t>
  </si>
  <si>
    <t>Guan, YC; Mahmood, T; Wang, Y; Khan, MI; Nazam, M</t>
  </si>
  <si>
    <t>Breast cancer is a prevalent disease affecting women globally, and early detection and treatment can improve survival rates. Breast ultrasound is a common method for preoperative diagnosis, but its low resolution can lead to inaccurate judgments. Artificial intelligence (AI) can enhance diagnostic accuracy and aid in formulating effective treatment strategies. This research aimed to integrate medical ultrasound image analysis and AI to develop a multimodal nomogram for preoperative prediction of breast cancer. The study utilized a publicly available dataset that included B-mode ultrasound and color Doppler flow imaging (CDFI) scans from 611 patients, supplemented by relevant clinical variables. The study develops a multimodal deep learning radiomic nomogram model (DeepRadix) based on the ResNet50 backbone and channel attention mechanisms to classify breast malignancy. Radiomics features were extracted from lesion ROIs using PyRadiomics and subsequently reduced via minimum Redundancy-Maximum Relevance (mRMR) and Least Absolute Shrinkage and Selection Operator (LASSO)-based feature selection to identify the most informative radiomic predictors; in parallel, deep representations were learned using a ResNet50-based network and summarized as a deep learning score. The proposed multimodal model integrates predictive radiomic features, deep learning, and clinical information to overcome the limitations of existing methods and fully leverage their strengths. The model also introduced a nomogram-based visualization to enhance interpretability and improve clinical understanding of each patient's characteristics. The research demonstrated strong discriminative ability in preoperative prediction of benign and malignant breast cancer, revealing potential associations among clinical features, ultrasound imaging features, and disease pathology. These findings could aid precision medicine and inform the design of diagnostic and therapeutic strategies for patients with breast cancer.</t>
  </si>
  <si>
    <t>Guan, Yucheng; Mahmood, Tariq; Wang, Yu; Khan, Muhammad I.; Nazam, Muhammad</t>
  </si>
  <si>
    <t>Mahmood, T (corresponding author), Prince Sultan Univ, Artificial Intelligence &amp; Data Analyt AIDA Lab, CCIS, Riyadh 11586, Saudi Arabia.; Mahmood, T (corresponding author), Univ Management &amp; Technol, Sch Syst &amp; Technol, Dept Artificial Intelligence, Lahore 54000, Pakistan.</t>
  </si>
  <si>
    <t>muhammad.inshal@warwick.uni.ac.uk; nazammaqbool1611@yahoo.com; guan.yuch@northeastern.edu; tmahmood@psu.edu.sa; wangyu@sriit.cn</t>
  </si>
  <si>
    <t>Key R&amp;D Plan of Shandong Province [2023CXPT038]</t>
  </si>
  <si>
    <t>Key R&amp;D Plan of Shandong Province</t>
  </si>
  <si>
    <t>This research was funded by the Key R&amp;D Plan of Shandong Province (Grant No. 2023CXPT038).</t>
  </si>
  <si>
    <t>[Guan, Yucheng] Northeastern Univ, Coll Engn, San Jose, CA USA; [Mahmood, Tariq; Khan, Muhammad I.] Prince Sultan Univ, Artificial Intelligence &amp; Data Analyt AIDA Lab, CCIS, Riyadh 11586, Saudi Arabia; [Wang, Yu] Shandong Res Inst Ind Technol, Zibo, Shandong, Peoples R China; [Nazam, Muhammad] Univ Management &amp; Technol, Dept Artificial Intelligence, Lahore 54770, Pakistan; [Mahmood, Tariq] Univ Management &amp; Technol, Sch Syst &amp; Technol, Dept Artificial Intelligence, Lahore 54000, Pakistan</t>
  </si>
  <si>
    <t>Prince Sultan University; University of Management &amp; Technology (UMT); University of Management &amp; Technology (UMT)</t>
  </si>
  <si>
    <t>Multimodal Deep Learning Radiomics Nomogram for Preoperative Breast Cancer Prediction Using Ultrasound Imaging and Clinical Data</t>
  </si>
  <si>
    <t>INTERNATIONAL JOURNAL OF COMPUTATIONAL INTELLIGENCE SYSTEMS</t>
  </si>
  <si>
    <t>Deep learning; Radiomics; Breast cancer; Multimodal nomograms</t>
  </si>
  <si>
    <t>Mahmood, Tariq/AAQ-6709-2020</t>
  </si>
  <si>
    <t>Khan, Muhammad I/0009-0000-4135-0208</t>
  </si>
  <si>
    <t>1875-6891</t>
  </si>
  <si>
    <t>1875-6883</t>
  </si>
  <si>
    <t>INT J COMPUT INT SYS</t>
  </si>
  <si>
    <t>Int. J. Comput. Intell. Syst.</t>
  </si>
  <si>
    <t>180</t>
  </si>
  <si>
    <t>10.1007/s44196-026-01193-3</t>
  </si>
  <si>
    <t>http://dx.doi.org/10.1007/s44196-026-01193-3</t>
  </si>
  <si>
    <t>Computer Science, Artificial Intelligence; Computer Science, Interdisciplinary Applications</t>
  </si>
  <si>
    <t>HX5KF</t>
  </si>
  <si>
    <t>WOS:001765052700002</t>
  </si>
  <si>
    <t>Yin, ZM; Shu, YJ; Shen, DC; Gao, HY; Zhang, YJ; Yang, ZY; Gong, W; Chen, T; Liu, YB</t>
  </si>
  <si>
    <t>ObjectiveGallbladder cancer (GBC) is a rare gastrointestinal malignancy with a global 5-year survival rate of less than 5%. Early diagnosis is challenging owing to the lack of specific clinical symptoms. Additionally, the high heterogeneity of gallbladder tumors limits the clinical utility of unimodal deep-learning methods for GBC diagnosis. This study aimed to develop a novel multimodal deep-learning model to facilitate the preoperative diagnosis of GBC in more patients.MethodsWe conducted a retrospective multicenter study using contrast-enhanced arterial phase computed tomography (CT) images and laboratory examination data from 300 patients (150 GBC cases and 150 non-GBC cases) extracted from electronic medical records of two Grade A tertiary hospitals in Shanghai between 2018 and 2020. A novel two-stage multimodal diagnostic model (GBC-DiagNet) was developed: the first stage achieved coarse segmentation of the gallbladder region using a position-constrained 3D Attention U-Net (improved by combined sampling) to avoid over-segmentation; the second stage realized GBC detection via an adaptive feature fusion strategy, which optimizes the weighted integration of handcrafted radiomic, deep radiomic and laboratory examination features to enhance diagnostic performance.ResultsOn the independent test set, the model achieved an accuracy of 0.933 (95% confidence interval [95% CI]: 0.927-0.94), specificity of 0.912 (95% CI: 0.904-0.922), sensitivity of 0.962 (95% CI: 0.937-0.986), precision of 0.893 (95% CI: 0.875-0.911), an F1-score of 0.926 (95% CI: 0.919-0.932) and AUC (area under the curve) of 0.9706 (95% CI: 0.961-0.981). Compared with the optimal unimodal model, our model improved accuracy, sensitivity, and F1-score by 14.28%, 16.76%, and 16.85%, respectively. Furthermore, compared to state-of-the-art deep-learning architectures (ResNet, DenseNet, MobileNet, ConvNeXt, ViT), our model exhibited absolute improvements of 7.68% in accuracy, 8.03% in F1-score, and 0.0059 in AUC.ConclusionThe proposed multimodal model integrating contrast-enhanced CT and laboratory data achieves stable and clinically meaningful diagnostic performance for gallbladder cancer, supporting its utility as an artificial intelligence-assisted tool for preoperative noninvasive diagnosis.</t>
  </si>
  <si>
    <t>Yin, Ziming; Shu, Yijun; Shen, Dacong; Gao, Hongyu; Zhang, Yijue; Yang, Ziyi; Gong, Wei; Chen, Tao; Liu, Yingbin</t>
  </si>
  <si>
    <t>Chen, T; Liu, YB (corresponding author), Shanghai Jiao Tong Univ, Renji Hosp, Sch Med, Dept Biliary &amp; Pancreat Surg, Shanghai 200127, Peoples R China.; Liu, YB (corresponding author), Shanghai Key Lab Syst Regulat &amp; Clin Translat Canc, Shanghai 200127, Peoples R China.; Liu, YB (corresponding author), Shanghai Canc Inst, State Key Lab Syst Med Canc, Shanghai 200127, Peoples R China.</t>
  </si>
  <si>
    <t>chentao@renji.com; laoniulyb@163.com</t>
  </si>
  <si>
    <t>National Natural Science Foundation of China [82173081]</t>
  </si>
  <si>
    <t>This study was supported by National Natural Science Foundation of China (No. 82173081).</t>
  </si>
  <si>
    <t>[Yin, Ziming; Shen, Dacong; Gao, Hongyu] Univ Shanghai Sci &amp; Technol, Sch Hlth Sci &amp; Engn, Shanghai 200093, Peoples R China; [Shu, Yijun; Yang, Ziyi; Gong, Wei] Shanghai Jiao Tong Univ, Xinhua Hosp, Sch Med, Dept Gen Surg, Shanghai 200092, Peoples R China; [Chen, Tao; Liu, Yingbin] Shanghai Jiao Tong Univ, Renji Hosp, Sch Med, Dept Biliary &amp; Pancreat Surg, Shanghai 200127, Peoples R China; [Liu, Yingbin] Shanghai Key Lab Syst Regulat &amp; Clin Translat Canc, Shanghai 200127, Peoples R China; [Liu, Yingbin] Shanghai Canc Inst, State Key Lab Syst Med Canc, Shanghai 200127, Peoples R China; [Zhang, Yijue] Shanghai Jiao Tong Univ, Renji Hosp, Sch Med, Dept Anesthesiol, Shanghai 200127, Peoples R China</t>
  </si>
  <si>
    <t>University of Shanghai for Science &amp; Technology; Shanghai Jiao Tong University; Shanghai Jiao Tong University; Shanghai Jiao Tong University; Shanghai Jiao Tong University</t>
  </si>
  <si>
    <t>Multimodal deep learning model integrating electronic medical records and CT images for gallbladder cancer diagnosis: a retrospective multicenter study in China</t>
  </si>
  <si>
    <t>BMC CANCER</t>
  </si>
  <si>
    <t>Gallbladder cancer; Adaptive weighting; Multimodality; Radiomics</t>
  </si>
  <si>
    <t>Zhang, yijue/AED-7989-2022</t>
  </si>
  <si>
    <t>1471-2407</t>
  </si>
  <si>
    <t>BMC Cancer</t>
  </si>
  <si>
    <t>MAY 11 2026</t>
  </si>
  <si>
    <t>807</t>
  </si>
  <si>
    <t>10.1186/s12885-026-16116-w</t>
  </si>
  <si>
    <t>http://dx.doi.org/10.1186/s12885-026-16116-w</t>
  </si>
  <si>
    <t>KN2ES</t>
  </si>
  <si>
    <t>42108444</t>
  </si>
  <si>
    <t>WOS:001810951600001</t>
  </si>
  <si>
    <t>Rahman, MM; El Masry, M; Gordillo, G; Wachs, JP</t>
  </si>
  <si>
    <t>Introduction This work presents an AI reasoning framework for burn depth diagnosis that emphasizes transparency and interpretability. The system addresses a critical need in burn care for consistent, explainable assessments, particularly in remote and resource-limited environments where access to burn specialists is limited.Materials and Methods The proposed framework employs a multimodal structural reasoning mechanism that integrates digital photographs with ultrasound imaging, including B-mode and Tissue Doppler Imaging (TDI). These complementary modalities capture both surface features and subsurface tissue dynamics. A chain-of-thought reasoning process links visual and acoustic cues to clinically meaningful indicators of burn severity, providing step-by-step explanations that mirror human diagnostic logic.Results The multimodal reasoning framework demonstrates high diagnostic accuracy in classifying burn depth across three clinically relevant categories. The structured reasoning output provides interpretable explanations for each diagnostic decision, enabling medics to validate the model's conclusions. Experimental findings show that the system demonstrates strong performance relative to retrospective human evaluation.Conclusions This multimodal AI reasoning framework offers a practical, deployable solution for modern burn assessment. Its transparent, step-wise reasoning enhances clinical trust, improves decision confidence, and supports care delivery in settings lacking expert supervision. The approach establishes a foundation for explainable, high-performance AI in both military and civilian burn care.</t>
  </si>
  <si>
    <t>Rahman, Md Masudur; El Masry, Mohamed; Gordillo, Gayle; Wachs, Juan P.</t>
  </si>
  <si>
    <t>Wachs, JP (corresponding author), Purdue Univ, Sch Ind Engn, W Lafayette, IN 47907 USA.</t>
  </si>
  <si>
    <t>jpwachs@purdue.edu</t>
  </si>
  <si>
    <t>Office of the Assistant Secretary of Defense for Health Affairs [W81XWH-21-2-0030]; NIH [5R21LM013711-02]</t>
  </si>
  <si>
    <t>Office of the Assistant Secretary of Defense for Health Affairs; NIH (United States Department of Health &amp; Human Services, National Institutes of Health (NIH) - USA, Office of the Administrator (NIH))</t>
  </si>
  <si>
    <t>This work was supported by the Office of the Assistant Secretary of Defense for Health Affairs under Award No. W81XWH-21-2-0030 and by NIH under Grant No. 5R21LM013711-02.</t>
  </si>
  <si>
    <t>[Rahman, Md Masudur; Wachs, Juan P.] Purdue Univ, Sch Ind Engn, W Lafayette, IN 47907 USA; [El Masry, Mohamed; Gordillo, Gayle] McGowan Inst Regenerat Med MIRM, Pittsburgh, PA 15219 USA; [El Masry, Mohamed] Univ Pittsburgh, Sch Med, Dept Surg, Pittsburgh, PA 15213 USA; [Gordillo, Gayle] Univ Pittsburgh, Dept Plast Surg, Sch Med, Pittsburgh, PA 15261 USA</t>
  </si>
  <si>
    <t>Purdue University System; Purdue University; Pennsylvania Commonwealth System of Higher Education (PCSHE); University of Pittsburgh; Pennsylvania Commonwealth System of Higher Education (PCSHE); University of Pittsburgh</t>
  </si>
  <si>
    <t>A Multimodal Artificial Intelligence Reasoning Framework for Burn Diagnosis</t>
  </si>
  <si>
    <t>MILITARY MEDICINE</t>
  </si>
  <si>
    <t>0026-4075</t>
  </si>
  <si>
    <t>1930-613X</t>
  </si>
  <si>
    <t>MIL MED</t>
  </si>
  <si>
    <t>Milit. Med.</t>
  </si>
  <si>
    <t>JUL-AUG 2026</t>
  </si>
  <si>
    <t>191</t>
  </si>
  <si>
    <t>_1</t>
  </si>
  <si>
    <t>598</t>
  </si>
  <si>
    <t>604</t>
  </si>
  <si>
    <t>10.1093/milmed/usag192</t>
  </si>
  <si>
    <t>http://dx.doi.org/10.1093/milmed/usag192</t>
  </si>
  <si>
    <t>MH4TQ</t>
  </si>
  <si>
    <t>42560275</t>
  </si>
  <si>
    <t>WOS:001842345300021</t>
  </si>
  <si>
    <t>Chiu, PC; Lee, CY; Hsu, HC; Tai, YJ; Chiang, YC; Lu, TP</t>
  </si>
  <si>
    <t>Background: Ovarian cancer represents the primary cause of mortality from gynecological malignancies among women. Treatment strategies for benign versus malignant ovarian tumors differ significantly, making accurate preoperative diagnosis essential for clinical decision-making. Traditional ultrasound diagnosis is highly operator-dependent, introducing subjectivity and variability. To improve diagnostic precision in ovarian tumor classification, we developed a multimodal deep learning system that combines ultrasound images with corresponding clinical text reports. Methods: We retrospectively analyzed 1342 ultrasound images from 1062 patients who received surgical treatment for ovarian tumors at National Taiwan University Hospital from 2011 to 2021. Patients were classified into benign (n = 612) and malignant (including borderline, n = 450) groups based on pathology. A multimodal deep learning architecture was developed, incorporating DenseNet-121 and Swin Transformer for image feature extraction and Bio-Clinical BERT for processing clinical text reports. The dataset was split using subject-level stratification with five-fold cross-validation and a 15% independent test set. Furthermore, an external validation cohort of 268 effective cases from 3 independent medical centers was utilized to evaluate the model's generalizability. Results: The multimodal model achieved superior performance at the subject level with 81.77% (95% CI: 75.89%, 86.48%) accuracy, 79.59% (95% CI: 70.57%, 86.38%) sensitivity, 83.81% (95% CI: 75.59%, 89.64%) specificity, and an area under the curve (AUC) of 0.88 (95% CI: 0.83, 0.93). In the external validation, the model maintained robust performance with an accuracy of 88.81%, sensitivity of 92.59%, and specificity of 84.96%, outperforming the International Ovarian Tumor Analysis Simple Rules (accuracy 86.4%). Integration of clinical text information significantly improved diagnostic performance compared to image-only models. Backward selection analysis revealed that both uterine findings and ovarian tumor descriptions contributed synergistically to the final diagnosis. Conclusions: This study successfully developed a multimodal deep learning model with diagnostic performance superior to traditional operator-dependent approaches. The model shows promise as a diagnostic tool for ovarian tumor classification, offering clinicians a way to improve preoperative diagnostic accuracy and enhance patient care quality.</t>
  </si>
  <si>
    <t>Chiu, Po-Chun; Lee, Chia-Yi; Hsu, Heng-Cheng; Tai, Yi-Jou; Chiang, Ying-Cheng; Lu, Tzu-Pin</t>
  </si>
  <si>
    <t>Lu, TP (corresponding author), Natl Taiwan Univ, Inst Hlth Data Analyt &amp; Stat, Coll Publ Hlth, 17 Xu Zhou Rd, Taipei City 100025, Taiwan.; Chiang, YC (corresponding author), Natl Taiwan Univ, Coll Med, Dept Obstet &amp; Gynecol, Taipei 100233, Taiwan.</t>
  </si>
  <si>
    <t>tplu@ntu.edu.tw; ycchiang@ntuh.gov.tw</t>
  </si>
  <si>
    <t>National Science Technology Council, Taiwan [NSTC-114-2314-B-002-067-MY3]; Population Health Research Center from Featured Areas Research Center Program; Ministry of Science and Technology, Taiwan [MOST-109-2314-B-002-151-MY3]; Development Center for Medical Devices; National Taiwan University [115KKZA3T,1]; Higher Education Sprout Project by the Ministry of Education in Taiwan [NTU-114 L9004]</t>
  </si>
  <si>
    <t>National Science Technology Council, Taiwan; Population Health Research Center from Featured Areas Research Center Program; Ministry of Science and Technology, Taiwan (National Science &amp; Technology Council (NSTC) Taiwan); Development Center for Medical Devices; National Taiwan University (National Taiwan University); Higher Education Sprout Project by the Ministry of Education in Taiwan</t>
  </si>
  <si>
    <t>This study was supported by grants from the Ministry of Science and Technology, Taiwan (MOST-109-2314-B-002-151-MY3); National Science Technology Council, Taiwan (NSTC-114-2314-B-002-067-MY3); Population Health Research Center from Featured Areas Research Center Program within the framework of the Higher Education Sprout Project by the Ministry of Education in Taiwan (NTU-114 L9004); the Development Center for Medical Devices, National Taiwan University (115KKZA3T,1); and National Taiwan University (GTZ300). The funders had no role in the study design, data collection and analysis, the decision to publish, or preparation of the manuscript.</t>
  </si>
  <si>
    <t>[Chiu, Po-Chun; Lu, Tzu-Pin] Natl Taiwan Univ, Inst Hlth Data Analyt &amp; Stat, Coll Publ Hlth, 17 Xu Zhou Rd, Taipei City 100025, Taiwan; [Lee, Chia-Yi; Chiang, Ying-Cheng] Natl Taiwan Univ Hosp, Dept Obstet &amp; Gynecol, Hsin Chu Branch, 2,Sec 1,Shengyi Rd, Zhubei City 302058, Taiwan; [Hsu, Heng-Cheng; Tai, Yi-Jou; Chiang, Ying-Cheng] Natl Taiwan Univ, Coll Med, Dept Obstet &amp; Gynecol, 7 Chung Shan S Rd, Taipei City 100225, Taiwan; [Hsu, Heng-Cheng; Tai, Yi-Jou; Chiang, Ying-Cheng] Natl Taiwan Univ Hosp, Dept Obstet &amp; Gynecol, 7 Chung Shan S Rd, Taipei City 100225, Taiwan; [Lu, Tzu-Pin] Natl Taiwan Univ, Coll Publ Hlth, Dept Publ Hlth, 17 Xu Zhou Rd, Taipei City 100025, Taiwan; [Lu, Tzu-Pin] Natl Hlth Res Inst, Natl Inst Environm Hlth Sci, 35 Keyan Rd, Miaoli Cty 350401, Taiwan</t>
  </si>
  <si>
    <t>National Taiwan University; National Taiwan University; National Taiwan University Hospital; National Taiwan University; National Taiwan University; National Taiwan University Hospital; National Taiwan University; National Health Research Institutes - Taiwan</t>
  </si>
  <si>
    <t>Development of a novel multimodal deep learning approach to improve diagnostic precision in ovarian cancer</t>
  </si>
  <si>
    <t>BRIEFINGS IN BIOINFORMATICS</t>
  </si>
  <si>
    <t>ovarian tumors; multimodal deep learning; ultrasound imaging; artificial intelligence diagnosis</t>
  </si>
  <si>
    <t>Lu, Tzupin/ABC-2195-2021; Chiang, Ying-Cheng/T-3329-2019; Tai, Yi-Jou/AAB-8363-2019</t>
  </si>
  <si>
    <t>1467-5463</t>
  </si>
  <si>
    <t>1477-4054</t>
  </si>
  <si>
    <t>BRIEF BIOINFORM</t>
  </si>
  <si>
    <t>Brief. Bioinform.</t>
  </si>
  <si>
    <t>bbag224</t>
  </si>
  <si>
    <t>10.1093/bib/bbag224</t>
  </si>
  <si>
    <t>http://dx.doi.org/10.1093/bib/bbag224</t>
  </si>
  <si>
    <t>Biochemical Research Methods; Mathematical &amp; Computational Biology</t>
  </si>
  <si>
    <t>Biochemistry &amp; Molecular Biology; Mathematical &amp; Computational Biology</t>
  </si>
  <si>
    <t>HM2GA</t>
  </si>
  <si>
    <t>42089749</t>
  </si>
  <si>
    <t>WOS:001757376200001</t>
  </si>
  <si>
    <t>Ahmed, AN; Mohammed, AS; Potrus, MY</t>
  </si>
  <si>
    <t>Parkinson's disease (PD) is a progressive neurodegenerative disorder that profoundly affects patients' quality of life. Early and accurate diagnosis is essential for timely intervention and improved outcomes, yet traditional clinical evaluations often fall short. This review examines recent advancements in machine learning (ML) and deep learning (DL) techniques that promise more objective, quantitative, and precise PD diagnosis. By leveraging diverse data sources-including electroencephalogram (EEG) signals, voice recordings, and Magnetic Resonance Imaging (MRI) scans-these techniques offer a comprehensive approach to understanding and diagnosing PD. The review evaluates the effectiveness of specific ML and DL techniques applied to each data source and addresses existing challenges, such as the need for larger and more diverse datasets, model interpretability for clinical adoption, and generalizability across different healthcare settings. Additionally, it discusses promising future directions, including the potential of explainable AI models and multimodal data analysis, to further enhance PD diagnosis.</t>
  </si>
  <si>
    <t>Ahmed, Ahmed Najat; Mohammed, Amin Salih; Yousif Potrus, Moayad</t>
  </si>
  <si>
    <t>Ahmed, AN (corresponding author), Salahaddin Univ Erbil, Coll Engn, Dept Software &amp; Informat Engn, Erbil 44001, Kurdistan, Iraq.</t>
  </si>
  <si>
    <t>a.afandy@outlook.com</t>
  </si>
  <si>
    <t>[Ahmed, Ahmed Najat; Mohammed, Amin Salih; Yousif Potrus, Moayad] Salahaddin Univ Erbil, Coll Engn, Dept Software &amp; Informat Engn, Erbil 44001, Kurdistan, Iraq; Lebanese French Univ, Coll Engn &amp; Comp Sci, Dept Comp Engn, Erbil, Kurdistan Reg, Iraq</t>
  </si>
  <si>
    <t>Salahaddin University</t>
  </si>
  <si>
    <t>Multimodal Machine Learning and Deep Learning Approaches for Parkinson's Disease Diagnosis: A Comprehensive Survey</t>
  </si>
  <si>
    <t>CLINICAL EEG AND NEUROSCIENCE</t>
  </si>
  <si>
    <t>Parkinson's disease diagnosis; multimodal machine learning; deep learning; machine learning; classification</t>
  </si>
  <si>
    <t>CLASSIFICATION; FRAMEWORK</t>
  </si>
  <si>
    <t>/AAD-9537-2021</t>
  </si>
  <si>
    <t>SAGE PUBLICATIONS INC</t>
  </si>
  <si>
    <t>THOUSAND OAKS</t>
  </si>
  <si>
    <t>2455 TELLER RD, THOUSAND OAKS, CA 91320 USA</t>
  </si>
  <si>
    <t>1550-0594</t>
  </si>
  <si>
    <t>2169-5202</t>
  </si>
  <si>
    <t>CLIN EEG NEUROSCI</t>
  </si>
  <si>
    <t>Clin. EEG Neurosci.</t>
  </si>
  <si>
    <t>10.1177/15500594251366800</t>
  </si>
  <si>
    <t>http://dx.doi.org/10.1177/15500594251366800</t>
  </si>
  <si>
    <t>Clinical Neurology; Neurosciences; Neuroimaging; Psychiatry; Psychology</t>
  </si>
  <si>
    <t>Neurosciences &amp; Neurology; Psychiatry; Psychology</t>
  </si>
  <si>
    <t>ED2UP</t>
  </si>
  <si>
    <t>41729683</t>
  </si>
  <si>
    <t>WOS:001698340000001</t>
  </si>
  <si>
    <t>Gu, TY; Yan, ZZ; Jiang, JH</t>
  </si>
  <si>
    <t>Objective To develop a multimodal deep-learning model for classifying Chinese medicine constitution, i.e., the balanced and unbalanced constitutions, based on inspection of tongue and face images, pulse waves from palpation, and health information from a total of 540 subjects. Methods This study data consisted of tongue and face images, pulse waves obtained by palpation, and health information, including personal information, life habits, medical history, and current symptoms, from 540 subjects (202 males and 338 females). Convolutional neural networks, recurrent neural networks, and fully connected neural networks were used to extract deep features from the data. Feature fusion and decision fusion models were constructed for the multimodal data. Results The optimal models for tongue and face images, pulse waves and health information were ResNet18, Gate Recurrent Unit, and entity embedding, respectively. Feature fusion was superior to decision fusion. The multimodal analysis revealed that multimodal data compensated for the loss of information from a single mode, resulting in improved classification performance. Conclusions Multimodal data fusion can supplement single model information and improve classification performance. Our research underscores the effectiveness of multimodal deep learning technology to identify body constitution for modernizing and improving the intelligent application of Chinese medicine.</t>
  </si>
  <si>
    <t>Gu Tian-yu; Yan Zhuang-zhi; Jiang Jie-hui</t>
  </si>
  <si>
    <t>Yan, ZZ (corresponding author), Shanghai Univ, Sch Life Sci, Shanghai 200444, Peoples R China.</t>
  </si>
  <si>
    <t>zzyan@shu.edu.cn</t>
  </si>
  <si>
    <t>[Gu Tian-yu] Shanghai Univ, Sch Commun &amp; Informat Engn, Shanghai 200444, Peoples R China; [Yan Zhuang-zhi; Jiang Jie-hui] Shanghai Univ, Sch Life Sci, Shanghai 200444, Peoples R China</t>
  </si>
  <si>
    <t>Shanghai University; Shanghai University</t>
  </si>
  <si>
    <t>Classifying Chinese Medicine Constitution Using Multimodal Deep-Learning Model</t>
  </si>
  <si>
    <t>CHINESE JOURNAL OF INTEGRATIVE MEDICINE</t>
  </si>
  <si>
    <t>Chinese medicine constitution classification; multimodal deep learning; tongue image; face image; pulse wave; health information</t>
  </si>
  <si>
    <t>TONGUE</t>
  </si>
  <si>
    <t>Jiang, Jiehui/ABA-5060-2020; /B-6765-2008</t>
  </si>
  <si>
    <t>79</t>
  </si>
  <si>
    <t>1672-0415</t>
  </si>
  <si>
    <t>1993-0402</t>
  </si>
  <si>
    <t>CHIN J INTEGR MED</t>
  </si>
  <si>
    <t>Chin. J. Integr. Med.</t>
  </si>
  <si>
    <t>163</t>
  </si>
  <si>
    <t>170</t>
  </si>
  <si>
    <t>10.1007/s11655-022-3541-8</t>
  </si>
  <si>
    <t>http://dx.doi.org/10.1007/s11655-022-3541-8</t>
  </si>
  <si>
    <t>NOV 2022</t>
  </si>
  <si>
    <t>Integrative &amp; Complementary Medicine</t>
  </si>
  <si>
    <t>GP4O2</t>
  </si>
  <si>
    <t>36374441</t>
  </si>
  <si>
    <t>WOS:000883206300002</t>
  </si>
  <si>
    <t>Jin, YY; Ding, JD; Ouyang, JS; Yao, ZY; Wang, LP; Xu, RS; Jin, XW</t>
  </si>
  <si>
    <t>Introduction Differentiating Mycobacterium tuberculosis lung disease (MTB-LD) from nontuberculous mycobacterial lung disease (NTM-LD) remains clinically challenging because of overlapping symptoms and imaging features, as well as the slow turnaround of conventional culture-based diagnostics.Methods This retrospective study enrolled 102 patients with microbiologically confirmed mycobacterial lung disease, including 53 patients with MTB-LD and 49 patients with NTM-LD. We developed and validated an interpretable multimodal machine-learning framework integrating clinical symptoms, hematological biomarkers, and high-resolution computed tomography (HRCT) features. Three representative classifiers, including k-nearest neighbors, logistic regression, and random forest, were used to evaluate the discriminative contribution of different feature modalities.Results Multimodal integration of HRCT, clinical, and laboratory features showed better discriminative performance than single-modality approaches. Among the three representative classifiers, the random forest model achieved the best hold-out test performance, with an AUC of 0.92, sensitivity of 0.89, specificity of 0.93, and F1-score of 0.90. Key predictive contributors included cystic bronchiectasis, tree-in-bud sign, fever, and selected laboratory biomarkers.Discussion These findings suggest that routinely available multimodal clinical data may provide preliminary decision support for MTB-LD/NTM-LD differentiation. However, the proposed framework should be regarded as an exploratory decision-support tool, and external validation is required before clinical implementation.</t>
  </si>
  <si>
    <t>Jin, Yangyi; Ding, Jindun; Ouyang, Jinsheng; Yao, Zhiye; Wang, Liping; Xu, Ruisong; Jin, Xuewen</t>
  </si>
  <si>
    <t>Jin, XW (corresponding author), Peoples Hosp Yuhuan, Dept Resp &amp; Crit Care Med, Yuhuan, Peoples R China.; Wang, LP; Xu, RS (corresponding author), Univ Chinese Acad Sci, Wenzhou Inst, Wenzhou, Peoples R China.</t>
  </si>
  <si>
    <t>lpwang-wiucas@ucas.ac.cn; ruisong_xu@126.com; jxw045@163.com</t>
  </si>
  <si>
    <t>Zhejiang Provincial Taizhou Municipal Science and Technology Program Project [23ywb152]</t>
  </si>
  <si>
    <t>Zhejiang Provincial Taizhou Municipal Science and Technology Program Project</t>
  </si>
  <si>
    <t>The author(s) declared that financial support was received for this work and/or its publication. This work is supported by Zhejiang Provincial Taizhou Municipal Science and Technology Program Project, Grant No. 23ywb152.</t>
  </si>
  <si>
    <t>[Jin, Yangyi] Zhejiang Canc Hosp, Dept Gen Internal Med, Hangzhou, Zhejiang, Peoples R China; [Ding, Jindun; Jin, Xuewen] Peoples Hosp Yuhuan, Dept Resp &amp; Crit Care Med, Yuhuan, Peoples R China; [Ouyang, Jinsheng] Wenzhou Med Univ, Affiliated Hosp 1, Dept Resp &amp; Crit Care Med, Wenzhou, Peoples R China; [Yao, Zhiye; Wang, Liping; Xu, Ruisong] Univ Chinese Acad Sci, Wenzhou Inst, Wenzhou, Peoples R China; [Yao, Zhiye] Univ Shanghai Sci &amp; Technol, Terahertz Technol Innovat Res Inst, Terahertz Spectrum &amp; Imaging Cooperat Innovat Ctr, Shanghai Key Lab Modern Opt Syst, Shanghai, Peoples R China</t>
  </si>
  <si>
    <t>Wenzhou Medical University; Chinese Academy of Sciences; University of Chinese Academy of Sciences, CAS; University of Shanghai for Science &amp; Technology</t>
  </si>
  <si>
    <t>Precise discrimination of mycobacterial pulmonary diseases via multimodal machine learning integrating chest CT and clinical markers</t>
  </si>
  <si>
    <t>machine learning; multimodal data integration; nontuberculous mycobacterial lung disease; pulmonary tuberculosis; rapid diagnostic differentiation</t>
  </si>
  <si>
    <t>LUNG-DISEASE; TUBERCULOSIS</t>
  </si>
  <si>
    <t>JUL 9 2026</t>
  </si>
  <si>
    <t>1858126</t>
  </si>
  <si>
    <t>10.3389/fmed.2026.1858126</t>
  </si>
  <si>
    <t>http://dx.doi.org/10.3389/fmed.2026.1858126</t>
  </si>
  <si>
    <t>MC9EH</t>
  </si>
  <si>
    <t>WOS:001839250300001</t>
  </si>
  <si>
    <t>Kim, H; Lee, G; Chung, W</t>
  </si>
  <si>
    <t>Enhancing the predictive accuracy of polygenic risk scores (PRS) can be achieved by incorporating imaging data, which captures disease-related phenotypic variations. This study aimed to evaluate the predictive performance of PRS, image-derived deep learning scores (IDS), imaging-derived phenotypes (IDPs), and clinical covariates. Additionally, IDP-proxy genetic scores (IGSs) were developed as substitutes for IDPs in cases where imaging data are unavailable. The study assessed the predictive performance of these variables for glaucoma using the XGBoost model. IDS was generated using a deep learning model trained on optical coherence tomography (OCT) images obtained from the UK Biobank. The dataset included 55,469 samples with OCT imaging data and 402,847 samples without OCT images. To accommodate cases without imaging data, IGSs were introduced as replacements for IDPs. The AUC was used to compare the performance of individual predictors and multimodal models. Among single predictors, IDS demonstrated the highest predictive performance, achieving an AUC of 0.7742, indicating its effectiveness in capturing glaucoma-related structural changes. IDPs and PRS showed lower AUCs of 0.7106 and 0.6150, respectively. The multimodal model integrating PRS, IDS, IDPs, and clinical covariates achieved the highest predictive accuracy with an AUC of 0.7921. When imaging data were unavailable, IGSs alone had a relatively low AUC (0.5467), but performance improved to 0.7397 when combined with PRS and clinical covariates, demonstrating their viability as substitutes for IDPs. This study highlights the effectiveness of deep learning-based image features in glaucoma risk prediction and demonstrates that integrating genetic, imaging, and clinical data enhances predictive accuracy. Additionally, IGSs provide a viable alternative to IDPs when imaging data are unavailable, ensuring reliable glaucoma risk assessment in resource-limited settings.</t>
  </si>
  <si>
    <t>Kim, Hyeongmu; Lee, Geon; Chung, Wonil</t>
  </si>
  <si>
    <t>Chung, W (corresponding author), Soongsil Univ, Dept Stat &amp; Actuarial Sci, Seoul 06978, South Korea.; Chung, W (corresponding author), Harvard TH Chan Sch Publ Hlth, Program Genet Epidemiol &amp; Stat Genet, Boston, MA 02115 USA.</t>
  </si>
  <si>
    <t>wchung@ssu.ac.kr</t>
  </si>
  <si>
    <t>Soongsil University</t>
  </si>
  <si>
    <t>This work was supported by the Soongsil University Research Fund (New Professor Support Research) of 2020.</t>
  </si>
  <si>
    <t>[Kim, Hyeongmu; Lee, Geon; Chung, Wonil] Soongsil Univ, Dept Stat &amp; Actuarial Sci, Seoul 06978, South Korea; [Chung, Wonil] Harvard TH Chan Sch Publ Hlth, Program Genet Epidemiol &amp; Stat Genet, Boston, MA 02115 USA</t>
  </si>
  <si>
    <t>Soongsil University; Harvard University; Harvard T.H. Chan School of Public Health</t>
  </si>
  <si>
    <t>Multimodal deep learning approaches for improving polygenic risk scores with imaging data</t>
  </si>
  <si>
    <t>Polygenic risk score (PRS); Image-derived deep learning scores; Imaging-derived phenotypes; Deep learning; Multimodal approach; Glaucoma Prediction</t>
  </si>
  <si>
    <t>DISEASE; ASSOCIATION; PREDICTION</t>
  </si>
  <si>
    <t>Chung, Wonil/MXK-7601-2025</t>
  </si>
  <si>
    <t>4012</t>
  </si>
  <si>
    <t>10.1038/s41598-025-34153-6</t>
  </si>
  <si>
    <t>http://dx.doi.org/10.1038/s41598-025-34153-6</t>
  </si>
  <si>
    <t>CU3PE</t>
  </si>
  <si>
    <t>41491351</t>
  </si>
  <si>
    <t>WOS:001674635700001</t>
  </si>
  <si>
    <t>Orhan, D; Ucan, M; Alhajj, R; Kaya, M</t>
  </si>
  <si>
    <t>Background/Objectives: Early and accurate diagnosis of chest diseases is a critical challenge in clinical practice, particularly in scenarios where multiple pathologies may coexist. While deep learning-based medical image analysis has shown promising results, most existing studies rely on unimodal data and fixed-scale datasets, limiting their generalizability and clinical relevance. In this study, we present a comprehensive comparative analysis of unimodal and multimodal deep learning models for multi-label chest disease classification using chest X-ray images and associated clinical metadata. Methods: A total of twelve models were developed based on three widely used convolutional neural network architectures-ResNet50, EfficientNetB3, and DenseNet121-under both unimodal (image-only) and multimodal (image + clinical data) configurations. To systematically investigate the impact of data scale, experiments were conducted on two distinct versions: the Random Sample of NIH Chest X-ray Dataset and the NIH Chest X-ray Dataset, containing 5606 and 121,120 samples, respectively. Model performance was evaluated using label-based Area Under the Receiver Operating Characteristic Curve (AUROC) metrics. Results: Experimental results demonstrate that multimodal fusion consistently outperforms unimodal approaches across all architectures and data scales, with more pronounced improvements observed in large-scale settings. Furthermore, increasing data volume leads to improved generalization and reduced performance variance, particularly for rare pathologies. Conclusions: These findings highlight the effectiveness of multimodal, multi-label learning in enhancing diagnostic accuracy and support the development of robust clinical decision support systems for chest disease assessment.</t>
  </si>
  <si>
    <t>Orhan, Digdem; Ucan, Murat; Alhajj, Reda; Kaya, Mehmet</t>
  </si>
  <si>
    <t>Kaya, M (corresponding author), Firat Univ, Dept Comp Engn, TR-23119 Elazig, Turkiye.; Alhajj, R (corresponding author), Univ Calgary, Dept Comp Sci, Calgary, AB T2N 1N4, Canada.; Alhajj, R (corresponding author), Istanbul Medipol Univ, Dept Comp Engn, TR-34810 Istanbul, Turkiye.; Alhajj, R (corresponding author), Univ Southern Denmark, Dept Hlth Informat, DK-5230 Odense, Denmark.</t>
  </si>
  <si>
    <t>murat.ucan@dicle.edu.tr; kaya@firat.edu.tr; dorhan23@gmail.com; alhajj@cpsc.ucalgary.ca</t>
  </si>
  <si>
    <t>Scientific and Technological Research Council of Turkey (TUBITAK) [125E165]; Firat University Scientific Research Projects Unit (FUBAP) [MF.25.79]</t>
  </si>
  <si>
    <t>Scientific and Technological Research Council of Turkey (TUBITAK) (Turkiye Bilimsel ve Teknolojik Arastirma Kurumu (TUBITAK)); Firat University Scientific Research Projects Unit (FUBAP) (Firat University)</t>
  </si>
  <si>
    <t>This research was supported in part by the Scientific and Technological Research Council of Turkey (TUBITAK) under Grant No 125E165 and in part by the Firat University Scientific Research Projects Unit (FUBAP) under Grant No: MF.25.79.</t>
  </si>
  <si>
    <t>[Orhan, Digdem; Kaya, Mehmet] Firat Univ, Dept Comp Engn, TR-23119 Elazig, Turkiye; [Ucan, Murat] Dicle Univ, Dept Comp Technol, TR-21200 Diyarbakir, Turkiye; [Alhajj, Reda] Univ Calgary, Dept Comp Sci, Calgary, AB T2N 1N4, Canada; [Alhajj, Reda] Istanbul Medipol Univ, Dept Comp Engn, TR-34810 Istanbul, Turkiye; [Alhajj, Reda] Univ Southern Denmark, Dept Hlth Informat, DK-5230 Odense, Denmark</t>
  </si>
  <si>
    <t>Firat University; Dicle University; University of Calgary; Istanbul Medipol University; University of Southern Denmark</t>
  </si>
  <si>
    <t>Scalable Unimodal and Multimodal Deep Learning for Multi-Label Chest Disease Detection: A Comparative Analysis</t>
  </si>
  <si>
    <t>deep learning; chest diseases; multimodal fusion; multi-label classification</t>
  </si>
  <si>
    <t>Kaya, Mehmet/D-4459-2013; Ucan, Murat/AAS-9270-2020; Orhan, Digdem/LZI-2642-2025</t>
  </si>
  <si>
    <t>734</t>
  </si>
  <si>
    <t>10.3390/diagnostics16050734</t>
  </si>
  <si>
    <t>http://dx.doi.org/10.3390/diagnostics16050734</t>
  </si>
  <si>
    <t>FA1ZE</t>
  </si>
  <si>
    <t>41828010</t>
  </si>
  <si>
    <t>WOS:001713909700001</t>
  </si>
  <si>
    <t>Abbas, A; Tsai, HC; Hsu, YL; Kenneth, MJ; Hussain, B; Lai, LM; Hsu, BM</t>
  </si>
  <si>
    <t>Neuroimaging plays a critical role in the diagnosis of Alzheimer's disease (AD), with Magnetic Resonance Imaging (MRI) and Positron Emission Tomography (PET) providing detailed structural and functional information for deep learning (DL) based classification. However, their high cost and limited availability restrict widespread clinical use. Computed Tomography (CT), while affordable and widely accessible, is diagnostically insufficient for detecting subtle neurodegenerative changes associated with early AD. To address this limitation, this study proposes a multimodal DL framework that enhances CT-based AD diagnosis by leveraging complementary feature representations learned from MRI. A custom convolutional neural network (CNN) was trained and evaluated using paired CT and MRI data from the Open Access Series of Imaging Studies (OASIS-3). A total of 772 participants with available MRI and CT scans were selected based on Clinical Dementia Rating (CDR) scores and corresponding clinical diagnoses. Participants were categorized as Normal Control (NC) (CDR = 0, n = 300), mild cognitive impairment (MCI) (CDR = 0.5, n = 250), or AD (CDR &gt;= 1, n = 222). The overall sex distribution comprised 352 males and 420 females. The CT-only model achieved an accuracy of 84%, with 92% sensitivity and 83% specificity for AD classification. The proposed multimodal model demonstrated superior performance, achieving 92% accuracy, 95% sensitivity, and 91% specificity. Importantly, during CT-only inference, the multimodal framework retained high diagnostic accuracy in identifying disease status, indicating effective transfer of MRI-derived features to CT. These results demonstrate a scalable solution for improving AD detection using CT imaging in resource-limited healthcare.</t>
  </si>
  <si>
    <t>Abbas, Arslan; Tsai, Hsin-Chi; Hsu, Yu-Ling; Kenneth, Mutebi John; Hussain, Bashir; Lai, Lillian M.; Hsu, Bing-Mu</t>
  </si>
  <si>
    <t>Hsu, BM (corresponding author), Natl Chung Cheng Univ, Dept Earth &amp; Environm Sci, Chiayi Cty, Taiwan.</t>
  </si>
  <si>
    <t>bmhsu@ccu.edu.tw</t>
  </si>
  <si>
    <t>Hualien Tzu-Chi General Hospital [TCRD114-071]; Ditmanson Medical Foundation Chiayi Christian Hospital-National Chung Cheng University [CYCH-CCU-2024-07]</t>
  </si>
  <si>
    <t>Hualien Tzu-Chi General Hospital; Ditmanson Medical Foundation Chiayi Christian Hospital-National Chung Cheng University</t>
  </si>
  <si>
    <t>This research was supported by Hualien Tzu-Chi General Hospital (TCRD114-071) and Ditmanson Medical Foundation Chiayi Christian Hospital-National Chung Cheng University Joint Research Program CYCH-CCU-2024-07 (IRB Approval Number: IRB2024131) .</t>
  </si>
  <si>
    <t>[Abbas, Arslan; Kenneth, Mutebi John; Hussain, Bashir; Hsu, Bing-Mu] Natl Chung Cheng Univ, Dept Earth &amp; Environm Sci, Chiayi Cty, Taiwan; [Abbas, Arslan; Kenneth, Mutebi John] Natl Chung Cheng Univ, Doctoral Program Sci Technol Environm &amp; Math, Chiayi Cty, Taiwan; [Tsai, Hsin-Chi] Tzu Chi Univ, Sch Med, Dept Psychiat, Hualien 970, Taiwan; [Tsai, Hsin-Chi] Tzu Chi Gen Hosp, Dept Psychiat, Hualien 970, Taiwan; [Hsu, Yu-Ling] Yi Christian Hosp, Ditmanson Med Fdn Chia, Dept Nucl Med, Chiayi, Taiwan; [Hsu, Yu-Ling] Chung Yuan Christian Univ, Dept Biomed Engn, Tao Yuan, Taiwan; [Lai, Lillian M.] Univ Iowa Healthcare, Dept Radiol, Iowa City, IA USA</t>
  </si>
  <si>
    <t>National Chung Cheng University; National Chung Cheng University; Tzu Chi University; Buddhist Tzu Chi General Hospital; Hualien Tzu Chi Hospital; Chung Yuan Christian University; University of Iowa</t>
  </si>
  <si>
    <t>Multimodal deep learning neuroimaging approach to enhance CT-based diagnosis of Alzheimer's disease</t>
  </si>
  <si>
    <t>PSYCHIATRY RESEARCH-NEUROIMAGING</t>
  </si>
  <si>
    <t>Alzheimer's disease; Deep learning; Neuroimages; Multimodal; CT inference</t>
  </si>
  <si>
    <t>0925-4927</t>
  </si>
  <si>
    <t>1872-7506</t>
  </si>
  <si>
    <t>PSYCHIAT RES-NEUROIM</t>
  </si>
  <si>
    <t>Psychiatry Res. Neuroimaging</t>
  </si>
  <si>
    <t>361</t>
  </si>
  <si>
    <t>112234</t>
  </si>
  <si>
    <t>10.1016/j.pscychresns.2026.112234</t>
  </si>
  <si>
    <t>http://dx.doi.org/10.1016/j.pscychresns.2026.112234</t>
  </si>
  <si>
    <t>Clinical Neurology; Neuroimaging; Psychiatry</t>
  </si>
  <si>
    <t>Neurosciences &amp; Neurology; Psychiatry</t>
  </si>
  <si>
    <t>HT7MP</t>
  </si>
  <si>
    <t>42085916</t>
  </si>
  <si>
    <t>WOS:001762482700001</t>
  </si>
  <si>
    <t>Sang, H; Lin, T; Luo, LC; Liu, MR; Lia, J; Luo, X; Shen, JL; Zhong, SZ; Xu, L; Huang, WH</t>
  </si>
  <si>
    <t>Accurate classification of bone tumors as benign, malignant, or intermediate is crucial for patient treatment decisions. Misclassification may result in overtreatment of benign cases or delayed intervention for aggressive tumors, significantly impacting patient prognosis. However, current methods rely heavily on single-modality imaging analysis, making it difficult to handle variable lesion locations and complex cancer types. To address these limitations, we propose a novel multimodal deep learning framework that integrates clinical images, pathological slices, and blood biomarkers for automated bone tumor detection and three-class classification. The framework operates in two stages: first, a YOLOv5-based detection model localizes tumor regions on clinical images. Next, a classification model utilizes ResNet to extract deep features from both the clinical images and pathological slices, while abnormal blood biomarkers are transformed into descriptive text by a large language model and subsequently encoded into semantic features using BioBERT. Finally, features from all three modalities are integrated via a fusion module to capture complementary information and enable accurate tumor classification. The evaluation was performed using two distinct datasets: a clinical imaging dataset for bone tumor detection, and a separate multi-modal cohort comprising clinical imaging, pathology, and blood biomarkers for tumor classification. The detection model demonstrated strong localization capabilities, achieving a test mAP@0.5 of 0.7925. For the classification task, ablation studies validated the complementary contribution of each modality. Notably, our multimodal fusion approach outperformed unimodal baselines, attaining a macro-average precision of 0.9056, F1-score of 0.8736, and AUC of 0.9759 in tumor classification-outperforming existing models.</t>
  </si>
  <si>
    <t>Sang, Hang; Lin, Tao; Luo, Lincong; Liu, Mingrui; Lia, Jiaying; Luo, Xiang; Shen, Jianlin; Zhong, Shizhen; Xu, Lin; Huang, Wenhua</t>
  </si>
  <si>
    <t>Zhong, SZ; Huang, WH (corresponding author), Southern Med Univ, Guangdong Engn Res Ctr Translat Med Printing Appli, Guangdong Prov Key Lab Digital Med &amp; Biomech, Natl Key Discipline Human Anat,Sch Basic Med Sci, Guangzhou 510515, Guangdong, Peoples R China.; Xu, L (corresponding author), Southern Med Univ, Sch Basic Med Sci, Guangzhou 510515, Guangdong, Peoples R China.; Xu, L (corresponding author), Jiangbin Hosp Guangxi Zhuang Autonomous Reg, Dept Orthopaed, Nanning 530021, Guangxi, Peoples R China.</t>
  </si>
  <si>
    <t>18122747332@139.com; xulin1982@hotmail.com; lint0910@163.com; 13837014660@163.com; huangwenhua2009@139.com; shenjianlinchina@126.com; Zhszhnfso@126.com; ljy927@smu.edu.cn; dr-luo@163.com; 18822687636@163.com</t>
  </si>
  <si>
    <t>Research on Development and Application of Clinically Relevant New Technologies in Orthopedics [K923289433]; China Postdoctoral Science Foundation, China [2024M751315]</t>
  </si>
  <si>
    <t>Research on Development and Application of Clinically Relevant New Technologies in Orthopedics; China Postdoctoral Science Foundation, China (China Postdoctoral Science Foundation)</t>
  </si>
  <si>
    <t>This study was funded by: Research on Development and Application of Clinically Relevant New Technologies in Orthopedics (Grant No. K923289433) , and the China Postdoctoral Science Foundation, China (Grant No. 2024M751315) .</t>
  </si>
  <si>
    <t>[Sang, Hang; Lin, Tao; Lia, Jiaying; Zhong, Shizhen; Huang, Wenhua] Southern Med Univ, Guangdong Engn Res Ctr Translat Med Printing Appli, Guangdong Prov Key Lab Digital Med &amp; Biomech, Natl Key Discipline Human Anat,Sch Basic Med Sci, Guangzhou 510515, Guangdong, Peoples R China; [Luo, Lincong] Southern Med Univ, Yue Bei Peoples Hosp Postdoctoral Innovat Practice, Guangzhou 510515, Guangdong, Peoples R China; [Liu, Mingrui] Dali Univ, Sch Basic Med, Dali 671003, Yunnan, Peoples R China; [Luo, Xiang] Guigang City Peoples Hosp, Guangxi Clin Res Ctr Digital Med &amp; 3D Printing, Guigang 537100, Guangxi, Peoples R China; [Xu, Lin] Southern Med Univ, Sch Basic Med Sci, Guangzhou 510515, Guangdong, Peoples R China; [Xu, Lin] Jiangbin Hosp Guangxi Zhuang Autonomous Reg, Dept Orthopaed, Nanning 530021, Guangxi, Peoples R China; [Shen, Jianlin] Putian Univ, Affiliated Hosp, Dept Orthopaed, Putian 351100, Fujian, Peoples R China</t>
  </si>
  <si>
    <t>Southern Medical University - China; Shantou University; Southern Medical University - China; Dali University; Southern Medical University - China; Putian University</t>
  </si>
  <si>
    <t>Multimodal deep learning for bone tumor diagnosis with clinical imaging, pathology, and blood biomarkers</t>
  </si>
  <si>
    <t>JOURNAL OF BONE ONCOLOGY</t>
  </si>
  <si>
    <t>Bone tumor; Multimodal deep learning; Detection and classification; Clinical decision support</t>
  </si>
  <si>
    <t>huang, wenhua/AAO-5990-2020</t>
  </si>
  <si>
    <t>2212-1374</t>
  </si>
  <si>
    <t>J BONE ONCOL</t>
  </si>
  <si>
    <t>J. Bone Oncol.</t>
  </si>
  <si>
    <t>100718</t>
  </si>
  <si>
    <t>10.1016/j.jbo.2025.100718</t>
  </si>
  <si>
    <t>http://dx.doi.org/10.1016/j.jbo.2025.100718</t>
  </si>
  <si>
    <t>OCT 2025</t>
  </si>
  <si>
    <t>9HN5Y</t>
  </si>
  <si>
    <t>41209291</t>
  </si>
  <si>
    <t>WOS:001606502700001</t>
  </si>
  <si>
    <t>Bouatmane, A; Daaif, A; Bousselham, A; Bouihi, B; Bouattane, O</t>
  </si>
  <si>
    <t>Chemotherapy-induced cardiotoxicity presents a major risk to cancer patients, often leading to severe cardiac complications such as heart failure, myocardial infarction, and arrhythmias. Early detection is crucial for preventing long-term damage and improving patient outcomes, yet existing diagnostic methods struggle to effectively capture the complexity of multimodal medical data and often lack interpretability. In this study, we propose an innovative approach that integrates multimodal deep learning with Explainable AI (XAI) techniques to enhance early cardiotoxicity detection. Our model combines clinical data (e.g., age and cardiovascular metrics) with Tissue Doppler Imaging (TDI), a functional imaging technique that captures myocardial velocity during the cardiac cycle. To overcome data limitations, we employed Conditional Generative Adversarial Networks (cGANs) and Conditional Tabular Generative Adversarial Networks (CTGANs) to augment the dataset, improving its diversity and balance for better model training. We developed three architectures that integrate Convolutional Neural Networks (CNNs) for feature extraction from TDI images with Long Short-Term Memory (LSTM), Gated Recurrent Unit (GRU), and Transformer models to capture temporal dependencies and enhance prediction accuracy. Additionally, we incorporated SHapley Additive Explanations (SHAP) to interpret the contribution of input features, increasing model transparency and clinical applicability. Our Transformer-based model achieved the highest accuracy of 96%, outperforming the GRU (94%) and LSTM (89%) models, significantly surpassing traditional approaches. These findings highlight the potential of transformer-based architectures in multimodal deep learning for precise cardiotoxicity prediction, supporting early intervention and personalized treatment strategies while improving interpretability through XAI techniques such as SHAP.</t>
  </si>
  <si>
    <t>Bouatmane, Ahmed; Daaif, Abdelaziz; Bousselham, Abdelmajid; Bouihi, Bouchra; Bouattane, Omar</t>
  </si>
  <si>
    <t>Bouatmane, A (corresponding author), Univ Hassan 2, ENSET Mohammedia, 2IACS Lab, Casablanca 20000, Morocco.</t>
  </si>
  <si>
    <t>ahmed.bouatmane-etu@etu.univh2c.ma</t>
  </si>
  <si>
    <t>[Bouatmane, Ahmed; Daaif, Abdelaziz; Bousselham, Abdelmajid; Bouihi, Bouchra] Univ Hassan 2, ENSET Mohammedia, 2IACS Lab, Casablanca 20000, Morocco; [Bouattane, Omar] Univ Hassan 2, ENSET Mohammedia, IESI Lab, Casablanca 20000, Morocco</t>
  </si>
  <si>
    <t>Hassan II University of Casablanca; Hassan II University of Casablanca</t>
  </si>
  <si>
    <t>A Multimodal Deep Learning Model Integrating CNN and Transformer for Predicting Chemotherapy-Induced Cardiotoxicity</t>
  </si>
  <si>
    <t>Imaging; Predictive models; Data models; Deep learning; Transformers; Artificial intelligence; Accuracy; Cancer; Mathematical models; Cardiovascular diseases; Multimodal deep learning; cardiotoxicity; chemotherapy; convolutional neural networks; recurrent neural networks; transformer; generative adversarial networks; explainable AI</t>
  </si>
  <si>
    <t>GENERATIVE ADVERSARIAL NETWORKS; GRU</t>
  </si>
  <si>
    <t>BOUATTANE, Omar/AAK-1235-2020</t>
  </si>
  <si>
    <t>daaif, abdelaziz/0000-0002-8380-2935; AHMED, BOUATMANE/0000-0002-1732-551X; BOUIHI, Bouchra/0000-0002-1652-8470; BOUSSELHAM, Abdelmajid/0000-0001-5458-2294</t>
  </si>
  <si>
    <t>57568</t>
  </si>
  <si>
    <t>57588</t>
  </si>
  <si>
    <t>10.1109/ACCESS.2025.3556700</t>
  </si>
  <si>
    <t>http://dx.doi.org/10.1109/ACCESS.2025.3556700</t>
  </si>
  <si>
    <t>1FP1S</t>
  </si>
  <si>
    <t>WOS:001463859200005</t>
  </si>
  <si>
    <t>Hou, RB; Chai, SR; Jain, RK; Li, YH; Liu, JQ; Teng, SY; Shi, XY; Lin, LF; Chen, YW</t>
  </si>
  <si>
    <t>Deep learning has been extensively applied to lung nodule malignancy prediction. The emergence of multi-modal deep learning, particularly Vision-Language Models (VLMs), has enabled the integration of visual and textual information, offering enhanced diagnostic capabilities. Nevertheless, two critical limitations persist: (1) clinical information remains underutilized in multimodal pipelines, and (2) most existing models lack the ability to incorporate similar prior cases to support clinical decision-making. To address these challenges, we propose an interpretable, retrieval-augmented multimodal framework that jointly encodes visual and clinical data. The framework consists of a multimodal encoder, a retrieval-augmented module, and a text encoder. Lesion classification is performed by evaluating the similarity between fused visual-clinical embeddings and textual representations of malignancy categories. Moreover, the retrieval-augmented module refines predictions by incorporating similar cases retrieved based on clinical information, thereby complementing the multimodal representation and enabling more informed and explainable decisions. Additionally, we improve retrieval quality by weighting clinical attributes according to their diagnostic relevance. Experiments on the publicly available LIDC-IDRI dataset demonstrate that our approach consistently outperforms existing methods, achieving an overall accuracy of 64.3% under the ResNet-18 setting while preserving its advantage under a larger ResNet-34 backbone. Robustness analysis further shows that the proposed framework remains stable under moderate clinical data noise and benefits from missing-aware handling when clinical attributes are incomplete. These results highlight the potential of retrieval-augmented multimodal deep learning for interpretable and clinically meaningful lung nodule diagnosis. Our code is released on Github: https://github. com/Groot-H/RA-MultiModal-Clinical.</t>
  </si>
  <si>
    <t>Hou, Ruibo; Chai, Shurong; Jain, Rahul Kumar; Li, Yinhao; Liu, Jiaqing; Teng, Shiyu; Shi, Xiaoyu; Lin, Lanfen; Chen, Yen-Wei</t>
  </si>
  <si>
    <t>Chen, YW (corresponding author), Ritsumeikan Univ, Grad Sch Informat Sci &amp; Engn, Osaka, Japan.</t>
  </si>
  <si>
    <t>chen@is.ritsumei.ac.jp</t>
  </si>
  <si>
    <t>Japanese Ministry for Education, Science, Culture and Sports (MEXT) [20KK0234, 21H03470, 20K21821]; National Key Research and Development Project [2022YFC2504605]</t>
  </si>
  <si>
    <t>Japanese Ministry for Education, Science, Culture and Sports (MEXT); National Key Research and Development Project (National Key Research &amp; Development Program of China)</t>
  </si>
  <si>
    <t>This work was supported in part by the Grant in Aid for Scientific Research from the Japanese Ministry for Education, Science, Culture and Sports (MEXT) under the Grant Nos. 20KK0234, 21H03470, and 20K21821, and in part by the National Key Research and Development Project (No. 2022YFC2504605) .</t>
  </si>
  <si>
    <t>[Hou, Ruibo; Chai, Shurong; Li, Yinhao; Liu, Jiaqing; Teng, Shiyu; Chen, Yen-Wei] Ritsumeikan Univ, Grad Sch Informat Sci &amp; Engn, Osaka, Japan; [Jain, Rahul Kumar] Tiwaki Co Ltd, Shiga, Japan; [Shi, Xiaoyu] Chinese Acad Sci, Beijing Inst Genom, Beijing, Peoples R China; [Lin, Lanfen] Zhejiang Univ, Coll Comp Sci &amp; Technol, Zhejiang, Peoples R China</t>
  </si>
  <si>
    <t>Ritsumeikan University; Chinese Academy of Sciences; Beijing Institute of Genomics, CAS; Zhejiang University</t>
  </si>
  <si>
    <t>Retrieval-augmented multimodal deep learning for interpretable lung nodule malignancy prediction</t>
  </si>
  <si>
    <t>DISPLAYS</t>
  </si>
  <si>
    <t>Medical imaging; Lung nodule classification; Vision-language model; Retrieval-augmented method</t>
  </si>
  <si>
    <t>JAIN, Rahul/IZP-9756-2023; LIU, JIAQING/ABB-2962-2021; TENG, SHIYU/NWH-3085-2025</t>
  </si>
  <si>
    <t>0141-9382</t>
  </si>
  <si>
    <t>1872-7387</t>
  </si>
  <si>
    <t>Displays</t>
  </si>
  <si>
    <t>DEC 2026</t>
  </si>
  <si>
    <t>103525</t>
  </si>
  <si>
    <t>10.1016/j.displa.2026.103525</t>
  </si>
  <si>
    <t>http://dx.doi.org/10.1016/j.displa.2026.103525</t>
  </si>
  <si>
    <t>Computer Science, Hardware &amp; Architecture; Engineering, Electrical &amp; Electronic; Instruments &amp; Instrumentation; Optics</t>
  </si>
  <si>
    <t>Computer Science; Engineering; Instruments &amp; Instrumentation; Optics</t>
  </si>
  <si>
    <t>IT7FL</t>
  </si>
  <si>
    <t>WOS:001780093900001</t>
  </si>
  <si>
    <t>Jayaraman, S; Sivasakthivel, R; Jayapal, J; Chinnaiyan, B</t>
  </si>
  <si>
    <t>Thyroid tumors rank among the most frequently occurring endocrine cancers because early detection helps doctors deliver effective treatments that lead to better patient results. Ultrasound imaging enables the detection of thyroid nodules, yet medical professionals struggle to differentiate between benign and malignant nodules through their diagnostic tests. This study introduces a new medical framework that enables thyroid nodule diagnosis through ultrasound imaging. The proposed model combines advanced segmentation with feature extraction, classification, and reasoning components to create a complete system. The specialized segmentation method shows accurate results when it detects nodule boundaries, which leads to better analysis of specific regions. The Hybrid Vision Transformer (HVT) operates to capture detailed textural information together with complete environmental patterns, which boosts its ability to classify different elements. The proposed framework incorporates a Large Language Model (LLM), specifically Med-PaLM, to provide context-aware clinical reasoning and interpretation. The structured evaluation process uses Thyroid Imaging Reporting and Data System (TI-RADS)-based feature scoring to compare model results with designated clinical standards. The diagnostic process is enhanced through the use of a language model, which delivers contextual understanding and produces valuable information from features that have been extracted. The proposed model achieves excellent performance with accuracy at 98.5%, precision at 98.7%, recall at 98.4%, and F1-score at 98.5%, which demonstrates its capacity for accurate and equivalent performance across different classifications. The experimental results demonstrate that the model achieves better results than existing methods. The combination of multimodal data with clinical reasoning improves both the accuracy and the user experience of the system. The proposed framework provides an efficient, interpretable, and scalable solution for thyroid nodule diagnosis.</t>
  </si>
  <si>
    <t>Jayaraman, Sathya; Sivasakthivel, Ramkumar; Jayapal, Jayapriya; Chinnaiyan, Balakrishnan</t>
  </si>
  <si>
    <t>Jayaraman, S (corresponding author), Christ Univ, Dept Comp Sci, Bengaluru 560073, India.</t>
  </si>
  <si>
    <t>sathya.j@res.christuniversity.in; jayapriya.j@christuniversity.in; ramkumar.s@christuniversity.in; balakrishnan.c@christuniversity.in</t>
  </si>
  <si>
    <t>This research received no external funding.</t>
  </si>
  <si>
    <t>[Jayaraman, Sathya; Sivasakthivel, Ramkumar; Jayapal, Jayapriya; Chinnaiyan, Balakrishnan] Christ Univ, Dept Comp Sci, Bengaluru 560073, India</t>
  </si>
  <si>
    <t>Christ University</t>
  </si>
  <si>
    <t>An Explainable Multimodal Deep Learning Framework for Thyroid Nodule Diagnosis in Ultrasound Imaging Using Hybrid Vision Transformers and Med-PaLM</t>
  </si>
  <si>
    <t>COMPUTATION</t>
  </si>
  <si>
    <t>Hybrid Vision Transformer; Large Language Model; Medical Pathways Language Model; Segment Anything Model 2 for Radiology</t>
  </si>
  <si>
    <t>SIVASAKTHIVEL, RAMKUMAR/Q-4168-2019</t>
  </si>
  <si>
    <t>2079-3197</t>
  </si>
  <si>
    <t>Computation</t>
  </si>
  <si>
    <t>138</t>
  </si>
  <si>
    <t>10.3390/computation14060138</t>
  </si>
  <si>
    <t>http://dx.doi.org/10.3390/computation14060138</t>
  </si>
  <si>
    <t>Mathematics, Interdisciplinary Applications</t>
  </si>
  <si>
    <t>Mathematics</t>
  </si>
  <si>
    <t>JZ9MA</t>
  </si>
  <si>
    <t>WOS:001801960400001</t>
  </si>
  <si>
    <t>Marini, N; Liang, ZH; Rajaraman, S; Xue, ZY; Antani, S</t>
  </si>
  <si>
    <t>Objective: Despite recent advancements in the development of foundation models and multimodal (MM) architectures in dermatology, their translation to clinical practice remains limited by the scarcity of large-scale multimodal (MM) datasets, as most publicly available resources are small, unimodal, and lack expressive clinical text. This paper investigates strategies to synthesize and exploit clinical notes paired with dermatological images to effectively train a MM architecture, focusing on solutions to limit the inherently hallucinated contents introduced by Large Language Models (LLMs) and to identify conditions under which synthetic clinical notes can be reliably leveraged. Methods: The paper proposes a MM architecture trained on real dermatological images paired with LLMsynthesized clinical notes. We systematically evaluate different note generation strategies, including metadataguided prompting, alignment of image representations with specific keywords, sentence-level filtering of clinical notes, network architectural designs. Experiments involve 16,000 image-note couples collected from six public datasets for model training and over 37,000 images from fifteen public datasets as external data for generalization assessment. Performance is assessed on cross-modal retrieval and zero-shot learning tasks to quantify robustness and generalization. Results: Results show that metadata inclusion into the prompts reduces the hallucinations within LLM outputs, providing more reliable notes. The resulting MM model trained with these notes show superior performance on multiple downstream tasks. Conclusion: Synthesized clinical notes can be paired with real dermatology images under specific conditions, providing a valuable resource to develop foundation models that can help reduce the dermatologists' workload.</t>
  </si>
  <si>
    <t>Marini, Niccolo; Liang, Zhaohui; Rajaraman, Sivaramakrishnan; Xue, Zhiyun; Antani, Sameer</t>
  </si>
  <si>
    <t>Marini, N; Antani, S (corresponding author), NIH, Div Intramural Res, Natl Lib Med, Bethesda, MD 20894 USA.</t>
  </si>
  <si>
    <t>sameer.antani@nih.gov</t>
  </si>
  <si>
    <t>Division of Intramural Research (DIR) of the National Library of Medicine (NLM) , National Institutes of Health (NIH)</t>
  </si>
  <si>
    <t>This research was supported by the Division of Intramural Research (DIR) of the National Library of Medicine (NLM), National Institutes of Health (NIH). The contributions of the NIH authors are considered Works of the United States Government. The findings and conclusions presented in this paper are those of the authors and do not necessarily reflect the views of the NIH or the U.S. Department of Health and Human Services.</t>
  </si>
  <si>
    <t>[Marini, Niccolo; Liang, Zhaohui; Rajaraman, Sivaramakrishnan; Xue, Zhiyun; Antani, Sameer] NIH, Div Intramural Res, Natl Lib Med, Bethesda, MD 20894 USA</t>
  </si>
  <si>
    <t>National Institutes of Health (NIH) - USA; NIH National Library of Medicine (NLM); Division of Intramural Research (DIR)</t>
  </si>
  <si>
    <t>Mitigating hallucinations in synthesized clinical texts to improve multimodal deep learning for dermatology</t>
  </si>
  <si>
    <t>Multimodal Learning; dermatology; Synthesized clinical notes; Cross-modality alignment</t>
  </si>
  <si>
    <t>GLOBAL BURDEN; SKIN-DISEASE</t>
  </si>
  <si>
    <t>Liang, Zhaohui/Q-8443-2019; Antani, Sameer/GVS-8371-2022; Rajaraman, Sivaramakrishnan/D-3727-2017</t>
  </si>
  <si>
    <t>72</t>
  </si>
  <si>
    <t>105055</t>
  </si>
  <si>
    <t>10.1016/j.jbi.2026.105055</t>
  </si>
  <si>
    <t>http://dx.doi.org/10.1016/j.jbi.2026.105055</t>
  </si>
  <si>
    <t>IS9OX</t>
  </si>
  <si>
    <t>42140329</t>
  </si>
  <si>
    <t>WOS:001779576900001</t>
  </si>
  <si>
    <t>Issahaku, FLY; Liu, XW; Lu, K; Fang, XW; Danwana, SB; Asimeng, E</t>
  </si>
  <si>
    <t>This study introduces a novel multimodal deep learning model for detecting Covid-19, uniquely combining chest X-ray images and cough sound features. We incorporated an attention layer to effectively influence the inputs from both features to enhance the detection process. The integration of time and frequency domain cough features with chest X-ray images represents a significant advancement in Covid-19 detection methodologies, offering promising results and potential applications in the medical field. In the proposed model, we modified vgg16 and a faster region-based convolutional neural network (FRCNN). The modified vgg16 is used to extract the features from both datasets, whereas the modified FRCNN is used for detection. Utilizing the Vgg16 model for feature extraction and faster-rcnn for Covid-19 detection allows for a robust and efficient approach. We analyzed the performance of the proposed methodology using a dataset of 2059 Covid-19 positive chest X-ray images and a diverse collection of 25,000 cough recordings, including 716 positive, 7693 negative, and 1591 symptomatic cases. The datasets were divided into 80% for training and 20% for testing. The model achieves 99.80% accuracy, an f1-score of 99.70%, and 0.0132 validation loss. We further performed an extensive ablation experiment on the features. We compared the results of the proposed model to already existing networks using chest X-rays and coughs as datasets, and the proposed model outperformed them. Experiments also show that the trained model resists training data quantity and quality and can effectively detect Covid-19 in chest X-rays and coughs.</t>
  </si>
  <si>
    <t>Issahaku, Fadilul-lah Yassaanah; Liu, Xiangwei; Lu, Ke; Fang, Xianwen; Danwana, Sumaiya Bashiru; Asimeng, Ernest</t>
  </si>
  <si>
    <t>Liu, XW (corresponding author), Anhui Univ Sci &amp; Technol, Sch Econ &amp; Management, Huainan 232001, Peoples R China.</t>
  </si>
  <si>
    <t>xwliu@aust.edu.cn</t>
  </si>
  <si>
    <t>National Natural Science Foundation, China [61572035, 61402011]; Key Research and Develop-ment Program of Anhui Province, China [2022a05020005]; Leading Backbone Talent Project in Anhui Province, China [2020-1-12]; Open Project Program of the Key Laboratory of Embedded System and Service Computing of Ministry of Education, China [ESSCKF2021-05]</t>
  </si>
  <si>
    <t>National Natural Science Foundation, China (National Natural Science Foundation of China (NSFC)); Key Research and Develop-ment Program of Anhui Province, China; Leading Backbone Talent Project in Anhui Province, China; Open Project Program of the Key Laboratory of Embedded System and Service Computing of Ministry of Education, China</t>
  </si>
  <si>
    <t>This work was funded by the National Natural Science Foundation, China (No. 61572035, 61402011) , Key Research and Development Program of Anhui Province, China (2022a05020005) , the Leading Backbone Talent Project in Anhui Province, China (2020-1-12) , and the Open Project Program of the Key Laboratory of Embedded System and Service Computing of Ministry of Education, China (No. ESSCKF2021-05) .</t>
  </si>
  <si>
    <t>[Issahaku, Fadilul-lah Yassaanah; Lu, Ke; Fang, Xianwen] Anhui Univ Sci &amp; Technol, Sch Math &amp; Big Data, Huainan 232001, Peoples R China; [Liu, Xiangwei; Danwana, Sumaiya Bashiru] Anhui Univ Sci &amp; Technol, Sch Econ &amp; Management, Huainan 232001, Peoples R China; [Liu, Xiangwei] Tongji Univ, Minist Educ, Key Lab Embedded Syst &amp; Serv Comp, Shanghai 201804, Peoples R China; [Lu, Ke; Fang, Xianwen] Anhui Prov Engn Lab Big Data Anal &amp; Early Warning, Huainan 232001, Peoples R China; [Asimeng, Ernest] Jiangsu Univ Sci &amp; Technol, Sch Comp Sci &amp; Commun Engn, Zhenjiang 210034, Jiangsu, Peoples R China</t>
  </si>
  <si>
    <t>Anhui University of Science &amp; Technology; Anhui University of Science &amp; Technology; Tongji University; Jiangsu University of Science &amp; Technology</t>
  </si>
  <si>
    <t>Multimodal deep learning model for Covid-19 detection</t>
  </si>
  <si>
    <t>BIOMEDICAL SIGNAL PROCESSING AND CONTROL</t>
  </si>
  <si>
    <t>Automatic cough detection; Covid-19; Faster-RCNN; Signal processing</t>
  </si>
  <si>
    <t>FEATURES; NETWORK; IMAGES; COUGH</t>
  </si>
  <si>
    <t>Lu, Ke/GQH-5481-2022; Issahaku, Fadilul-lah Yassaanah/HNJ-0901-2023</t>
  </si>
  <si>
    <t>Asimeng, Ernest/0009-0006-1427-8195; Lu, Ke/0000-0002-0792-2628; Fang, Xianwen/0000-0001-8531-7215; Issahaku, Fadilul-lah Yassaanah/0000-0002-3354-005X; Bashiru Danwana, Sumaiya/0000-0001-8733-2427</t>
  </si>
  <si>
    <t>67</t>
  </si>
  <si>
    <t>1746-8094</t>
  </si>
  <si>
    <t>1746-8108</t>
  </si>
  <si>
    <t>BIOMED SIGNAL PROCES</t>
  </si>
  <si>
    <t>Biomed. Signal Process. Control</t>
  </si>
  <si>
    <t>MAY 2024</t>
  </si>
  <si>
    <t>105906</t>
  </si>
  <si>
    <t>10.1016/j.bspc.2023.105906</t>
  </si>
  <si>
    <t>http://dx.doi.org/10.1016/j.bspc.2023.105906</t>
  </si>
  <si>
    <t>GQ6P4</t>
  </si>
  <si>
    <t>WOS:001154177700001</t>
  </si>
  <si>
    <t>Gao, YF; Luo, W; Wang, CC; Ahmad, NS; Wang, XJ; Goh, P</t>
  </si>
  <si>
    <t>Large language models (LLMs) are integral to cloud-based AI applications, offering robust capabilities for multimodal data processing and retrieval. However, deploying LLMs in environments with multiple users presents notable difficulties, especially in protecting sensitive information. In this study, we present PMIRS, a system designed to support secure, privacy-focused retrieval of multimodal image and text data. PMIRS allows users to transmit images or text to a simulated cloud-based LLM environment safely in a privacy-preserving manner. PMIRS mitigates privacy risks through a combination of obfuscation techniques, encrypted inference and federated learning. Specifically, federated learning is used to fine-tune a lightweight model adapted from the official CLIP codebase by OpenAI. During inference, query embeddings are first obfuscated through block-wise projection and then encrypted using AES in CBC mode with 128-bit keys to protect query content from unauthorized access. Additionally, the Diffie-Hellman algorithm is employed for secure key management in multi-user environments. Experimental results on three semantic domains from the customized Phrase-ImageNet variant of the ImageNet dataset, constructed by rewriting ImageNet labels into natural-language phrases, demonstrate that PMIRS achieves F1-scores up to 0.92, with precision exceeding 0.90 in small-to-medium repositories, and retrieval latency consistently under 180 milliseconds. Compared to the CLIP baseline, PMIRS improves average F1-score by 7.67% while maintaining comparable precision. These results underscore PMIRS's practical value for secure, efficient, and privacy-preserving multimodal retrieval. Beyond our controlled experiments, PMIRS has the potential to support real-world applications such as medical image retrieval, privacy-conscious customer service bots, and enterprise data management under regulatory frameworks like GDPR and HIPAA.</t>
  </si>
  <si>
    <t>Gao, Yifang; Luo, Wei; Wang, Chuanchuan; Ahmad, Nur Syazreen; Wang, Xiaojun; Goh, Patrick</t>
  </si>
  <si>
    <t>Goh, P (corresponding author), Univ Sains Malaysia, Sch Elect &amp; Elect Engn, George Town 14300, Malaysia.</t>
  </si>
  <si>
    <t>eepatrick@usm.my</t>
  </si>
  <si>
    <t>Universiti Sains Malaysia [R501-LR-RND003-0000001342-0000]</t>
  </si>
  <si>
    <t>Universiti Sains Malaysia (Universiti Sains Malaysia)</t>
  </si>
  <si>
    <t>This work was supported by a Universiti Sains Malaysia, Bridging Grant with Project No: R501-LR-RND003-0000001342-0000.</t>
  </si>
  <si>
    <t>[Gao, Yifang; Ahmad, Nur Syazreen; Goh, Patrick] Univ Sains Malaysia, Sch Elect &amp; Elect Engn, George Town 14300, Malaysia; [Luo, Wei] Beijing Jiaotong Univ, Sch Elect Engn, Beijing 100044, Peoples R China; [Wang, Xiaojun] Dublin City Univ, Sch Elect Engn, Dublin D09W6Y4, Ireland; [Wang, Chuanchuan] Univ Sains Malaysia, Sch Comp Sci, George Town 11800, Malaysia</t>
  </si>
  <si>
    <t>Universiti Sains Malaysia; Beijing Jiaotong University; Dublin City University; Universiti Sains Malaysia</t>
  </si>
  <si>
    <t>A privacy-preserving multi-user retrieval system for multimodal artificial intelligence</t>
  </si>
  <si>
    <t>Multimodal deep learning; Privacy-preserving AI; Searchable encryption; Cross-modal retrieval; Multimodal systems</t>
  </si>
  <si>
    <t>Ahmad, Nur/F-5246-2019; /ABB-9389-2020</t>
  </si>
  <si>
    <t>Gao, Yifang/0000-0003-2858-5285</t>
  </si>
  <si>
    <t>FEB 24 2026</t>
  </si>
  <si>
    <t>10348</t>
  </si>
  <si>
    <t>10.1038/s41598-026-40734-w</t>
  </si>
  <si>
    <t>http://dx.doi.org/10.1038/s41598-026-40734-w</t>
  </si>
  <si>
    <t>FU4UP</t>
  </si>
  <si>
    <t>41735504</t>
  </si>
  <si>
    <t>WOS:001727680800023</t>
  </si>
  <si>
    <t>Alcaraz, JML; Strodthoff, N</t>
  </si>
  <si>
    <t>This study investigates the feasibility of using electrocardiogram (ECG) data combined with basic patient metadata to estimate and monitor prompt laboratory abnormalities. We use the MIMIC-IV dataset to train multimodal deep learning models on ECG waveforms, demographics, biometrics, and vital signs. Our model is a structured state space classifier with late fusion for metadata. We frame the task as individual binary classifications per abnormality and evaluate performance using AUROC. The models achieve strong performance, with AUROCs above 0.70 for 24 lab values in abnormality prediction and up to 24 in abnormality forecasting, across cardiac, renal, hematological, metabolic, immunological, and coagulation categories. NTproBNP (&gt;= 353 pg/mL) is best predicted (AUROC &gt; 0.90). Other values with AUROC &gt; 0.85 include Hemoglobin (&gt;= 17.5 g/dL), Albumin (&gt;= 5.2 g/dL), and Hematocrit (&gt;= 51%). Our findings show ECG combined with clinical data enables prompt abnormality prediction and forecasting of lab abnormalities, offering a non-invasive, cost-effective alternative to traditional testing. This can support early intervention and enhanced patient monitoring. ECG and clinical data can help estimate and monitor abnormal lab values, potentially improving care while reducing reliance on invasive and costly procedures.</t>
  </si>
  <si>
    <t>Alcaraz, Juan Miguel Lopez; Strodthoff, Nils</t>
  </si>
  <si>
    <t>Strodthoff, N (corresponding author), Carl von Ossietzky Univ Oldenburg, AI4Hlth Div, D-26129 Oldenburg, Germany.</t>
  </si>
  <si>
    <t>nils.strodthoff@uol.de</t>
  </si>
  <si>
    <t>Carl von Ossietzky Universitt Oldenburg (3092)</t>
  </si>
  <si>
    <t>[Alcaraz, Juan Miguel Lopez; Strodthoff, Nils] Carl von Ossietzky Univ Oldenburg, AI4Hlth Div, D-26129 Oldenburg, Germany</t>
  </si>
  <si>
    <t>Carl von Ossietzky Universitat Oldenburg</t>
  </si>
  <si>
    <t>Abnormality prediction and forecasting of laboratory values from electrocardiogram signals using multimodal deep learning</t>
  </si>
  <si>
    <t>Electrocardiogram (ECG); Laboratory abnormalities; Multimodal deep learning; Structured state space model; Clinical decision support</t>
  </si>
  <si>
    <t>Strodthoff, Nils/AAK-8661-2021</t>
  </si>
  <si>
    <t>NOV 10 2025</t>
  </si>
  <si>
    <t>39362</t>
  </si>
  <si>
    <t>10.1038/s41598-025-26715-5</t>
  </si>
  <si>
    <t>http://dx.doi.org/10.1038/s41598-025-26715-5</t>
  </si>
  <si>
    <t>9SL4T</t>
  </si>
  <si>
    <t>41214165</t>
  </si>
  <si>
    <t>WOS:001613940600010</t>
  </si>
  <si>
    <t>Wang, Z; Li, XR; Huang, ZY; Chu, JH; Liu, K; Ji, Q</t>
  </si>
  <si>
    <t>Objective: This study aimed to develop a multimodal deep learning (MD DL) model integrating multiphasic computed tomography (CT) with clinical and laboratory parameters to predict early recurrence of hepatocellular carcinoma (HCC) following liver transplantation. Methods: A retrospective analysis was conducted on 147 patients with HCC who underwent liver transplantation at Tianjin First Central Hospital between June 2014 and September 2022. Patients were categorized into recurrence (n = 40) and non-recurrence (n = 107) groups. Independent risk factors for early recurrence were identified to construct a clinical-imaging model. Deep learning models were developed using both single-phase and multiphasic CT images. High-dimensional imaging features were combined with clinicoradiological parameters to establish the MD DL model. Model performance was evaluated using receiver operating characteristic curves and the DeLong test, while interpretability was assessed through SHapley Additive explanation (SHAP) analysis. Results: Independent risk factors for early recurrence included platelet count, alpha-fetoprotein levels &gt; 400 ng/mL, ascites, arterial peritumoral enhancement, and portal vein tumor thrombus. The MD DL model achieved area under the curve values of 0.972, 0.885, and 0.985 in the training, validation, and test sets, respectively. These values indicated significantly superior predictive performance compared with other models (all p &lt; 0.05). SHAP analysis identified key predictive features contributing to model performance. Conclusion: The MD DL model integrating multiphasic CT and clinical parameters demonstrated high predictive accuracy for early recurrence of HCC after liver transplantation, with diagnostic performance exceeding that of conventional models.</t>
  </si>
  <si>
    <t>Wang, Zhe; Li, Xi-Ran; Huang, Zhong-Yi; Chu, Jia-He; Liu, Kun; Ji, Qian</t>
  </si>
  <si>
    <t>Liu, K (corresponding author), Hebei Univ, Coll Qual &amp; Tech Supervis, Baoding, Hebei, Peoples R China.; Ji, Q (corresponding author), Tianjin First Cent Hosp, Dept Radiol, Tianjin, Peoples R China.; Ji, Q (corresponding author), Tianjin Inst Imaging Med, Tianjin, Peoples R China.; Ji, Q (corresponding author), Tianjin Key Lab Mol Diag &amp; Treatment Liver Canc, Tianjin, Peoples R China.</t>
  </si>
  <si>
    <t>jiqiantj1zxfs@126.com; liukun_hby@126.com</t>
  </si>
  <si>
    <t>Natural Science Foundation of Tianjin [21JCYBJC01050]; Tianjin Health Research Project [TJWJ2025ZD005]; General Program of the Natural Science Foundation of Hebei Province [F2025201039]</t>
  </si>
  <si>
    <t>Natural Science Foundation of Tianjin (Natural Science Foundation of Tianjin); Tianjin Health Research Project; General Program of the Natural Science Foundation of Hebei Province</t>
  </si>
  <si>
    <t>The author(s) declared that financial support was received for this work and/or its publication. 1.Natural Science Foundation of Tianjin (21JCYBJC01050) 2. Tianjin Health Research Project (TJWJ2025ZD005) 3. General Program of the Natural Science Foundation of Hebei Province (F2025201039).</t>
  </si>
  <si>
    <t>[Wang, Zhe; Li, Xi-Ran] Tianjin Med Univ, Cent Hosp 1, Dept Radiol, Tianjin, Peoples R China; [Huang, Zhong-Yi; Liu, Kun] Hebei Univ, Coll Qual &amp; Tech Supervis, Baoding, Hebei, Peoples R China; [Chu, Jia-He] Nankai Univ, Coll Med, Tianjin, Peoples R China; [Ji, Qian] Tianjin First Cent Hosp, Dept Radiol, Tianjin, Peoples R China; [Ji, Qian] Tianjin Inst Imaging Med, Tianjin, Peoples R China; [Ji, Qian] Tianjin Key Lab Mol Diag &amp; Treatment Liver Canc, Tianjin, Peoples R China</t>
  </si>
  <si>
    <t>Tianjin Medical University; Hebei University; Nankai University; Tianjin Medical University</t>
  </si>
  <si>
    <t>Multiphasic CT-based multimodal deep learning model for predicting early hepatocellular carcinoma recurrence following liver transplantation</t>
  </si>
  <si>
    <t>deep learning; hepatocellular carcinoma; liver transplantation; multiphasic CT; recurrence</t>
  </si>
  <si>
    <t>SURVIVAL</t>
  </si>
  <si>
    <t>MAR 27 2026</t>
  </si>
  <si>
    <t>1767885</t>
  </si>
  <si>
    <t>10.3389/fonc.2026.1767885</t>
  </si>
  <si>
    <t>http://dx.doi.org/10.3389/fonc.2026.1767885</t>
  </si>
  <si>
    <t>GI5NZ</t>
  </si>
  <si>
    <t>41971433</t>
  </si>
  <si>
    <t>WOS:001737233900001</t>
  </si>
  <si>
    <t>Zedadra, A; Zedadra, O; Salah-Salah, MY; Guerrieri, A</t>
  </si>
  <si>
    <t>Diabetic Retinopathy (DR) is one of the leading causes of blindness worldwide, where early detection is critical to preventing irreversible vision loss. Traditional diagnostic methods primarily rely on single-modality data, such as retinal images, or the analysis of image features, which may limit diagnostic accuracy. To overcome these limitations, we propose Diabetic Retinopathy Diagnosis, namely "DRdiag", a novel model proposed for the early diagnosis of DR. DRdiag integrates multiple modalities: the Fundus images and the duration of disease evolution which is an important factor in the diagnosis of DR as the duration of the disease directly influences the onset and progression of retinal lesions, leveraging two distinct models: a Convolutional Neural Network (CNN) based on DenseNet121 for image feature extraction and a Graph Neural Network (GNN) for capturing complex relationships between patient features. By combining the strengths of these advanced models, DRDiag aims to provide a more comprehensive and accurate diagnostic system, ultimately supporting timely intervention and improved patient outcomes. The experiments are conducted using two datasets, APTOS2019 and Messidor-2, which provide diverse retinal images for robust evaluation. The proposed model achieves high performance on diabetic retinopathy classification. On Messidor-2, it attains 0.976 accuracy, 0.957 kappa, 0.961 F1-score, 0.958 recall, 0.965 precision, and 0.990 specificity. On APTOS2019, it achieves 0.980 accuracy, 0.960 kappa, 0.963 F1-score, 0.959 recall, 0.968 precision, and 0.995 specificity. These results confirm its robustness and reliability.</t>
  </si>
  <si>
    <t>Zedadra, Amina; Zedadra, Ouarda; Yassine Salah-Salah, Mahmoud; Guerrieri, Antonio</t>
  </si>
  <si>
    <t>Guerrieri, A (corresponding author), Natl Res Council Italy, Inst High Performance Comp &amp; Networking, ICAR CNR, I-87036 Arcavacata Di Rende, Italy.</t>
  </si>
  <si>
    <t>antonio.guerrieri@icar.cnr.it</t>
  </si>
  <si>
    <t>European Union-NextGenerationEU-National Recovery andResilience Plan (Piano Nazionale di Ripresa e Resilienza, PNRR) [IR0000013, 3264]</t>
  </si>
  <si>
    <t>European Union-NextGenerationEU-National Recovery andResilience Plan (Piano Nazionale di Ripresa e Resilienza, PNRR)</t>
  </si>
  <si>
    <t>This work was supported in part by the Project SoBigData.it, funded by European Union-NextGenerationEU-National Recovery andResilience Plan (Piano Nazionale di Ripresa e Resilienza, PNRR), Strengthening the Italian RI for Social Mining and Big Data Analyticsunder Grant IR0000013-Avviso n. 3264 del 28/12/2021</t>
  </si>
  <si>
    <t>[Zedadra, Amina; Zedadra, Ouarda] Univ 8 Mai 1945 Guelma, LabSTIC Lab, Guelma 24000, Algeria; [Yassine Salah-Salah, Mahmoud] Med Surg Ophthalmol Off, Guelma 24006, Algeria; [Guerrieri, Antonio] Natl Res Council Italy, Inst High Performance Comp &amp; Networking, ICAR CNR, I-87036 Arcavacata Di Rende, Italy</t>
  </si>
  <si>
    <t>Universite 8 Mai 1945 de Guelma; Consiglio Nazionale delle Ricerche (CNR); Istituto di Calcolo e Reti ad Alte Prestazioni (ICAR-CNR)</t>
  </si>
  <si>
    <t>Graph-Aware Multimodal Deep Learning for Classification of Diabetic Retinopathy Images</t>
  </si>
  <si>
    <t>Diabetic retinopathy; Accuracy; Retina; Feature extraction; Convolutional neural networks; Diseases; Artificial intelligence; Graph neural networks; Adaptation models; Medical diagnostic imaging; Classification; convolutional neural network (CNN); diabetes; diabetic retinopathy (DR); graph neural network (GNN)</t>
  </si>
  <si>
    <t>ZEDADRA, Ouarda/N-4856-2016; GUERRIERI, ANTONIO/JFN-2228-2023</t>
  </si>
  <si>
    <t>Zedaa, Amina/0000-0002-5915-9986; SALAH-SALAH, Mahmoud Yassine/0009-0007-3527-1301; GUERRIERI, ANTONIO/0000-0003-1469-9484</t>
  </si>
  <si>
    <t>74795</t>
  </si>
  <si>
    <t>74806</t>
  </si>
  <si>
    <t>10.1109/ACCESS.2025.3564529</t>
  </si>
  <si>
    <t>http://dx.doi.org/10.1109/ACCESS.2025.3564529</t>
  </si>
  <si>
    <t>2GD7D</t>
  </si>
  <si>
    <t>WOS:001481864700008</t>
  </si>
  <si>
    <t>Mahootiha, M; Qadir, HA; Bergsland, J; Balasingham, I</t>
  </si>
  <si>
    <t>Background and Objective: Renal cell carcinoma represents a significant global health challenge with a low survival rate. The aim of this research was to devise a comprehensive deep-learning model capable of predicting survival probabilities in patients with renal cell carcinoma by integrating CT imaging and clinical data and addressing the limitations observed in prior studies. The aim is to facilitate the identification of patients requiring urgent treatment. Methods: The proposed framework comprises three modules: a 3D image feature extractor, clinical variable selection, and survival prediction. Based on the 3D CNN architecture, the feature extractor module predicts the ISUP grade of renal cell carcinoma tumors linked to mortality rates from CT images. Clinical variables are systematically selected using the Spearman score and random forest importance score as criteria. A deep learning-based network, trained with discrete LogisticHazard-based loss, performs the survival prediction. Nine distinct experiments are performed, with varying numbers of clinical variables determined by different thresholds of the Spearman and importance scores.Results: Our findings demonstrate that the proposed strategy surpasses the current literature on renal cancer prognosis based on CT scans and clinical factors. The best-performing experiment yielded a concordance index of 0.84 and an area under the curve value of 0.8 on the test cohort, which suggests strong predictive power.Conclusions: The multimodal deep-learning approach developed in this study shows promising results in estimating survival probabilities for renal cell carcinoma patients using CT imaging and clinical data. This may have potential implications in identifying patients who require urgent treatment, potentially improving patient outcomes. The code created for this project is available for the public on: GitHub</t>
  </si>
  <si>
    <t>Mahootiha, Maryamalsadat; Qadir, Hemin Ali; Bergsland, Jacob; Balasingham, Ilangko</t>
  </si>
  <si>
    <t>Mahootiha, M (corresponding author), Oslo Univ Hosp, Intervent Ctr, N-0372 Oslo, Norway.</t>
  </si>
  <si>
    <t>marymaho@uio.no</t>
  </si>
  <si>
    <t>CIRCLE [2023069, 287112]; Health South-East Trust [2023069]</t>
  </si>
  <si>
    <t>CIRCLE; Health South-East Trust</t>
  </si>
  <si>
    <t>The authors acknowledge the CIRCLE grant no. 287112 and the Health South-East Trust grant no. 2023069 for funding this study. We thank Havard Kvamme, a previous Ph.D. student at the University of Oslo, for his invaluable guidance in effectively utilizing the pycox library he created.</t>
  </si>
  <si>
    <t>[Mahootiha, Maryamalsadat; Qadir, Hemin Ali; Bergsland, Jacob; Balasingham, Ilangko] Oslo Univ Hosp, Intervent Ctr, N-0372 Oslo, Norway; [Mahootiha, Maryamalsadat] Univ Oslo, Fac Med, N-0316 Oslo, Norway; [Balasingham, Ilangko] Norwegian Univ Sci &amp; Technol, Dept Elect Syst, Trondheim, Norway</t>
  </si>
  <si>
    <t>University of Oslo; University of Oslo; Norwegian University of Science &amp; Technology (NTNU)</t>
  </si>
  <si>
    <t>Multimodal deep learning for personalized renal cell carcinoma prognosis: Integrating CT imaging and clinical data</t>
  </si>
  <si>
    <t>Radiological imaging; Renal cell carcinoma; Deep learning; Survival analysis; Cancer prognosis; ISUP grading</t>
  </si>
  <si>
    <t>LUNG-CANCER PATIENTS; SURVIVAL ANALYSIS; CLASSIFICATION; PREDICTION; IMAGES; MODELS</t>
  </si>
  <si>
    <t>Balasingham, Ilangko/AGU-7268-2022</t>
  </si>
  <si>
    <t>Mahootiha, Maryam/0000-0003-3964-8114</t>
  </si>
  <si>
    <t>244</t>
  </si>
  <si>
    <t>107978</t>
  </si>
  <si>
    <t>10.1016/j.cmpb.2023.107978</t>
  </si>
  <si>
    <t>http://dx.doi.org/10.1016/j.cmpb.2023.107978</t>
  </si>
  <si>
    <t>DEC 2023</t>
  </si>
  <si>
    <t>FK5E0</t>
  </si>
  <si>
    <t>38113804</t>
  </si>
  <si>
    <t>WOS:001145678200001</t>
  </si>
  <si>
    <t>Li, HL; Zhi, RZ; Liu, HS; Wang, M; Yu, SJ</t>
  </si>
  <si>
    <t>Objective To develop and evaluate the effectiveness of multimodal machine learning approach for the differentiation of NTM from MTB.Methods The clinical data and CT images of 175 patients were retrospectively obtained. We established clinical data-based model, radiomics-based model, and multimodal (clinical plus radiomics) model gradually using 5 machine learning algorithms (Logistic, XGBoost, AdaBoost, RandomForest, and LightGBM). Optimal algorithm in each model was selected after evaluating the differentiation performance both in training and validation sets. The model performance was further verified using external new MTB and NTM patient data. Performance was also compared with the existing approaches and model.Results The clinical data-based model contained age, gender, and IL-6, and the RandomForest algorithm achieved the optimal learning model. Two key radiomics features of CT images were identified and then used to establish the radiomics model, finding that model from Logistic algorithm was the optimal. The multimodal model contained age, IL-6, and the 2 radiomics features, and the optimal model was from LightGBM algorithm. The optimal multimodal model had the highest AUC value, accuracy, sensitivity, and negative predictive value compared with the optimal clinical or radiomics models, and its' favorable performance was also verified in the external test dataset (accuracy = 0.745, sensitivity = 0.900). Additionally, the performance of multimodal model was better than that of the radiologist, NGS detection, and existing machine learning model, with an increased accuracy of 26, 4, and 6%, respectively.Conclusion This is the first study to establish multimodal model to distinguish NTM from MTB and it performs well in differentiating them, which has the potential to aid clinical decision-making for experienced radiologists.</t>
  </si>
  <si>
    <t>Li, Hong-ling; Zhi, Ri-zeng; Liu, Hua-sheng; Wang, Mei; Yu, Si-jie</t>
  </si>
  <si>
    <t>Li, HL (corresponding author), Wenzhou Med Univ, Zhoushan Hosp, Dept Infect Dis, Zhoushan, Zhejiang, Peoples R China.</t>
  </si>
  <si>
    <t>20618113@163.com</t>
  </si>
  <si>
    <t>[Li, Hong-ling; Zhi, Ri-zeng; Liu, Hua-sheng; Wang, Mei; Yu, Si-jie] Wenzhou Med Univ, Zhoushan Hosp, Dept Infect Dis, Zhoushan, Zhejiang, Peoples R China</t>
  </si>
  <si>
    <t>Wenzhou Medical University</t>
  </si>
  <si>
    <t>Multimodal machine learning-based model for differentiating nontuberculous mycobacteria from mycobacterium tuberculosis</t>
  </si>
  <si>
    <t>FRONTIERS IN PUBLIC HEALTH</t>
  </si>
  <si>
    <t>nontuberculous mycobacterium; mycobacterium tuberculosis; deep learning; CT images; multimodal model</t>
  </si>
  <si>
    <t>INFECTIONS; DISEASE; PREVALENCE; FEATURES</t>
  </si>
  <si>
    <t>Li, Hongling/0009-0001-5516-9415</t>
  </si>
  <si>
    <t>2296-2565</t>
  </si>
  <si>
    <t>FRONT PUBLIC HEALTH</t>
  </si>
  <si>
    <t>Front. Public Health</t>
  </si>
  <si>
    <t>FEB 17 2025</t>
  </si>
  <si>
    <t>1470072</t>
  </si>
  <si>
    <t>10.3389/fpubh.2025.1470072</t>
  </si>
  <si>
    <t>http://dx.doi.org/10.3389/fpubh.2025.1470072</t>
  </si>
  <si>
    <t>Public, Environmental &amp; Occupational Health</t>
  </si>
  <si>
    <t>Y9G4E</t>
  </si>
  <si>
    <t>40034169</t>
  </si>
  <si>
    <t>WOS:001435114900001</t>
  </si>
  <si>
    <t>He, FD; Chen, SY; Liu, XL; Yang, XD; Qin, XC</t>
  </si>
  <si>
    <t>Background: Accurately assessing the risk stratification of cN0 papillary thyroid carcinoma (PTC) preoperatively aids in making treatment decisions. We integrated preoperative ultrasound and cytological images of patients to develop and validate a multimodal deep learning (DL) model for non-invasive assessment of N0 PTC risk stratification before surgery. Methods: In this retrospective multicenter group study, we developed a comprehensive DL model based on ultrasound and cytological images. The model was trained and validated on 890 PTC patients undergoing thyroidectomy and lymph node dissection across five medical centers. The testing group included 107 patients from one medical center. We analyzed the model's performance, including the area under the receiver operating characteristic curve, accuracy, sensitivity, and specificity. Results: The combined DL model demonstrated strong performance, with an area under the curve (AUC) of 0.922 (0.866-0.979) in the internal validation group and an AUC of 0.845 (0.794-0.895) in the testing group. The diagnostic performance of the combined DL model surpassed that of clinical models. Image region heatmaps assisted in interpreting the diagnosis of risk stratification. Conclusion: The multimodal DL model based on ultrasound and cytological images can accurately determine the risk stratification of N0 PTC and guide treatment decisions. (c) 2025 The Association of Academic Radiology. Published by Elsevier Inc. All rights are reserved, including those for text and data mining, AI training, and similar technologies.</t>
  </si>
  <si>
    <t>He, Fanding; Chen, Shiyin; Liu, Xiaoling; Yang, Xudan; Qin, Xiachuan</t>
  </si>
  <si>
    <t>Qin, XC (corresponding author), Chengdu Second Peoples Hosp, Dept Ultrasound, Chengdu 610000, Peoples R China.</t>
  </si>
  <si>
    <t>11326636@qq.com</t>
  </si>
  <si>
    <t>Primary Health Development Research Center of Sichuan Province Program [SWFZ23-C-99]</t>
  </si>
  <si>
    <t>Primary Health Development Research Center of Sichuan Province Program</t>
  </si>
  <si>
    <t>This work was supported by the Primary Health Development Research Center of Sichuan Province Program (SWFZ23-C-99) .</t>
  </si>
  <si>
    <t>[He, Fanding] Univ Elect Sci &amp; Technol China, Sichuan Prov Peoples Hosp, Sch Med, Dept Med Ultrasound, Chengdu 610000, Peoples R China; [Chen, Shiyin] Univ Elect Sci &amp; Technol China, Sichuan Prov Peoples Hosp, Sch Med, Dept Chinese Med, Chengdu 610000, Peoples R China; [Liu, Xiaoling] Capital Med Univ, Dept Ultrasound, Beijing Anzhen Nanchong Hosp, Nanchong 637000, Sichuan, Peoples R China; [Liu, Xiaoling] Nanchong Cent Hosp, Nanchong 637000, Sichuan, Peoples R China; [Yang, Xudan] Univ Elect Sci &amp; Technol China, Sichuan Prov Peoples Hosp, Sch Med, Dept Pathol, Chengdu 610000, Peoples R China; [Qin, Xiachuan] Chengdu Second Peoples Hosp, Dept Ultrasound, Chengdu 610000, Peoples R China</t>
  </si>
  <si>
    <t>Sichuan Provincial People's Hospital; University of Electronic Science &amp; Technology of China; University of Electronic Science &amp; Technology of China; Sichuan Provincial People's Hospital; Capital Medical University; North Sichuan Medical University; Sichuan Provincial People's Hospital; University of Electronic Science &amp; Technology of China; Sichuan University</t>
  </si>
  <si>
    <t>Multimodal Deep Learning Model Based on Ultrasound and Cytological Images Predicts Risk Stratification of cN0 Papillary Thyroid Carcinoma</t>
  </si>
  <si>
    <t>ACADEMIC RADIOLOGY</t>
  </si>
  <si>
    <t>CN0 papillary thyroid carcinoma; Risk stratification; Ultrasound; Cytology; Multimodal deep learning.</t>
  </si>
  <si>
    <t>1076-6332</t>
  </si>
  <si>
    <t>1878-4046</t>
  </si>
  <si>
    <t>ACAD RADIOL</t>
  </si>
  <si>
    <t>Acad. Radiol.</t>
  </si>
  <si>
    <t>5091</t>
  </si>
  <si>
    <t>5099</t>
  </si>
  <si>
    <t>10.1016/j.acra.2025.06.043</t>
  </si>
  <si>
    <t>http://dx.doi.org/10.1016/j.acra.2025.06.043</t>
  </si>
  <si>
    <t>7AU6X</t>
  </si>
  <si>
    <t>40664556</t>
  </si>
  <si>
    <t>WOS:001566611500001</t>
  </si>
  <si>
    <t>Mahootiha, M; Tak, D; Ye, ZZ; Zapaishchykova, A; Likitlersuang, J; Pardo, JCC; Boyd, A; Vajapeyam, S; Chopra, R; Prabhu, SP; Liu, KX; Elhalawani, H; Nabavizadeh, A; Familiar, A; Mueller, S; Aerts, HJWL; Bandopadhayay, P; Ligon, KL; Haas-Kogan, D; Poussaint, TY; Qadir, HA; Balasingham, I; Kann, BH</t>
  </si>
  <si>
    <t>Background. Postoperative recurrence risk for pediatric low-grade gliomas (pLGGs) is challenging to predict by conventional clinical, radiographic, and genomic factors. We investigated if deep learning (DL) of magnetic resonance imaging (MRI) tumor features could improve postoperative pLGG risk stratification. Methods. We used a pretrained DL tool designed for pLGG segmentation to extract pLGG imaging features from preoperative T2-weighted MRI from patients who underwent surgery (DL-MRI features). Patients were pooled from 2 institutions: Dana Farber/Boston Children's Hospital (DF/BCH) and the Children's Brain Tumor Network (CBTN). We trained 3 DL logistic hazard models to predict postoperative event-free survival (EFS) probabilities with (1) clinical features, (2) DL-MRI features, and (3) multimodal (clinical and DL-MRI features). We evaluated the models with a time-dependent Concordance Index (C-td) and risk group stratification with Kaplan-Meier plots and log-rank tests. We developed an automated pipeline integrating pLGG segmentation and EFS prediction with the best model. Results. Of the 396 patients analyzed (median follow-up: 85 months, range: 1.5-329 months), 214 (54%) underwent gross total resection and 110 (28%) recurred. The multimodal model improved EFS prediction compared to the DL-MRI and clinical models (C-td: 0.85 (95% CI: 0.81-0.93), 0.79 (95% CI: 0.70-0.88), and 0.72 (95% CI: 0.57-0.77), respectively). The multimodal model improved risk-group stratification (3-year EFS for predicted high-risk: 31% versus low-risk: 92%, P &lt; .0001). Conclusions. DL extracts imaging features that can inform postoperative recurrence prediction for pLGG. Multimodal DL improves postoperative risk stratification for pLGG and may guide postoperative decision-making. Larger, multicenter training data may be needed to improve model generalizability.</t>
  </si>
  <si>
    <t>Mahootiha, Maryamalsadat; Tak, Divyanshu; Ye, Zezhong; Zapaishchykova, Anna; Likitlersuang, Jirapat; Pardo, Juan Carlos Climent; Boyd, Aidan; Vajapeyam, Sridhar; Chopra, Rishi; Prabhu, Sanjay P.; Liu, Kevin X.; Elhalawani, Hesham; Nabavizadeh, Ali; Familiar, Ariana; Mueller, Sabine; Aerts, Hugo J. W. L.; Bandopadhayay, Pratiti; Ligon, Keith L.; Haas-Kogan, Daphne; Poussaint, Tina Y.; Qadir, Hemin Ali; Balasingham, Ilangko; Kann, Benjamin H.</t>
  </si>
  <si>
    <t>Kann, BH (corresponding author), Harvard Med Sch, Dana Farber Canc Inst, Dept Radiat Oncol, 75 Francis St, Boston, MA 02115 USA.; Kann, BH (corresponding author), Harvard Med Sch, Brigham &amp; Womens Hosp, 75 Francis St, Boston, MA 02115 USA.</t>
  </si>
  <si>
    <t>benjamin_kann@dfci.harvard.edu</t>
  </si>
  <si>
    <t>National Institutes of Health; Research Council of Norway</t>
  </si>
  <si>
    <t>National Institutes of Health (United States Department of Health &amp; Human Services, National Institutes of Health (NIH) - USA); Research Council of Norway (Research Council of Norway)</t>
  </si>
  <si>
    <t>We acknowledge the assistance provided by OpenAI's ChatGPT4 in contributing to rephrasing certain sections of the manuscript. We acknowledge BioRender platform for providing the tools to create most of the illustrations in this paper. We acknowledge the Research Council of Norway for providing travel funding that facilitated the collaboration between researchers in Norway and the United States.</t>
  </si>
  <si>
    <t>[Mahootiha, Maryamalsadat; Tak, Divyanshu; Ye, Zezhong; Zapaishchykova, Anna; Likitlersuang, Jirapat; Pardo, Juan Carlos Climent; Boyd, Aidan; Chopra, Rishi; Aerts, Hugo J. W. L.; Kann, Benjamin H.] Harvard Med Sch, Artificial Intelligence Med AIM Program, Mass Gen Brigham, Boston, MA USA; [Mahootiha, Maryamalsadat; Tak, Divyanshu; Ye, Zezhong; Zapaishchykova, Anna; Likitlersuang, Jirapat; Pardo, Juan Carlos Climent; Boyd, Aidan; Chopra, Rishi; Liu, Kevin X.; Elhalawani, Hesham; Aerts, Hugo J. W. L.; Haas-Kogan, Daphne; Kann, Benjamin H.] Harvard Med Sch, Brigham &amp; Womens Hosp, Boston Childrens Hosp, Dept Radiat Oncol,Dana Farber Canc Inst, Boston, MA USA; [Mahootiha, Maryamalsadat; Qadir, Hemin Ali; Balasingham, Ilangko] Oslo Univ Hosp, Intervent Ctr, Oslo, Norway; [Mahootiha, Maryamalsadat] Univ Oslo, Fac Med, Oslo, Norway; [Vajapeyam, Sridhar; Prabhu, Sanjay P.; Poussaint, Tina Y.] Harvard Med Sch, Boston Childrens Hosp, Dept Radiol, Boston, MA USA; [Nabavizadeh, Ali; Familiar, Ariana] Childrens Hosp Philadelphia, Ctr Data Driven Discovery Biomed D3b, Philadelphia, PA USA; [Nabavizadeh, Ali] Univ Penn, Perelman Sch Med, Dept Radiol, Philadelphia, PA USA; [Familiar, Ariana] Childrens Hosp Philadelphia, Dept Neurosurg, Philadelphia, PA USA; [Mueller, Sabine] Univ Calif San Francisco, Dept Neurol, San Francisco, CA USA; [Mueller, Sabine] Univ Calif San Francisco, Dept Pediat, San Francisco, CA USA; [Mueller, Sabine] Univ Calif San Francisco, Dept Neurol Surg, San Francisco, CA USA; [Aerts, Hugo J. W. L.] Harvard Med Sch, Brigham &amp; Womens Hosp, Dana Farber Canc Inst, Dept Radiol, Boston, MA USA; [Aerts, Hugo J. W. L.] Maastricht Univ, Radiol &amp; Nucl Med, CARIM, Maastricht, Netherlands; [Aerts, Hugo J. W. L.] Maastricht Univ, GROW, Maastricht, Netherlands; [Bandopadhayay, Pratiti] Harvard Med Sch, Boston Childrens Hosp, Dana Farber Canc Inst, Dept Pediat Oncol, Boston, MA 02115 USA; [Ligon, Keith L.] Harvard Med Sch, Boston Childrens Hosp, Dana Farber Canc Inst, Dept Pediat Oncol, Boston, MA 02115 USA; [Balasingham, Ilangko] Norwegian Univ Sci &amp; Technol, Dept Elect Syst, Trondheim, Norway</t>
  </si>
  <si>
    <t>Harvard University; Mass General Brigham; Harvard Medical School; Harvard University; Harvard Medical School; Harvard University Medical Affiliates; Boston Children's Hospital; Brigham &amp; Women's Hospital; Dana-Farber Cancer Institute; University of Oslo; University of Oslo; Harvard University; Harvard Medical School; Harvard University Medical Affiliates; Boston Children's Hospital; University of Pennsylvania; Pennsylvania Medicine; Childrens Hospital of Philadelphia; University of Pennsylvania; Pennsylvania Medicine; University of Pennsylvania; Pennsylvania Medicine; Childrens Hospital of Philadelphia; University of California System; University of California San Francisco; University of California System; University of California San Francisco; University of California System; University of California San Francisco; Harvard University; Harvard Medical School; Harvard University Medical Affiliates; Brigham &amp; Women's Hospital; Dana-Farber Cancer Institute; Maastricht University; Maastricht University Medical Centre (MUMC); Maastricht University; Harvard University; Harvard Medical School; Harvard University Medical Affiliates; Boston Children's Hospital; Dana-Farber Cancer Institute; Harvard University; Harvard Medical School; Harvard University Medical Affiliates; Boston Children's Hospital; Dana-Farber Cancer Institute; Norwegian University of Science &amp; Technology (NTNU)</t>
  </si>
  <si>
    <t>Multimodal deep learning improves recurrence risk prediction in pediatric low-grade gliomas</t>
  </si>
  <si>
    <t>NEURO-ONCOLOGY</t>
  </si>
  <si>
    <t>cancer prognosis; deep learning; event-free survival; MRI; pediatric low-grade glioma</t>
  </si>
  <si>
    <t>SURVIVAL; MRI; CHILDREN; ONCOLOGY; FEATURES; MODELS; CANCER</t>
  </si>
  <si>
    <t>Balasingham, Ilangko/AGU-7268-2022; Ligon, Keith/B-2141-2008; Aerts, Hugo/ABF-2821-2020; Vajapeyam, Sridhar/MYR-1714-2025; Ye, Zezhong/H-7904-2019; PRABHU, SANJAY/A-9947-2013; Liu, Kevin/E-4319-2015; Zapaishchykova, Anna/IQV-7354-2023</t>
  </si>
  <si>
    <t>Familiar, Ariana/0000-0002-9315-8653; Kann, Benjamin/0000-0002-4313-2754; Mahootiha, Maryam/0000-0003-3964-8114; Zapaishchykova, Anna/0000-0001-6860-9160</t>
  </si>
  <si>
    <t>OXFORD UNIV PRESS INC</t>
  </si>
  <si>
    <t>CARY</t>
  </si>
  <si>
    <t>JOURNALS DEPT, 2001 EVANS RD, CARY, NC 27513 USA</t>
  </si>
  <si>
    <t>1522-8517</t>
  </si>
  <si>
    <t>1523-5866</t>
  </si>
  <si>
    <t>Neuro-Oncology</t>
  </si>
  <si>
    <t>SEP 27 2024</t>
  </si>
  <si>
    <t>277</t>
  </si>
  <si>
    <t>290</t>
  </si>
  <si>
    <t>10.1093/neuonc/noae173</t>
  </si>
  <si>
    <t>http://dx.doi.org/10.1093/neuonc/noae173</t>
  </si>
  <si>
    <t>Oncology; Clinical Neurology</t>
  </si>
  <si>
    <t>Oncology; Neurosciences &amp; Neurology</t>
  </si>
  <si>
    <t>S3D8R</t>
  </si>
  <si>
    <t>39211987</t>
  </si>
  <si>
    <t>WOS:001321514900001</t>
  </si>
  <si>
    <t>hybrid; Green Published; Green Submitted</t>
  </si>
  <si>
    <t>Nishizawa, T; Maldjian, T; Jiao, ZC; Duong, TQ</t>
  </si>
  <si>
    <t>BackgroundAccurate prediction of pathological complete response (pCR) to neoadjuvant chemotherapy has significant clinical utility in the management of breast cancer treatment. Although multimodal deep learning models have shown promise for predicting pCR from medical imaging and other clinical data, their adoption has been limited due to challenges with interpretability and generalizability across institutions.MethodsWe developed a multimodal deep learning model combining post contrast-enhanced whole-breast MRI at pre- and post-treatment timepoints with non-imaging clinical features. The model integrates 3D convolutional neural networks and self-attention to capture spatial and cross-modal interactions. We utilized two public multi-institutional datasets to perform internal and external validation of the model. For model training and validation, we used data from the I-SPY 2 trial (N = 660). For external validation, we used the I-SPY 1 dataset (N = 114).ResultsOf the 660 patients in I-SPY 2, 217 patients achieved pCR (32.88%). Of the 114 patients in I-SPY 1, 29 achieved pCR (25.44%). The attention-based multimodal model yielded the best predictive performance with an AUC of 0.73 +/- 0.04 on the internal data and an AUC of 0.71 +/- 0.02 on the external dataset. The MRI-only model (internal AUC = 0.68 +/- 0.03, external AUC = 0.70 +/- 0.04) and the non-MRI clinical features-only model (internal AUC = 0.66 +/- 0.08, external AUC = 0.71 +/- 0.03) trailed in performance, indicating the combination of both modalities is most effective.ConclusionWe present a robust and interpretable deep learning framework for pCR prediction in breast cancer patients undergoing NAC. By combining imaging and clinical data with attention-based fusion, the model achieves strong predictive performance and generalizes across institutions.</t>
  </si>
  <si>
    <t>Nishizawa, Taishi; Maldjian, Takouhie; Jiao, Zhicheng; Duong, Tim Q.</t>
  </si>
  <si>
    <t>Jiao, ZC (corresponding author), Brown Univ, Warren Alpert Med Sch, Dept Diagnost Radiol, Providence, RI 02912 USA.; Duong, TQ (corresponding author), Montefiore Hlth Syst, Dept Radiol, Bronx, NY 10467 USA.; Duong, TQ (corresponding author), Albert Einstein Coll Med, Bronx, NY 10461 USA.</t>
  </si>
  <si>
    <t>tim.duong@einsteinmed.edu; zhicheng_jiao@brown.edu</t>
  </si>
  <si>
    <t>[Nishizawa, Taishi; Jiao, Zhicheng] Brown Univ, Warren Alpert Med Sch, Dept Diagnost Radiol, Providence, RI 02912 USA; [Maldjian, Takouhie; Duong, Tim Q.] Montefiore Hlth Syst, Dept Radiol, Bronx, NY 10467 USA; [Maldjian, Takouhie; Duong, Tim Q.] Albert Einstein Coll Med, Bronx, NY 10461 USA</t>
  </si>
  <si>
    <t>Brown University; Montefiore Medical Center; Yeshiva University; Albert Einstein College of Medicine</t>
  </si>
  <si>
    <t>Attention-based multimodal deep learning for interpretable and generalizable prediction of pathological complete response in breast cancer</t>
  </si>
  <si>
    <t>JOURNAL OF TRANSLATIONAL MEDICINE</t>
  </si>
  <si>
    <t>CNN; 3D ResNet; Artificial intelligence; Magnetic resonance imaging; Dynamic contrast enhanced MRI; Molecular subtypes; Human epidermal growth factor receptor 2 (HER2); Triple negative; Hormonal receptor; Progression free survival</t>
  </si>
  <si>
    <t>Duong, Tim/AAL-8357-2021</t>
  </si>
  <si>
    <t>Duong, Tim/0000-0001-6403-2827; Maldjian, Takouhie/0000-0002-2131-4063; Nishizawa, Taishi/0009-0001-0255-3042</t>
  </si>
  <si>
    <t>1479-5876</t>
  </si>
  <si>
    <t>J TRANSL MED</t>
  </si>
  <si>
    <t>J. Transl. Med.</t>
  </si>
  <si>
    <t>JUL 10 2025</t>
  </si>
  <si>
    <t>774</t>
  </si>
  <si>
    <t>10.1186/s12967-025-06617-w</t>
  </si>
  <si>
    <t>http://dx.doi.org/10.1186/s12967-025-06617-w</t>
  </si>
  <si>
    <t>Medicine, Research &amp; Experimental</t>
  </si>
  <si>
    <t>Research &amp; Experimental Medicine</t>
  </si>
  <si>
    <t>4UN7N</t>
  </si>
  <si>
    <t>40640789</t>
  </si>
  <si>
    <t>WOS:001527001000002</t>
  </si>
  <si>
    <t>Shimizu, T; Inomata, K; Suda, K; Harmon, SM; Komatsu, M; Ota, M; Ushirozako, H; Minami, A; Maki, S; Endo, T; Yamada, K; Iwasaki, N; Takahashi, H; Yamazaki, M; Koda, M</t>
  </si>
  <si>
    <t>PurposePredicting the prognosis of cervical spinal cord injury (CSCI) is crucial for patients and healthcare providers, as it informs treatment decisions and rehabilitation planning. This study aimed to develop a multimodal machine learning model integrating clinical and MRI data to predict neurological outcomes in CSCI patients.MethodsWe conducted a retrospective study of 247 patients with traumatic CSCI who underwent posterior decompression and fusion surgery at a specialized spinal cord injury center between April 2015 and June 2021. Clinical data, including demographics, comorbidities, laboratory data, and neurological findings, were collected. T2-weighted sagittal MRI images were analyzed using a convolutional neural network pre-trained on RadImageNet. Clinical and MRI features were integrated to construct a multimodal predictive model using the Light Gradient Boosting Machine algorithm, validated with 5-fold cross-validation. The primary outcome was defined as achieving American Spinal Injury Association (ASIA) Impairment Scale (AIS) grade D or higher at 6 months post-injury. Shapley Additive Explanations identified key contributing factors in predicting these neurological outcomes.ResultsThe model achieved an accuracy of 0.90 and an AUC of 0.94 for predicting recovery to AIS grade D or higher at 6 months post-injury. Key predictors included lower extremity ASIA motor score (AMS), AIS grade at admission, upper extremity AMS, age, HbA1c, and MRI-derived features.ConclusionThis multimodal model demonstrated superior predictive accuracy compared to previous monomodal approaches, emphasizing the value of combining clinical and MRI data. These findings highlight the potential of multimodal predictive models in improving clinical decision-making and outcomes for CSCI patients.</t>
  </si>
  <si>
    <t>Shimizu, Tomoaki; Inomata, Kento; Suda, Kota; Harmon, Satoko Matsumoto; Komatsu, Miki; Ota, Masahiro; Ushirozako, Hiroki; Minami, Akio; Maki, Satoshi; Endo, Tsutomu; Yamada, Katsuhisa; Iwasaki, Norimasa; Takahashi, Hiroshi; Yamazaki, Masashi; Koda, Masao</t>
  </si>
  <si>
    <t>Shimizu, T (corresponding author), Hokkaido Spinal Cord Injury Ctr, Hokkaido, Japan.; Shimizu, T (corresponding author), Univ Tsukuba, Tsukuba, Japan.</t>
  </si>
  <si>
    <t>inomatakento41@gmail.com; a-minami@hokkaidoh-s.johas.go.jp; masaokod@gmail.com; mikiorthopaeee@yahoo.co.jp; masashiy@tsukuba-seikei.jp; t.endo@med.hokudai.ac.jp; satoshimaki@gmail.com; yka2q@pop.med.hokudai.ac.jp; sudako@hokkaidoh-s.johas.go.jp; otapro2007@yahoo.co.jp; satoko.og.hanna@gmail.com; hhtaka@tsukuba-seikei.jp; niwasaki@med.hokudai.ac.jp; tomoaki.shimizu.96@gmail.com; verisa0808@gmail.com</t>
  </si>
  <si>
    <t>CSP VA [573, 573] Funding Source: Medline</t>
  </si>
  <si>
    <t>CSP VA</t>
  </si>
  <si>
    <t>[Shimizu, Tomoaki; Inomata, Kento; Suda, Kota; Harmon, Satoko Matsumoto; Komatsu, Miki; Ota, Masahiro; Ushirozako, Hiroki; Minami, Akio] Hokkaido Spinal Cord Injury Ctr, Hokkaido, Japan; [Shimizu, Tomoaki; Inomata, Kento; Takahashi, Hiroshi; Yamazaki, Masashi; Koda, Masao] Univ Tsukuba, Tsukuba, Japan; [Maki, Satoshi] Chiba Univ, Chiba, Japan; [Endo, Tsutomu; Yamada, Katsuhisa; Iwasaki, Norimasa] Hokkaido Univ, Sapporo, Japan</t>
  </si>
  <si>
    <t>University of Tsukuba; Chiba University; Hokkaido University</t>
  </si>
  <si>
    <t>A multimodal machine learning model integrating clinical and MRI data for predicting neurological outcomes following surgical treatment for cervical spinal cord injury</t>
  </si>
  <si>
    <t>EUROPEAN SPINE JOURNAL</t>
  </si>
  <si>
    <t>Cervical spinal cord injury; Machine learning; Deep learning; Multimodal prediction model; Neurological outcomes</t>
  </si>
  <si>
    <t>Ushirozako, Hiroki/AAH-5949-2019; Yamada, Katsuhisa/AEU-2712-2022; Iwasaki, Norimasa/D-6448-2012; Yamazaki, Masashi/OEO-0749-2025</t>
  </si>
  <si>
    <t>0940-6719</t>
  </si>
  <si>
    <t>1432-0932</t>
  </si>
  <si>
    <t>EUR SPINE J</t>
  </si>
  <si>
    <t>Eur. Spine J.</t>
  </si>
  <si>
    <t>3747</t>
  </si>
  <si>
    <t>3755</t>
  </si>
  <si>
    <t>10.1007/s00586-025-08873-2</t>
  </si>
  <si>
    <t>http://dx.doi.org/10.1007/s00586-025-08873-2</t>
  </si>
  <si>
    <t>7KG1Y</t>
  </si>
  <si>
    <t>40261391</t>
  </si>
  <si>
    <t>WOS:001472138300001</t>
  </si>
  <si>
    <t>Xie, NN; Liang, YW; Luo, ZX; Hu, J; Ge, RQ; Wan, X; Wang, CM; Zou, GN; Guo, F; Jiang, Y</t>
  </si>
  <si>
    <t>Purpose Early-stage cirrhosis frequently presents without symptoms, making timely identification of high-risk patients challenging. We aimed to develop a deep learning-based triple-modal fusion liver cirrhosis network (TMF-LCNet) for the prediction of adverse outcomes, offering a promising tool to enhance early risk assessment and improve clinical management strategies. Methods This retrospective study included 243 patients with early-stage cirrhosis across two centers. Adverse outcomes were defined as the development of severe complications like ascites, hepatic encephalopathy and variceal bleeding. TMF-LCNet was developed by integrating three types of data: non-contrast abdominal CT images, radiomic features extracted from liver and spleen, and clinical text detailing laboratory parameters and adipose tissue composition measurements. TMF-LCNet was compared with conventional methods on the same dataset, and single-modality versions of TMF-LCNet were tested to determine the impact of each data type. Model effectiveness was measured using the area under the receiver operating characteristics curve (AUC) for discrimination, calibration curves for model fit, and decision curve analysis (DCA) for clinical utility. Results TMF-LCNet demonstrated superior predictive performance compared to conventional image-based, radiomics-based, and multimodal methods, achieving an AUC of 0.797 in the training cohort (n = 184) and 0.747 in the external test cohort (n = 59). Only TMF-LCNet exhibited robust model calibration in both cohorts. Of the three data types, the imaging modality contributed the most, as the image-only version of TMF-LCNet achieved performance closest to the complete version (AUC = 0.723 and 0.716, respectively; p &gt; 0.05). This was followed by the text modality, with radiomics contributing the least, a pattern consistent with the clinical utility trends observed in DCA. Conclusion TMF-LCNet represents an accurate and robust tool for predicting adverse outcomes in early-stage cirrhosis by integrating multiple data types. It holds potential for early identification of high-risk patients, guiding timely interventions, and ultimately improving patient prognosis.</t>
  </si>
  <si>
    <t>Xie, Nanai; Liang, Yiwen; Luo, Zixin; Hu, Jing; Ge, Ruiquan; Wan, Xiang; Wang, Changmiao; Zou, Guannan; Guo, Feng; Jiang, Yi</t>
  </si>
  <si>
    <t>Jiang, Y (corresponding author), Chinese Univ Hong Kong, Affiliated Hosp 2, Shenzhen &amp; Longgang Dist Peoples Hosp Shenzhen, Sch Med,Dept Radiol, Shenzhen, Peoples R China.; Guo, F (corresponding author), Xinjiang Uygur Autonomous Reg Chinese Med Hosp, Dept Liver Dis, Urumqi, Peoples R China.</t>
  </si>
  <si>
    <t>echo.hj.9120@163.com; gf_sj@163.com; lzxxx_9921@163.com; cmwangalbert@gmail.com; lywenn@163.com; gespring@hdu.edu.cn; jacky_1001@163.com; wanxiang@sribd.cn; xienanai@163.com; zgn18718211753@163.com</t>
  </si>
  <si>
    <t>[Xie, Nanai; Liang, Yiwen; Luo, Zixin; Zou, Guannan; Jiang, Yi] Chinese Univ Hong Kong, Affiliated Hosp 2, Shenzhen &amp; Longgang Dist Peoples Hosp Shenzhen, Sch Med,Dept Radiol, Shenzhen, Peoples R China; [Hu, Jing] Shukun Technol Co Ltd, Beijing, Peoples R China; [Ge, Ruiquan] Hangzhou Dianzi Univ, Sch Comp Sci, Hangzhou, Peoples R China; [Wan, Xiang; Wang, Changmiao] Shenzhen Res Inst Big Data, Med Big Data Lab, Shenzhen, Peoples R China; [Guo, Feng] Xinjiang Uygur Autonomous Reg Chinese Med Hosp, Dept Liver Dis, Urumqi, Peoples R China</t>
  </si>
  <si>
    <t>Longgang District People's Hospital, Shenzhen; The Chinese University of Hong Kong, Shenzhen; Hangzhou Dianzi University; Shenzhen Research Institute of Big Data</t>
  </si>
  <si>
    <t>Early prediction of adverse outcomes in liver cirrhosis using a CT-based multimodal deep learning model</t>
  </si>
  <si>
    <t>Liver cirrhosis; Prognosis; Computed tomography; Deep learning; Radiomics; Adipose tissue</t>
  </si>
  <si>
    <t>MANAGEMENT; GUIDELINES; FEATURES</t>
  </si>
  <si>
    <t>Ge, Ruiquan/AEY-6870-2022; Wang, Changmiao/LIG-0945-2024</t>
  </si>
  <si>
    <t>Wang, Changmiao/0000-0003-2466-5990</t>
  </si>
  <si>
    <t>JAN 2026</t>
  </si>
  <si>
    <t>137</t>
  </si>
  <si>
    <t>150</t>
  </si>
  <si>
    <t>10.1007/s00261-025-05045-0</t>
  </si>
  <si>
    <t>http://dx.doi.org/10.1007/s00261-025-05045-0</t>
  </si>
  <si>
    <t>DC5LJ</t>
  </si>
  <si>
    <t>40576670</t>
  </si>
  <si>
    <t>WOS:001518892800001</t>
  </si>
  <si>
    <t>González, JD; Canals, P; Rodrigo-Gisbert, M; Mayol, J; García-Tornel, A; Ribó, M</t>
  </si>
  <si>
    <t>Purpose: This study explores a multi-modal deep learning approach that integrates pre-intervention neuroimaging and clinical data to predict endovascular therapy (EVT) outcomes in acute ischemic stroke patients. To this end, consecutive stroke patients undergoing EVT were included in the study, including patients with suspected Intracranial Atherosclerosis-related Large Vessel Occlusion ICAD-LVO and other refractory occlusions. Methods: A retrospective, single-center cohort of patients with anterior circulation LVO who underwent EVT between 2017-2023 was analyzed. Refractory LVO (rLVO) defined class, comprised patients who presented any of the following: final angiographic stenosis &gt; 50 %, unsuccessful recanalization (eTICI 0-2a) or required rescue treatments (angioplasty +/- stenting). Neuroimaging data included non-contrast CT and CTA volumes, automated vascular segmentation, and CT perfusion parameters. Clinical data included demographics, comorbidities and stroke severity. Imaging features were encoded using convolutional neural networks and fused with clinical data using a DAFT module. Data were split 80 % for training (with four-fold cross-validation) and 20 % for testing. Explainability methods were used to analyze the contribution of clinical variables and regions of interest in the images. Results: The final sample comprised 599 patients; 481 for training the model (77, 16.0 % rLVO), and 118 for testing (16, 13.6 % rLVO). The best model predicting rLVO using just imaging achieved an AUC of 0.53 +/- 0.02 and F1 of 0.19 +/- 0.05 while the proposed multimodal model achieved an AUC of 0.70 +/- 0.02 and F1 of 0.39 +/- 0.02 in testing. Conclusion: Combining vascular segmentation, clinical variables, and imaging data improved prediction performance over single-source models. This approach offers an early alert to procedural complexity, potentially guiding more tailored, timely intervention strategies in the EVT workflow.</t>
  </si>
  <si>
    <t>Gonzalez, Jesus D.; Canals, Pere; Rodrigo-Gisbert, Marc; Mayol, Jordi; Garcia-Tornel, Alvaro; Ribo, Marc</t>
  </si>
  <si>
    <t>González, JD (corresponding author), Vall dHebron Inst Recerca, Stroke Res Unit, Pg Vall dHebron 129, Barcelona 08035, Spain.</t>
  </si>
  <si>
    <t>jesus.gonzalez.riveros@vhir.org</t>
  </si>
  <si>
    <t>[Gonzalez, Jesus D.; Canals, Pere; Rodrigo-Gisbert, Marc; Mayol, Jordi; Garcia-Tornel, Alvaro; Ribo, Marc] Hosp Valle De Hebron, Stroke Unit, Barcelona, Spain; [Gonzalez, Jesus D.; Canals, Pere; Rodrigo-Gisbert, Marc; Mayol, Jordi; Garcia-Tornel, Alvaro; Ribo, Marc] Univ Autonoma Barcelona, Dept Med, Barcelona, Spain</t>
  </si>
  <si>
    <t>Hospital Universitari Vall d'Hebron; Autonomous University of Barcelona</t>
  </si>
  <si>
    <t>Multimodal deep learning for predicting unsuccessful recanalization in refractory large vessel occlusion</t>
  </si>
  <si>
    <t>EUROPEAN JOURNAL OF RADIOLOGY</t>
  </si>
  <si>
    <t>Acute ischemic stroke; Intracranial atherosclerosis disease; Artificial intelligence; Multimodal deep learning; Explainable AI</t>
  </si>
  <si>
    <t>ISCHEMIC-STROKE</t>
  </si>
  <si>
    <t>Gonzalez, Jesus/OEN-7169-2025; Garcia Tornel, Alvaro/JXN-8415-2024; Rodrigo-Gisbert, Marc/HGC-5284-2022; Ribo, Marc/R-5704-2019</t>
  </si>
  <si>
    <t>Mayol, Jordi/0009-0005-9289-4658; Gonzalez Riveros, Jesus David/0000-0002-9828-0594; Canals, Pere/0000-0003-0192-3272; Ribo, Marc/0000-0001-9242-043X</t>
  </si>
  <si>
    <t>0720-048X</t>
  </si>
  <si>
    <t>1872-7727</t>
  </si>
  <si>
    <t>EUR J RADIOL</t>
  </si>
  <si>
    <t>Eur. J. Radiol.</t>
  </si>
  <si>
    <t>190</t>
  </si>
  <si>
    <t>112254</t>
  </si>
  <si>
    <t>10.1016/j.ejrad.2025.112254</t>
  </si>
  <si>
    <t>http://dx.doi.org/10.1016/j.ejrad.2025.112254</t>
  </si>
  <si>
    <t>4KX0M</t>
  </si>
  <si>
    <t>40544716</t>
  </si>
  <si>
    <t>WOS:001520453300001</t>
  </si>
  <si>
    <t>Huang, W; Xu, Y; Li, Z; Li, J; Chen, Q; Huang, Q; Wu, YP; Chen, HT</t>
  </si>
  <si>
    <t>Pancreatic cystic neoplasms (PCNs) are a complex group of lesions with a spectrum of malignancy. Accurate differentiation of PCN types is crucial for patient management, as misdiagnosis can result in unnecessary surgeries or treatment delays, affecting the quality of life. The significance of developing a non-invasive, accurate diagnostic model is underscored by the need to improve patient outcomes and reduce the impact of these conditions. We developed a machine learning model capable of accurately identifying different types of PCNs in a non-invasive manner, by using a dataset comprising 449 MRI and 568 CT scans from adult patients, spanning from 2009 to 2022. The study's results indicate that our multimodal machine learning algorithm, which integrates both clinical and imaging data, significantly outperforms single-source data algorithms. Specifically, it demonstrated state-of-the-art performance in classifying PCN types, achieving an average accuracy of 91.2%, precision of 91.7%, sensitivity of 88.9%, and specificity of 96.5%. Remarkably, for patients with mucinous cystic neoplasms (MCNs), regardless of undergoing MRI or CT imaging, the model achieved a 100% prediction accuracy rate. It indicates that our non-invasive multimodal machine learning model offers strong support for the early screening of MCNs, and represents a significant advancement in PCN diagnosis for improving clinical practice and patient outcomes. We also achieved the best results on an additional pancreatic cancer dataset, which further proves the generality of our model.</t>
  </si>
  <si>
    <t>Huang, Wei; Xu, Yue; Li, Zhao; Li, Jun; Chen, Qing; Huang, Qiang; Wu, Yaping; Chen, Hongtan</t>
  </si>
  <si>
    <t>Chen, HT (corresponding author), Zhejiang Univ, Affiliated Hosp 1, Dept Gastroenterol, Sch Med, Hangzhou, Peoples R China.; Li, Z (corresponding author), Zhejiang Lab, Res Ctr Data Hub &amp; Secur, Hangzhou, Peoples R China.</t>
  </si>
  <si>
    <t>chenhongtan@zju.edu.cn; lzjoey@gmail.com</t>
  </si>
  <si>
    <t>[Huang, Wei; Xu, Yue; Chen, Hongtan] Zhejiang Univ, Affiliated Hosp 1, Dept Gastroenterol, Sch Med, Hangzhou, Peoples R China; [Li, Zhao] Zhejiang Lab, Res Ctr Data Hub &amp; Secur, Hangzhou, Peoples R China; [Li, Jun; Chen, Qing] Zhejiang Univ, Sch Med, Affiliated Hosp 1, Dept Pathol, Hangzhou, Peoples R China; [Huang, Qiang; Wu, Yaping] Zhejiang Univ, Affiliated Hosp 1, Dept Imaging, Sch Med, Hangzhou, Peoples R China</t>
  </si>
  <si>
    <t>Zhejiang University; Zhejiang Laboratory; Zhejiang University; Zhejiang University</t>
  </si>
  <si>
    <t>Enhancing noninvasive pancreatic cystic neoplasm diagnosis with multimodal machine learning</t>
  </si>
  <si>
    <t>Pancreatic cystic neoplasms; Machine learning; Diagnostic classification; Multimodal data; Clinical screening</t>
  </si>
  <si>
    <t>GUIDELINES; MANAGEMENT; IPMN</t>
  </si>
  <si>
    <t>Li, Zhao/LJL-9012-2024</t>
  </si>
  <si>
    <t>MAY 12 2025</t>
  </si>
  <si>
    <t>16398</t>
  </si>
  <si>
    <t>10.1038/s41598-025-01502-4</t>
  </si>
  <si>
    <t>http://dx.doi.org/10.1038/s41598-025-01502-4</t>
  </si>
  <si>
    <t>2NL8N</t>
  </si>
  <si>
    <t>40355497</t>
  </si>
  <si>
    <t>WOS:001486830600045</t>
  </si>
  <si>
    <t>Aksoy, S; Demircioglu, P; Bogrekci, I</t>
  </si>
  <si>
    <t>Background: Skin cancer represents one of the most prevalent malignancies worldwide, with melanoma accounting for approximately 75% of skin cancer-related deaths despite comprising fewer than 5% of cases. Early detection dramatically improves survival rates from 14% to over 99%, highlighting the urgent need for accurate and accessible diagnostic tools. While deep learning has shown promise in dermatological diagnosis, existing approaches lack clinical explainability and deployable interfaces that bridge the gap between research innovation and practical healthcare applications. Methods: This study implemented a comprehensive multimodal deep learning framework using the HAM10000 dataset (10,015 dermatoscopic images across seven diagnostic categories). Three CNN architectures (DenseNet-121, EfficientNet-B3, ResNet-50) were systematically compared, integrating patient metadata, including age, sex, and anatomical location, with dermatoscopic image analysis. The first implementation of XRAI (eXplanation with Region-based Attribution for Images) explainability for skin lesion classification was developed, providing spatially coherent explanations aligned with clinical reasoning patterns. A deployable web-based clinical interface was created, featuring real-time inference, comprehensive safety protocols, risk stratification, and evidence-based cosmetic recommendations for benign conditions. Results: EfficientNet-B3 achieved superior performance with 89.09% test accuracy and 90.08% validation accuracy, significantly outperforming DenseNet-121 (82.83%) and ResNet-50 (78.78%). Test-time augmentation improved performance by 1.00 percentage point to 90.09%. The model demonstrated excellent performance for critical malignant conditions: melanoma (81.6% confidence), basal cell carcinoma (82.1% confidence), and actinic keratoses (88% confidence). XRAI analysis revealed clinically meaningful attention patterns focusing on irregular pigmentation for melanoma, ulcerated borders for basal cell carcinoma, and surface irregularities for precancerous lesions. Error analysis showed that misclassifications occurred primarily in visually ambiguous cases with high correlation (0.855-0.968) between model attention and ideal features. The web application successfully validated real-time diagnostic capabilities with appropriate emergency protocols for malignant conditions and comprehensive cosmetic guidance for benign lesions. Conclusions: This research successfully developed the first clinically deployable skin lesion classification system combining diagnostic accuracy with explainable AI and practical patient guidance. The integration of XRAI explainability provides essential transparency for clinical acceptance, while the web-based deployment democratizes access to advanced dermatological AI capabilities. Comprehensive validation establishes readiness for controlled clinical trials and potential integration into healthcare workflows, particularly benefiting underserved regions with limited specialist availability. This work bridges the critical gap between research-grade AI models and practical clinical utility, establishing a foundation for responsible AI integration in dermatological practice.</t>
  </si>
  <si>
    <t>Aksoy, Serra; Demircioglu, Pinar; Bogrekci, Ismail</t>
  </si>
  <si>
    <t>Demircioglu, P (corresponding author), Aydin Adnan Menderes Univ ADU, Dept Mech Engn, TR-09010 Aydin, Turkiye.</t>
  </si>
  <si>
    <t>serra.aksoy@campus.lmu.de; ibogrekci@adu.edu.tr; pinar.demircioglu@adu.edu.tr</t>
  </si>
  <si>
    <t>[Aksoy, Serra] Ludwig Maximilian Univ Munich LMU, Inst Comp Sci, Oettingenstr 67, D-80538 Munich, Germany; [Demircioglu, Pinar; Bogrekci, Ismail] Aydin Adnan Menderes Univ ADU, Dept Mech Engn, TR-09010 Aydin, Turkiye</t>
  </si>
  <si>
    <t>University of Munich</t>
  </si>
  <si>
    <t>Web-Based Multimodal Deep Learning Platform with XRAI Explainability for Real-Time Skin Lesion Classification and Clinical Decision Support</t>
  </si>
  <si>
    <t>COSMETICS</t>
  </si>
  <si>
    <t>skin lesion classification; deep learning; explainable artificial intelligence; XRAI; dermatoscopy; melanoma detection; clinical deployment; multimodal fusion</t>
  </si>
  <si>
    <t>Demircioglu, Pinar/AFG-7330-2022; Aksoy, Serra/KVB-0012-2024; BOGREKCI, Ismail/AFQ-2670-2022</t>
  </si>
  <si>
    <t>Demircioglu, Pinar/0000-0003-1375-5616; Aksoy, Serra/0009-0001-2391-9437; BOGREKCI, Ismail/0000-0002-9494-5405</t>
  </si>
  <si>
    <t>2079-9284</t>
  </si>
  <si>
    <t>COSMETICS-BASEL</t>
  </si>
  <si>
    <t>Cosmetics</t>
  </si>
  <si>
    <t>SEP 8 2025</t>
  </si>
  <si>
    <t>194</t>
  </si>
  <si>
    <t>10.3390/cosmetics12050194</t>
  </si>
  <si>
    <t>http://dx.doi.org/10.3390/cosmetics12050194</t>
  </si>
  <si>
    <t>Biochemistry &amp; Molecular Biology; Dermatology</t>
  </si>
  <si>
    <t>9BL7Q</t>
  </si>
  <si>
    <t>WOS:001602368500001</t>
  </si>
  <si>
    <t>Wei, P; Yang, YY; Yan, YH; Wei, CH; Hui, PJ</t>
  </si>
  <si>
    <t>Objective: To establish and validate the radiomics model of carotid vulnerable plaque. Methods: 182 patients who underwent carotid endarterectomy in the First Affiliated Hospital of Soochow University from January 2019 to June 2022 were retrospectively analyzed. Plaque ultrasound images were acquired and segmented, and features were extracted using the R package "EBImage". Six machine learning algorithms were used to construct a plaque vulnerability classifier model. The relationship between clinical biomarkers and outcomes was evaluated using linear regression and the False Discovery Rate (FDR) correction method. Results: Diabetes, neutrophils, monocytes, high-sensitivity C-reactive protein, high-density lipoprotein, and stenosis rate were found to have a strong association with plaque vulnerability. The Naive Bayes algorithm performed well in the training set using image features alone, with an AUC of 0.840, and an AUC of 0.762 in the test set. The Decision Tree algorithm had certain performance in the training set using image features alone, with an AUC of 0.609, and an AUC of 0.626 in the test set. The Naive Bayes algorithm achieved excellent performance in the training set using both plaque ultrasound imaging features and clinical laboratory indicators, with an AUC of 0.922, and an AUC of 0.928 in the test set. Conclusion: The above radiomics model can be used to predict the vulnerable carotid plaque before surgery. By combining plaque ultrasound imaging with clinical blood biomarkers, a more comprehensive and accurate assessment of plaque vulnerability can be achieved, thereby reducing the risk of cardiovascular events.</t>
  </si>
  <si>
    <t>Wei, Ping; Yang, Yuanyuan; Yan, Yanhong; Wei, Chunhong; Hui, Pinjing</t>
  </si>
  <si>
    <t>Hui, PJ (corresponding author), Soochow Univ, Affiliated Hosp 1, Dept Stroke Ctr, Suzhou, Peoples R China.</t>
  </si>
  <si>
    <t>pinjinghui2021@126.com</t>
  </si>
  <si>
    <t>Ethics Committee of the First Affiliated Hospital of Soochow University [2024,466]</t>
  </si>
  <si>
    <t>Ethics Committee of the First Affiliated Hospital of Soochow University</t>
  </si>
  <si>
    <t>All experimental protocols were approved by the Ethics Committee of the First Affiliated Hospital of Soochow University. All patients signed informed consent before surgery and received support from the Ethics Committee of the First Affiliated Hospital of Soochow University (No. 2024,466) .</t>
  </si>
  <si>
    <t>[Wei, Ping; Yan, Yanhong; Hui, Pinjing] Soochow Univ, Affiliated Hosp 1, Dept Stroke Ctr, Suzhou, Peoples R China; [Wei, Ping] Xuzhou Med Univ, Huaian Hosp, Dept Ultrasound, Huaian, Peoples R China; [Yang, Yuanyuan] Fudan Univ, Minhang Hosp, Dept Pathol, Shanghai, Peoples R China</t>
  </si>
  <si>
    <t>Soochow University - China; Xuzhou Medical University; Fudan University</t>
  </si>
  <si>
    <t>Development and validation of a multimodal machine learning model integrating ultrasound imaging and serum biomarkers for vulnerable carotid plaque prediction</t>
  </si>
  <si>
    <t>SLAS TECHNOLOGY</t>
  </si>
  <si>
    <t>Carotid plaque vulnerability; Multimodal machine learning; Radiomics; Ultrasound biomarkers; Prognostic model</t>
  </si>
  <si>
    <t>ATHEROSCLEROSIS</t>
  </si>
  <si>
    <t>2472-6303</t>
  </si>
  <si>
    <t>2472-6311</t>
  </si>
  <si>
    <t>SLAS TECHNOL</t>
  </si>
  <si>
    <t>SLAS Technol.</t>
  </si>
  <si>
    <t>100361</t>
  </si>
  <si>
    <t>10.1016/j.slast.2025.100361</t>
  </si>
  <si>
    <t>http://dx.doi.org/10.1016/j.slast.2025.100361</t>
  </si>
  <si>
    <t>Biochemical Research Methods; Chemistry, Analytical</t>
  </si>
  <si>
    <t>Biochemistry &amp; Molecular Biology; Chemistry</t>
  </si>
  <si>
    <t>9SU2Q</t>
  </si>
  <si>
    <t>41173194</t>
  </si>
  <si>
    <t>WOS:001614170800001</t>
  </si>
  <si>
    <t>Cui, HC; Zhao, YC; Xiong, S; Feng, YL; Li, P; Lv, Y; Chen, Q; Wang, RH; Xie, PT; Luo, ZL; Cheng, SD; Wang, WJ; Li, X; Xiong, DK; Cao, XY; Bai, SY; Yang, AM; Cheng, B</t>
  </si>
  <si>
    <t>Importance Diagnosing solid lesions in the pancreas via endoscopic ultrasonographic (EUS) images is challenging. Artificial intelligence (AI) has the potential to help with such diagnosis, but existing AI models focus solely on a single modality. Objective To advance the clinical diagnosis of solid lesions in the pancreas through developing a multimodal AI model integrating both clinical information and EUS images. Design, Setting, and ParticipantsIn this randomized crossover trial conducted from January 1 to June 30, 2023, from 4 centers across China, 12 endoscopists of varying levels of expertise were randomly assigned to diagnose solid lesions in the pancreas with or without AI assistance. Endoscopic ultrasonographic images and clinical information of 439 patients from 1 institution who had solid lesions in the pancreas between January 1, 2014, and December 31, 2022, were collected to train and validate the joint-AI model, while 189 patients from 3 external institutions were used to evaluate the robustness and generalizability of the model. Intervention Conventional or AI-assisted diagnosis of solid lesions in the pancreas. Main Outcomes and Measures In the retrospective dataset, the performance of the joint-AI model was evaluated internally and externally. In the prospective dataset, diagnostic performance of the endoscopists with or without the AI assistance was compared. Results The retrospective dataset included 628 patients (400 men [63.7%]; mean [SD] age, 57.7 [27.4] years) who underwent EUS procedures. A total of 130 patients (81 men [62.3%]; mean [SD] age, 58.4 [11.7] years) were prospectively recruited for the crossover trial. The area under the curve of the joint-AI model ranged from 0.996 (95% CI, 0.993-0.998) in the internal test dataset to 0.955 (95% CI, 0.940-0.968), 0.924 (95% CI, 0.888-0.955), and 0.976 (95% CI, 0.942-0.995) in the 3 external test datasets, respectively. The diagnostic accuracy of novice endoscopists was significantly enhanced with AI assistance (0.69 [95% CI, 0.61-0.76] vs 0.90 [95% CI, 0.83-0.94]; P &lt; .001), and the supplementary interpretability information alleviated the skepticism of the experienced endoscopists. Conclusions and Relevance In this randomized crossover trial of diagnosing solid lesions in the pancreas with or without AI assistance, the joint-AI model demonstrated positive human-AI interaction, which suggested its potential to facilitate a clinical diagnosis. Nevertheless, future randomized clinical trials are warranted.</t>
  </si>
  <si>
    <t>Cui, Haochen; Zhao, Yuchong; Xiong, Si; Feng, Yunlu; Li, Peng; Lv, Ying; Chen, Qian; Wang, Ronghua; Xie, Pengtao; Luo, Zhenlong; Cheng, Sideng; Wang, Wujun; Li, Xing; Xiong, Dingkun; Cao, Xinyuan; Bai, Shuya; Yang, Aiming; Cheng, Bin</t>
  </si>
  <si>
    <t>Cheng, B (corresponding author), Huazhong Univ Sci &amp; Technol, Tongji Hosp, Tongji Med Coll, Dept Gastroenterol &amp; Hepatol, Wuhan 430030, Peoples R China.; Yang, AM (corresponding author), Chinese Acad Med Sci &amp; Peking Union Med Coll, Peking Union Med Coll Hosp, Dept Gastroenterol, Beijing 100730, Peoples R China.</t>
  </si>
  <si>
    <t>yangaiming@medmail.com.cn; b.cheng@tjh.tjmu.edu.cn</t>
  </si>
  <si>
    <t>National Natural Science Foundation of China [82203812, 82173318]</t>
  </si>
  <si>
    <t>This study is supported by the National Natural Science Foundation of China (grant 82203812 [Dr Y. Zhao] and grant 82173318 [Dr B. Cheng]).</t>
  </si>
  <si>
    <t>[Cui, Haochen; Zhao, Yuchong; Xiong, Si; Chen, Qian; Luo, Zhenlong; Bai, Shuya; Cheng, Bin] Huazhong Univ Sci &amp; Technol, Tongji Hosp, Tongji Med Coll, Dept Gastroenterol &amp; Hepatol, Wuhan 430030, Peoples R China; [Feng, Yunlu; Xiong, Dingkun; Cao, Xinyuan; Yang, Aiming] Chinese Acad Med Sci &amp; Peking Union Med Coll, Peking Union Med Coll Hosp, Dept Gastroenterol, Beijing 100730, Peoples R China; [Li, Peng] Capital Med Univ, Beijing Friendship Hosp, Dept Gastroenterol, Beijing, Peoples R China; [Lv, Ying] Nanjing Univ, Nanjing Drum Tower Hosp, Affiliated Drum Tower Hosp, Dept Gastroenterol,Med Sch, Nanjing, Jiangsu, Peoples R China; [Wang, Ronghua] Univ Pittsburgh, Sch Med, Dept Surg, Pittsburgh, PA USA; [Xie, Pengtao] Univ Calif San Diego, Dept Elect &amp; Comp Engn, La Jolla, CA USA; [Cheng, Sideng] Algoma Univ, Dept Comp Sci, Sault Ste Marie, ON, Canada; [Wang, Wujun; Li, Xing] Wuhan EndoAngel Med Technol Co, Wuhan, Peoples R China</t>
  </si>
  <si>
    <t>Huazhong University of Science &amp; Technology; Chinese Academy of Medical Sciences - Peking Union Medical College; Peking Union Medical College; Peking Union Medical College Hospital; Capital Medical University; Nanjing University; Pennsylvania Commonwealth System of Higher Education (PCSHE); University of Pittsburgh; University of California System; University of California San Diego; Algoma University</t>
  </si>
  <si>
    <t>Diagnosing Solid Lesions in the Pancreas With Multimodal Artificial Intelligence A Randomized Crossover Trial</t>
  </si>
  <si>
    <t>ADENOCARCINOMA; FNA</t>
  </si>
  <si>
    <t>Lv, Ying/HJY-3517-2023; Zhao, Yuchong/GQY-6610-2022; Xiong, Shiyu/ONJ-9548-2025; Feng, Yunlu/AAS-8014-2020; Cui, Haochen/NIU-8910-2025</t>
  </si>
  <si>
    <t>Zhao, Yuchong/0000-0003-2245-8541</t>
  </si>
  <si>
    <t>JUL 19 2024</t>
  </si>
  <si>
    <t>e2422454</t>
  </si>
  <si>
    <t>10.1001/jamanetworkopen.2024.22454</t>
  </si>
  <si>
    <t>http://dx.doi.org/10.1001/jamanetworkopen.2024.22454</t>
  </si>
  <si>
    <t>ZB6A1</t>
  </si>
  <si>
    <t>39028670</t>
  </si>
  <si>
    <t>WOS:001272857200003</t>
  </si>
  <si>
    <t>Jantscher, M; Gunzer, F; Reishofer, G; Kern, R</t>
  </si>
  <si>
    <t>Purpose: This study investigates the causal mechanisms underlying radiology report generation by analyzing how clinical information and prior imaging examinations contribute to annotation shifts. We systematically estimate why and how biases manifest, providing insights into the data generation process that influences radiology reporting. Methods: This retrospective study analyzes 172,380 chest X-ray reports from 45,561 distinct patients in the MIMIC-IV CXR database. The study focuses on conditional effects for the diseases pneumonia, pleurisy, heart failure, rib fracture, and COPD. Propensity score matching is employed to balance the treatment and control groups, followed by logistic regression and neural network models to estimate causal effects. Statistical analysis involves calculating risk differences and 95% confidence intervals to determine significance (p &lt;= 0.05). Sensitivity analysis is deployed to estimate the robustness of the effect estimates. Results: The inclusion of clinical questions significantly influences the reporting of key observational findings. For instance, the probability of mentioning cardiomegaly increases by 15% (p &lt;= 0.05) when a clinical question is posed conditioned on rib fracture. Similar effects are observed for support devices across multiple diseases. However, the impact of clinical information varies by disease. For instance, in the presence of clinical questions, the mention of pneumonia increases significantly for one disease, while for others there is no significant effect. Conclusion: This study demonstrates how annotation bias in radiology reports arises from clinical context and prior imaging access. Understanding these causal mechanisms is essential for mitigating biases in dataset curation, ensuring more reliable AI models, and improving the generalizability of multimodal medical imaging systems.</t>
  </si>
  <si>
    <t>Jantscher, Michael; Gunzer, Felix; Reishofer, Gernot; Kern, Roman</t>
  </si>
  <si>
    <t>Jantscher, M (corresponding author), Know Ctr GmbH, Graz, Austria.</t>
  </si>
  <si>
    <t>mjantscher@know-center.at</t>
  </si>
  <si>
    <t>Austrian Federal Ministry for Climate Action, Environment, Energy, Mobility, Innovation and Technology (BMK); Austrian Research Promotion Agency (FFG) , Austria; Austrian COMET Program-Competence Centers for Excellent Technologies, Austria of BMK; Austrian Federal Ministry for Digital and Economic Affairs (BMDW); State of Styria, Austria</t>
  </si>
  <si>
    <t>This publication is part of the project "Simplification of Medical Reports using Artificial Intelligence" (SimplifAI) funded by the Austrian Federal Ministry for Climate Action, Environment, Energy, Mobility, Innovation and Technology (BMK) and the Austrian Research Promotion Agency (FFG) , Austria within the strategic objective ICT of the Future (https:// www.ffg.at/iktderzukunft) . Know Center is funded within the Austrian COMET Program-Competence Centers for Excellent Technologies, Austria-under the auspices of BMK, the Austrian Federal Ministry for Digital and Economic Affairs (BMDW) and by the State of Styria, Austria. COMET is managed by FFG. The MIMIC-IV dataset utilized in this study is provided by the MIT Laboratory for Computational Physiology under the PhysioNet platform (https://physionet.org/content/mimiciv/2.2/) .</t>
  </si>
  <si>
    <t>[Jantscher, Michael] Know Ctr GmbH, Graz, Austria; [Gunzer, Felix] Univ Hosp Zurich, Diagnost &amp; intervent Radiol, Zurich, Switzerland; [Gunzer, Felix] Univ Hosp Zurich, Dept Neuroradiol, Zurich, Switzerland; [Reishofer, Gernot] Med Univ Graz, Dept Radiol, Div Neuroradiol Vasc &amp; Intervent Radiol, Graz, Austria; [Reishofer, Gernot] BioTechMed Graz, Graz, Austria; [Kern, Roman] Graz Univ Technol, Machine Learning &amp; Neural Computat, Graz, Austria</t>
  </si>
  <si>
    <t>University of Zurich; University Zurich Hospital; University of Zurich; University Zurich Hospital; Medical University of Graz; Graz University of Technology</t>
  </si>
  <si>
    <t>Causal insights from clinical information in radiology: Enhancing future multimodal AI development</t>
  </si>
  <si>
    <t>Causal data generation process; Multimodal AI in radiology; Data bias; Radiology reports; Chest X-ray (CXR)</t>
  </si>
  <si>
    <t>PROPENSITY SCORE; IDENTIFICATION; DATABASE</t>
  </si>
  <si>
    <t>Kern, Roman/ABG-3805-2020; Reishofer, Gernot/E-9215-2011</t>
  </si>
  <si>
    <t>Jantscher, Michael/0009-0001-4779-0762; Gunzer, Felix/0000-0001-6257-0381; Kern, Roman/0000-0003-0202-6100; Reishofer, Gernot/0000-0002-3068-6475</t>
  </si>
  <si>
    <t>268</t>
  </si>
  <si>
    <t>108810</t>
  </si>
  <si>
    <t>10.1016/j.cmpb.2025.108810</t>
  </si>
  <si>
    <t>http://dx.doi.org/10.1016/j.cmpb.2025.108810</t>
  </si>
  <si>
    <t>2WM8E</t>
  </si>
  <si>
    <t>40378553</t>
  </si>
  <si>
    <t>WOS:001492987800001</t>
  </si>
  <si>
    <t>Welchman, AE; Kourtzi, Z</t>
  </si>
  <si>
    <t>The development of effective therapeutics for Alzheimer's Disease and related dementias (ADRD) has been hindered by patient heterogeneity and the limitations of current diagnostic tools. New treatments have no chance of working if given to patients who cannot benefit from them. This perspective explores how advances in Artificial Intelligence (AI), particularly multimodal machine learning, can solve the 'Goldilocks problem' of identifying patients for inclusion in clinical trials and support precision treatment in real-world healthcare settings. We examine the challenges of patient stratification, grounded by a conceptual framework of identifying each person's stage and subtype of dementia. We review data from several clinical trials of Alzheimer's disease therapeutics, to explore how AI-guided patient stratification can improve trial outcomes, reduce costs and improve recruitment. Further, we discuss the integration of AI into clinical workflows, the importance of model interpretability and generalizability, and ethical imperative to address algorithmic bias. By combining AI with scientific insight, clinical expertise, and patient experience, we argue that intelligent analytics can accelerate the discovery and delivery of new diagnostics and therapeutics, ultimately transforming dementia care and improving outcomes for patients around the globe.</t>
  </si>
  <si>
    <t>Welchman, Andrew E.; Kourtzi, Zoe</t>
  </si>
  <si>
    <t>Kourtzi, Z (corresponding author), Univ Cambridge, Dept Psychol, Cambridge CB2 3EB, England.</t>
  </si>
  <si>
    <t>zk240@cam.ac.uk</t>
  </si>
  <si>
    <t>Royal Society [INF \R2\202107]; Wellcome Trust [221633/Z/20/Z]; Alzheimer's Research UK [ARUK-PG2023B-010]; RAi UK [EP/Y009800/1]</t>
  </si>
  <si>
    <t>Royal Society (Royal Society UK); Wellcome Trust (Wellcome Trust); Alzheimer's Research UK (Alzheimer's Research UK (ARUK)); RAi UK</t>
  </si>
  <si>
    <t>This work was supported by grants to ZK from the Royal Society (INF \R2\202107) , Wellcome Trust (221633/Z/20/Z) , Alzheimer's Research UK (ARUK-PG2023B-010) , RAi UK (EP/Y009800/1) . For the purpose of open access, the authors have applied for a CC BY public copyright license to any Author Accepted Manuscript version arising from this submission.</t>
  </si>
  <si>
    <t>[Welchman, Andrew E.] Prodromic Ltd, Milton Hall,Ely Rd, Cambridge CB24 6WZ, England; [Kourtzi, Zoe] Univ Cambridge, Dept Psychol, Cambridge CB2 3EB, England</t>
  </si>
  <si>
    <t>University of Cambridge</t>
  </si>
  <si>
    <t>Solving the 'Goldilocks problem' in dementia clinical trials with multimodal AI</t>
  </si>
  <si>
    <t>JPAD-JOURNAL OF PREVENTION OF ALZHEIMERS DISEASE</t>
  </si>
  <si>
    <t>Multimodal AI; Clinical trials; Imaging; Cognition; Alzheimer's disease; Early prediction</t>
  </si>
  <si>
    <t>ALZHEIMERS-DISEASE; RANDOMIZED-TRIAL; VERUBECESTAT; ADUCANUMAB</t>
  </si>
  <si>
    <t>Welchman, Andrew/B-7542-2013</t>
  </si>
  <si>
    <t>Welchman, Andrew/0000-0002-7559-3299</t>
  </si>
  <si>
    <t>2274-5807</t>
  </si>
  <si>
    <t>2426-0266</t>
  </si>
  <si>
    <t>JPAD-J PREV ALZHEIM</t>
  </si>
  <si>
    <t>JPAD-J. Prev. Alzheimers Dis.</t>
  </si>
  <si>
    <t>100397</t>
  </si>
  <si>
    <t>10.1016/j.tjpad.2025.100397</t>
  </si>
  <si>
    <t>http://dx.doi.org/10.1016/j.tjpad.2025.100397</t>
  </si>
  <si>
    <t>Clinical Neurology</t>
  </si>
  <si>
    <t>P3145</t>
  </si>
  <si>
    <t>41326296</t>
  </si>
  <si>
    <t>WOS:001633459300001</t>
  </si>
  <si>
    <t>gold; Green Submitted; Green Published</t>
  </si>
  <si>
    <t>Lakatos, R; Pollner, P; Hajdu, A; Joó, T</t>
  </si>
  <si>
    <t>Covert tobacco advertisements often raise regulatory measures. This paper presents that artificial intelligence, particularly deep learning, has great potential for detecting hidden advertising and allows unbiased, reproducible, and fair quantification of tobacco-related media content. We propose an integrated text and image processing model based on deep learning, generative methods, and human reinforcement, which can detect smoking cases in both textual and visual formats, even with little available training data. Our model can achieve 74% accuracy for images and 98% for text. Furthermore, our system integrates the possibility of expert intervention in the form of human reinforcement. Using the pre-trained multimodal, image, and text processing models available through deep learning makes it possible to detect smoking in different media even with few training data.</t>
  </si>
  <si>
    <t>Lakatos, Robert; Pollner, Peter; Hajdu, Andras; Joo, Tamas</t>
  </si>
  <si>
    <t>Lakatos, R (corresponding author), Univ Debrecen, Doctoral Sch Informat, Debrecen, Hungary.; Lakatos, R (corresponding author), Univ Debrecen, Fac Informat, Dept Data Sci &amp; Visualizat, Debrecen, Hungary.; Lakatos, R (corresponding author), Neumann Nonprofit Ltd, Neumann Technol Platform, Budapest, Hungary.</t>
  </si>
  <si>
    <t>lakatos.robert@inf.unideb.hu</t>
  </si>
  <si>
    <t>Ministry of Culture and Innovation of Hungary from the National Research, Development, and Innovation Fund [C1774095, GINOP-2.3.2-15-2016-00005]; European Union - European Social Fund [TKP2021-NKTA-34]; National Research, Development, and Innovation Fund of Hungary under the TKP2021-NKTA; National Research, Development and Innovation Office of Hungary [RRF-2.3.1-21-2022-00006]; (Data-Driven Health Division of National Laboratory for Health Security)</t>
  </si>
  <si>
    <t>Ministry of Culture and Innovation of Hungary from the National Research, Development, and Innovation Fund; European Union - European Social Fund; National Research, Development, and Innovation Fund of Hungary under the TKP2021-NKTA; National Research, Development and Innovation Office of Hungary; (Data-Driven Health Division of National Laboratory for Health Security)</t>
  </si>
  <si>
    <t>The author(s) declare financial support was received for the research, authorship, and/or publication of this article. The project no. KDP-2021 has been implemented with the support provided by the Ministry of Culture and Innovation of Hungary from the National Research, Development, and Innovation Fund, financed under the C1774095 funding scheme. Also, this work was partly funded by the project GINOP-2.3.2-15-2016-00005 supported by the European Union, co-financed by the European Social Fund, and by the project TKP2021-NKTA-34, implemented with the support provided by the National Research, Development, and Innovation Fund of Hungary under the TKP2021-NKTA funding scheme. In addition, the study received further funding from the National Research, Development and Innovation Office of Hungary grant (RRF-2.3.1-21-2022-00006, Data-Driven Health Division of National Laboratory for Health Security).r The author(s) declare financial support was received for the research, authorship, and/or publication of this article. The project no. KDP-2021 has been implemented with the support provided by the Ministry of Culture and Innovation of Hungary from the National Research, Development, and Innovation Fund, financed under the C1774095 funding scheme. Also, this work was partly funded by the project GINOP-2.3.2-15-2016-00005 supported by the European Union, co-financed by the European Social Fund, and by the project TKP2021-NKTA-34, implemented with the support provided by the National Research, Development, and Innovation Fund of Hungary under the TKP2021-NKTA funding scheme. In addition, the study received further funding from the National Research, Development and Innovation Office of Hungary grant (RRF-2.3.1-21-2022-00006, Data-Driven Health Division of National Laboratory for Health Security).</t>
  </si>
  <si>
    <t>[Lakatos, Robert] Univ Debrecen, Doctoral Sch Informat, Debrecen, Hungary; [Lakatos, Robert; Hajdu, Andras] Univ Debrecen, Fac Informat, Dept Data Sci &amp; Visualizat, Debrecen, Hungary; [Lakatos, Robert; Joo, Tamas] Neumann Nonprofit Ltd, Neumann Technol Platform, Budapest, Hungary; [Pollner, Peter; Joo, Tamas] Semmelweis Univ, Hlth Serv Management Training Ctr, Data Driven Hlth Div, Natl Lab Hlth Secur, Budapest, Hungary</t>
  </si>
  <si>
    <t>University of Debrecen; University of Debrecen; Semmelweis University</t>
  </si>
  <si>
    <t>A multimodal deep learning architecture for smoking detection with a small data approach</t>
  </si>
  <si>
    <t>AI supported preventive healthcare; pre-training with generative AI; multimodal deep learning; automated assessment of covert advertisement; few-shot learning; smoking detections</t>
  </si>
  <si>
    <t>Joo, Tamas/P-9979-2018; Hajdu, Andras/F-4885-2013; Pollner, Peter/ITV-5375-2023</t>
  </si>
  <si>
    <t>FEB 28 2024</t>
  </si>
  <si>
    <t>1326050</t>
  </si>
  <si>
    <t>10.3389/frai.2024.1326050</t>
  </si>
  <si>
    <t>http://dx.doi.org/10.3389/frai.2024.1326050</t>
  </si>
  <si>
    <t>KU8C0</t>
  </si>
  <si>
    <t>38481821</t>
  </si>
  <si>
    <t>WOS:001182558700001</t>
  </si>
  <si>
    <t>Kumar, S; Gupta, SK; Kumar, V; Kumar, M; Chaube, MK; Naik, NS</t>
  </si>
  <si>
    <t>Over the past few years, the awful COVID-19 pandemic effect has become a lethal sickness. The processing of the gathered samples requires extra time due to the use of medical diagnostic equipment, methodologies, and clinical testing procedures for the early diagnosis of infected individuals. An innovative multimodal paradigm for the early diagnosis and precise categorization of COVID-19 is put up as a solution to this issue. To extract distinguishing features from the prepared chest X-ray picture and cough (audio) database, chest X-ray-based and cough-based model are used here. Other public chest X-ray image datasets, and the Coswara cough (audio) dataset containing 92 COVID-19 positive, and 1079 healthy subjects (people) using the deep Uniform-Net, and Convolutional Neural Network (CNN). The weighted sum -rule fusion method and ensemble deep learning algorithms are utilized to further combine the extracted features. For the early diagnosis of patients, the framework offers an accuracy of 98.67%.</t>
  </si>
  <si>
    <t>Kumar, Santosh; Gupta, Sachin Kumar; Kumar, Vinit; Kumar, Manoj; Chaube, Mithilesh Kumar; Naik, Nenavath Srinivas</t>
  </si>
  <si>
    <t>Kumar, M (corresponding author), Univ Wollongong Dubai, Fac Engn &amp; Informat Sci, Dubai Knowledge Pk, Dubai, U Arab Emirates.</t>
  </si>
  <si>
    <t>srinu@iiitnr.edu.in; mithilesh@iiitnr.edu.in; santosh@iiitnr.edu.in; dr.vinitkumar76@gmail.com; wss.manojkumar@gmail.com; sachin.gupta@smvdu.ac.in</t>
  </si>
  <si>
    <t>[Kumar, Santosh; Naik, Nenavath Srinivas] Int Inst Informat Technol IIIT Naya Raipur, Dept Comp Sci &amp; Engn, Naya Raipur 4933661, Chhattisgarh, India; [Gupta, Sachin Kumar] Shri Mata Vaishno Devi Univ, Sch Elect &amp; Commun Engn, Katra, J&amp;K, India; [Kumar, Vinit] Galgotias Coll Engn &amp; Technol, Greater Noida 201306, India; [Kumar, Manoj] Univ Wollongong Dubai, Fac Engn &amp; Informat Sci, Dubai Knowledge Pk, Dubai, U Arab Emirates; [Chaube, Mithilesh Kumar] Int Inst Informat Technol IIIT Naya Raipur, Dept Math Sci, Naya Raipur 4933661, Chhattisgarh, India</t>
  </si>
  <si>
    <t>Shri Mata Vaishno Devi University; University of Wollongong; University of Wollongong Dubai</t>
  </si>
  <si>
    <t>Ensemble multimodal deep learning for early diagnosis and accurate classification of COVID-19</t>
  </si>
  <si>
    <t>COMPUTERS &amp; ELECTRICAL ENGINEERING</t>
  </si>
  <si>
    <t>Deep learning; Machine Learning; COVID-19; Ensemble Learning; Fusion</t>
  </si>
  <si>
    <t>PREDICTION</t>
  </si>
  <si>
    <t>Kumar, Vinit/LNR-2201-2024; Chaube, Mithilesh Kumar/AAV-7844-2020; /AAQ-8026-2021; /AAX-1737-2020; Kumar, Manoj/AFS-0700-2022; Kumar, Manoj/AFS-0700-2022</t>
  </si>
  <si>
    <t>Chaube, Mithilesh Kumar/0000-0001-7086-1277; Kumar, Manoj/0000-0001-5113-0639; Kumar, Manoj/0000-0001-9598-0280; Kumar, Vinit/0000-0003-3253-5643</t>
  </si>
  <si>
    <t>0045-7906</t>
  </si>
  <si>
    <t>1879-0755</t>
  </si>
  <si>
    <t>COMPUT ELECTR ENG</t>
  </si>
  <si>
    <t>Comput. Electr. Eng.</t>
  </si>
  <si>
    <t>103</t>
  </si>
  <si>
    <t>10.1016/j.compeleceng.2022.108396</t>
  </si>
  <si>
    <t>http://dx.doi.org/10.1016/j.compeleceng.2022.108396</t>
  </si>
  <si>
    <t>SEP 2022</t>
  </si>
  <si>
    <t>Computer Science, Hardware &amp; Architecture; Computer Science, Interdisciplinary Applications; Engineering, Electrical &amp; Electronic</t>
  </si>
  <si>
    <t>5L3ZK</t>
  </si>
  <si>
    <t>36160764</t>
  </si>
  <si>
    <t>WOS:000870354100010</t>
  </si>
  <si>
    <t>Huang, Y; Li, P; Zhong, XN; Luo, DP; Zhou, Y; Li, YJ; Sun, MH; Zhang, LJ; Yang, LH; Li, JL; Tao, Y</t>
  </si>
  <si>
    <t>Background: Traditional methods like endoscopy and imaging are important for IBD management, which are limited by operator dependency, complexity, and high costs, making standardization and routine monitoring difficult. Methods: In this study, seven machine learning algorithms were applied to the UK Biobank database to optimize the selection of clinical features and identify key variables associated with IBD. The nnUNetv2 model was then used for CT gut segmentation and validated by a local dataset. Next, the YOLOv10 algorithm was employed to accurately detect IBD lesion regions in the intestine. Finally, an IBD diagnostic model was developed by integrating the selected clinical features with the YOLOv10 identification results, thereby demonstrating the advantages of multimodal data integration. Results: A machine learning-driven feature selection identified chronic abdominal pain, LDL-C, gender, TC, RDW, WBC, ALB, HDL-C, and neutrophil counts as clinical predictors. The nnUNetv2 model achieved high-precision intestinal segmentation, while YOLOv10 demonstrated robust lesion detection. A multimodal nomogram combining clinical features with YOLOv10-derived imaging biomarkers significantly enhanced IBD diagnosis, achieving an AUC of 0.967 that surpassed the clinical-only model (AUC = 0.730). This improvement highlights the synergistic value of deep learning-augmented diagnostics for classification accuracy. Conclusion: Integrating clinical features with AI-driven image analysis improves IBD diagnostic precision, enabling better clinical decision-making and patient outcomes. Novelty: To our knowledge, this is the first multimodal nomogram that combines the predictive clinical features of the UK Biobank scale with CT-based YOLOv10 lesion detection for IBD diagnosis. Different from prior models that solely rely on clinical data or radiomics, our approach achieves integration of population-level epidemiology and deep learning-based imaging, and was validated through external datasets.</t>
  </si>
  <si>
    <t>Huang, Yong; Li, Pan; Zhong, Xiao-N; Luo, Dongpu; Zhou, Yin; Li, Yong-J; Sun, Ming-hong; Zhang, Li-J; Yang, Li-H; Li, Junlong; Tao, Yi</t>
  </si>
  <si>
    <t>Li, JL; Tao, Y (corresponding author), Chongqing Med Univ, Affiliated Hosp 1, Phaseclin Trial Ward 1, Chongqing, Peoples R China.</t>
  </si>
  <si>
    <t>taoziyi77@hotmail.com; junlong1156@163.com</t>
  </si>
  <si>
    <t>National Natural Science Foundation of China (National Natural Science Youth Fund) [82404767]</t>
  </si>
  <si>
    <t>National Natural Science Foundation of China (National Natural Science Youth Fund)</t>
  </si>
  <si>
    <t>Funding This study was funded by National Natural Science Foundation of China (National Natural Science Youth Fund) (82404767) .</t>
  </si>
  <si>
    <t>[Huang, Yong; Zhou, Yin] Chongqing Med Univ, Affiliated Hosp 1, Chongqing 400016, Peoples R China; [Li, Pan] Chongqing Med Univ, Affiliated Hosp 1, Dept Gastroenterol, Chongqing 400016, Peoples R China; [Zhong, Xiao-N] Chongqing Med Univ, Sch Publ Hlth, Chongqing, Peoples R China; [Luo, Dongpu] Hong Kong Polytech Univ, Dept Comp, Hksar, Peoples R China; [Li, Yong-J] Chongqing Med Univ, Chongqing, Peoples R China; [Sun, Ming-hong; Zhang, Li-J; Yang, Li-H; Li, Junlong; Tao, Yi] Chongqing Med Univ, Affiliated Hosp 1, Phaseclin Trial Ward 1, Chongqing, Peoples R China</t>
  </si>
  <si>
    <t>Chongqing Medical University; Chongqing Medical University; Chongqing Medical University; Hong Kong Polytechnic University; Chongqing Medical University; Chongqing Medical University</t>
  </si>
  <si>
    <t>AI-clinic fusion: Multimodal deep learning redefines IBD diagnostics via synergistic CT-clinical feature integration</t>
  </si>
  <si>
    <t>Inflammatory bowel disease; Intestinal segmentation model; Radiomics; YOLOv10; IBD diagnostic model</t>
  </si>
  <si>
    <t>INFLAMMATORY-BOWEL-DISEASE; ENTEROGRAPHY; METAANALYSIS</t>
  </si>
  <si>
    <t>Tao, Yi/PBV-3775-2025</t>
  </si>
  <si>
    <t>100702</t>
  </si>
  <si>
    <t>10.1016/j.array.2026.100702</t>
  </si>
  <si>
    <t>http://dx.doi.org/10.1016/j.array.2026.100702</t>
  </si>
  <si>
    <t>DK7KO</t>
  </si>
  <si>
    <t>WOS:001685743100001</t>
  </si>
  <si>
    <t>Yonemaru, N; Tabuchi, H; Deguchi, H; Omi, Y; Tanabe, M; Ishitobi, N; Maruyama, H; Ayatsuka, Y</t>
  </si>
  <si>
    <t>Background/aims This study aimed to develop a multimodal artificial intelligence (AI) system that integrates fundus imaging and patient questionnaire data to achieve clinician-level diagnostic accuracy for diagnosing retinal detachment (RD).Methods Ultra-widefield fundus images and comprehensive patient questionnaires were collected from patients with RD and healthy controls at Tsukazaki Hospital. A multimodal model was developed using the Contrastive Language-Image Pretraining framework to classify RD cases, alongside separate image-only and questionnaire-only models for comparison. Per-image and per-subject analyses were conducted to assess model performance.Results The multimodal model outperformed single-modal models in per-image and per-subject assessments. It achieved accuracy, recall and F1 scores of 0.899 +/- 0.054, 0.902 +/- 0.043 and 0.902 +/- 0.048 in the per-image analysis and 0.893 +/- 0.071, 0.949 +/- 0.044 and 0.873 +/- 0.074 in the per-subject analysis, respectively. The AI model's overall diagnostic accuracy was slightly lower than that of human clinicians; however, it exhibited a higher recall rate, indicating improved detection of true RD cases.Conclusion Integrating fundus imaging with patient questionnaire data significantly improves AI-based RD diagnosis. Future research needs to focus on expanding the dataset and refining the questionnaire design to further improve model performance.</t>
  </si>
  <si>
    <t>Yonemaru, Naoyuki; Tabuchi, Hitoshi; Deguchi, Hodaka; Omi, Yuto; Tanabe, Mao; Ishitobi, Naofumi; Maruyama, Hisashi; Ayatsuka, Yuji</t>
  </si>
  <si>
    <t>Yonemaru, N (corresponding author), Cresco Ltd, Technol Lab, Minato Ku, Tokyo, Japan.</t>
  </si>
  <si>
    <t>maruyama@cresco.co.jp; y-ayatsuka@cresco.co.jp; y.omi@tsukazaki-eye.net; n.ishitobi@tsukazaki-eye.net; n-yonemaru@cresco.co.jp; h.deguchi@tsukazaki-eye.net; m.tanabe@tsukazaki-eye.net; h.tabuchi@tsukazaki-eye.net</t>
  </si>
  <si>
    <t>CRESCO LTD.</t>
  </si>
  <si>
    <t>This study received support from CRESCO LTD. No specific award or grant number is associated with this funding. The funder did not influence the results/outcomes of the study despite author affiliations with the funder.</t>
  </si>
  <si>
    <t>[Yonemaru, Naoyuki; Maruyama, Hisashi; Ayatsuka, Yuji] Cresco Ltd, Technol Lab, Minato Ku, Tokyo, Japan; [Tabuchi, Hitoshi; Deguchi, Hodaka; Omi, Yuto; Tanabe, Mao; Ishitobi, Naofumi] Tsukazaki Hosital, Dept Ophthalmol, Himeji, Hyogo, Japan; [Tabuchi, Hitoshi] Hiroshima Univ, Dept Technol &amp; Design Thinking Med, Hiroshima, Hiroshima, Japan; [Tabuchi, Hitoshi] Hyogo Med Univ, Dept Ophthalmol, Nishinomiya, Hyogo, Japan</t>
  </si>
  <si>
    <t>Hiroshima University; Hyogo Medical University</t>
  </si>
  <si>
    <t>Multimodal artificial intelligence for retinal detachment diagnosis using fundus imaging and patient questionnaires</t>
  </si>
  <si>
    <t>BRITISH JOURNAL OF OPHTHALMOLOGY</t>
  </si>
  <si>
    <t>Retina</t>
  </si>
  <si>
    <t>/ACT-4100-2022</t>
  </si>
  <si>
    <t>Yonemaru, Naoyuki/0009-0000-8745-8214</t>
  </si>
  <si>
    <t>BMJ PUBLISHING GROUP</t>
  </si>
  <si>
    <t>BRITISH MED ASSOC HOUSE, TAVISTOCK SQUARE, LONDON WC1H 9JR, ENGLAND</t>
  </si>
  <si>
    <t>0007-1161</t>
  </si>
  <si>
    <t>1468-2079</t>
  </si>
  <si>
    <t>BRIT J OPHTHALMOL</t>
  </si>
  <si>
    <t>Br. J. Ophthalmol.</t>
  </si>
  <si>
    <t>591</t>
  </si>
  <si>
    <t>10.1136/bjo-2025-327506</t>
  </si>
  <si>
    <t>http://dx.doi.org/10.1136/bjo-2025-327506</t>
  </si>
  <si>
    <t>HO1PB</t>
  </si>
  <si>
    <t>41203264</t>
  </si>
  <si>
    <t>WOS:001611110900001</t>
  </si>
  <si>
    <t>Ji, LK; Yang, FX; Xiong, ZC; Qiu, J; Zuo, F; Yi, KF; Chen, SB; Chen, WY; Zhao, K; Mohi-ud-din, G</t>
  </si>
  <si>
    <t>Cerebral herniation is a life-threatening neurological emergency, where timely and accurate prediction is crucial for improving patient prognosis. Due to its rapid imaging advantages, CT becomes the preferred choice for cerebral herniation screening. With the continuous development of artificial intelligence technology in the field of neurological diseases, CT-based models provide significant support for computer-aided clinical diagnosis. However, current research on cerebral herniation diagnosis remains limited. Existing methods rely on traditional machine learning or focus solely on midline shift detection, which not only exhibits strong subjectivity but also neglects key structures such as the brainstem and the rich information from sagittal CT images. To address these limitations, this study focuses on mid-sagittal CT images including the brainstem and combines clinical data to construct a multimodal deep learning framework for cerebral herniation prediction. The model integrates mature and advanced deep learning architectures to extract and fuse features from CT images and clinical text data, employing multiscale convolution and attention mechanisms for diagnostic classification. The model is evaluated on datasets from two centers. Results show that on the internal test set, the model achieves accuracy, sensitivity, specificity, and AUC of 89%, 92%, 88%, and 0.94, respectively; on the external test set, it attains accuracy, sensitivity, specificity, and AUC of 81%, 82%, 80%, and 0.89, respectively, outperforming baseline methods and existing state-of-the-art approaches. Additionally, when compared with radiologists on the internal test set, the model's performance matches or exceeds the consensus of physicians. We also reveal the model's focus region through visual analysis, which further deepens the understanding of the model's prediction process and enhances its interpretability. Experiments demonstrate that the proposed method holds significant potential in assisting cerebral herniation diagnosis.</t>
  </si>
  <si>
    <t>Ji, Like; Yang, Fuxing; Xiong, Zicheng; Qiu, Jun; Zuo, Fang; Yi, Kefan; Chen, Shengbo; Chen, Wenying; Zhao, Kai; Mohi-ud-din, Ghulam</t>
  </si>
  <si>
    <t>Mohi-ud-din, G (corresponding author), Nanchang Univ, Sch Software, Nanchang 330031, Peoples R China.</t>
  </si>
  <si>
    <t>mohiuddin@ncu.edu.cn</t>
  </si>
  <si>
    <t>Quanzhou City Science and Technology Program [2024NY040]; Health Commission of Guizhou Province [gzwkj2021-198]; Natural Science Foundation of Henan Province [242300421402]; Ji'An Science and Technology Plan Special Project [20222-151746, 20222-151704]; Ji'An "Revealed Challenge" Key Core Common Technology List Project [2022-1]; High-Level and Urgently Needed Overseas Talent Programs of Jiangxi Province [20232BCJ25026]</t>
  </si>
  <si>
    <t>Quanzhou City Science and Technology Program; Health Commission of Guizhou Province; Natural Science Foundation of Henan Province (National Natural Science Foundation of Henan Province); Ji'An Science and Technology Plan Special Project; Ji'An "Revealed Challenge" Key Core Common Technology List Project; High-Level and Urgently Needed Overseas Talent Programs of Jiangxi Province</t>
  </si>
  <si>
    <t>We especially thank the two radiologists, Zhigang Pan and Fan Wang, for their important contributions to this study.</t>
  </si>
  <si>
    <t>[Ji, Like; Chen, Shengbo] Henan Univ, Sch Software, Kaifeng 475004, Peoples R China; [Yang, Fuxing] Fujian Med Univ, Affiliated Hosp 2, Dept Neurosurg, Quanzhou 362000, Peoples R China; [Xiong, Zicheng] Henan Univ, Sch Comp &amp; Informat Engn &amp; Henan Engn Res, Kaifeng 475004, Peoples R China; [Qiu, Jun] Second Peoples Hosp Yibin, Dept Crit Care Med, Yibin 644000, Peoples R China; [Zuo, Fang] Henan Univ, Henan Int Joint Lab Theories, Kaifeng 475004, Peoples R China; [Zuo, Fang] Henan Univ, Key Technol Intelligence Networks, Kaifeng 475004, Peoples R China; [Yi, Kefan] Zunyi City Honghuagang Dist Peoples Hosp, Clin Ctr Neurol Dis, Zunyi 563000, Peoples R China; [Chen, Shengbo; Mohi-ud-din, Ghulam] Nanchang Univ, Sch Software, Nanchang 330031, Peoples R China; [Chen, Wenying] Jian Third Peoples Hosp, Dept Psychiat, Jian 343000, Peoples R China; [Zhao, Kai] Chinese Acad Med Sci &amp; Peking Union Med Coll, Beijing Inst Brain Res, Beijing 102206, Peoples R China; [Zhao, Kai] Chinese Inst Brain Res, Beijing 102206, Peoples R China</t>
  </si>
  <si>
    <t>Henan University; Fujian Medical University; Henan University; Henan University; Henan University; Nanchang University; Chinese Academy of Medical Sciences - Peking Union Medical College; Peking Union Medical College; Chinese Institute for Brain Research, Beijing</t>
  </si>
  <si>
    <t>Multimodal Deep Learning for Predicting Cerebral Herniation Using Sagittal CT and Clinical Data</t>
  </si>
  <si>
    <t>INTERNATIONAL JOURNAL OF INTELLIGENT SYSTEMS</t>
  </si>
  <si>
    <t>brainstem; cerebral herniation; deep learning; sagittal CT</t>
  </si>
  <si>
    <t>Xiong, Zicheng/LCD-8984-2024; Ji, Like/LXA-4954-2024</t>
  </si>
  <si>
    <t>Xiong, Zicheng/0009-0006-3014-5667; Zuo, Fang/0000-0001-5673-8870; Ji, Like/0009-0000-8137-6242; Mohiuddin, Ghulam/0000-0002-3905-4220</t>
  </si>
  <si>
    <t>0884-8173</t>
  </si>
  <si>
    <t>1098-111X</t>
  </si>
  <si>
    <t>INT J INTELL SYST</t>
  </si>
  <si>
    <t>Int. J. Intell. Syst.</t>
  </si>
  <si>
    <t>9369999</t>
  </si>
  <si>
    <t>10.1155/int/9369999</t>
  </si>
  <si>
    <t>http://dx.doi.org/10.1155/int/9369999</t>
  </si>
  <si>
    <t>9OJ5D</t>
  </si>
  <si>
    <t>WOS:001611165700001</t>
  </si>
  <si>
    <t>Liu, JX; Zhu, XR; Shi, ZZ; An, DH; Zu, LH; Cheng, KL; Guo, XP</t>
  </si>
  <si>
    <t>Background: In the domain of recent lumbar magnetic resonance imaging (MRI) analysis, the limitations of unimodal deep learning (DL) methods for medical imaging have gradually been revealed in that they remain insufficient to model the latent relationships within the textual semantics of category terms. These terms are used to define the research targets in medical imaging analysis tasks. Effective modeling of these relationships requires textual representations. Therefore, we proposed a text-guided multimodal DL method for segmenting 19 spinal structures and identifying 5 lumbar abnormalities on T1-weighted imaging (T1WI) and T2-weighted imaging (T2WI) MRI scans. Methods: We employed ConvNeXt V2 as the image encoder (pretrained on 1,975 unlabeled lumbar MRI scans) and the Contrastive Language-Image Pretraining (CLIP)-based text encoder (pretrained on 515 clinical reports), with the datasets for each modality independently supporting self-supervised pretraining of its respective encoder. We completed segmentation annotations for vertebral and intervertebral disc structures in a partially labeled dataset originally containing only lumbar abnormalities, forming 201 cases of fully annotated T1WI and T2WI MRI samples for model development. We developed a text-guided DL method, which integrated the text encoder and the image encoder, achieving precise segmentation of spinal structures and identification of lumbar abnormalities. Results: The proposed method achieved a mean Intersection over Union (mIoU) of 0.823 +/- 0.053 for segmentation of 19 spinal structures. No statistically significant differences were observed between upper-Dice (0.859 +/- 0.040) and lower-Dice (0.858 +/- 0.038) metrics across all regions of interest (ROIs) (P=0.744, Cohen's d =0.01). Our method outperformed nnU-Net (mIoU: 0.823 vs. 0.806, P&lt;0.01), the MT-U-Net (mIoU: 0.766 +/- 0.073, P&lt;0.01), and the visual-only variant (Ours-VisualOnly, mIoU: 0.791, P&lt;0.01). For lumbar abnormality identification, our method achieved the highest recall (0.867 +/- 0.027), lowest false-positive rate (FPR) (0.079 +/- 0.015), and highest precision (0.893 +/- 0.028), outperforming comparative models (all P&lt;0.01 for recall, P&lt;0.05 for FPR and precision). Conclusions: This study proposed a text-guided DL method for segmenting spinal structures and identifying lumbar abnormalities in multi-sequence MRI scans. By integrating cross-modal features, our method improved segmentation accuracy and optimized identification performance, demonstrating clinical potential to assist diagnosis through automated workflows that reduce radiologist workload.</t>
  </si>
  <si>
    <t>Liu, Jingxin; Zhu, Xinran; Shi, Zhangzhen; An, Donghong; Zu, Lihui; Cheng, Kailiang; Guo, Xiaopeng</t>
  </si>
  <si>
    <t>Liu, JX (corresponding author), Jilin Univ, Dept Radiol, China Japan Union Hosp, 126 Xiantai Blvd, Changchun 130033, Peoples R China.; Liu, JX; Guo, XP (corresponding author), Jilin Univ, China Japan Union Hosp, Med Examinat Ctr, Changchun, Jilin, Peoples R China.</t>
  </si>
  <si>
    <t>jingxin@jlu.edu.cn; guoxiaopeng279@163.com</t>
  </si>
  <si>
    <t>National Key R&amp;D Program of China [2018YFC1315604]; Jilin Provincial Department of Science and Technology [20210303003SF]</t>
  </si>
  <si>
    <t>National Key R&amp;D Program of China (National Key Research &amp; Development Program of China); Jilin Provincial Department of Science and Technology</t>
  </si>
  <si>
    <t>Funding: This work was supported by the National Key R&amp;D Program of China (No. 2018YFC1315604) ; and the Jilin Provincial Department of Science and Technology (No. 20210303003SF) .</t>
  </si>
  <si>
    <t>[Liu, Jingxin; Zhu, Xinran; An, Donghong; Zu, Lihui; Cheng, Kailiang] Jilin Univ, Dept Radiol, China Japan Union Hosp, 126 Xiantai Blvd, Changchun 130033, Peoples R China; [Liu, Jingxin; Zhu, Xinran; Guo, Xiaopeng] Jilin Univ, China Japan Union Hosp, Med Examinat Ctr, Changchun, Jilin, Peoples R China; [Shi, Zhangzhen] Jilin Univ, Dept Med Oncol Ward 1, China Japan Union Hosp, Changchun, Peoples R China</t>
  </si>
  <si>
    <t>Text-guided multimodal deep learning in magnetic resonance imaging for spinal structures segmentation and lumbar abnormalities identification</t>
  </si>
  <si>
    <t>QUANTITATIVE IMAGING IN MEDICINE AND SURGERY</t>
  </si>
  <si>
    <t>Deep learning (DL); image segmentation; lumbar abnormality; self-supervised learning</t>
  </si>
  <si>
    <t>2223-4292</t>
  </si>
  <si>
    <t>2223-4306</t>
  </si>
  <si>
    <t>QUANT IMAG MED SURG</t>
  </si>
  <si>
    <t>Quant. Imaging Med. Surg.</t>
  </si>
  <si>
    <t>9710</t>
  </si>
  <si>
    <t>9728</t>
  </si>
  <si>
    <t>10.21037/qims-2025-635</t>
  </si>
  <si>
    <t>http://dx.doi.org/10.21037/qims-2025-635</t>
  </si>
  <si>
    <t>8NU7Z</t>
  </si>
  <si>
    <t>41081178</t>
  </si>
  <si>
    <t>WOS:001593086700009</t>
  </si>
  <si>
    <t>Jalili, J; Gavhane, Y; Walker, E; Heinke, A; Bowd, C; Belghith, A; Fazio, MA; Girkin, CA; De Moraes, CG; Liebmann, JM; Baxter, SL; Weinreb, RN; Zangwill, LM; Christopher, M</t>
  </si>
  <si>
    <t>Objective: To develop an explainable multimodal large language model (MM-LLM) that (1) screens optic nerve head (ONH) OCT circle scans for quality and (2) generates structured clinical reports that include glaucoma diagnosis and sector-wise retinal nerve fiber layer (RNFL) thinning assessments. Design: A retrospective cohort study using longitudinal data from the Diagnostic Innovations in Glaucoma Study and the African Descent and Glaucoma Evaluation Study. Participants: A total of 43 849 Spectralis circumpapillary B-scans centered on the ONH from 1310 subjects, including 1331 glaucomatous and 867 healthy eyes. Methods: An MM-LLM (Llama 3.2 Vision-Instruct model) was fine-tuned to generate clinical descriptions of OCT imaging data. Training data included paired OCT images and automatically generated, structured clinical reports that described global and sectoral RNFL thinning. Poor-quality scans were labeled as unusable and paired with a fixed refusal statement. The model was evaluated on a held-out test set for 3 tasks: quality assessment, glaucoma detection, and RNFL thinning classification across 7 anatomical sectors. Evaluation metrics included accuracy, sensitivity, specificity, precision, and F1-score. Model description quality was also evaluated using standard text evaluation metrics (BLEU, ROUGE, METEOR, and BERTScore). Main Outcome Measures: Diagnostic accuracy metrics for each task; text evaluation metrics for description quality. Results: The model achieved 0.90 accuracy and 0.98 specificity for quality triage. For glaucoma detection, accuracy was 0.86 (sensitivity 0.93, specificity 0.65, and F1-score 0.91). Retinal nerve fiber layer thinning prediction accuracy ranged from 0.83 to 0.94, with the highest performance in global, temporal, temporal superior, and temporal inferior sectors. Text generation scores (mean +/- standard deviation) showed strong alignment with reference reports (BLEU: 0.82 +/- 0.19; ROUGE-1: 0.94 +/- 0.08; ROUGE-2: 0.87 +/- 0.17; ROUGE-L: 0.92 +/- 0.11; BERTScore-F1: 0.99 +/- 0.02). Stratified analysis revealed better RNFL thinning detection in moderate-to-advanced glaucoma cases, especially in temporal sectors, while performance in nasal regions was better for mild cases. Conclusions: The fine-tuned MM-LLM generated accurate clinical descriptions based on OCT imaging. The model achieved high accuracy in identifying image quality issues and detecting glaucoma. The model provided sectoral descriptions of RNFL thinning to support clinical OCT evaluation. This approach shows potential as a scalable tool for clinical decision support, but further validation across additional datasets is needed. Financial Disclosure(s): Proprietary or commercial disclosure may be found in the Footnotes and Disclosures at the end of this article. Ophthalmology Science 2026;6:101254 (c) 2026 American Academy of Ophthalmology, Inc. Published by Elsevier Inc. This is an open access article under the CC BY license (http://creativecommons.org/ licenses/by/4.0/). Supplemental material available at www.ophthalmologyscience.org.</t>
  </si>
  <si>
    <t>Jalili, Jalil; Gavhane, Yashraj; Walker, Evan; Heinke, Anna; Bowd, Christopher; Belghith, Akram; Fazio, Massimo A.; Girkin, Christopher A.; De Moraes, C. Gustavo; Liebmann, Jeffrey M.; Baxter, Sally L.; Weinreb, Robert N.; Zangwill, Linda M.; Christopher, Mark</t>
  </si>
  <si>
    <t>Christopher, M (corresponding author), Univ Calif San Diego, 9500 Gilman St, San Diego, CA 92117 USA.</t>
  </si>
  <si>
    <t>mark.allen.christopher@gmail.com</t>
  </si>
  <si>
    <t>NEI [R00EY030942, R01EY027510, R01EY034146 R01EY11008, P30EY022589, R01EY026590, EY022039, EY021818, R01EY023704, R01EY029058, EY19869, R21 EY027945, T35 EY033704]; NIH [OT2OD032644]; Glaucoma Foundation; Research to Prevent Blindness (New York, NY)</t>
  </si>
  <si>
    <t>NEI (United States Department of Health &amp; Human Services, National Institutes of Health (NIH) - USA, NIH National Eye Institute (NEI)); NIH (United States Department of Health &amp; Human Services, National Institutes of Health (NIH) - USA); Glaucoma Foundation; Research to Prevent Blindness (New York, NY) (Research to Prevent Blindness (RPB))</t>
  </si>
  <si>
    <t>Financial support was provided by NEI: R00EY030942, R01EY027510, R01EY034146 R01EY11008, P30EY022589, R01EY026590, EY022039, EY021818, R01EY023704, R01EY029058, EY19869, R21 EY027945, T35 EY033704, NIH: OT2OD032644, The Glaucoma Foundation, and unrestricted grant from Research to Prevent Blindness (New York, NY) .</t>
  </si>
  <si>
    <t>[Jalili, Jalil; Gavhane, Yashraj; Walker, Evan; Heinke, Anna; Bowd, Christopher; Belghith, Akram; Girkin, Christopher A.; Baxter, Sally L.; Weinreb, Robert N.; Zangwill, Linda M.; Christopher, Mark] Univ Calif San Diego, Shiley Eye Inst, Viterbi Family Dept Ophthalmol, Div Ophthalmol Informat &amp; Data Sci, La Jolla, CA USA; [Jalili, Jalil; Walker, Evan; Bowd, Christopher; Belghith, Akram; Girkin, Christopher A.; Baxter, Sally L.; Weinreb, Robert N.; Zangwill, Linda M.; Christopher, Mark] Univ Calif San Diego, Shiley Eye Inst, Hamilton Glaucoma Ctr, Viterbi Family Dept Ophthalmol, La Jolla, CA USA; [Gavhane, Yashraj] Univ Calif San Diego, Dept Comp Sci &amp; Engn, La Jolla, CA USA; [Fazio, Massimo A.] Univ Alabama Birmingham, Dept Ophthalmol &amp; Vis Sci, Birmingham, AL USA; [De Moraes, C. Gustavo; Liebmann, Jeffrey M.] Harkness Eye Inst, Dept Ophthalmol, Bernard &amp; Shirlee Brown Glaucoma Res Lab, New York, NY USA</t>
  </si>
  <si>
    <t>University of California System; University of California San Diego; University of California System; University of California San Diego; University of California System; University of California San Diego; University of Alabama System; University of Alabama Birmingham</t>
  </si>
  <si>
    <t>Image-Quality-Aware Multimodal Artificial Intelligence for Automated Structured OCT Report Generation in Glaucoma Evaluation</t>
  </si>
  <si>
    <t>Multimodal large language model; Glaucoma detection; Retinal nerve fiber layer; Quality triage; Clinical report generation</t>
  </si>
  <si>
    <t>Heinke, Anna/NSU-4050-2025; Jalili, Jalil/OIS-3337-2025</t>
  </si>
  <si>
    <t>101254</t>
  </si>
  <si>
    <t>10.1016/j.xops.2026.101254</t>
  </si>
  <si>
    <t>http://dx.doi.org/10.1016/j.xops.2026.101254</t>
  </si>
  <si>
    <t>KS3XA</t>
  </si>
  <si>
    <t>42421754</t>
  </si>
  <si>
    <t>WOS:001814468200001</t>
  </si>
  <si>
    <t>Choi, BK; Choi, Y; Jang, S; Ha, WS; Cho, S; Chang, K; Sohn, B; Kim, KM; Park, YR</t>
  </si>
  <si>
    <t>Inflammatory diseases of the CNS impose a substantial disease burden, necessitating prompt and appropriate prognosis prediction. We developed a multimodal deep learning model integrating clinical features and brain MRI data to enhance early prognosis prediction of CNS inflammation. This retrospective study used thin-cut T1-weighted brain MRI scans and the clinical variables of patients with CNS inflammation who were admitted to a tertiary referral hospital between January 2010 and December 2023. Data collected after January 2022 served as the external test set. 3D MRI images were first segmented into 43 brain regions using the FastSurfer library. The segmented images were then processed through a 3D convolutional neural network model for feature extraction and vectorization, after which they were integrated with clinical features for prediction. The performance of each artificial intelligence model was assessed using accuracy, F1 score, area under the receiver operating characteristic curve and area under the precision-recall curve. The internal dataset comprised 413 images from 291 patients (mean age, 45.5 years +/- 19.3 [SD]; 151 male patients; 54 with poor prognosis). The external dataset comprised 210 images from 106 patients (mean age, 45.5 years +/- 18.9 [SD]; 59 male patients; 31 with poor prognosis). The multimodal deep learning model outperformed unimodal models across all aetiological groups, achieving area under the receiver operating characteristic curve values of 0.8048 for autoimmune, 0.9107 for bacterial, 1.0000 for tuberculosis and 0.9242 for viral infections. Furthermore, artificial intelligence assistance improved clinicians' prognostic accuracy, as demonstrated in comparisons with neurologists, paediatricians and radiologists. Our findings demonstrate that the multimodal deep learning model enhances artificial intelligence-assisted prognosis prediction in CNS inflammation, improving both model performance and clinician decision-making.Choi et al. report that a multimodal deep learning model was developed to predict the prognosis of CNS inflammation using brain MRI and clinical data. The model outperformed unimodal models and clinical experts in predicting outcomes across different aetiologies, enhancing artificial intelligence-supported clinical decision-making for CNS inflammation.</t>
  </si>
  <si>
    <t>Choi, Bo Kyu; Choi, Yoonhyeok; Jang, Sooyoung; Ha, Woo-Seok; Cho, Soomi; Chang, Kimoon; Sohn, Beomseok; Kim, Kyung Min; Park, Yu Rang</t>
  </si>
  <si>
    <t>Park, YR (corresponding author), Yonsei Univ, Coll Med, Dept Biomed Syst Informat, 50-1 Yonsei ro, Seoul 03722, South Korea.; Kim, KM (corresponding author), Yonsei Univ, Coll Med, Dept Neurol, 50-1 Yonsei ro, Seoul 03722, South Korea.</t>
  </si>
  <si>
    <t>yurangpark@yuhs.ac; penlighting11@yuhs.ac</t>
  </si>
  <si>
    <t>Hyundai Motor Chung Mong-Koo Foundation; MCU</t>
  </si>
  <si>
    <t>We would like to thank the MCU (Medical informatics Collaborative Unit) members of Yonsei University College of Medicine for their assistance in data analysis.</t>
  </si>
  <si>
    <t>[Choi, Bo Kyu; Choi, Yoonhyeok; Jang, Sooyoung; Park, Yu Rang] Yonsei Univ, Coll Med, Dept Biomed Syst Informat, 50-1 Yonsei ro, Seoul 03722, South Korea; [Choi, Bo Kyu] Yonsei Univ, Gangnam Severance Hosp, Coll Med, Dept Neurol, Seoul 06273, South Korea; [Choi, Yoonhyeok] Yonsei Univ, Dept Comp Sci &amp; Engn, Coll Comp, Seoul 03722, South Korea; [Ha, Woo-Seok; Cho, Soomi; Kim, Kyung Min] Yonsei Univ, Coll Med, Dept Neurol, 50-1 Yonsei ro, Seoul 03722, South Korea; [Chang, Kimoon] Eulji Univ, Uijeongbu Eulji Med Ctr, Dept Neurol, Uijongbu 11759, South Korea; [Sohn, Beomseok] Sungkyunkwan Univ, Samsung Med Ctr, Sch Med, Dept Radiol, Seoul 06351, South Korea</t>
  </si>
  <si>
    <t>Yonsei University; Yonsei University Health System; Yonsei University; Severance Hospital; Yonsei University Health System; Yonsei University; Yonsei University; Yonsei University Health System; Eulji University; Sungkyunkwan University (SKKU); Samsung Medical Center</t>
  </si>
  <si>
    <t>Multimodal deep learning model for prediction of prognosis in central nervous system inflammation</t>
  </si>
  <si>
    <t>BRAIN COMMUNICATIONS</t>
  </si>
  <si>
    <t>central nervous system inflammation; artificial intelligence; brain MRI; multimodal deep learning</t>
  </si>
  <si>
    <t>ENCEPHALITIS; CLASSIFICATION; DIAGNOSIS</t>
  </si>
  <si>
    <t>Sohn, Beomseok/GSO-1579-2022; Ha, Woo-Seok/LYO-2690-2024; Cho, Soomi/NOE-6804-2025</t>
  </si>
  <si>
    <t>Sohn, Beomseok/0000-0002-6765-8056; Kim, Kyung Min/0000-0002-0261-1687; Ha, Woo-Seok/0000-0003-1188-449X; Choi, Yoonhyeok/0009-0008-5914-3600; Cho, Soomi/0000-0003-4723-8975; Choi, Bo Kyu/0000-0002-0796-4043; Park, Yu Rang/0000-0002-4210-2094</t>
  </si>
  <si>
    <t>2632-1297</t>
  </si>
  <si>
    <t>BRAIN COMMUN</t>
  </si>
  <si>
    <t>Brain Commun.</t>
  </si>
  <si>
    <t>fcaf179</t>
  </si>
  <si>
    <t>10.1093/braincomms/fcaf179</t>
  </si>
  <si>
    <t>http://dx.doi.org/10.1093/braincomms/fcaf179</t>
  </si>
  <si>
    <t>Clinical Neurology; Neurosciences</t>
  </si>
  <si>
    <t>2QX1R</t>
  </si>
  <si>
    <t>40385378</t>
  </si>
  <si>
    <t>WOS:001489166400001</t>
  </si>
  <si>
    <t>87</t>
  </si>
  <si>
    <t>Yang, JL; Ju, J; Guo, L; Ji, BB; Shi, SF; Yang, ZX; Gao, SL; Yuan, X; Tian, G; Liang, YB; Yuan, P</t>
  </si>
  <si>
    <t>HER2-positive breast cancer is a highly heterogeneous tumor, and about 30% of patients still suffer from recurrence and metastasis after trastuzumab targeted therapy. Predicting individual prognosis is of great significance for the further development of precise therapy. With the continuous development of computer technology, more and more attention has been paid to computer-aided diagnosis and prognosis prediction based on Hematoxylin and Eosin (H&amp;E) pathological images, which are available for all breast cancer patients undergone surgical treatment. In this study, we first enrolled 127 HER2-positive breast cancer patients with known recurrence and metastasis status from Cancer Hospital of the Chinese Academy of Medical Sciences. We then proposed a novel multimodal deep learning method integrating whole slide H&amp;E images (WSIs) and clinical information to accurately assess the risk of relapse and metastasis in patients with HER2-positive breast cancer. Specifically, we obtained the whole H&amp;E staining images from the surgical specimens of breast cancer patients, and these images were adjusted to size 512 x 512 pixels. The deep convolutional neural network (CNN) was applied to these images to retrieve image features, which were combined with the clinical data. Based on the combined features. After that, a novel multimodal model was constructed for predicting the prognosis of each patient. The model achieved an area under curve (AUC) of 0.76 in the two-fold cross-validation (CV). To further evaluate the performance of our model, we downloaded the data of all 123 HER2-positive breast cancer patients with available H&amp;E image and known recurrence and metastasis status in The Cancer Genome Atlas (TCGA), which was severed as an independent testing data. Despite the huge differences in race and experimental strategies, our model achieved an AUC of 0.72 in the TCGA samples. As a conclusion, H&amp;E images, in conjunction with clinical information and advanced deep learning models, could be used to evaluate the risk of relapse and metastasis in patients with HER2-positive breast cancer. (C) 2021 Published by Elsevier B.V. on behalf of Research Network of Computational and Structural Biotechnology.</t>
  </si>
  <si>
    <t>Yang, Jialiang; Ju, Jie; Guo, Lei; Ji, Binbin; Shi, Shufang; Yang, Zixuan; Gao, Songlin; Yuan, Xu; Tian, Geng; Liang, Yuebin; Yuan, Peng</t>
  </si>
  <si>
    <t>Liang, YB (corresponding author), Genies Beijing Co Ltd, Beijing 100102, Peoples R China.; Yuan, P (corresponding author), Chinese Acad Med Sci &amp; Peking Union Med Coll, Dept VIP Med Serv, Natl Canc Ctr, Natl Clin Res Ctr Canc,Canc Hosp, Beijing 100021, Peoples R China.</t>
  </si>
  <si>
    <t>yuanpengyp01@163.com; liangyb@geneis.cn</t>
  </si>
  <si>
    <t>CSCO Pilot Oncology Research Fund [Y-2019AZMS-0377]; Capital's Funds for Health Improvement and Research [2018-2-4023]; Clinical Translation and Medical Research Fund of Chinese Academy of Medical Sciences [12019XK320071]; Beijing Hope Run Special Fund of Cancer Foundation of China [LC2019A13]</t>
  </si>
  <si>
    <t>CSCO Pilot Oncology Research Fund; Capital's Funds for Health Improvement and Research; Clinical Translation and Medical Research Fund of Chinese Academy of Medical Sciences; Beijing Hope Run Special Fund of Cancer Foundation of China</t>
  </si>
  <si>
    <t>This work was supported by the CSCO Pilot Oncology Research Fund (Y-2019AZMS-0377), the Capital's Funds for Health Improvement and Research (2018-2-4023), the Clinical Translation and Medical Research Fund of Chinese Academy of Medical Sciences (12019XK320071), and the Beijing Hope Run Special Fund of Cancer Foundation of China (LC2019A13).</t>
  </si>
  <si>
    <t>[Yang, Jialiang] Chifeng Municipal Hosp, Chifeng 024000, Inner Mongolia, Peoples R China; [Yang, Jialiang; Ji, Binbin; Shi, Shufang; Yuan, Xu; Tian, Geng; Liang, Yuebin] Genies Beijing Co Ltd, Beijing 100102, Peoples R China; [Ju, Jie; Yang, Zixuan; Gao, Songlin] Chinese Acad Med Sci &amp; Peking Union Med Coll, Natl Canc Ctr, Dept Med Oncol, Natl Clin Res Ctr Canc,Canc Hosp, Beijing 100021, Peoples R China; [Guo, Lei] Chinese Acad Med Sci &amp; Peking Union Med Coll, Dept Pathol, Natl Canc Ctr, Natl Clin Res Ctr Canc,Canc Hosp, Beijing 100021, Peoples R China; [Shi, Shufang] Capital Med Univ, Beijing Friendship Hosp, Dept Pathol, Beijing 100050, Peoples R China; [Yuan, Peng] Chinese Acad Med Sci &amp; Peking Union Med Coll, Dept VIP Med Serv, Natl Canc Ctr, Natl Clin Res Ctr Canc,Canc Hosp, Beijing 100021, Peoples R China</t>
  </si>
  <si>
    <t>Chinese Academy of Medical Sciences - Peking Union Medical College; Cancer Institute &amp; Hospital - CAMS; Peking Union Medical College; Chinese Academy of Medical Sciences - Peking Union Medical College; Cancer Institute &amp; Hospital - CAMS; Peking Union Medical College; Capital Medical University; Chinese Academy of Medical Sciences - Peking Union Medical College; Cancer Institute &amp; Hospital - CAMS; Peking Union Medical College</t>
  </si>
  <si>
    <t>Prediction of HER2-positive breast cancer recurrence and metastasis risk from histopathological images and clinical information via multimodal deep learning</t>
  </si>
  <si>
    <t>COMPUTATIONAL AND STRUCTURAL BIOTECHNOLOGY JOURNAL</t>
  </si>
  <si>
    <t>Breast cancer; Recurrence; HER2; H&amp;E-stained histological images; Convolutional neural network</t>
  </si>
  <si>
    <t>ADJUVANT CHEMOTHERAPY; NEURAL-NETWORKS; CLASSIFICATION; TRASTUZUMAB</t>
  </si>
  <si>
    <t>Guo, Lei/AAS-4218-2020; yuan, peng/ODM-4244-2025; gao, songlin/OZF-3873-2025; yang, zixuan/GXG-9636-2022; Yang, Jialiang/GSD-8161-2022</t>
  </si>
  <si>
    <t>Yang, Jialiang/0000-0003-4689-8672; Ji, Binbin/0000-0002-6719-9574</t>
  </si>
  <si>
    <t>209</t>
  </si>
  <si>
    <t>215</t>
  </si>
  <si>
    <t>2001-0370</t>
  </si>
  <si>
    <t>COMPUT STRUCT BIOTEC</t>
  </si>
  <si>
    <t>Comp. Struct. Biotechnol. J..</t>
  </si>
  <si>
    <t>333</t>
  </si>
  <si>
    <t>342</t>
  </si>
  <si>
    <t>10.1016/j.csbj.2021.12.028</t>
  </si>
  <si>
    <t>http://dx.doi.org/10.1016/j.csbj.2021.12.028</t>
  </si>
  <si>
    <t>Biochemistry &amp; Molecular Biology; Biotechnology &amp; Applied Microbiology</t>
  </si>
  <si>
    <t>2P7FZ</t>
  </si>
  <si>
    <t>35035786</t>
  </si>
  <si>
    <t>WOS:000819903300004</t>
  </si>
  <si>
    <t>Cai, H; Xu, YF; Li, YX; Nie, CC; Yuan, ZB; Chen, ZH</t>
  </si>
  <si>
    <t>This study focuses on the pathological subtype classification of lung adenocarcinoma (LUAD) in frozen sections and is the first to apply the state space model Vision Mamba to this task. We developed a fine-tuned multimodal MedMamba model that integrates histopathological images with non-image data. Through architectural optimization and multimodal fusion-including clinical variables and structured CT reports-the model achieved a well-balanced performance in classification accuracy, computational efficiency, and interpretability. In five-fold cross-validation, it achieved a recall of 92.0% and an F1-score of 91.6% for invasive adenocarcinoma (IAC) classification, as well as an accuracy of 89.7% and specificity of 92.0% for adenocarcinoma in situ (AIS) classification. On an external test set, the model maintained an accuracy of 84.2%, outperforming mainstream models such as InceptionV3, EfficientNetV2, and ResNet50. Further analysis revealed significant associations between tumor volume, radiologic appearance, and patient age with subtype classification, highlighting the potential of non-image modalities in diagnostic support. These findings demonstrate the practical value of the fine-tuned multimodal MedMamba model for intraoperative rapid pathology interpretation and clinical risk control.</t>
  </si>
  <si>
    <t>Cai, Hao; Xu, Yongfei; Li, Yanxi; Nie, Chenchen; Yuan, Zhibo; Chen, Zhihong</t>
  </si>
  <si>
    <t>Chen, ZH (corresponding author), Hunan Normal Univ, Hunan Prov Peoples Hosp, Changsha 410000, Peoples R China.</t>
  </si>
  <si>
    <t>zhchen1997@hunnu.edu.cn</t>
  </si>
  <si>
    <t>Guangdong Science and Technology Special Funding in 2021 ("Major Special Project + Task List," Municipal Big Data Information System Research, No. STKJ2021021) [STKJ2021021]; Guangdong Science and Technology Special Funding in 2021 ('Major Special Project + Task List,' Municipal Big Data Information System Research) [kq2202438]; Changsha Natural Science Foundation</t>
  </si>
  <si>
    <t>Guangdong Science and Technology Special Funding in 2021 ("Major Special Project + Task List," Municipal Big Data Information System Research, No. STKJ2021021); Guangdong Science and Technology Special Funding in 2021 ('Major Special Project + Task List,' Municipal Big Data Information System Research); Changsha Natural Science Foundation</t>
  </si>
  <si>
    <t>This research was supported by the Guangdong Science and Technology Special Funding in 2021 ('Major Special Project + Task List,' Municipal Big Data Information System Research, No. STKJ2021021) and the Changsha Natural Science Foundation in 2021 (Research on the Mechanism of TMEM79 Involvement in Colorectal Cancer through Regulation of the WNT Signaling Pathway, No. kq2202438).</t>
  </si>
  <si>
    <t>[Cai, Hao; Xu, Yongfei; Li, Yanxi; Yuan, Zhibo] Shantou Univ, Sch Math &amp; Comp Sci, Shantou 515000, Peoples R China; [Nie, Chenchen; Chen, Zhihong] Hunan Normal Univ, Hunan Prov Peoples Hosp, Changsha 410000, Peoples R China</t>
  </si>
  <si>
    <t>Shantou University; Hunan Normal University</t>
  </si>
  <si>
    <t>A high-performance multimodal deep learning model for subtype classification of lung adenocarcinoma</t>
  </si>
  <si>
    <t>ENGINEERING RESEARCH EXPRESS</t>
  </si>
  <si>
    <t>binary classification; frozen section; lung adenocarcinoma; multimodal data</t>
  </si>
  <si>
    <t>IMAGE FUSION</t>
  </si>
  <si>
    <t>Cai, Hao/0000-0002-9879-2960; Chen, Zhihong/0000-0002-1030-3289; Yanxi, YanxiLi/0009-0005-8083-1211</t>
  </si>
  <si>
    <t>IOP Publishing Ltd</t>
  </si>
  <si>
    <t>Bristol</t>
  </si>
  <si>
    <t>No.2 The Distillery, Glassfields, Avon Street, Bristol, ENGLAND</t>
  </si>
  <si>
    <t>2631-8695</t>
  </si>
  <si>
    <t>ENG RES EXPRESS</t>
  </si>
  <si>
    <t>Eng. Res. Express</t>
  </si>
  <si>
    <t>SEP 30 2025</t>
  </si>
  <si>
    <t>035233</t>
  </si>
  <si>
    <t>10.1088/2631-8695/adf02f</t>
  </si>
  <si>
    <t>http://dx.doi.org/10.1088/2631-8695/adf02f</t>
  </si>
  <si>
    <t>Engineering, Multidisciplinary</t>
  </si>
  <si>
    <t>6IS6D</t>
  </si>
  <si>
    <t>WOS:001554317700001</t>
  </si>
  <si>
    <t>Haider, SA; Ho, OA; Borna, S; Gomez-Cabello, CA; Pressman, SM; Cole, D; Sehgal, A; Leibovich, BC; Forte, AJ</t>
  </si>
  <si>
    <t>Accurate identification of surgical instruments is crucial for efficient workflows and patient safety within the operating room, particularly in preventing complications such as retained surgical instruments. Artificial Intelligence (AI) models have shown the potential to automate this process. This study evaluates the accuracy of publicly available Large Language Models (LLMs)-ChatGPT-4, ChatGPT-4o, and Gemini-and a specialized commercial mobile application, Surgical-Instrument Directory (SID 2.0), in identifying surgical instruments from images. The study utilized a dataset of 92 high-resolution images of 25 surgical instruments (retractors, forceps, scissors, and trocars) photographed from multiple angles. Model performance was evaluated using accuracy, weighted precision, recall, and F1 score. ChatGPT-4o exhibited the highest accuracy (89.1%) in categorizing instruments (e.g., scissors, forceps). SID 2.0 (77.2%) and ChatGPT-4 (76.1%) achieved comparable accuracy, while Gemini (44.6%) demonstrated lower accuracy in this task. For precise subtype identification of instrument names (like "Mayo scissors" or "Kelly forceps"), all models had low accuracy, with SID 2.0 having an accuracy of 39.1%, followed by ChatGPT-4o (33.69%). Subgroup analysis revealed ChatGPT-4 and 4o recognized trocars in all instances. Similarly, Gemini identified surgical scissors in all instances. In conclusion, publicly available LLMs can reliably identify surgical instruments at the category level, with ChatGPT-4o demonstrating an overall edge. However, precise subtype identification remains a challenge for all models. These findings highlight the potential of AI-driven solutions to enhance surgical-instrument management and underscore the need for further refinements to improve accuracy and support patient safety.</t>
  </si>
  <si>
    <t>Haider, Syed Ali; Ho, Olivia A.; Borna, Sahar; Gomez-Cabello, Cesar A.; Pressman, Sophia M.; Cole, Dave; Sehgal, Ajai; Leibovich, Bradley C.; Forte, Antonio Jorge</t>
  </si>
  <si>
    <t>Forte, AJ (corresponding author), Mayo Clin, Div Plast Surg, Jacksonville, FL 32224 USA.; Forte, AJ (corresponding author), Mayo Clin, Ctr Digital Hlth, Rochester, MN 55905 USA.</t>
  </si>
  <si>
    <t>ajvforte@yahoo.com.br</t>
  </si>
  <si>
    <t>[Haider, Syed Ali; Ho, Olivia A.; Borna, Sahar; Gomez-Cabello, Cesar A.; Pressman, Sophia M.; Forte, Antonio Jorge] Mayo Clin, Div Plast Surg, Jacksonville, FL 32224 USA; [Cole, Dave; Sehgal, Ajai; Leibovich, Bradley C.; Forte, Antonio Jorge] Mayo Clin, Ctr Digital Hlth, Rochester, MN 55905 USA; [Leibovich, Bradley C.] Mayo Clin, Dept Urol, Rochester, MN 55905 USA</t>
  </si>
  <si>
    <t>Mayo Clinic; Mayo Clinic; Mayo Clinic</t>
  </si>
  <si>
    <t>Use of Multimodal Artificial Intelligence in Surgical Instrument Recognition</t>
  </si>
  <si>
    <t>BIOENGINEERING-BASEL</t>
  </si>
  <si>
    <t>artificial intelligence; AI; surgical instrument; multimodal AI; computer vision</t>
  </si>
  <si>
    <t>Sehgal, Ajai/QAY-4329-2026; Pressman, Sophia/KOC-2466-2024; Forte, Antonio/I-2970-2019</t>
  </si>
  <si>
    <t>Pressman, Sophia/0009-0000-0398-8024; Sehgal, Ajai/0009-0007-7562-8758; Leibovich, Bradley/0000-0003-0043-6659; Haider, Syed Ali/0009-0007-5621-2861; Cole, Dave David/0009-0007-2065-5089; Borna, Sahar/0000-0002-7845-7356</t>
  </si>
  <si>
    <t>ST ALBAN-ANLAGE 66, CH-4052 BASEL, SWITZERLAND</t>
  </si>
  <si>
    <t>2306-5354</t>
  </si>
  <si>
    <t>Bioengineering-Basel</t>
  </si>
  <si>
    <t>10.3390/bioengineering12010072</t>
  </si>
  <si>
    <t>http://dx.doi.org/10.3390/bioengineering12010072</t>
  </si>
  <si>
    <t>Biotechnology &amp; Applied Microbiology; Engineering, Biomedical</t>
  </si>
  <si>
    <t>Biotechnology &amp; Applied Microbiology; Engineering</t>
  </si>
  <si>
    <t>T4E2Z</t>
  </si>
  <si>
    <t>39851346</t>
  </si>
  <si>
    <t>WOS:001404553400001</t>
  </si>
  <si>
    <t>Liu, R; Zhou, Y; Wang, R; Chen, XW; Yang, Y; Jiang, H; Xie, K; Ning, YQ; Deng, YR; Yu, Q; Xu, L; Hu, GH; Peng, J</t>
  </si>
  <si>
    <t>Objectives To develop and validate a multimodal deep learning model integrating clinical data, contrast-enhanced CT, and laryngoscopic images for differentiating early-stage (I-II) from advanced-stage (III-IV) laryngeal squamous cell carcinoma (LSCC). Materials and methods This retrospective multicenter study included 450 patients with pathologically confirmed LSCC from two Chinese medical centers. All patients had contrast-enhanced CT, white-light laryngoscopy, and clinical records. They were divided into training (n = 235), internal validation (n = 101), and external validation (n = 114) cohorts. Three single-modality models (CT-based deep learning [CT-DL], laryngoscopy-based multiple instance learning [L-MIL], and a clinical logistic regression model [CL]) and their combinations were compared. A feature-level fusion strategy was applied, and the final integrated multimodal model (CL + CT + L) was built using a stochastic gradient descent (SGD) classifier. Performance was evaluated by AUC, accuracy, sensitivity, specificity, calibration, and decision curve analysis (DCA), with prognostic value assessed by Kaplan-Meier and concordance index (C-index). Results A total of 450 patients were included (median age, 62 years [range, 31-88]; 365 men). The integrated multimodal model achieved AUCs of 0.902 (0.833-0.954) in the internal cohort and 0.888 (0.826-0.944) in the external cohort, outperforming all single- and dual-modality models (p &lt; 0.05). Calibration and DCA confirmed strong consistency and clinical utility. The model categorized patients into distinct risk groups, which exhibited notable differences in progression-free survival (C-index = 0.584, p = 0.036). Conclusion The integrated multimodal model showed high accuracy and generalizability for preoperative LSCC staging and may aid individualized treatment planning.[GRAPHICS]</t>
  </si>
  <si>
    <t>Liu, Rui; Zhou, Yuan; Wang, Rui; Chen, Xinwei; Yang, Yi; Jiang, Huan; Xie, Kai; Ning, Youquan; Deng, Yanrui; Yu, Qiang; Xu, Lin; Hu, Guohua; Peng, Juan</t>
  </si>
  <si>
    <t>Peng, J (corresponding author), Chongqing Med Univ, Affiliated Hosp 1, Dept Radiol, Chongqing, Peoples R China.; Hu, GH (corresponding author), Chongqing Med Univ, Affiliated Hosp 1, Dept Otorhinolaryngol, Chongqing, Peoples R China.; Xu, L (corresponding author), Chengdu Univ TCM, Sch Intelligent Med, Chengdu, Peoples R China.</t>
  </si>
  <si>
    <t>pengjuan0717@sina.com; hghcq@sina.com; xulin@cdutcm.edu.cn</t>
  </si>
  <si>
    <t>Natural Science Foundation of Chongqing, China [cstc2021jcyj-msxmX0020]; Chongqing Medical University [CYYY-DSTDXM202507]</t>
  </si>
  <si>
    <t>Natural Science Foundation of Chongqing, China (Natural Science Foundation of Chongqing); Chongqing Medical University</t>
  </si>
  <si>
    <t>This work was supported by the Natural Science Foundation of Chongqing, China (cstc2021jcyj-msxmX0020), the Graduate Supervisor Team Construction Project of the First Clinical College, Chongqing Medical University (CYYY-DSTDXM202507).</t>
  </si>
  <si>
    <t>[Liu, Rui; Zhou, Yuan; Wang, Rui; Jiang, Huan; Xie, Kai; Ning, Youquan; Deng, Yanrui; Yu, Qiang; Peng, Juan] Chongqing Med Univ, Affiliated Hosp 1, Dept Radiol, Chongqing, Peoples R China; [Chen, Xinwei; Yang, Yi; Hu, Guohua] Chongqing Med Univ, Affiliated Hosp 1, Dept Otorhinolaryngol, Chongqing, Peoples R China; [Xu, Lin] Chengdu Univ TCM, Sch Intelligent Med, Chengdu, Peoples R China</t>
  </si>
  <si>
    <t>Chongqing Medical University; Chongqing Medical University; Chengdu University of Traditional Chinese Medicine</t>
  </si>
  <si>
    <t>Multimodal deep learning for laryngeal squamous cell carcinoma staging using CT and laryngoscopy</t>
  </si>
  <si>
    <t>EUROPEAN RADIOLOGY</t>
  </si>
  <si>
    <t>Laryngeal squamous cell carcinoma; Computed tomography; Laryngoscopy; Deep learning; Cancer staging</t>
  </si>
  <si>
    <t>CANCER; CARTILAGE; INVASION</t>
  </si>
  <si>
    <t>0938-7994</t>
  </si>
  <si>
    <t>1432-1084</t>
  </si>
  <si>
    <t>EUR RADIOL</t>
  </si>
  <si>
    <t>Eur. Radiol.</t>
  </si>
  <si>
    <t>4964</t>
  </si>
  <si>
    <t>4975</t>
  </si>
  <si>
    <t>10.1007/s00330-025-12315-4</t>
  </si>
  <si>
    <t>http://dx.doi.org/10.1007/s00330-025-12315-4</t>
  </si>
  <si>
    <t>IO4ON</t>
  </si>
  <si>
    <t>41617832</t>
  </si>
  <si>
    <t>WOS:001676407400001</t>
  </si>
  <si>
    <t>Abdelbaki, W; Alshaya, H; Nasir, IM; Tehsin, S; Bouchelligua, W</t>
  </si>
  <si>
    <t>The diagnosis of skin cancer remains a growing challenge because of its high variability as a result of the varying imaging conditions in clinical settings. This paper proposes a multimodal deep learning framework to address these challenges by combining the auxiliary clinical information with dermoscopic image features. This proposed architecture uses an attention-based feature encoder with a structured multimodal fusion approach to utilize the integrated feature representation across all channels. Evaluations of the proposed architecture were conducted across a range of benchmark datasets, including ISIC 2019, ISIC 2020, and HAM10000, using a unified experimental approach. This proposed model achieved accuracies of 90.5%, 88.7%, and 91.8% and AUCs of 95.8%, 94.6%, and 96.3%, respectively, on the selected datasets. For the baseline models, ResNet50 and EfficientNet-B4, our approach increased the AUC by 6.5% and the F1 score by 8.0%. Furthermore, across various datasets, the model achieved an AUC of 90.9%, proposing strong generalization. From the ablation analysis results, the attention and multimodal fusion mechanisms showed a 4.1% decrease in AUC when key components were removed, confirming their effectiveness. With 34.7 million parameters and an average of 19.3 Ms., the model has adequate intensity to deploy in a real clinical setting without affecting its performance. Additionally, the improvements to the model were statistically significant across all evaluation metrics (p = 0.01). The proposed multimodal framework demonstrates strong performance and robustness across multiple benchmark datasets.</t>
  </si>
  <si>
    <t>Abdelbaki, Wiem; Alshaya, Hend; Nasir, Inzamam Mashood; Tehsin, Sara; Bouchelligua, Wided</t>
  </si>
  <si>
    <t>Bouchelligua, W (corresponding author), Imam Mohammad Ibn Saud Islamic Univ IMSIU, Appl Coll, Riyadh 11432, Saudi Arabia.; Tehsin, S (corresponding author), Kaunas Univ Technol, Fac Informat, LT-51368 Kaunas, Lithuania.</t>
  </si>
  <si>
    <t>sara.tehsin@ktu.edu; inzamam.nasir@mruni.eu; hialshaya@imamu.edu.sa; wabouchelligua@imamu.edu.sa; wiem.abdelbaki@aum.edu.kw</t>
  </si>
  <si>
    <t>Deanship of Scientific Research at Imam Mohammad Ibn Saud Islamic University (IMSIU) [IMSIU-DDRSP2601]</t>
  </si>
  <si>
    <t>Deanship of Scientific Research at Imam Mohammad Ibn Saud Islamic University (IMSIU) (Imam Mohammad Ibn Saud Islamic University (IMSIU))</t>
  </si>
  <si>
    <t>This work was supported and funded by the Deanship of Scientific Research at Imam Mohammad Ibn Saud Islamic University (IMSIU) (grant number IMSIU-DDRSP2601).</t>
  </si>
  <si>
    <t>[Abdelbaki, Wiem] Amer Univ Middle East, Coll Engn &amp; Technol, Egaila 54200, Kuwait; [Alshaya, Hend; Bouchelligua, Wided] Imam Mohammad Ibn Saud Islamic Univ IMSIU, Appl Coll, Riyadh 11432, Saudi Arabia; [Nasir, Inzamam Mashood] Mykolas Romeris Univ, Human Environm Technol HET Syst Ctr, LT-08303 Vilnius, Lithuania; [Tehsin, Sara] Kaunas Univ Technol, Fac Informat, LT-51368 Kaunas, Lithuania</t>
  </si>
  <si>
    <t>American University of the Middle East; Imam Mohammad Ibn Saud Islamic University (IMSIU); Mykolas Romeris University; Kaunas University of Technology</t>
  </si>
  <si>
    <t>Multimodal Deep Learning with Attention-Based Fusion for Skin Cancer Diagnosis</t>
  </si>
  <si>
    <t>multimodal deep learning; skin cancer diagnosis; dermoscopic image analysis; clinical data fusion; attention mechanisms; cross-dataset generalization</t>
  </si>
  <si>
    <t>Bouchelligua, Wided/KFX-6047-2024; Tehsin, Sara/IZQ-0839-2023; Nasir, Inzamam Mashood/AAL-1165-2021</t>
  </si>
  <si>
    <t>MAY 16 2026</t>
  </si>
  <si>
    <t>10.3390/bioengineering13050564</t>
  </si>
  <si>
    <t>http://dx.doi.org/10.3390/bioengineering13050564</t>
  </si>
  <si>
    <t>IL9WK</t>
  </si>
  <si>
    <t>42194321</t>
  </si>
  <si>
    <t>WOS:001774845500001</t>
  </si>
  <si>
    <t>Sun, YX; Liu, CC; Zhang, JC; Wei, ZA; Zhou, ZF; Fan, CM; Yue, FY</t>
  </si>
  <si>
    <t>Background: Pressure injury (PI) can cause severe infections or death, and has a high global prevalence. Accurate staging is vital for effective intervention. Deep learning streamlines PI assessment; enhances efficiency; and yields practical, accurate results. Objective: The primary objective of this scoping review was to map the landscape of deep learning applications for PI identification and categorize the existing body of evidence into distinct technological trajectories: unimodal imaging and multimodal integration. Methods: We searched the following databases and sources: PubMed, the Cochrane Library, IEEE Xplore, and Web of Science. This scoping review was conducted in accordance with the PRISMA-ScR (Preferred Reporting Items for Systematic Reviews and Meta-Analyses extension for Scoping Reviews) guidelines. Results: A total of 15 articles were included: 40% (n=6) studies applied multimodal integration, whereas 60% (n=9) applied unimodal imaging. In total, 26 models were involved. Different models exhibited varying accuracy rates in staging PI, with overall accuracy fluctuating between 54.8% and 93.7%. The same model demonstrated significant variations in recognition accuracy across different studies. Multimodal integration appeared to be a distinguishing characteristic of the studies that will progress toward clinical validation. Conclusions: The current landscape of deep learning in PI identification is heavily skewed toward unimodal imaging, creating a modality gap that hinders clinical translation. While unimodal models demonstrate high accuracy in controlled settings, future research must prioritize bridging the gap from unimodal imaging to true multimodal integration to achieve clinical-grade reliability. Trial Registration: PROSPERO CRD420251251573; https://www.crd.york.ac.uk/PROSPERO/view/CRD420251251573 JMIR Med Inform 2026;14:e91048; doi: 10.2196/91048</t>
  </si>
  <si>
    <t>Sun, Yingxue; Liu, Congcong; Zhang, Ji-cheng; Wei, Zhengang; Zhou, Zhenfeng; Fan, Chunmei; Yue, Fangyan</t>
  </si>
  <si>
    <t>Liu, CC (corresponding author), Shandong First Med Univ, Shandong Prov Hosp, Dept Crit Care Med, Ward 2, 324 Jingwu Weiqu Rd, Jinan 250021, Shandong Provin, Peoples R China.</t>
  </si>
  <si>
    <t>liucongcong1988@126.com</t>
  </si>
  <si>
    <t>Shandong Provincial Medical and Health Science and Technology Project [202419010502]</t>
  </si>
  <si>
    <t>Shandong Provincial Medical and Health Science and Technology Project</t>
  </si>
  <si>
    <t>This study was funded by Shandong Provincial Medical and Health Science and Technology Project (grant 202419010502).</t>
  </si>
  <si>
    <t>[Sun, Yingxue; Liu, Congcong; Zhang, Ji-cheng; Wei, Zhengang; Zhou, Zhenfeng; Fan, Chunmei; Yue, Fangyan] Shandong First Med Univ, Shandong Prov Hosp, Dept Crit Care Med, Ward 2, 324 Jingwu Weiqu Rd, Jinan 250021, Shandong Provin, Peoples R China</t>
  </si>
  <si>
    <t>Unimodal and Multimodal Deep Learning for Pressure Injury Identification: Scoping Review</t>
  </si>
  <si>
    <t>deep learning; pressure injuries; intelligent recognition; staging; assessment; artificial intelligence; AI</t>
  </si>
  <si>
    <t>CLASSIFICATION; DIAGNOSIS; NETWORKS; SYSTEM</t>
  </si>
  <si>
    <t>e91048</t>
  </si>
  <si>
    <t>10.2196/91048</t>
  </si>
  <si>
    <t>http://dx.doi.org/10.2196/91048</t>
  </si>
  <si>
    <t>MQ2OW</t>
  </si>
  <si>
    <t>42574717</t>
  </si>
  <si>
    <t>WOS:001848297900002</t>
  </si>
  <si>
    <t>Santos, A; Gonzalez, CI; Garcia, M</t>
  </si>
  <si>
    <t>This study explores multimodal deep learning models for diagnosing Alzheimer's disease (AD), integrating up to eight data modalities, including clinical, imaging, and genetic information, using the OASIS-3 dataset. Three fusion strategies (early, late, and intermediate) are implemented and compared to effectively combine heterogeneous data. Three case studies are considered: (1) binary classification using magnetic resonance imaging (MRI) and the Clinical Dementia Rating (CDR) scale to distinguish between cognitively normal individuals and those with AD dementia; (2) binary classification using eight modalities (MRI, CDR, CENTILOID, FAQ, NPI-Q, D1, C1, and B8), improving predictive accuracy and robustness; and (3) multiclass classification with the same eight modalities to predict cognitive normality, uncertain dementia, or other dementia subtypes. Experimental results show that multimodal models consistently outperform unimodal approaches, demonstrating superior classification performance and greater resilience to uncertainty. Despite challenges in model interpretability and dataset balancing, these findings underscore the potential of multimodal fusion strategies to improve computer-assisted diagnosis of Alzheimer's disease.</t>
  </si>
  <si>
    <t>Santos, Ayrton; Gonzalez, Claudia I.; Garcia, Mario</t>
  </si>
  <si>
    <t>Gonzalez, CI (corresponding author), TECNM, Tijuana Inst Technol, Mexico City, Mexico.</t>
  </si>
  <si>
    <t>ayrton.santos@tectijuana.edu.mx; mario@tectijuana.edu.mx; cgonzalez@tectijuana.mx</t>
  </si>
  <si>
    <t>Acknowledgments We thank the TECNM/Tijuana Institute of Technology and SECIHTI for financial support through grant CF-2023-I-555.</t>
  </si>
  <si>
    <t>[Santos, Ayrton; Gonzalez, Claudia I.; Garcia, Mario] TECNM, Tijuana Inst Technol, Mexico City, Mexico</t>
  </si>
  <si>
    <t>Multimodal Deep Learning Fusion Strategies for Alzheimer's Disease Classification</t>
  </si>
  <si>
    <t>COMPUTACION Y SISTEMAS</t>
  </si>
  <si>
    <t>Alzheimer's disease classification; multimodal deep neural networks; neurodegenerative diseases; multimodal CNN</t>
  </si>
  <si>
    <t>Inst Politecnico Nacional IPN, Centro Investigacion Computacion</t>
  </si>
  <si>
    <t>MEXICO CITY</t>
  </si>
  <si>
    <t>AV JUAN DIOS BATIZ, S N ESQ M OTHON MENDIZABAL, UP ADOLFO LOPEZ MATEOS ZACATENCO, MEXICO CITY, 07738, MEXICO</t>
  </si>
  <si>
    <t>1405-5546</t>
  </si>
  <si>
    <t>2007-9737</t>
  </si>
  <si>
    <t>COMPUT SIST</t>
  </si>
  <si>
    <t>Comput. Sist.</t>
  </si>
  <si>
    <t>237</t>
  </si>
  <si>
    <t>257</t>
  </si>
  <si>
    <t>10.13053/CyS-30-1-6316</t>
  </si>
  <si>
    <t>http://dx.doi.org/10.13053/CyS-30-1-6316</t>
  </si>
  <si>
    <t>GD2QA</t>
  </si>
  <si>
    <t>WOS:001733635600015</t>
  </si>
  <si>
    <t>Xie, CY; Ning, ZY; Guo, T; Yao, LS; Chen, XB; Huang, WH; Li, SY; Chen, JH; Zhao, K; Bian, XW; Li, ZH; Huang, YQ; Liang, CH; Zhang, QL; Liu, ZY</t>
  </si>
  <si>
    <t>Background Adjuvant chemotherapy provides a limited survival benefit (&lt;5%) for patients with stage II colorectal cancer (CRC) and is suggested for high-risk patients. Given the heterogeneity of stage II CRC, we aimed to develop a clinically explainable artificial intelligence (AI)-powered analyser to identify radiological phenotypes that would benefit from chemotherapy. Methods Multimodal data from patients with CRC across six cohorts were collected, including 405 patients from the Guangdong Provincial People's Hospital for model development and 153 patients from the Yunnan Provincial Cancer Centre for validation. RNA sequencing data were used to identify the differentially expressed genes in the two radiological clusters. Histopathological patterns were evaluated to bridge the gap between the imaging and genetic information. Finally, we investigated the discovered morphological patterns of mouse models to observe imaging features. Findings The survival benefit of chemotherapy varied significantly among the AI-powered radiological clusters [interaction hazard ratio (iHR) = 5.35, (95% CI: 1.98, 14.41), adjusted P-interaction = 0.012]. Distinct biological pathways related to immune and stromal cell abundance were observed between the clusters. The observation only (OO)-preferable cluster exhibited higher necrosis, haemorrhage, and tortuous vessels, whereas the adjuvant chemotherapy (AC)-preferable cluster exhibited vessels with greater pericyte coverage, allowing for a more enriched infiltration of B, CD4(+)-T, and CD8(+)-T cells into the core tumoural areas. Further experiments confirmed that changes in vessel morphology led to alterations in predictive imaging features. Interpretation The developed explainable AI-powered analyser effectively identified patients with stage II CRC with improved overall survival after receiving adjuvant chemotherapy, thereby contributing to the advancement of precision oncology. Funding This work was funded by the National Science Fund of China (81925023, 82302299, and U22A2034), Guangdong Provincial Key Laboratory of Artificial Intelligence in Medical Image Analysis and Application (2022B1212010011), and High-level Hospital Construction Project (DFJHBF202105 and YKY-KF202204). Copyright (c) 2025 The Author(s). Published by Elsevier B.V. This is an open access article under the CC BY-NC-ND license (http://creativecommons.org/licenses/by-nc-nd/4.0/).</t>
  </si>
  <si>
    <t>Xie, Chenyi; Ning, Ziyu; Guo, Ting; Yao, Lisha; Chen, Xiaobo; Huang, Wanghong; Li, Suyun; Chen, Jiahui; Zhao, Ke; Bian, Xiuwu; Li, Zhenhui; Huang, Yanqi; Liang, Changhong; Zhang, Qingling; Liu, Zaiyi</t>
  </si>
  <si>
    <t>Zhang, QL; Liu, ZY (corresponding author), Southern Med Univ, Guangdong Prov Peoples Hosp, Guangdong Acad Med Sci, 106 Zhongshan 2nd Rd, Guangzhou 510080, Peoples R China.</t>
  </si>
  <si>
    <t>liuzaiyi@gdph.org.cn; zhangqingling@gdph.org.cn</t>
  </si>
  <si>
    <t>National Science Fund of China [81925023, 82302299, U22A2034]; Guangdong Provincial Key Laboratory of Artificial Intelligence in Medical Image Analysis and Application [2022B1212010011]; High-level Hospital Construction Project [DFJHBF202105, YKY-KF202204]</t>
  </si>
  <si>
    <t>National Science Fund of China (National Natural Science Foundation of China (NSFC)); Guangdong Provincial Key Laboratory of Artificial Intelligence in Medical Image Analysis and Application; High-level Hospital Construction Project</t>
  </si>
  <si>
    <t>The authors would like to acknowledge Prof. Yifang Ping from the Institute of Pathology and Southwest Cancer Centre, Third Military Medical University, and Dr. Xue Bai from the Department of Radiation Oncology, Southern Medical University, for helpful discussions. This work was funded by the National Science Fund of China (81925023, 82302299, and U22A2034) , Guangdong Provincial Key Laboratory of Artificial Intelligence in Medical Image Analysis and Application (2022B1212010011) , and High-level Hospital Construction Project (DFJHBF202105 and YKY-KF202204) .</t>
  </si>
  <si>
    <t>[Xie, Chenyi; Zhao, Ke; Liu, Zaiyi] Guangdong Acad Med Sci, Guangdong Prov Peoples Hosp, Guangdong Cardiovasc Inst, Guangzhou 510080, Peoples R China; [Xie, Chenyi; Chen, Xiaobo; Li, Suyun; Chen, Jiahui; Zhao, Ke; Huang, Yanqi; Liang, Changhong; Liu, Zaiyi] Southern Med Univ, Guangdong Prov Peoples Hosp, Guangdong Acad Med Sci, Dept Radiol, Guangzhou 510080, Peoples R China; [Xie, Chenyi; Ning, Ziyu; Guo, Ting; Yao, Lisha; Huang, Wanghong; Zhao, Ke; Zhang, Qingling; Liu, Zaiyi] Guangdong Prov Key Lab Artificial Intelligence Med, Guangzhou 510080, Peoples R China; [Ning, Ziyu; Zhang, Qingling] Southern Med Univ, Guangdong Prov Peoples Hosp, Guangdong Acad Med Sci, Dept Pathol, Guangzhou 510080, Guangdong, Peoples R China; [Bian, Xiuwu] Army Med Univ, Third Mil Med Univ, Southwest Hosp, Inst Pathol, Chongqing 400038, Peoples R China; [Bian, Xiuwu] Army Med Univ, Southwest Hosp, Southwest Canc Ctr, Third Mil Med Univ, Chongqing 400038, Peoples R China; [Bian, Xiuwu] Minist Educ China, Key Lab Tumor Immunopathol, Chongqing 400038, Peoples R China; [Li, Zhenhui] Kunming Med Univ, Yunnan Canc Hosp, Dept Radiol, Affiliated Hosp 3, Kunming 650000, Peoples R China</t>
  </si>
  <si>
    <t>Guangdong Academy of Medical Sciences &amp; Guangdong General Hospital; Southern Medical University - China; Guangdong Academy of Medical Sciences &amp; Guangdong General Hospital; Southern Medical University - China; Southern Medical University - China; Guangdong Academy of Medical Sciences &amp; Guangdong General Hospital; Army Medical University; Army Medical University; Kunming Medical University</t>
  </si>
  <si>
    <t>Multimodal data integration for biologically-relevant artificial intelligence to guide adjuvant chemotherapy in stage II colorectal cancer</t>
  </si>
  <si>
    <t>EBIOMEDICINE</t>
  </si>
  <si>
    <t>Stage II colorectal cancer; Predictive biomarker; Multimodal artificial intelligence; Imaging; Prognosis; Risk stratification</t>
  </si>
  <si>
    <t>TUMOR VESSEL NORMALIZATION; HETEROGENEITY</t>
  </si>
  <si>
    <t>Liu, Zaiyi/L-9212-2015; Huang, Yanqi/MCJ-4797-2025; Li, Zhenhui/K-9393-2018; Bian, Xiu-Wu/D-4736-2017; Zhao, Ke/AAG-8215-2021; Chen, Xiaobo/NMJ-6080-2025</t>
  </si>
  <si>
    <t>Chen, Xiaobo/0000-0001-8755-6199</t>
  </si>
  <si>
    <t>2352-3964</t>
  </si>
  <si>
    <t>EBioMedicine</t>
  </si>
  <si>
    <t>105789</t>
  </si>
  <si>
    <t>10.1016/j.ebiom.2025.105789</t>
  </si>
  <si>
    <t>http://dx.doi.org/10.1016/j.ebiom.2025.105789</t>
  </si>
  <si>
    <t>Medicine, General &amp; Internal; Medicine, Research &amp; Experimental</t>
  </si>
  <si>
    <t>General &amp; Internal Medicine; Research &amp; Experimental Medicine</t>
  </si>
  <si>
    <t>3VO5L</t>
  </si>
  <si>
    <t>40472802</t>
  </si>
  <si>
    <t>WOS:001510041800001</t>
  </si>
  <si>
    <t>Pigoni, A; Tesic, I; Pini, C; Enrico, P; Di Consoli, L; Siri, F; Nosari, G; Ferro, A; Squarcina, L; Delvecchio, G; Brambilla, P</t>
  </si>
  <si>
    <t>Introduction Bipolar disorder (BD) patients present an increased risk of suicide attempts. Most current machine learning (ML) studies predicting suicide attempts are cross-sectional, do not employ time-dependent variables, and do not assess more than one modality. Therefore, we aimed to predict 12-month suicide attempts in a sample of BD patients, using clinical and brain imaging data. Methods A sample of 163 BD patients were recruited and followed up for 12 months. Gray matter volumes and cortical thickness were extracted from the T1-weighted images. Based on previous literature, we extracted 56 clinical and demographic features from digital health records. Support Vector Machine was used to differentiate BD subjects who attempted suicide. First, we explored single modality prediction (clinical features, GM, and thickness). Second, we implemented a multimodal stacking-based data fusion framework. Results During the 12 months, 6.13% of patients attempted suicide. The unimodal classifier based on clinical data reached an area under the curve (AUC) of 0.83 and balanced accuracy (BAC) of 72.7%. The model based on GM reached an AUC of 0.86 and BAC of 76.4%. The multimodal classifier (clinical + GM) reached an AUC of 0.88 and BAC of 83.4%, significantly increasing the sensitivity. The most important features were related to suicide attempts history, medications, comorbidities, and depressive polarity. In the GM model, the most relevant features mapped in the frontal, temporal, and cerebellar regions. Conclusions By combining models, we increased the detection of suicide attempts, reaching a sensitivity of 80%. Combining more than one modality proved a valid method to overcome limitations from single-modality models and increasing overall accuracy.</t>
  </si>
  <si>
    <t>Pigoni, Alessandro; Tesic, Isidora; Pini, Cecilia; Enrico, Paolo; Di Consoli, Lorena; Siri, Francesca; Nosari, Guido; Ferro, Adele; Squarcina, Letizia; Delvecchio, Giuseppe; Brambilla, Paolo</t>
  </si>
  <si>
    <t>Brambilla, P (corresponding author), Osped Maggiore Policlin, Fdn IRCCS Ca Granda, Dept Neurosci &amp; Mental Hlth, Milan, Italy.; Brambilla, P (corresponding author), Univ Milan, Dept Pathophysiol &amp; Transplantat, Milan, Italy.</t>
  </si>
  <si>
    <t>paolo.brambilla1@unimi.it</t>
  </si>
  <si>
    <t>Fondazione Cariplo, Ministero dell'Universita e della Ricerca, Ministero della Salute</t>
  </si>
  <si>
    <t>This work was supported by Fondazione Cariplo, Ministero dell'Universita e della Ricerca, Ministero della Salute.</t>
  </si>
  <si>
    <t>[Pigoni, Alessandro; Enrico, Paolo; Di Consoli, Lorena; Siri, Francesca; Nosari, Guido; Ferro, Adele; Delvecchio, Giuseppe; Brambilla, Paolo] Osped Maggiore Policlin, Fdn IRCCS Ca Granda, Dept Neurosci &amp; Mental Hlth, Milan, Italy; [Tesic, Isidora; Pini, Cecilia; Squarcina, Letizia; Brambilla, Paolo] Univ Milan, Dept Pathophysiol &amp; Transplantat, Milan, Italy</t>
  </si>
  <si>
    <t>IRCCS Ca Granda Ospedale Maggiore Policlinico; University of Milan</t>
  </si>
  <si>
    <t>Multimodal Machine Learning Prediction of 12-Month Suicide Attempts in Bipolar Disorder</t>
  </si>
  <si>
    <t>BIPOLAR DISORDERS</t>
  </si>
  <si>
    <t>bipolar disorder; machine learning; prediction; suicide</t>
  </si>
  <si>
    <t>DOUBLE-BLIND; RISK-FACTORS; ANTIEPILEPTIC DRUGS; COMPLETED SUICIDE; BEHAVIOR; LITHIUM; IMPULSIVITY; DIVALPROEX; DEPRESSION; ALCOHOL</t>
  </si>
  <si>
    <t>Squarcina, Letizia/ISS-8010-2023; Enrico, Paolo/AAF-1672-2021; Delvecchio, Giuseppe/J-7721-2016</t>
  </si>
  <si>
    <t>Pigoni, Alessandro/0000-0002-9122-5656</t>
  </si>
  <si>
    <t>1398-5647</t>
  </si>
  <si>
    <t>1399-5618</t>
  </si>
  <si>
    <t>BIPOLAR DISORD</t>
  </si>
  <si>
    <t>Bipolar Disord.</t>
  </si>
  <si>
    <t>217</t>
  </si>
  <si>
    <t>231</t>
  </si>
  <si>
    <t>10.1111/bdi.70011</t>
  </si>
  <si>
    <t>http://dx.doi.org/10.1111/bdi.70011</t>
  </si>
  <si>
    <t>Clinical Neurology; Neurosciences; Psychiatry</t>
  </si>
  <si>
    <t>3VM6Q</t>
  </si>
  <si>
    <t>40052301</t>
  </si>
  <si>
    <t>WOS:001439101800001</t>
  </si>
  <si>
    <t>Tripathi, A; Waqas, A; Schabath, MB; Yilmaz, Y; Rasool, G</t>
  </si>
  <si>
    <t>Harmonized ONcologY Biomedical Embedding Encoder (HONeYBEE) is an open-source framework that integrates multimodal biomedical data for oncology applications. It processes clinical data (structured and unstructured), whole-slide images, radiology scans, and molecular profiles to generate unified patient-level embeddings using domain-specific foundation models and fusion strategies. These embeddings enable survival prediction, cancer-type classification, patient similarity retrieval, and cohort clustering. Evaluated on 11,400+ patients across 33 cancer types from The Cancer Genome Atlas (TCGA), clinical embeddings showed the strongest single-modality performance with 98.5% classification accuracy and 96.4% precision@10 in patient retrieval. They also achieved the highest survival prediction concordance indices across most cancer types. Multimodal fusion provided complementary benefits for specific cancers, improving overall survival prediction beyond clinical features alone. Comparative evaluation of four large language models revealed that general-purpose models like Qwen3 outperformed specialized medical models for clinical text representation, though task-specific fine-tuning improved performance on heterogeneous data such as pathology reports.</t>
  </si>
  <si>
    <t>Tripathi, Aakash; Waqas, Asim; Schabath, Matthew B.; Yilmaz, Yasin; Rasool, Ghulam</t>
  </si>
  <si>
    <t>Tripathi, A (corresponding author), H Lee Moffitt Canc Ctr &amp; Res Inst, Dept Machine Learning, Tampa, FL 33612 USA.; Tripathi, A (corresponding author), Univ S Florida, Dept Elect Engn, Tampa, FL 33620 USA.</t>
  </si>
  <si>
    <t>aakash.tripathi@moffitt.org</t>
  </si>
  <si>
    <t>National Science Foundation [2234836, 2234468]; NSF</t>
  </si>
  <si>
    <t>National Science Foundation (National Science Foundation (NSF)); NSF (National Science Foundation (NSF))</t>
  </si>
  <si>
    <t>This research was supported by NSF Awards 2234836 and 2234468 and NAIRR pilot funding.</t>
  </si>
  <si>
    <t>[Tripathi, Aakash; Waqas, Asim; Rasool, Ghulam] H Lee Moffitt Canc Ctr &amp; Res Inst, Dept Machine Learning, Tampa, FL 33612 USA; [Tripathi, Aakash; Yilmaz, Yasin; Rasool, Ghulam] Univ S Florida, Dept Elect Engn, Tampa, FL 33620 USA; [Waqas, Asim; Schabath, Matthew B.] H Lee Moffitt Canc Ctr &amp; Res Inst, Dept Canc Epidemiol, Tampa, FL USA</t>
  </si>
  <si>
    <t>H Lee Moffitt Cancer Center &amp; Research Institute; State University System of Florida; University of South Florida; H Lee Moffitt Cancer Center &amp; Research Institute</t>
  </si>
  <si>
    <t>HONeYBEE: enabling scalable multimodal AI in oncology through foundation model-driven embeddings</t>
  </si>
  <si>
    <t>DATA INTEGRATION; SELECTION; HISTOLOGY</t>
  </si>
  <si>
    <t>Rasool, Ghulam/T-7960-2019; Waqas, Asim/KEH-8791-2024; Tripathi, Aakash/PQW-2571-2026; Schabath, Matthew/J-3763-2016</t>
  </si>
  <si>
    <t>Waqas, Asim/0000-0002-6834-4710</t>
  </si>
  <si>
    <t>96</t>
  </si>
  <si>
    <t>OCT 23 2025</t>
  </si>
  <si>
    <t>622</t>
  </si>
  <si>
    <t>10.1038/s41746-025-02003-4</t>
  </si>
  <si>
    <t>http://dx.doi.org/10.1038/s41746-025-02003-4</t>
  </si>
  <si>
    <t>8YQ5O</t>
  </si>
  <si>
    <t>41131352</t>
  </si>
  <si>
    <t>WOS:001600458800003</t>
  </si>
  <si>
    <t>Özden, Y; Yüzügülen, Ö; Omurca, F</t>
  </si>
  <si>
    <t>BACKGROUND International guidelines for pancreatic cystic lesions (PCLs) rely primarily on morphology-based criteria and demonstrate limited discrimination for advanced neoplasia. The integration of clinical, endoscopic ultrasound (EUS), and cyst fluid biomarkers into interpretable risk models may improve preoperative risk stratification. AIM To develop and internally validate an interpretable multimodal model for predicting advanced neoplasia in PCLs. METHODS This retrospective single-center cohort study included 187 adults who underwent surgical resection for PCLs between 2012 and 2025. Clinical variables, cross-sectional imaging findings, EUS features, and cyst fluid biomarkers (carcinoembryonic antigen and glucose) were analyzed. Using least absolute shrinkage and selection operator-penalized logistic regression, a core clinical-EUS model and an integrated multimodal model were developed (training set, n = 131) and internally validated (n = 56). Discrimination was assessed using the area under the receiver operating characteristic curve (AUC). Calibration and decision curve analysis were also performed. Model performance was compared with American Gastroenterological Association 2015, Fukuoka 2017, European 2018, and Kyoto 2024 criteria. RESULTS Advanced neoplasia was identified in 58 of 187 patients (31.0%). In the validation cohort (17 advanced; 39 non-advanced), the integrated multimodal model achieved an AUC of 0.91 (95%CI: 0.82-0.97), with a sensitivity of 82.4% and specificity of 89.7%, significantly outperforming international guideline-based criteria (AUC range: 0.70-0.79; all P &lt; 0.01). Performance remained stable in the intraductal papillary mucinous neoplasm subset (AUC 0.90) and in cysts without mural nodules (AUC 0.88). Decision curve analysis demonstrated a superior net benefit across clinically relevant thresholds. CONCLUSION An interpretable multimodal model integrating clinical, EUS, and cyst fluid data improves the discrimination of advanced neoplasia in surgically resected PCLs and may support preoperative risk stratification. Prospective external validation is required before clinical implementation.</t>
  </si>
  <si>
    <t>Ozden, Yavuz; Yuzugulen, Omer; Omurca, Ferhat</t>
  </si>
  <si>
    <t>Özden, Y (corresponding author), Univ Hlth Sci, Kayseri City Hosp, Dept Gastroenterol, Muhsin Yazicioglu Blvd 77, TR-38080 Kocasinan, Kayseri, Turkiye.</t>
  </si>
  <si>
    <t>yavuzozden@gmail.com</t>
  </si>
  <si>
    <t>[Ozden, Yavuz; Yuzugulen, Omer; Omurca, Ferhat] Univ Hlth Sci, Kayseri City Hosp, Dept Gastroenterol, Muhsin Yazicioglu Blvd 77, TR-38080 Kocasinan, Kayseri, Turkiye</t>
  </si>
  <si>
    <t>Kayseri Training &amp; Research Hospital; University of Health Sciences Turkey</t>
  </si>
  <si>
    <t>Interpretable multimodal artificial intelligence model for predicting advanced neoplasia in pancreatic cystic lesions</t>
  </si>
  <si>
    <t>WORLD JOURNAL OF GASTROINTESTINAL ONCOLOGY</t>
  </si>
  <si>
    <t>Pancreatic cystic lesions; Artificial intelligence; Endoscopic ultrasound; Cyst fluid biomarkers; Intraductal papillary mucinous neoplasm; Risk stratification</t>
  </si>
  <si>
    <t>DIAGNOSIS; MANAGEMENT; FUKUOKA</t>
  </si>
  <si>
    <t>Özden, Yavuz/MSX-0584-2025</t>
  </si>
  <si>
    <t>BAISHIDENG PUBLISHING GROUP INC</t>
  </si>
  <si>
    <t>PLEASANTON</t>
  </si>
  <si>
    <t>7041 Koll Center Parkway, Suite 160, PLEASANTON, CA, UNITED STATES</t>
  </si>
  <si>
    <t>1948-5204</t>
  </si>
  <si>
    <t>WORLD J GASTRO ONCOL</t>
  </si>
  <si>
    <t>World J. Gastrointest. Oncol.</t>
  </si>
  <si>
    <t>JUL 15 2026</t>
  </si>
  <si>
    <t>119847</t>
  </si>
  <si>
    <t>10.4251/wjgo.v18.i7.119847</t>
  </si>
  <si>
    <t>http://dx.doi.org/10.4251/wjgo.v18.i7.119847</t>
  </si>
  <si>
    <t>Oncology; Gastroenterology &amp; Hepatology</t>
  </si>
  <si>
    <t>LI4KE</t>
  </si>
  <si>
    <t>WOS:001825347900015</t>
  </si>
  <si>
    <t>Yao, YC; Zhang, MJ; Wang, W; Zhuang, Z; He, RY; Ji, YK; Knutson, KA; Norby, FL; Alonso, A; Soliman, EZ; Tang, WH; Pankow, JS; Pan, W; Chen, LY</t>
  </si>
  <si>
    <t>Aims Many studies have utilized data sources such as clinical variables, polygenic risk scores, electrocardiogram (ECG), and plasma proteins to predict the risk of atrial fibrillation (AF). However, few studies have integrated all four sources from a single study to comprehensively assess AF prediction.Methods and results We included 8374 (Visit 3, 1993-95) and 3730 (Visit 5, 2011-13) participants from the Atherosclerosis Risk in Communities Study to predict incident AF and prevalent (but covert) AF. We constructed a (i) clinical risk score using CHARGE-AF clinical variables, (ii) polygenic risk score using pre-determined weights, (iii) protein risk score using regularized logistic regression, and (iv) ECG risk score from a convolutional neural network. Risk prediction performance was measured using regularized logistic regression. After a median follow-up of 15.1 years, 1910 AF events occurred since Visit 3 and 229 participants had prevalent AF at Visit 5. The area under curve (AUC) improved from 0.660 to 0.752 (95% CI, 0.741-0.763) and from 0.737 to 0.854 (95% CI, 0.828-0.880) after addition of the polygenic risk score to the CHARGE-AF clinical variables for predicting incident and prevalent AF, respectively. Further addition of ECG and protein risk scores improved the AUC to 0.763 (95% CI, 0.753-0.772) and 0.875 (95% CI, 0.851-0.899) for predicting incident and prevalent AF, respectively.Conclusion A combination of clinical and polygenic risk scores was the most effective and parsimonious approach to predicting AF. Further addition of an ECG risk score or protein risk score provided only modest incremental improvement for predicting AF.</t>
  </si>
  <si>
    <t>Yao, Yuchen; Zhang, Michael J.; Wang, Wendy; Zhuang, Zhong; He, Ruoyu; Ji, Yuekai; Knutson, Katherine A.; Norby, Faye L.; Alonso, Alvaro; Soliman, Elsayed Z.; Tang, Weihong; Pankow, James S.; Pan, Wei; Chen, Lin Yee</t>
  </si>
  <si>
    <t>Chen, LY (corresponding author), Univ Minnesota, Med Sch, Dept Med, Cardiovasc Div, 401 East River Pkwy, Minneapolis, MN 55455 USA.; Chen, LY (corresponding author), Univ Minnesota, Med Sch, Lillehei Heart Inst, 2231 6th St SE Suite 4-156, Minneapolis, MN 55455 USA.</t>
  </si>
  <si>
    <t>chenx484@umn.edu</t>
  </si>
  <si>
    <t>National Heart, Lung, and Blood Institute, National Institutes of Health [75N92022D00001, 75N92022D00002, 75N92022D00003, 75N92022D00004, 75N92022 D00005]; National Institutes of Health (National Heart, Lung and Blood Institute) [U01HL0 96812, U01HL096814, U01HL096899, U01HL096902, U01HL096 917]; National Institutes of Health (National Institute of Neurological Disorders and Stroke) [U01HL0 96812, U01HL096814, U01HL096899, U01HL096902, U01HL096 917]; National Institutes of Health (National Institue on Aging) [U01HL0 96812, U01HL096814, U01HL096899, U01HL096902, U01HL096 917]; National Institutes of Health (National Institute on Deafness and Other Communication Disorders) [U01HL0 96812, U01HL096814, U01HL096899, U01HL096902, U01HL096 917]; National Institues of Health [R01 AG065636, R01 AG069895, RF1 AG067924, U01 AG073079, R01 AG074858, R01 HL116720]; Minnesota Supercomputing Institute at the University of Minnesota</t>
  </si>
  <si>
    <t>National Heart, Lung, and Blood Institute, National Institutes of Health (United States Department of Health &amp; Human Services, National Institutes of Health (NIH) - USA, NIH National Heart Lung &amp; Blood Institute (NHLBI)); National Institutes of Health (National Heart, Lung and Blood Institute) (United States Department of Health &amp; Human Services, National Institutes of Health (NIH) - USA, NIH National Heart Lung &amp; Blood Institute (NHLBI)); National Institutes of Health (National Institute of Neurological Disorders and Stroke) (United States Department of Health &amp; Human Services, National Institutes of Health (NIH) - USA, NIH National Institute of Neurological Disorders &amp; Stroke (NINDS)); National Institutes of Health (National Institue on Aging); National Institutes of Health (National Institute on Deafness and Other Communication Disorders) (United States Department of Health &amp; Human Services, National Institutes of Health (NIH) - USA, NIH National Institute on Deafness &amp; Other Communication Disorders (NIDCD)); National Institues of Health (United States Department of Health &amp; Human Services, National Institutes of Health (NIH) - USA); Minnesota Supercomputing Institute at the University of Minnesota</t>
  </si>
  <si>
    <t>The Atherosclerosis Risk in Communities Study has been funded in whole or in part with Federal funds from the National Heart, Lung, and Blood Institute, National Institutes of Health, under contract nos. (75N92022D00001, 75N92022D00002, 75N92022D00003, 75N92022D00004, 75N92022 D00005). The ARIC Neurocognitive Study is supported by U01HL0 96812, U01HL096814, U01HL096899, U01HL096902, and U01HL096 917 from the National Institutes of Health (National Heart, Lung and Blood Institute, National Institute of Neurological Disorders and Stroke, National Institue on Aging, and National Institute on Deafness and Other Communication Disorders). This study is funded by National Institues of Health grants R01 AG065636, R01 AG069895, RF1 AG067924, U01 AG073079, R01 AG074858, and R01 HL116720, and by the Minnesota Supercomputing Institute at the University of Minnesota. M.J.Z. is supported by F32HL152523 and AHA 899027. W.W. is supported by T32HL007779. A.A. is supported by R01HL137338, K24HL148521, and P30AG066511. L.Y.C. is supported by R01HL141288, R01HL126637, RF1 NS127266, R01 HL158022, R01AG075883, and K24HL155813. The sponsor had no role in the design and conduct of the study; collection, management, analysis, and interpretation of the data; preparation, review, or approval of the manuscript; and decision to submit the manuscript for publication.</t>
  </si>
  <si>
    <t>[Yao, Yuchen; He, Ruoyu] Univ Minnesota, Coll Liberal Arts, Sch Stat, 313 Church St SE, Minneapolis, MN 55455 USA; [Yao, Yuchen; Zhuang, Zhong; Knutson, Katherine A.; Pan, Wei] Univ Minnesota, Sch Publ Hlth, Div Biostat &amp; Hlth Data Sci, 2221 Univ Ave SE, Minneapolis, MN 55414 USA; [Zhang, Michael J.; Ji, Yuekai; Chen, Lin Yee] Univ Minnesota, Med Sch, Dept Med, Cardiovasc Div, 401 East River Pkwy, Minneapolis, MN 55455 USA; [Zhang, Michael J.; Ji, Yuekai; Chen, Lin Yee] Univ Minnesota, Med Sch, Lillehei Heart Inst, 2231 6th St SE Suite 4-156, Minneapolis, MN 55455 USA; [Wang, Wendy; Norby, Faye L.; Tang, Weihong; Pankow, James S.] Univ Minnesota, Sch Publ Hlth, Div Epidemiol &amp; Community Hlth, 1100 Washington Ave S, Minneapolis, MN 55415 USA; [Alonso, Alvaro] Emory Univ, Rollins Sch Publ Hlth, Dept Epidemiol, 1518 Clifton Rd, Atlanta, GA 30322 USA; [Soliman, Elsayed Z.] Wake Forest Sch Med, Epidemiol Cardiol Res Ctr, Sect Cardiovasc Med, 1 Med Ctr Blvd, Winston Salem, NC 27157 USA</t>
  </si>
  <si>
    <t>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 Emory University; Rollins School Public Health; Wake Forest University</t>
  </si>
  <si>
    <t>Multimodal data integration to predict atrial fibrillation</t>
  </si>
  <si>
    <t>Atrial fibrillation; Genotype; Proteomics; ECG; Model integration</t>
  </si>
  <si>
    <t>ATHEROSCLEROSIS RISK; COMMUNITIES; DISEASE; SCORE; MANAGEMENT; FUTURE</t>
  </si>
  <si>
    <t>Norby, Faye/FNA-7255-2022; He, Ruoyu/NCV-1122-2025; Alonso, Alvaro/A-4917-2010; Pan, Wei/ADH-2051-2022; Soliman, Elsayed/AAD-7135-2020; Wang, Wendy/PLC-8057-2026</t>
  </si>
  <si>
    <t>Yao, Yuchen/0009-0006-9905-216X; Norby, Faye/0000-0002-1975-0405; Pankow, James/0000-0001-7076-483X; Alonso, Alvaro/0000-0002-2225-8323; Ji, Yuekai/0000-0002-8517-475X; Tang, Weihong/0000-0003-1200-0270; Soliman, Elsayed/0000-0001-5632-8150; Zhang, Michael/0000-0003-2537-2831; Wang, Wendy/0000-0001-6025-0173</t>
  </si>
  <si>
    <t>NOV 27 2024</t>
  </si>
  <si>
    <t>126</t>
  </si>
  <si>
    <t>10.1093/ehjdh/ztae081</t>
  </si>
  <si>
    <t>http://dx.doi.org/10.1093/ehjdh/ztae081</t>
  </si>
  <si>
    <t>S8V1Y</t>
  </si>
  <si>
    <t>39846068</t>
  </si>
  <si>
    <t>WOS:001365507100001</t>
  </si>
  <si>
    <t>Zhang, QY; Hu, YY; Zhou, C; Zhao, YM; Zhang, N; Zhou, Y; Yang, YF; Zheng, HR; Fan, W; Liang, D; Hu, ZL</t>
  </si>
  <si>
    <t>ObjectivesThis study aims to decrease the scan time and enhance image quality in pediatric total-body PET imaging by utilizing multimodal artificial intelligence techniques.MethodsA total of 270 pediatric patients who underwent total-body PET/CT scans with a uEXPLORER at the Sun Yat-sen University Cancer Center were retrospectively enrolled. 18F-fluorodeoxyglucose (18F-FDG) was administered at a dose of 3.7 MBq/kg with an acquisition time of 600 s. Short-term scan PET images (acquired within 6, 15, 30, 60 and 150 s) were obtained by truncating the list-mode data. A three-dimensional (3D) neural network was developed with a residual network as the basic structure, fusing low-dose CT images as prior information, which were fed to the network at different scales. The short-term PET images and low-dose CT images were processed by the multimodal 3D network to generate full-length, high-dose PET images. The nonlocal means method and the same 3D network without the fused CT information were used as reference methods. The performance of the network model was evaluated by quantitative and qualitative analyses.ResultsMultimodal artificial intelligence techniques can significantly improve PET image quality. When fused with prior CT information, the anatomical information of the images was enhanced, and 60 s of scan data produced images of quality comparable to that of the full-time data.ConclusionMultimodal artificial intelligence techniques can effectively improve the quality of pediatric total-body PET/CT images acquired using ultrashort scan times. This has the potential to decrease the use of sedation, enhance guardian confidence, and reduce the probability of motion artifacts.</t>
  </si>
  <si>
    <t>Zhang, Qiyang; Hu, Yingying; Zhou, Chao; Zhao, Yumo; Zhang, Na; Zhou, Yun; Yang, Yongfeng; Zheng, Hairong; Fan, Wei; Liang, Dong; Hu, Zhanli</t>
  </si>
  <si>
    <t>Hu, ZL (corresponding author), Chinese Acad Sci, Lauterbur Res Ctr Biomed Imaging, Shenzhen Inst Adv Technol, Shenzhen 518055, Peoples R China.</t>
  </si>
  <si>
    <t>zl.hu@siat.ac.cn</t>
  </si>
  <si>
    <t>National Natural Science Foundation of China</t>
  </si>
  <si>
    <t>[Zhang, Qiyang; Zhang, Na; Yang, Yongfeng; Zheng, Hairong; Liang, Dong; Hu, Zhanli] Chinese Acad Sci, Lauterbur Res Ctr Biomed Imaging, Shenzhen Inst Adv Technol, Shenzhen 518055, Peoples R China; [Hu, Yingying; Zhou, Chao; Zhao, Yumo; Fan, Wei] Sun Yat Sen Univ, Canc Ctr, Dept Nucl Med, Guangzhou 510060, Peoples R China; [Zhou, Yun] Cent Res Inst, United Imaging Healthcare Grp, Shanghai 201807, Peoples R China</t>
  </si>
  <si>
    <t>Chinese Academy of Sciences; Shenzhen Institute of Advanced Technology, CAS; Sun Yat Sen University</t>
  </si>
  <si>
    <t>Reducing pediatric total-body PET/CT imaging scan time with multimodal artificial intelligence technology</t>
  </si>
  <si>
    <t>EJNMMI PHYSICS</t>
  </si>
  <si>
    <t>PET/CT; Multimodal artificial intelligence techniques; Pediatric; Short scan time</t>
  </si>
  <si>
    <t>Liang, Dong/A-3335-2011; yang, yongfeng/JXY-8082-2024</t>
  </si>
  <si>
    <t>2197-7364</t>
  </si>
  <si>
    <t>EJNMMI PHYS</t>
  </si>
  <si>
    <t>EJNMMI Phys.</t>
  </si>
  <si>
    <t>JAN 2 2024</t>
  </si>
  <si>
    <t>10.1186/s40658-023-00605-z</t>
  </si>
  <si>
    <t>http://dx.doi.org/10.1186/s40658-023-00605-z</t>
  </si>
  <si>
    <t>EG4B4</t>
  </si>
  <si>
    <t>38165551</t>
  </si>
  <si>
    <t>WOS:001137744900001</t>
  </si>
  <si>
    <t>Rhanoui, M; Mikram, M; Amazian, K; Ait-Abderrahim, A; Yousfi, S; Toughrai, I</t>
  </si>
  <si>
    <t>Colorectal cancer is a major public health issue, causing significant morbidity and mortality worldwide. Treatment for colorectal cancer often has a significant impact on patients' quality of life, which can vary over time and across individuals. The application of artificial intelligence and machine learning techniques has great potential for optimizing patient outcomes by providing valuable insights. In this paper, we propose a multimodal machine learning framework for the prediction of quality of life indicators in colorectal cancer patients at various temporal stages, leveraging both clinical data and computed tomography scan images. Additionally, we identify key predictive factors for each quality of life indicator, thereby enabling clinicians to make more informed treatment decisions and ultimately enhance patient outcomes. Our approach integrates data from multiple sources, enhancing the performance of our predictive models. The analysis demonstrates a notable improvement in accuracy for some indicators, with results for the Wexner score increasing from 24% to 48% and for the Anorectal Ultrasound score from 88% to 96% after integrating data from different modalities. These results highlight the potential of multimodal learning to provide valuable insights and improve patient care in real-world applications.</t>
  </si>
  <si>
    <t>Rhanoui, Maryem; Mikram, Mounia; Amazian, Kamelia; Ait-Abderrahim, Abderrahim; Yousfi, Siham; Toughrai, Imane</t>
  </si>
  <si>
    <t>Rhanoui, M (corresponding author), Univ Lyon, Univ Claude Bernard Lyon 1, Lab Hlth Syst Proc P2S, UR4129, F-69008 Lyon, France.; Mikram, M (corresponding author), Meridian Team, LyRICA Lab, Sch Informat Sci, Rabat 10100, Morocco.</t>
  </si>
  <si>
    <t>mmikram@esi.ac.ma; maryem.rhanoui@univ-lyon1.fr</t>
  </si>
  <si>
    <t>[Rhanoui, Maryem] Univ Lyon, Univ Claude Bernard Lyon 1, Lab Hlth Syst Proc P2S, UR4129, F-69008 Lyon, France; [Mikram, Mounia; Yousfi, Siham] Meridian Team, LyRICA Lab, Sch Informat Sci, Rabat 10100, Morocco; [Amazian, Kamelia] Higher Inst Nursing Profess &amp; Hlth Technol, Fes 30050, Morocco; [Amazian, Kamelia] Sidi Mohamed Ben Abdellah Univ, Fac Med &amp; Pharm, Human Pathol Biomed &amp; Environm Lab, Fes 30000, Morocco; [Ait-Abderrahim, Abderrahim; Toughrai, Imane] Hassan II Univ Hosp, Gen Surg Dept, Fes 30050, Morocco</t>
  </si>
  <si>
    <t>Universite Lyon 1; Sidi Mohamed Ben Abdellah University of Fez; Sidi Mohamed Ben Abdellah University of Fez; Hassan II University Hospital Center of Fez</t>
  </si>
  <si>
    <t>Multimodal Machine Learning for Predicting Post-Surgery Quality of Life in Colorectal Cancer Patients</t>
  </si>
  <si>
    <t>JOURNAL OF IMAGING</t>
  </si>
  <si>
    <t>multimodal learning; machine learning; quality of life (QoL); colorectal cancer (CRC); healthcare analytics</t>
  </si>
  <si>
    <t>SEGMENTATION; ALGORITHM</t>
  </si>
  <si>
    <t>Rhanoui, Maryem/AAA-7902-2022</t>
  </si>
  <si>
    <t>Mikram, Mounia/0000-0002-6647-5098; AMAZIAN, Kamelia/0009-0003-1005-1004; yousfi, siham/0000-0002-0745-8327; Rhanoui, Maryem/0000-0002-0147-8466</t>
  </si>
  <si>
    <t>2313-433X</t>
  </si>
  <si>
    <t>J IMAGING</t>
  </si>
  <si>
    <t>J. Imaging</t>
  </si>
  <si>
    <t>297</t>
  </si>
  <si>
    <t>10.3390/jimaging10120297</t>
  </si>
  <si>
    <t>http://dx.doi.org/10.3390/jimaging10120297</t>
  </si>
  <si>
    <t>Imaging Science &amp; Photographic Technology</t>
  </si>
  <si>
    <t>Q8F4N</t>
  </si>
  <si>
    <t>39728194</t>
  </si>
  <si>
    <t>WOS:001386965500001</t>
  </si>
  <si>
    <t>Cai, JW; Wang, ZL; Wang, H; Chen, ZH; Yu, QQ; Lai, ZC; Xu, LY</t>
  </si>
  <si>
    <t>Accurate midpalatal suture maturation assessment is critical for orthodontic treatment planning, yet current manual staging methods exhibit substantial inter-examiner variability (kappa values 0.3-0.8), compromising treatment decision reliability. This study developed and validated DeepMSM, an automated multimodal deep learning framework integrating cone-beam computed tomography with clinical indicators for standardized midpalatal suture staging. We retrospectively analyzed cone-beam computed tomography and lateral cephalometric radiographs from 200 orthodontic patients aged 7-36 years. The DeepMSM framework integrated multimodal images with clinical variables including age, gender, cervical vertebral maturation stage, and mandibular third molar stage using attention-based fusion strategies. DeepMSM achieved 93.75% accuracy and 93.81% F1-score, substantially outperforming single-modality approaches (47.50%-71.25% accuracy) and dual-modality models (73.75-81.25% accuracy). The system demonstrated excellent performance in distinguishing critical stages C and D with F1-scores of 92%-93%, representing the decision point between conventional expansion and surgical intervention. All clinical parameters showed significant correlations with midpalatal suture maturation (p&lt;0.05). DeepMSM, a novel multimodal midpalatal suture maturation assessment system, achieved a high accuracy of 93.75%, demonstrating the potential to reduce diagnostic variability and improve treatment reliability. This automated framework particularly benefits less experienced clinicians in making critical treatment decisions for maxillary expansion therapy.</t>
  </si>
  <si>
    <t>Cai, Jingwen; Wang, Zhenling; Wang, Han; Chen, Zhonghan; Yu, Qinqi; Lai, Zhichen; Xu, Linyu</t>
  </si>
  <si>
    <t>Xu, LY (corresponding author), Fujian Med Univ, Sch &amp; Hosp Stomatol, Fujian Key Lab Oral Dis, Fuzhou 350025, Peoples R China.; Xu, LY (corresponding author), Fujian Med Univ, Sch &amp; Hosp Stomatol, Orthodont Dept, Fuzhou 350025, Peoples R China.; Lai, ZC (corresponding author), Fuzhou Univ, Coll Comp &amp; Data Sci, Fuzhou 350108, Peoples R China.; Lai, ZC (corresponding author), Aalborg Univ, Dept Comp Sci, DK-9220 Aalborg, Denmark.</t>
  </si>
  <si>
    <t>zhla@cs.aau.dk; xlyyydentist1042@163.com</t>
  </si>
  <si>
    <t>National Natural Science Foundation of China [82501193]; Project of Fujian Provincial Department of Finance [2024CZZX04]; Startup Fund for Scientific Research, Fujian Medical University [2024QH1163]; Fujian Provincial Natural Science Foundation [2025J01807, 2025J01123719]</t>
  </si>
  <si>
    <t>National Natural Science Foundation of China (National Natural Science Foundation of China (NSFC)); Project of Fujian Provincial Department of Finance; Startup Fund for Scientific Research, Fujian Medical University; Fujian Provincial Natural Science Foundation</t>
  </si>
  <si>
    <t>This work was supported by the National Natural Science Foundation of China (No. 82501193), the Project of Fujian Provincial Department of Finance (No. 2024CZZX04), the Startup Fund for Scientific Research, Fujian Medical University (No. 2024QH1163), and the Fujian Provincial Natural Science Foundation (Nos. 2025J01807 and 2025J01123719).</t>
  </si>
  <si>
    <t>[Cai, Jingwen; Wang, Zhenling; Wang, Han; Chen, Zhonghan; Yu, Qinqi; Xu, Linyu] Fujian Med Univ, Sch &amp; Hosp Stomatol, Fujian Key Lab Oral Dis, Fuzhou 350025, Peoples R China; [Cai, Jingwen; Wang, Zhenling; Wang, Han; Chen, Zhonghan; Yu, Qinqi; Xu, Linyu] Fujian Med Univ, Sch &amp; Hosp Stomatol, Orthodont Dept, Fuzhou 350025, Peoples R China; [Lai, Zhichen] Fuzhou Univ, Coll Comp &amp; Data Sci, Fuzhou 350108, Peoples R China; [Lai, Zhichen] Aalborg Univ, Dept Comp Sci, DK-9220 Aalborg, Denmark</t>
  </si>
  <si>
    <t>Fujian Medical University; Fujian Medical University; Fuzhou University; Aalborg University</t>
  </si>
  <si>
    <t>Multimodal deep learning for midpalatal suture assessment in maxillary expansion</t>
  </si>
  <si>
    <t>Maxillary expansion; Cone-beam computed tomography; MARPE; Cervical vertebral maturation; Clinical decision support</t>
  </si>
  <si>
    <t>COMPUTED-TOMOGRAPHY EVALUATION; MATURATION; SKELETAL; MORPHOLOGY; MATURITY</t>
  </si>
  <si>
    <t>Lai, Zhichen/NOE-8466-2025</t>
  </si>
  <si>
    <t>NOV 12 2025</t>
  </si>
  <si>
    <t>39723</t>
  </si>
  <si>
    <t>10.1038/s41598-025-23500-2</t>
  </si>
  <si>
    <t>http://dx.doi.org/10.1038/s41598-025-23500-2</t>
  </si>
  <si>
    <t>9UX7V</t>
  </si>
  <si>
    <t>41224896</t>
  </si>
  <si>
    <t>WOS:001615622600006</t>
  </si>
  <si>
    <t>Zhang, CX; Tao, X; Zhang, J; Tan, W; Zhou, W; Hu, S; Xiao, B; Yu, HG</t>
  </si>
  <si>
    <t>Background and ObjectivesAccurate differentiation of solid pancreatic lesions (SPLs) is crucial for treatment planning, but current methods still have limitations. Artificial intelligence (AI) has the potential to contribute to such diagnoses, yet existing AI models are restricted to focusing on a single modality. This study aims to develop a deep learning-based multimodal AI system to improve diagnostic accuracy for SPLs.MethodsA retrospective analysis was conducted on 492 patients who underwent EUS for SPLs at Renmin Hospital of Wuhan University between December 2016 and September 2024. The AI system consisted of four deep learning models: DCNN1 for focal pancreatic lesion detection, DCNN2 for classifying pancreatic lesions as cystic or solid, DCNN3 for lesion boundary segmentation and size measurement, and DCNN4 for classifying carcinoma and noncancerous lesions. For DCNN4, four different modality models were constructed: (1) model A: EUS B-mode images only. (2) model B: EUS-E images only. (3) model C: EUS B-mode images and EUS-E images. and (4) model D: EUS B-mode images, EUS-E images, and clinical data. The model performance was compared with the diagnostic performance of endoscopists.ResultsThe accuracy values of DCNN1 and DCNN2 were 96.8% and 98.9%, respectively. The Dice coefficient of the DCNN3 was 0.876. Our AI system demonstrated high accuracy, sensitivity, and specificity in differentiating carcinoma from noncancerous SPLs. The multimodal models, particularly those integrating EUS B-mode and EUS-E images, outperformed single-modality models, achieving an accuracy of 94.0% and an AUC of 0.937. The AI model showed superior performance compared to endoscopists, with improved diagnostic consistency and sensitivity.ConclusionThe multimodal AI system significantly improves the diagnostic accuracy of SPLs, providing a promising tool for the early detection and differentiation of pancreatic cancer.</t>
  </si>
  <si>
    <t>Zhang, Chenxia; Tao, Xiao; Zhang, Jun; Tan, Wei; Zhou, Wei; Hu, Shan; Xiao, Bing; Yu, Honggang</t>
  </si>
  <si>
    <t>Yu, HG (corresponding author), Wuhan Univ, Dept Gastroenterol, Renmin Hosp, 99 Zhangzhidong Rd, Wuhan 430060, Hubei, Peoples R China.</t>
  </si>
  <si>
    <t>zj2005-2008@163.com; tanwei_2000@163.com; yuhonggang@whu.edu.cn; zhangchenxia@whu.edu.cn; hushanhn@gmail.com; biscuiticy@qq.com; zhouwei5352877@163.com; xiao929416@163.com</t>
  </si>
  <si>
    <t>Key Research and Development Program of Hubei Province [2023BCB153]; Project of Hubei Provincial Clinical Research Center for Digestive Disease Minimally Invasive Incision [2024CCB007]</t>
  </si>
  <si>
    <t>Key Research and Development Program of Hubei Province; Project of Hubei Provincial Clinical Research Center for Digestive Disease Minimally Invasive Incision</t>
  </si>
  <si>
    <t>This study was funded by the Key Research and Development Program of Hubei Province (grant no. 2023BCB153, to Honggang Yu) and the Project of Hubei Provincial Clinical Research Center for Digestive Disease Minimally Invasive Incision (grant no. 2024CCB007, to Honggang Yu).</t>
  </si>
  <si>
    <t>[Zhang, Chenxia; Tao, Xiao; Zhang, Jun; Tan, Wei; Zhou, Wei; Xiao, Bing; Yu, Honggang] Wuhan Univ, Dept Gastroenterol, Renmin Hosp, 99 Zhangzhidong Rd, Wuhan 430060, Hubei, Peoples R China; [Zhang, Chenxia; Tao, Xiao; Zhang, Jun; Tan, Wei; Zhou, Wei; Xiao, Bing; Yu, Honggang] Wuhan Univ, Renmin Hosp, Hubei Prov Clin Res Ctr Digest Dis Minimally Invas, Wuhan, Hubei, Peoples R China; [Zhang, Chenxia; Tao, Xiao; Zhang, Jun; Tan, Wei; Zhou, Wei; Xiao, Bing; Yu, Honggang] Wuhan Univ, Renmin Hosp, Key Lab Hubei Prov Digest Syst Dis, Wuhan, Hubei, Peoples R China; [Zhang, Chenxia; Tao, Xiao; Zhang, Jun; Tan, Wei; Zhou, Wei; Xiao, Bing; Yu, Honggang] Wuhan Univ, Taikang Ctr Life &amp; Med Sci, Wuhan, Hubei, Peoples R China; [Hu, Shan] Wuhan Univ, Natl Engn Res Ctr Multimedia Software, Sch Comp Sci, Wuhan, Hubei, Peoples R China</t>
  </si>
  <si>
    <t>Wuhan University; Wuhan University; Wuhan University; Wuhan University; Wuhan University</t>
  </si>
  <si>
    <t>A multimodal artificial intelligence system for the detection and diagnosis of solid pancreatic lesions under EUS</t>
  </si>
  <si>
    <t>ENDOSCOPIC ULTRASOUND</t>
  </si>
  <si>
    <t>Artificial intelligence; EUS; Solid pancreatic lesions</t>
  </si>
  <si>
    <t>GUIDED FNA; ELASTOGRAPHY</t>
  </si>
  <si>
    <t>Zhou, Wei/P-6013-2019</t>
  </si>
  <si>
    <t>hu, shan/0009-0008-6752-8359</t>
  </si>
  <si>
    <t>2303-9027</t>
  </si>
  <si>
    <t>2226-7190</t>
  </si>
  <si>
    <t>ENDOSC ULTRASOUND</t>
  </si>
  <si>
    <t>Endosc. Ultrasound</t>
  </si>
  <si>
    <t>SEP-OCT 2025</t>
  </si>
  <si>
    <t>281</t>
  </si>
  <si>
    <t>10.1097/eus.0000000000000145</t>
  </si>
  <si>
    <t>http://dx.doi.org/10.1097/eus.0000000000000145</t>
  </si>
  <si>
    <t>9VG4Z</t>
  </si>
  <si>
    <t>41583348</t>
  </si>
  <si>
    <t>WOS:001615849600003</t>
  </si>
  <si>
    <t>Luan, YL; Zong, YC; Chen, Y; Yang, F</t>
  </si>
  <si>
    <t>Objective: This study aimed to develop a multimodal, machine learning-based predictive model for individualized risk assessment of postoperative deep vein thrombosis (DVT) in patients undergoing total knee arthroplasty (TKA), integrating clinical data, handcrafted radiomic features, and deep learning-derived imaging biomarkers. Materials and methods: We retrospectively analyzed a multicenter cohort of 1874 TKA patients for model training and internal validation, and an external cohort of 741 patients for independent validation. Doppler ultrasound images were preprocessed and analyzed to extract handcrafted radiomic features and deep learning-derived image biomarkers. Handcrafted radiomic features (m = 215) were extracted per IBSI standards, while deep features (m = 128) were derived via a convolutional autoencoder. To ensure consistency across centers, we applied statistical harmonization techniques to reduce scanner-related variability. Feature selection was performed using regularization methods, and five machine learning classifiers were trained and compared. Results: The fused feature model using XGBoost achieved superior performance (external AUC = 93.8 %, accuracy = 92.6 %, sensitivity = 92.1 %), significantly outperforming clinical-only and unimodal models. Radiomic and deep features alone also demonstrated strong predictive value (AUCs &gt;89 %). Decision curve analysis confirmed higher net clinical benefit across clinically relevant thresholds. The derived nomogram enabled individualized bedside DVT risk stratification with high predictive fidelity. Conclusions: The proposed multimodal model provides an accurate and clinically interpretable tool for individualized DVT risk prediction after TKA. By integrating imaging and clinical data into a machine learning nomogram, this approach enables more precise prophylaxis and postoperative management.</t>
  </si>
  <si>
    <t>Luan, Yongle; Zong, Yuchen; Chen, Yao; Yang, Fan</t>
  </si>
  <si>
    <t>Yang, F (corresponding author), Shanghai Changzheng Hosp, Joint Surg, Shanghai 200000, Peoples R China.</t>
  </si>
  <si>
    <t>yang359959138@163.com</t>
  </si>
  <si>
    <t>[Luan, Yongle; Zong, Yuchen; Yang, Fan] Shanghai Changzheng Hosp, Joint Surg, Shanghai 200000, Peoples R China; [Chen, Yao] Shanghai Changhai Hosp, Spine Surg, Shanghai 200433, Peoples R China</t>
  </si>
  <si>
    <t>Naval Medical University; Naval Medical University</t>
  </si>
  <si>
    <t>Ultrasound-based multimodal machine learning nomogram for predicting deep vein thrombosis after total knee arthroplasty</t>
  </si>
  <si>
    <t>JOURNAL OF RADIATION RESEARCH AND APPLIED SCIENCES</t>
  </si>
  <si>
    <t>Doppler ultrasound; Machine learning; Total knee arthroplasty; Deep vein thrombosis prediction; Nomogram</t>
  </si>
  <si>
    <t>1687-8507</t>
  </si>
  <si>
    <t>J RADIAT RES APPL SC</t>
  </si>
  <si>
    <t>J. Radiat. Res. Appl. Sci.</t>
  </si>
  <si>
    <t>101943</t>
  </si>
  <si>
    <t>10.1016/j.jrras.2025.101943</t>
  </si>
  <si>
    <t>http://dx.doi.org/10.1016/j.jrras.2025.101943</t>
  </si>
  <si>
    <t>Multidisciplinary Sciences; Radiology, Nuclear Medicine &amp; Medical Imaging</t>
  </si>
  <si>
    <t>Science &amp; Technology - Other Topics; Radiology, Nuclear Medicine &amp; Medical Imaging</t>
  </si>
  <si>
    <t>7TA5R</t>
  </si>
  <si>
    <t>WOS:001578971500001</t>
  </si>
  <si>
    <t>Cho, H; Joo, MK; Cho, PG; Kim, SH; Noh, SH</t>
  </si>
  <si>
    <t>Purpose: Osteoporosis increases the probability of osteoporotic vertebral compression fractures (OVCF), and the resultant pain severely limits physical activity and increases mortality and morbidity. This study aimed to develop a high-precision multimodal prediction model to forecast the risk of a second OVCF. Materials and Methods: This retrospective study included 178 patients from a single institution with a first OVCF between January 1, 2000, and December 31, 2019. The study dataset included 18 preoperative clinical variables, including demographics, medications, comorbidities, bone mineral density (BMD), body mass index, trunk fat/muscle ratio from dual-energy X-ray absorptiometry (DEXA), and imaging data. We employed an intermediate-fusion multimodal approach using deep neural networks, principal component analysis (PCA), and traditional classifiers. Results: The final PCA-fusion+random forest model achieved strong internal cross-validation performance [accuracy 0.979, F1score 0.969, area under the receiver operating characteristic curve (AUROC) 0.998; mean across folds]. External validation in an independent cohort demonstrated preserved discriminative ability (accuracy 0.904, F1-score 0.902, AUROC 0.923), albeit lower than internal estimates, suggesting dataset shift and possible overfitting. In a sensitivity analysis, a clinical/DEXA-only model also showed good discrimination, but the multimodal fusion model achieved higher recall, F1-score, and AUROC/area under the precision-recall curve, supporting the added value of imaging features. Feature importance and Shapley Additive Explanations highlighted DEXA body-composition measures (e.g., gynoid/android/trunk fat and tissue) and image-derived components as influential. Conclusion: We developed a high-performing multimodal machine learning model for predicting a second OVCF in patients with prior fractures. By integrating clinical and imaging data, the model demonstrated strong predictive accuracy and interpretability, supported by feature importance analysis and visualization.</t>
  </si>
  <si>
    <t>Cho, Hoyeon; Joo, Min Kyoon; Cho, Pyung Goo; Kim, Sang Hyun; Noh, Sung Hyeon</t>
  </si>
  <si>
    <t>Noh, SH (corresponding author), Ajou Univ, Dept Neurosurg, Coll Med, 164 World Cup, Suwon 16499, South Korea.</t>
  </si>
  <si>
    <t>ulove07@ajou.ac.kr</t>
  </si>
  <si>
    <t>[Cho, Hoyeon; Cho, Pyung Goo; Kim, Sang Hyun; Noh, Sung Hyeon] Ajou Univ, Coll Med, Suwon, South Korea; [Joo, Min Kyoon] Korea Univ, Coll Med, Seoul, South Korea; [Cho, Pyung Goo; Kim, Sang Hyun; Noh, Sung Hyeon] Ajou Univ, Dept Neurosurg, Coll Med, 164 World Cup, Suwon 16499, South Korea</t>
  </si>
  <si>
    <t>Development of a Multimodal Machine Learning Model for Predicting Second Osteoporotic Vertebral Compression Fractures</t>
  </si>
  <si>
    <t>YONSEI MEDICAL JOURNAL</t>
  </si>
  <si>
    <t>OVCF; prediction; machine learning; clinical study</t>
  </si>
  <si>
    <t>QUALITY-OF-LIFE; BONE-DENSITY; DATA FUSION; EPIDEMIOLOGY</t>
  </si>
  <si>
    <t>YONSEI UNIV COLL MEDICINE</t>
  </si>
  <si>
    <t>SEOUL</t>
  </si>
  <si>
    <t>50-1 YONSEI-RO, SEODAEMUN-GU, SEOUL 120-752, SOUTH KOREA</t>
  </si>
  <si>
    <t>0513-5796</t>
  </si>
  <si>
    <t>1976-2437</t>
  </si>
  <si>
    <t>YONSEI MED J</t>
  </si>
  <si>
    <t>Yonsei Med. J.</t>
  </si>
  <si>
    <t>686</t>
  </si>
  <si>
    <t>697</t>
  </si>
  <si>
    <t>10.3349/ymj.2025.0370</t>
  </si>
  <si>
    <t>http://dx.doi.org/10.3349/ymj.2025.0370</t>
  </si>
  <si>
    <t>MW1HL</t>
  </si>
  <si>
    <t>WOS:001852291100005</t>
  </si>
  <si>
    <t>Alipour, E; Gratzl, S; Algohary, A; Lin, H; Bapat, M; Do, D; Baker, C; Rodriguez, T; Cartwright, BMG; Hadlock, J; Tarczy-Hornoch, P; Oka, A; Stucky, N</t>
  </si>
  <si>
    <t>Background Body composition metrics such as visceral fat volume, subcutaneous fat volume, and skeletal muscle volume are important predictors of cardiovascular disease, diabetes, and cancer prognosis.Purpose We explore the use of deep learning to estimate body composition metrics from chest radiographs and a small set of easily obtainable clinical variables.Materials and Methods A retrospective cohort of patients with concurrent noncontrast abdominal CT's and frontal chest radiographs within 3 months of each other was selected. A multitask, multimodal, deep learning model using chest radiographs and clinical variables (age, sex at birth, height and weight extracted from electronic medical records) was trained to estimate the body composition metrics. Reference standard was body composition, including subcutaneous fat volume, measured on CT.Results Our final cohort consisted of 1118 patients (582 female and 538 male subjects) from 30 health systems across the United States with imaging performed from 2010 to 2024. The mean age at imaging was 67 years (SD: 17), mean height was 1.67 meters (SD: 0.2), and mean weight was 78 kg (SD: 20). Average values for visceral fat, subcutaneous fat, and skeletal muscle indices were 59.39 cm2/m2 (SD: 39.26), 88.13 cm2/m2 (SD: 58.52), and 44.81 cm2/m2 (SD: 15.49). The best-performing model achieved a Pearson correlation of 0.85 (95% CI: 0.81-0.88) for subcutaneous fat volume, 0.76 (0.65-0.80) for visceral fat volume, and 0.58 (0.49-0.67) for skeletal muscle volume with the multimodal model outperforming unimodal models (P = .0001 for subcutaneous fat volume). Mean absolute errors of the best performing models for subcutaneous and visceral fat volumes were 1054 cm3/m2 and 667 cm3/m2, respectively.Conclusion We introduced a multimodal deep learning model leveraging chest radiographs to estimate body composition. Our model can facilitate large-scale studies by estimating body composition using a chest radiograph and commonly available clinical variables.</t>
  </si>
  <si>
    <t>Alipour, Ehsan; Gratzl, Samuel; Algohary, Ahmad; Lin, Hao; Bapat, Manoj; Do, Duy; Baker, Charlotte; Rodriguez, Tricia; Cartwright, Brianna M. Goodwin; Hadlock, Jennifer; Tarczy-Hornoch, Peter; Oka, Anand; Stucky, Nicholas</t>
  </si>
  <si>
    <t>Stucky, N (corresponding author), Truveta Inc, Bellevue, WA 98004 USA.</t>
  </si>
  <si>
    <t>nicholass@truveta.com</t>
  </si>
  <si>
    <t>[Alipour, Ehsan; Gratzl, Samuel; Algohary, Ahmad; Lin, Hao; Bapat, Manoj; Do, Duy; Baker, Charlotte; Rodriguez, Tricia; Cartwright, Brianna M. Goodwin; Oka, Anand; Stucky, Nicholas] Truveta Inc, Bellevue, WA 98004 USA; [Alipour, Ehsan; Hadlock, Jennifer; Tarczy-Hornoch, Peter] Univ Washington, Dept Biomed &amp; Hlth Informat, Seattle, WA 98195 USA; [Hadlock, Jennifer] Inst Syst Biol, Seattle, WA 98109 USA</t>
  </si>
  <si>
    <t>University of Washington; University of Washington Seattle; Institute for Systems Biology (ISB)</t>
  </si>
  <si>
    <t>XComposition: multimodal deep learning model to measure body composition using chest radiographs and clinical data</t>
  </si>
  <si>
    <t>RADIOLOGY ADVANCES</t>
  </si>
  <si>
    <t>body composition; chest radiographs; multimodal data fusion; deep learning</t>
  </si>
  <si>
    <t>QUANTIFICATION</t>
  </si>
  <si>
    <t>Hadlock, Jennifer/LWJ-3084-2024</t>
  </si>
  <si>
    <t>Hadlock, Jennifer/0000-0001-6103-7606; Lin, Hao/0009-0008-0660-6106; Alipour, Ehsan/0000-0002-2270-0388</t>
  </si>
  <si>
    <t>2976-9337</t>
  </si>
  <si>
    <t>RADIOL ADV</t>
  </si>
  <si>
    <t>Radiol. Adv.</t>
  </si>
  <si>
    <t>umaf035</t>
  </si>
  <si>
    <t>10.1093/radadv/umaf035</t>
  </si>
  <si>
    <t>http://dx.doi.org/10.1093/radadv/umaf035</t>
  </si>
  <si>
    <t>9AA0R</t>
  </si>
  <si>
    <t>41164313</t>
  </si>
  <si>
    <t>WOS:001601387300001</t>
  </si>
  <si>
    <t>Zheng, HT; Wen, DH; Zhang, LW; Lu, HY; Li, XY; Li, YX</t>
  </si>
  <si>
    <t>Colorectal cancer liver metastasis (CRLM) remains a major determinant of long-term outcomes. Existing clinical models are typically static and single-modality, limiting early warning and individualized follow-up. We prospectively enrolled 300 treatment-na &amp; iuml;ve colorectal cancer patients. We collected preoperative three-phase contrast-enhanced ultrasound (CEUS) dynamic sequences, longitudinal serum marker measurements (EZH2/CD10) from preoperation through 12 months, and 35 clinical-pathological variables. The proposed Dynamic Modality Alignment Network (DMA-Net) includes (i) an imaging encoder based on an enhanced 3D-ResNet18 to extract perfusion kinetics, (ii) a molecular encoder using BiLSTM with temporal attention to model serial biomarkers, and (iii) a clinical encoder (MLP) for structured variables. A dynamic alignment module and cross-modal attention fuse modalities, followed by a discrete-time survival head that outputs month-specific conditional hazards and cumulative risks. On the held-out test set, the tri-modal model achieved an area under the curve (AUC) of 0.918 at 12 months with favorable calibration (Brier score 0.123), outperforming a traditional Cox model built from clinical variables (AUC 0.782, Brier score 0.177). Time-dependent evaluation showed stable AUCs from 3 to 12 months (0.904-0.919). Ablation experiments indicated that imaging and molecular branches contributed most to discrimination, whereas clinical variables improved calibration. Multimodal dynamic modeling integrating CEUS perfusion, longitudinal biomarkers, and clinical variables improves early warning and risk stratification for CRLM, and provides a practical framework to support personalized surveillance.</t>
  </si>
  <si>
    <t>Zheng, Haitao; Wen, Dehui; Zhang, Liwei; Lu, Haiyong; Li, Xiaoyu; Li, Yongxin</t>
  </si>
  <si>
    <t>Wen, DH (corresponding author), Hebei North Univ, Affiliated Hosp 1, Dept Ultrasound Med, Shijiazhuang 075000, Peoples R China.</t>
  </si>
  <si>
    <t>15530396808@163.com</t>
  </si>
  <si>
    <t>Hebei Provincial Government Funding Provincial Medical Excellent Talents Project [ZF2024230]</t>
  </si>
  <si>
    <t>Hebei Provincial Government Funding Provincial Medical Excellent Talents Project</t>
  </si>
  <si>
    <t>This research was supported by the internal project of the Hebei Provincial Government Funding Provincial Medical Excellent Talents Project (No. ZF2024230) .</t>
  </si>
  <si>
    <t>[Zheng, Haitao; Wen, Dehui; Zhang, Liwei; Lu, Haiyong; Li, Xiaoyu] Hebei North Univ, Affiliated Hosp 1, Dept Ultrasound Med, Shijiazhuang 075000, Peoples R China; [Zheng, Haitao] Hebei North Univ, Clin Med Coll 1, Shijiazhuang 075000, Peoples R China; [Li, Yongxin] China Aerosp Sci &amp; Ind Corp 731 Hosp, Dept Thorac Surg, Beijing 100074, Peoples R China</t>
  </si>
  <si>
    <t>Hebei North University; Hebei North University</t>
  </si>
  <si>
    <t>A multimodal deep learning-based dynamic prediction model for colorectal cancer liver metastasis</t>
  </si>
  <si>
    <t>ADVANCES IN DIFFERENTIAL EQUATIONS AND CONTROL PROCESSES</t>
  </si>
  <si>
    <t>colorectal carcinoma; hepatic metastasis; contrast-enhanced ultrasound; multimodal fusion learning; discrete-time survival analysis; dynamic risk stratification</t>
  </si>
  <si>
    <t>SCORE</t>
  </si>
  <si>
    <t>Zheng, Haitao/0009-0006-3206-8765</t>
  </si>
  <si>
    <t>Acad Publ Pte Ltd - Singapore</t>
  </si>
  <si>
    <t>Singapore</t>
  </si>
  <si>
    <t>73 Upper Paya Lebar Road #07-02B-01 Centro Bianco, Singapore, SINGAPORE</t>
  </si>
  <si>
    <t>0974-3243</t>
  </si>
  <si>
    <t>3048-734X</t>
  </si>
  <si>
    <t>ADV DIFFER EQU CONTR</t>
  </si>
  <si>
    <t>Adv. Differ. Equ. Control Process.</t>
  </si>
  <si>
    <t>3902</t>
  </si>
  <si>
    <t>10.59400/adecp3902</t>
  </si>
  <si>
    <t>http://dx.doi.org/10.59400/adecp3902</t>
  </si>
  <si>
    <t>Mathematics, Applied</t>
  </si>
  <si>
    <t>GF7RA</t>
  </si>
  <si>
    <t>WOS:001735341000002</t>
  </si>
  <si>
    <t>Li, Z; Xu, RQ; Shen, YF; Cao, JN; Wang, B; Zhang, Y; Li, SK</t>
  </si>
  <si>
    <t>The outbreak of coronavirus disease 2019 (COVID-19) has caused massive infections and large death tolls worldwide. Despite many studies on the clinical characteristics and the treatment plans of COVID-19, they rarely conduct in-depth prognostic research on leveraging consecutive rounds of multimodal clinical examination and laboratory test data to facilitate clinical decision-making for the treatment of COVID-19. To address this issue, we propose a multistage multimodal deep learning (MMDL) model to (1) first assess the patient's current condition (i.e., the mild and severe symptoms), then (2) give early warnings to patients with mild symptoms who are at high risk to develop severe illness. In MMDL, we build a sequential stage-wise learning architecture whose design philosophy embodies the model's predicted outcome and does not only depend on the current situation but also the history. Concretely, we meticulously combine the latest round of multimodal clinical data and the decayed past information to make assessments and predictions. In each round (stage), we design a two-layer multimodal feature extractor to extract the latent feature representation across different modalities of clinical data, including patient demographics, clinical manifestation, and 11 modalities of laboratory test results. We conduct experiments on a clinical dataset consisting of 216 COVID-19 patients that have passed the ethical review of the medical ethics committee. Experimental results validate our assumption that sequential stage-wise learning outperforms single-stage learning, but history long ago has little influence on the learning outcome. Also, comparison tests show the advantage of multimodal learning. MMDL with multimodal inputs can beat any reduced model with single-modal inputs only. In addition, we have deployed the prototype of MMDL in a hospital for clinical comparison tests and to assist doctors in clinical diagnosis.</t>
  </si>
  <si>
    <t>Li, Zhuo; Xu, Ruiqing; Shen, Yifei; Cao, Jiannong; Wang, Ben; Zhang, Ying; Li, Shikang</t>
  </si>
  <si>
    <t>Li, Z (corresponding author), Chongqing Univ Posts &amp; Telecommun, Sch Comp Sci &amp; Technol, Chongqing, Peoples R China.; Li, Z; Shen, YF (corresponding author), Hong Kong Polytech Univ, Dept Comp, Hong Kong, Peoples R China.</t>
  </si>
  <si>
    <t>sam.yifei.shen@gmail.com; lizhuo@cqupt.edu.cn</t>
  </si>
  <si>
    <t>Scientific Research Sharing Foundation of the Chongqing University of Posts and Telecommunications [E012A2022026]; Chongqing Key Special Program for Technology Innovation and Application Development [cstc2020jscx-fyzxX0023]</t>
  </si>
  <si>
    <t>Scientific Research Sharing Foundation of the Chongqing University of Posts and Telecommunications; Chongqing Key Special Program for Technology Innovation and Application Development</t>
  </si>
  <si>
    <t>This research is supported by the Ph.D., Scientific Research Sharing Foundation of the Chongqing University of Posts and Telecommunications (Project No. E012A2022026) and the Chongqing Key Special Program for Technology Innovation and Application Development (Project No. cstc2020jscx-fyzxX0023).</t>
  </si>
  <si>
    <t>[Li, Zhuo] Chongqing Univ Posts &amp; Telecommun, Sch Comp Sci &amp; Technol, Chongqing, Peoples R China; [Li, Zhuo; Shen, Yifei; Cao, Jiannong] Hong Kong Polytech Univ, Dept Comp, Hong Kong, Peoples R China; [Xu, Ruiqing] Univ Sheffield, Dept Comp Sci, Sheffield, England; [Wang, Ben] Baoding 2 Cent Hosp, Baoding, Peoples R China; [Zhang, Ying; Li, Shikang] Chongqing Publ Hlth Med Ctr, Chongqing, Peoples R China</t>
  </si>
  <si>
    <t>Chongqing University of Posts &amp; Telecommunications; Hong Kong Polytechnic University; University of Sheffield</t>
  </si>
  <si>
    <t>A multistage multimodal deep learning model for disease severity assessment and early warnings of high-risk patients of COVID-19</t>
  </si>
  <si>
    <t>COVID-19; disease severity assessment; disease progression prediction; sequential stage-wise learning; multimodal feature fusion</t>
  </si>
  <si>
    <t>CLINICAL CHARACTERISTICS</t>
  </si>
  <si>
    <t>Shen, yifei/0009-0001-1413-0055</t>
  </si>
  <si>
    <t>NOV 22 2022</t>
  </si>
  <si>
    <t>982289</t>
  </si>
  <si>
    <t>10.3389/fpubh.2022.982289</t>
  </si>
  <si>
    <t>http://dx.doi.org/10.3389/fpubh.2022.982289</t>
  </si>
  <si>
    <t>6T9CA</t>
  </si>
  <si>
    <t>36483265</t>
  </si>
  <si>
    <t>WOS:000893969800001</t>
  </si>
  <si>
    <t>Jiang, Y; Peng, YY; Wu, YY; Sun, Q; Hua, TB</t>
  </si>
  <si>
    <t>Objective: To develop a clinical-radiomics model using a multimodal machine learning method for distinguishing ductal carcinoma in situ (DCIS) from breast fibromatosis. Methods: The clinical factors, ultrasound features, and related ultrasound images of 306 patients (198 DCIS patients) were retrospectively collected. Patients in the development and validation cohort were 184 and 122, respectively. The independent clinical and ultrasound factors identified by the multivariable logistic regression analysis were used for the clinical-ultrasound model construction. Then, the region of interest of breast lesions was delineated and radiomics features were extracted. Six machine learning algorithms were trained to develop a radiomics model. The algorithm with higher and more stable prediction ability was chosen to convert the output of the results into the Radscore. Further, the independent clinical predictors and Radscore were enrolled into the logistic regression analysis to generate a combined clinical-radiomics model. The receiver operating characteristic curve analysis, DeLong test, and decision curve analysis were adopted to compare the prediction ability and clinical efficacy of three different models. Results: Among the six classifiers, logistic regression model was selected as the final radiomics model. Besides, the combined clinical-radiomics model exhibited a superior ability in distinguishing DCIS from breast fibromatosis to the clinical-ultrasound model and the radiomics model. Conclusion: The combined model by integrating clinical-ultrasound factors and radiomics features performed well in predicting DCIS, which might promote prompt interventions to improve the early diagnosis and prognosis of the patients.</t>
  </si>
  <si>
    <t>Jiang, Yan; Peng, Yuanyuan; Wu, Yingyi; Sun, Qing; Hua, Tebo</t>
  </si>
  <si>
    <t>Hua, TB (corresponding author), Ningbo Med Ctr, Lihuili Hosp, Dept Thyroid &amp; Breast Surg, Ningbo 315040, Zhejiang, Peoples R China.</t>
  </si>
  <si>
    <t>huatebo@163.com</t>
  </si>
  <si>
    <t>Ningbo Science and Technology Programme for Public Welfare [2022S038]; Natural Science Foundation Program of Ningbo [2023J230]</t>
  </si>
  <si>
    <t>Ningbo Science and Technology Programme for Public Welfare; Natural Science Foundation Program of Ningbo</t>
  </si>
  <si>
    <t>This work was supported by the Ningbo Science and Technology Programme for Public Welfare (2022S038) and Natural Science Foundation Program of Ningbo (2023J230) . The Funding bodies had no role in the design of the study and collection, analysis, and interpretation of data and in writing the manuscript.</t>
  </si>
  <si>
    <t>[Jiang, Yan; Peng, Yuanyuan; Wu, Yingyi; Sun, Qing] Ningbo Med Ctr Lihuili Hosp, Dept Ultrasound, Ningbo, Zhejiang, Peoples R China; [Hua, Tebo] Ningbo Med Ctr, Lihuili Hosp, Dept Thyroid &amp; Breast Surg, Ningbo 315040, Zhejiang, Peoples R China</t>
  </si>
  <si>
    <t>Multimodal Machine Learning-Based Ductal Carcinoma in situ Prediction from Breast Fibromatosis</t>
  </si>
  <si>
    <t>CANCER MANAGEMENT AND RESEARCH</t>
  </si>
  <si>
    <t>multimodal machine learning; clinical-ultrasound features; radiomics; ductal carcinoma in situ</t>
  </si>
  <si>
    <t>RADIOMICS; HETEROGENEITY</t>
  </si>
  <si>
    <t>Hua, Tebo/JEP-3636-2023; Peng, Yuanyuan/GZB-2815-2022</t>
  </si>
  <si>
    <t>DOVE MEDICAL PRESS LTD</t>
  </si>
  <si>
    <t>ALBANY</t>
  </si>
  <si>
    <t>PO BOX 300-008, ALBANY, AUCKLAND 0752, NEW ZEALAND</t>
  </si>
  <si>
    <t>1179-1322</t>
  </si>
  <si>
    <t>CANCER MANAG RES</t>
  </si>
  <si>
    <t>Cancer Manag. Res.</t>
  </si>
  <si>
    <t>811</t>
  </si>
  <si>
    <t>823</t>
  </si>
  <si>
    <t>10.2147/CMAR.S467400</t>
  </si>
  <si>
    <t>http://dx.doi.org/10.2147/CMAR.S467400</t>
  </si>
  <si>
    <t>YG0Z1</t>
  </si>
  <si>
    <t>39044747</t>
  </si>
  <si>
    <t>WOS:001267227800001</t>
  </si>
  <si>
    <t>Nakach, FZ; Idri, A; Goceri, E</t>
  </si>
  <si>
    <t>In breast cancer research, diverse data types and formats, such as radiological images, clinical records, histological data, and expression analysis, are employed. Given the intricate nature of natural phenomena, relying on the features of a single modality is seldom sufficient for comprehensive analysis. Therefore, it is possible to guarantee medical relevance and achieve improved clinical outcomes by combining several modalities. The presen study carefully maps and reviews 47 primary articles from six well-known digital libraries that were published between 2018 and 2023 for breast cancer classification based on multimodal deep learning fusion (MDLF) techniques. This systematic literature review encompasses various aspects, including the medical modalities combined, the datasets utilized in these studies, the techniques, models, and architectures used in MDLF and it also discusses the advantages and limitations of each approach. The analysis of selected papers has revealed a compelling trend: the emergence of new modalities and combinations that were previously unexplored in the context of breast cancer classification. This exploration has not only expanded the scope of predictive models but also introduced fresh perspectives for addressing diverse targets, ranging from screening to diagnosis and prognosis. The practical advantages of MDLF are evident in its ability to enhance the predictive capabilities of machine learning models, resulting in improved accuracy across diverse applications. The prevalence of deep learning models underscores their success in autonomously discerning complex patterns, offering a substantial departure from traditional machine learning approaches. Furthermore, the paper explores the challenges and future directions in this field, including the need for larger datasets, the use of ensemble learning methods, and the interpretation of multimodal models.</t>
  </si>
  <si>
    <t>Nakach, Fatima-Zahrae; Idri, Ali; Goceri, Evgin</t>
  </si>
  <si>
    <t>Nakach, FZ (corresponding author), Mohammed VI Polytech Univ, Fac Med Sci, UM6P, Marrakech Safi 43150, Morocco.</t>
  </si>
  <si>
    <t>ali.idri@um6p.ma; evgin@akdeniz.edu.tr; fatimazahra.nakach@um6p.ma</t>
  </si>
  <si>
    <t>Moroccan Ministry of Higher Education and Scientific Research, Digital Development Agency (ADD); CNRST</t>
  </si>
  <si>
    <t>This work was conducted under the research project "ML based Breast Cancer Diagnosis and Treatment", 2023-2025. The authors would like to thank the Moroccan Ministry of Higher Education and Scientific Research, Digital Development Agency (ADD), CNRST, and UM6P for their support.</t>
  </si>
  <si>
    <t>[Nakach, Fatima-Zahrae] Mohammed VI Polytech Univ, Fac Med Sci, UM6P, Marrakech Safi 43150, Morocco; [Idri, Ali] Mohammed V Univ, ENSIAS, UM5, Ave Regragui, Rabat 10000, Morocco; [Goceri, Evgin] Akdeniz Univ, Dept Biomed Engn, TR-07070 Antalya, Turkiye</t>
  </si>
  <si>
    <t>Mohammed VI Polytechnic University; Mohammed V University in Rabat; Akdeniz University</t>
  </si>
  <si>
    <t>A comprehensive investigation of multimodal deep learning fusion strategies for breast cancer classification</t>
  </si>
  <si>
    <t>Breast cancer; Classification; Fusion; Multimodality; Deep learning; Review</t>
  </si>
  <si>
    <t>SURVIVAL; INTELLIGENCE; DIAGNOSIS; NETWORK; MODEL; UNIT</t>
  </si>
  <si>
    <t>GOCERI, EVGIN/A-8801-2016</t>
  </si>
  <si>
    <t>125</t>
  </si>
  <si>
    <t>105</t>
  </si>
  <si>
    <t>OCT 12 2024</t>
  </si>
  <si>
    <t>327</t>
  </si>
  <si>
    <t>10.1007/s10462-024-10984-z</t>
  </si>
  <si>
    <t>http://dx.doi.org/10.1007/s10462-024-10984-z</t>
  </si>
  <si>
    <t>J3X2X</t>
  </si>
  <si>
    <t>WOS:001336421600004</t>
  </si>
  <si>
    <t>Gao, Y; Gong, MG; Ong, YS; Qin, AK; Wu, Y; Xie, F</t>
  </si>
  <si>
    <t>The pandemic of coronavirus disease 2019 (COVID-19) has led to a global public health crisis, which caused millions of deaths and billions of infections, greatly increasing the pressure on medical resources. With the continuous emergence of viral mutations, developing automated tools for COVID-19 diagnosis is highly desired to assist the clinical diagnosis and reduce the tedious workload of image interpretation. However, medical images in a single site are usually of a limited amount or weakly labeled, while integrating data scattered around different institutions to build effective models is not allowed due to data policy restrictions. In this article, we propose a novel privacy-preserving cross-site framework for COVID-19 diagnosis with multimodal data, seeking to effectively leverage heterogeneous data from multiple parties while preserving patients' privacy. Specifically, a Siamese branched network is introduced as the backbone to capture inherent relationships across heterogeneous samples. The redesigned network is capable of handling semisupervised inputs in multimodalities and conducting task-specific training, in order to improve the model performance of various scenarios. The framework achieves significant improvement compared with state-of-the-art methods, as we demonstrate through extensive simulations on real-world datasets.</t>
  </si>
  <si>
    <t>Gao, Yuan; Gong, Maoguo; Ong, Yew-Soon; Qin, A. K.; Wu, Yue; Xie, Fei</t>
  </si>
  <si>
    <t>Gong, MG (corresponding author), Xidian Univ, Key Lab Collaborat Intelligence Syst, Minist Educ, Xian 710071, Shaanxi, Peoples R China.</t>
  </si>
  <si>
    <t>asysong@ntu.edu.sg; cn_gaoyuan@foxmail.com; ywu@xidian.edu.cn; gong@ieee.org; kqin@swin.edu.au; fxie@xidian.edu.cn</t>
  </si>
  <si>
    <t>[Gao, Yuan; Gong, Maoguo; Wu, Yue; Xie, Fei] Xidian Univ, Key Lab Collaborat Intelligence Syst, Minist Educ, Xian 710071, Shaanxi, Peoples R China; [Ong, Yew-Soon] ASTAR, Singapore 138632, Singapore; [Ong, Yew-Soon] Nanyang Technol Univ, Sch Comp Sci &amp; Engn, Singapore 639798, Singapore; [Qin, A. K.] Swinburne Univ Technol, Dept Comp Technol, Hawthorn, Vic 3122, Australia</t>
  </si>
  <si>
    <t>Xidian University; Agency for Science Technology &amp; Research (A*STAR); Nanyang Technological University; Swinburne University of Technology</t>
  </si>
  <si>
    <t>A Collaborative Multimodal Learning-Based Framework for COVID-19 Diagnosis</t>
  </si>
  <si>
    <t>IEEE TRANSACTIONS ON NEURAL NETWORKS AND LEARNING SYSTEMS</t>
  </si>
  <si>
    <t>COVID-19; Medical diagnostic imaging; Data models; Computed tomography; Task analysis; Artificial intelligence; Training; Coronavirus disease 2019 (COVID-19) diagnosis; multimodal data; multiparty learning; task-specific modeling</t>
  </si>
  <si>
    <t>CLASSIFICATION; CHALLENGES; FUSION</t>
  </si>
  <si>
    <t>Wu, Yue/GPX-9074-2022; Qin, Kai/AAH-4943-2021; Ong, Yew-Soon/A-3733-2011; Gao, Yuan/AAP-7481-2021</t>
  </si>
  <si>
    <t>Wu, Yue/0000-0002-3459-5079; Qin, Kai/0000-0001-6631-1651; Gao, Yuan/0000-0002-2990-9205</t>
  </si>
  <si>
    <t>2162-237X</t>
  </si>
  <si>
    <t>2162-2388</t>
  </si>
  <si>
    <t>IEEE T NEUR NET LEAR</t>
  </si>
  <si>
    <t>IEEE Trans. Neural Netw. Learn. Syst.</t>
  </si>
  <si>
    <t>15883</t>
  </si>
  <si>
    <t>15895</t>
  </si>
  <si>
    <t>10.1109/TNNLS.2023.3290188</t>
  </si>
  <si>
    <t>http://dx.doi.org/10.1109/TNNLS.2023.3290188</t>
  </si>
  <si>
    <t>Computer Science, Artificial Intelligence; Computer Science, Hardware &amp; Architecture; Computer Science, Theory &amp; Methods; Engineering, Electrical &amp; Electronic</t>
  </si>
  <si>
    <t>K8R1P</t>
  </si>
  <si>
    <t>37402198</t>
  </si>
  <si>
    <t>WOS:001025536100001</t>
  </si>
  <si>
    <t>Dey, S; Banerji, CRS; Basuchowdhuri, P; Saha, SK; Parashar, D; Chakraborti, T</t>
  </si>
  <si>
    <t>Emerging research has highlighted that artificial intelligence-based multimodal fusion of digital pathology and transcriptomic features can improve cancer diagnosis (grading/subtyping) and prognosis (survival risk) prediction. However, such direct fusion is impractical in clinical settings, where histopathology remains the gold standard and transcriptomic tests are rarely requested in public healthcare. We experiment on two publicly available multimodal datasets, The Cancer Genomic Atlas and the Clinical Proteomic Tumor Analysis Consortium, spanning four independent cohorts: glioma-glioblastoma, renal, uterine, and breast, and observe significant performance gains in gradation and risk estimation (p-value &lt; 0.05) when incorporating synthesized transcriptomic data with WSIs. Also, predictions using synthesized features were statistically close to those obtained with real transcriptomic data (p-value &gt; 0.05), consistently across cohorts. Here we show that with our diffusion based crossmodal generative AI model, PathGen, gene expressions synthesized from digital histopathology jointly predict cancer grading and patient survival risk with high accuracy (state-of-the-art performance), certainty (through conformal coverage guarantee) and interpretability (through distributed co-attention maps). PathGen code is available on GitHub at https://github.com/Samiran-Dey/PathGen for open use.</t>
  </si>
  <si>
    <t>Dey, Samiran; Banerji, Christopher R. S.; Basuchowdhuri, Partha; Saha, Sanjoy K.; Parashar, Deepak; Chakraborti, Tapabrata</t>
  </si>
  <si>
    <t>Chakraborti, T (corresponding author), Alan Turing Inst, London, England.; Chakraborti, T (corresponding author), UCL, UCL Canc Inst, Dept Med Phys &amp; Biomed Engn, London, England.</t>
  </si>
  <si>
    <t>t.chakraborty@ucl.ac.uk</t>
  </si>
  <si>
    <t>Indo-Swedish DBT-Vinnova [BT/PR41025/Swdn/135/9/2020]; CRUK City of London Centre Award [CTRQQR-2021/100004]; Alan Turing Institute</t>
  </si>
  <si>
    <t>Indo-Swedish DBT-Vinnova; CRUK City of London Centre Award; Alan Turing Institute</t>
  </si>
  <si>
    <t>S Dey was supported by the IIT KGP AI4ICPS Chanakya Fellowship. P Basuchowdhuri is supported by the Indo-Swedish DBT-Vinnova project, BT/PR41025/Swdn/135/9/2020. CRSB was supported by the CRUK City of London Centre Award [CTRQQR-2021/100004]. T Chakraborti is supported by the Turing-Roche Strategic Partnership. We are grateful to Prof Benjamin MacArthur from the Alan Turing Institute and Mr. Chris Harbron from Roche Pharmaceuticals for their insightful comments and constructive feedback throughout this project.</t>
  </si>
  <si>
    <t>[Dey, Samiran; Basuchowdhuri, Partha] Indian Assoc Cultivat Sci, Sch Math &amp; Computat Sci, Kolkata, India; [Banerji, Christopher R. S.; Parashar, Deepak; Chakraborti, Tapabrata] Alan Turing Inst, London, England; [Banerji, Christopher R. S.] Kings Coll London, Comprehens Canc Ctr, London, England; [Saha, Sanjoy K.] Jadavpur Univ, Dept Comp Sci &amp; Engn, Kolkata, India; [Parashar, Deepak] Univ Cambridge, MRC Biostat Unit, Cambridge, England; [Parashar, Deepak] Georgetown Univ, Dept Biostat Bioinformat &amp; Biomath, Washington, DC USA; [Chakraborti, Tapabrata] UCL, UCL Canc Inst, Dept Med Phys &amp; Biomed Engn, London, England</t>
  </si>
  <si>
    <t>Department of Science &amp; Technology (India); Indian Association for the Cultivation of Science (IACS) - Jadavpur; Alan Turing Institute; University of London; King's College London; Jadavpur University; University of Cambridge; MRC Biostatistics Unit; Georgetown University; University of London; University College London</t>
  </si>
  <si>
    <t>Generating crossmodal gene expression from cancer histopathology improves multimodal AI predictions</t>
  </si>
  <si>
    <t>NATURE COMMUNICATIONS</t>
  </si>
  <si>
    <t>FOUNDATION MODEL</t>
  </si>
  <si>
    <t>Dey, Samiran/PMQ-3386-2026</t>
  </si>
  <si>
    <t>Banerji, Christopher R. S/0000-0002-4373-7657; Dey, Samiran/0009-0009-6818-3505</t>
  </si>
  <si>
    <t>2041-1723</t>
  </si>
  <si>
    <t>NAT COMMUN</t>
  </si>
  <si>
    <t>Nat. Commun.</t>
  </si>
  <si>
    <t>259</t>
  </si>
  <si>
    <t>10.1038/s41467-025-66961-9</t>
  </si>
  <si>
    <t>http://dx.doi.org/10.1038/s41467-025-66961-9</t>
  </si>
  <si>
    <t>AW4LZ</t>
  </si>
  <si>
    <t>41476170</t>
  </si>
  <si>
    <t>WOS:001658384800001</t>
  </si>
  <si>
    <t>Qiu, XH; Wei, YC; Tan, XY; Xu, WD; Wang, HD; Ma, JR; Huang, JJ; Fang, ZJ</t>
  </si>
  <si>
    <t>Polysomnography (PSG) is the gold standard for diagnosing obstructive sleep apnea (OSA). However, it is limited by its reliance on sleep state, costly equipment, and complex operational requirements. Existing deep learning approaches for OSA detection often utilize limited modalities such as electrocardiograms and snoring audio, frequently overlooking the potential of facial image data and other multidimensional inputs. To address these limitations, we propose a data-driven diagnostic framework, MIMAR-OSA, which leverages three distinct modalities: basic physiological measurements, facial image data, and snoring audio collected by patients using portable devices. Our framework employs attention grids in the visual domain to identify facial key points from images at various angles, a graph attention network to emphasize and connect critical facial features across images, and semantic processing of patient's basic physical signs information in the linguistic domain. For the audio domain, we utilize diffWave to reconstruct missing audio components. Comprehensive data integration and analysis are facilitated by a fusion transformer combined with a mixture of expert (MoE) models. Our framework was validated on a university hospital OSA dataset, achieving a 92.24% accuracy. Additionally, testing our MIMAR-OSA model on open-source multimodal learning benchmarks demonstrated its superiority in multi-classification tasks over other state-of-the-art models, confirming its broad applicability and extensibility across various medical settings.</t>
  </si>
  <si>
    <t>Qiu, Xihe; Wei, Yingchen; Tan, Xiaoyu; Xu, Weidi; Wang, Haodong; Ma, Jingru; Huang, Jingjing; Fang, Zhijun</t>
  </si>
  <si>
    <t>Huang, JJ (corresponding author), Fudan Univ, Eye &amp; ENT Hosp, ENT Inst, Shanghai 200031, Peoples R China.; Huang, JJ (corresponding author), Fudan Univ, Eye &amp; ENT Hosp, Dept Otorhinolaryngol, Shanghai 200031, Peoples R China.</t>
  </si>
  <si>
    <t>jingjing.huang@fdeent.org</t>
  </si>
  <si>
    <t>Shanghai Municipal Natural Science Foundation [23ZR1425400, YGJC026]</t>
  </si>
  <si>
    <t>Shanghai Municipal Natural Science Foundation</t>
  </si>
  <si>
    <t>Acknowledgments This work is supported by the Shanghai Municipal Natural Science Foundation (No. 23ZR1425400) , Eye &amp; ENT Hospital's double priority project A (YGJC026 to Dr.Wei and Dr.Huang) .</t>
  </si>
  <si>
    <t>[Qiu, Xihe; Wei, Yingchen] Shanghai Univ Engn Sci, Sch Elect &amp; Elect Engn, Shanghai 201620, Peoples R China; [Tan, Xiaoyu; Xu, Weidi] INFLY TECH Shanghai Co Ltd, Shanghai 200232, Peoples R China; [Wang, Haodong; Ma, Jingru; Huang, Jingjing] Fudan Univ, Eye &amp; ENT Hosp, ENT Inst, Shanghai 200031, Peoples R China; [Wang, Haodong; Ma, Jingru; Huang, Jingjing] Fudan Univ, Eye &amp; ENT Hosp, Dept Otorhinolaryngol, Shanghai 200031, Peoples R China; [Fang, Zhijun] Donghua Univ, Sch Comp Sci &amp; Technol, Shanghai 201620, Peoples R China</t>
  </si>
  <si>
    <t>Shanghai University of Engineering Science; Fudan University; Fudan University; Donghua University</t>
  </si>
  <si>
    <t>MIMAR-OSA: Enhancing obstructive sleep apnea diagnosis through multimodal data integration and missing modality reconstruction</t>
  </si>
  <si>
    <t>Multimodal; Graph attention networks; Image matching; DiffWave; Mixture of experts</t>
  </si>
  <si>
    <t>Huang, Jingjing/E-6269-2019; Tan, Xiaoyu/OHR-5059-2025; Ma, Jingru/MIO-0215-2025</t>
  </si>
  <si>
    <t>Wang, HD/0009-0006-3245-2767; Wei, Yingchen/0009-0007-2089-3239; Fang, Zhijun/0000-0001-8563-5678; Qiu, Xihe/0000-0003-4024-925X; Xu, Weidi/0000-0002-7279-9339; Tan, William/0000-0003-3555-7143</t>
  </si>
  <si>
    <t>169</t>
  </si>
  <si>
    <t>111917</t>
  </si>
  <si>
    <t>10.1016/j.patcog.2025.111917</t>
  </si>
  <si>
    <t>http://dx.doi.org/10.1016/j.patcog.2025.111917</t>
  </si>
  <si>
    <t>4AN3D</t>
  </si>
  <si>
    <t>WOS:001513408300006</t>
  </si>
  <si>
    <t>Miao, SD; Sun, MZ; Zhang, BB; Jiang, YY; Xuan, QF; Wang, GP; Wang, MX; Jiang, YX; Wang, QJ; Liu, ZY; Ding, XM; Wang, RT</t>
  </si>
  <si>
    <t>ObjectivesThis study proposes a multimodal deep learning (DL) approach to investigate the impact of tumors and visceral fat on occult peritoneal metastasis in colorectal cancer (CRC) patients.MethodsWe developed a DL model named Multi-scale Feature Fusion Network (MSFF-Net) based on ResNet18, which extracted features of tumors and visceral fat from the longest diameter tumor section and the third lumbar vertebra level (L3) in preoperative CT scans of CRC patients. Logistic regression analysis was applied to patients' clinical data that integrated with DL features. A random forest (RF) classifier was established to evaluate the MSFF-Net's performance on internal and external test sets and compare it with radiologists' performance.ResultsThe model incorporating fat features outperformed the single tumor modality in the internal test set. Combining clinical information with DL provided the best diagnostic performance for predicting peritoneal metastasis in CRC patients. The AUCs were 0.941 (95% CI: [0.891, 0.986], p = 0.03) for the internal test set and 0.911 (95% CI: [0.857, 0.971], p = 0.013) for the external test set. CRC patients with peritoneal metastasis had a higher visceral adipose tissue index (VATI) compared to those without. Maximum tumor diameter and VATI were identified as independent prognostic factors for peritoneal metastasis. Grad-CAM decision regions corresponded with the independent prognostic factors identified by logistic regression analysis.ConclusionThe study confirms the network features of tumors and visceral fat significantly enhance predictive performance for peritoneal metastasis in CRC. Visceral fat is a meaningful imaging biomarker for peritoneal metastasis's early detection in CRC patients.Key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t>
  </si>
  <si>
    <t>Miao, Shidi; Sun, Mengzhuo; Zhang, Beibei; Jiang, Yuyang; Xuan, Qifan; Wang, Guopeng; Wang, Mingxuan; Jiang, Yuxin; Wang, Qiujun; Liu, Zengyao; Ding, Xuemei; Wang, Ruitao</t>
  </si>
  <si>
    <t>Wang, RT (corresponding author), Harbin Med Univ, Canc Hosp, Dept Internal Med, Harbin, Peoples R China.</t>
  </si>
  <si>
    <t>ruitaowang@126.com</t>
  </si>
  <si>
    <t>National Cancer Center Climb Plan; Department of Chinese and Bilingual Studies at the Hong Kong Polytechnic University</t>
  </si>
  <si>
    <t>Thank you to Tianqi Ju from the Department of Chinese and Bilingual Studies at the Hong Kong Polytechnic University and Jianan Liu from the School of Translation and Interpreting at Guangxi University for Nationalities for the refinement of this manuscript.</t>
  </si>
  <si>
    <t>[Miao, Shidi; Sun, Mengzhuo; Jiang, Yuyang; Xuan, Qifan; Wang, Guopeng; Wang, Mingxuan; Jiang, Yuxin] Harbin Univ Sci &amp; Technol, Sch Comp Sci &amp; Technol, Harbin, Peoples R China; [Zhang, Beibei; Wang, Ruitao] Harbin Med Univ, Canc Hosp, Dept Internal Med, Harbin, Peoples R China; [Wang, Qiujun] Harbin Med Univ, Affiliated Hosp 2, Dept Gen Practice, Harbin, Peoples R China; [Liu, Zengyao] Harbin Med Univ, Affiliated Hosp 1, Dept Intervent Med, Harbin, Peoples R China; [Ding, Xuemei] Ulster Univ, Sch Comp Engn &amp; Intelligent Syst, Coleraine, North Ireland</t>
  </si>
  <si>
    <t>Harbin University of Science &amp; Technology; Harbin Medical University; Harbin Medical University; Harbin Medical University; Ulster University</t>
  </si>
  <si>
    <t>Multimodal deep learning: tumor and visceral fat impact on colorectal cancer occult peritoneal metastasis</t>
  </si>
  <si>
    <t>Colorectal cancer; Peritoneum; Neoplasm metastasis; Deep learning; Visceral fat</t>
  </si>
  <si>
    <t>COLON-CANCER; ASSOCIATION; SURVIVAL</t>
  </si>
  <si>
    <t>4522</t>
  </si>
  <si>
    <t>4532</t>
  </si>
  <si>
    <t>10.1007/s00330-025-11450-2</t>
  </si>
  <si>
    <t>http://dx.doi.org/10.1007/s00330-025-11450-2</t>
  </si>
  <si>
    <t>4NY8G</t>
  </si>
  <si>
    <t>39961863</t>
  </si>
  <si>
    <t>WOS:001423008600001</t>
  </si>
  <si>
    <t>Green Published</t>
  </si>
  <si>
    <t>Holt, L; Chamberlain, V; Shern, T; Abir, FF; Daly, A; Anderman, K; Gadd, MA; Verdial, FC; Kwait, RM; Specht, MC; Smith, BL; Brattain, L; Ozmen, T</t>
  </si>
  <si>
    <t>BackgroundFibroepithelial breast lesions, including fibroadenomas and phyllodes tumors (PTs), can be difficult to classify on needle biopsy. Misclassification may result in unnecessary excisions of benign fibroadenomas or delays and repeat operations for borderline/malignant PTs. Artificial Intelligence for Fibroepithelial Lesion Evaluation and Extrication Technology (AI-FLEET) is a multi-stage program designed to improve diagnostic accuracy and reduce inconclusive preoperative assessments by integrating radiologic, pathologic, and clinical data.Patients and MethodsIn this first phase, we retrospectively analyzed patients with histologically confirmed PTs. Borderline and malignant PTs were grouped together owing to similarities in margin management and the limited number of cases. Models were trained to distinguish benign from borderline/malignant PTs using ultrasound images and clinical variables (age, body mass index (BMI), race/ethnicity, menopausal status, echogenicity, and tumor size). Multiple convolutional and attention-based encoders were evaluated using subject-stratified five-fold cross-validation.ResultsThe cohort included 81 patients (65 benign, 16 borderline/malignant PTs) with 1638 ultrasound images. The multimodal ConvNeXt model achieved an accuracy of 0.91 (AUC 0.94), while the multimodal ResNet18 achieved an accuracy of 0.92 (AUC 0.94). Other multimodal architectures showed lower performance. Ultrasound-only and clinical-only models reached AUCs of 0.89 and 0.78, respectively. Saliency analyses identified intratumoral heterogeneity as an important predictive feature.ConclusionsMultimodal deep learning models combining ultrasound and clinical factors achieved high accuracy in differentiating benign from borderline/malignant PTs, demonstrating the feasibility of AI-assisted assessment of fibroepithelial lesions. Phase II will expand this work by incorporating histopathology and fibroadenoma cases to further enhance radiologic-pathologic integration.</t>
  </si>
  <si>
    <t>Holt, Logan; Chamberlain, Victoria; Shern, Tyler; Abir, Farhan Fuad; Daly, Abigail; Anderman, Kyle; Gadd, Michele A.; Verdial, Francys C.; Kwait, Rebecca M.; Specht, Michelle C.; Smith, Barbara L.; Brattain, Laura; Ozmen, Tolga</t>
  </si>
  <si>
    <t>Ozmen, T (corresponding author), Massachusetts Gen Hosp, MGH Ctr Breast Canc, Div Gastrointestinal &amp; Oncol Surg, Breast Sect, Boston, MA 02114 USA.</t>
  </si>
  <si>
    <t>tozmen@mgh.harvard.edu</t>
  </si>
  <si>
    <t>[Holt, Logan; Chamberlain, Victoria; Shern, Tyler; Daly, Abigail; Anderman, Kyle; Gadd, Michele A.; Verdial, Francys C.; Kwait, Rebecca M.; Specht, Michelle C.; Smith, Barbara L.; Ozmen, Tolga] Massachusetts Gen Hosp, MGH Ctr Breast Canc, Div Gastrointestinal &amp; Oncol Surg, Breast Sect, Boston, MA 02114 USA; [Abir, Farhan Fuad] Univ Cent Florida, Dept Elect &amp; Comp Engn, Orlando, FL USA; [Brattain, Laura] Univ Cent Florida, Coll Med, Dept Internal Med, Orlando, FL USA</t>
  </si>
  <si>
    <t>Harvard University; Harvard University Medical Affiliates; Massachusetts General Hospital; University of Central Florida; State University System of Florida; University of Central Florida; University of Central Florida; State University System of Florida; University of Central Florida</t>
  </si>
  <si>
    <t>AI-FLEET: Phase I-Multimodal Deep Learning Model for Phyllodes Tumor Classification</t>
  </si>
  <si>
    <t>ANNALS OF SURGICAL ONCOLOGY</t>
  </si>
  <si>
    <t>Phyllodes tumor; Breast ultrasound; Artificial intelligence; Fibroepithelial lesion; Deep learning</t>
  </si>
  <si>
    <t>CORE NEEDLE-BIOPSY; ARTIFICIAL-INTELLIGENCE</t>
  </si>
  <si>
    <t>Verdial, Francys/KGM-2415-2024; Ozmen, Tolga/JRY-6427-2023</t>
  </si>
  <si>
    <t>Holt, Logan/0009-0006-7537-7533</t>
  </si>
  <si>
    <t>1068-9265</t>
  </si>
  <si>
    <t>1534-4681</t>
  </si>
  <si>
    <t>ANN SURG ONCOL</t>
  </si>
  <si>
    <t>Ann. Surg. Oncol.</t>
  </si>
  <si>
    <t>4503</t>
  </si>
  <si>
    <t>4509</t>
  </si>
  <si>
    <t>10.1245/s10434-026-19179-y</t>
  </si>
  <si>
    <t>http://dx.doi.org/10.1245/s10434-026-19179-y</t>
  </si>
  <si>
    <t>Oncology; Surgery</t>
  </si>
  <si>
    <t>GP1KD</t>
  </si>
  <si>
    <t>41649783</t>
  </si>
  <si>
    <t>WOS:001681870500001</t>
  </si>
  <si>
    <t>Annunziata, A; Cappabianca, S; Capuozzo, S; Coppola, N; Di Somma, C; Docimo, L; Fiorentino, G; Gravina, M; Marassi, L; Marrone, S; Parmeggiani, D; Polistina, GE; Reginelli, A; Sagnelli, C; Sansone, C</t>
  </si>
  <si>
    <t>Hospital overcrowding, driven by both structural management challenges and widespread medical emergencies, has prompted extensive research into machine learning (ML) solutions for predicting patient length of stay (LOS) to optimize bed allocation. While many existing models simplify the LOS prediction problem to a classification task, predicting broad ranges of hospital days, an exact day-based regression model is often crucial for precise planning. Additionally, available data are typically limited and heterogeneous, often collected from a small patient cohort. To address these challenges, we present a novel multimodal ML framework that combines imaging and clinical data to enhance LOS prediction accuracy. Specifically, our approach uses the following: (i) feature extraction from chest CT scans via a convolutional neural network (CNN), (ii) their integration with clinically relevant tabular data from patient exams, refined through a feature selection system to retain only significant predictors. As a case study, we applied this framework to pneumonia patient data collected during the COVID-19 pandemic at two hospitals in Naples, Italy-one specializing in infectious diseases and the other general-purpose. Under our experimental setup, the proposed system achieved an average prediction error of only three days, demonstrating its potential to improve patient flow management in critical care environments.</t>
  </si>
  <si>
    <t>Annunziata, Anna; Cappabianca, Salvatore; Capuozzo, Salvatore; Coppola, Nicola; Di Somma, Camilla; Docimo, Ludovico; Fiorentino, Giuseppe; Gravina, Michela; Marassi, Lidia; Marrone, Stefano; Parmeggiani, Domenico; Polistina, Giorgio Emanuele; Reginelli, Alfonso; Sagnelli, Caterina; Sansone, Carlo</t>
  </si>
  <si>
    <t>Capuozzo, S; Marrone, S (corresponding author), Univ Naples Federico II, Dept Elect Engn &amp; Informat Technol DIETI, I-80125 Naples, Italy.</t>
  </si>
  <si>
    <t>alfonso.reginelli@unicampania.it; anna.annunziata@gmail.com; ludovico.docimo@unicampania.it; lidia.marassi@unina.it; carlosan@unina.it; michela.gravina@unina.it; giorgiopolistina@gmail.com; salvatore.capuozzo@unina.it; domenico.parmeggiani@unicampania.it; nicola.coppola@unicampania.it; stefano.marrone@unina.it; giuseppe.fiorentino@ospedalideicolli.it; camilladisomma@gmail.com; salvatore.cappabianca@unicampania.it; caterina.sagnelli@unicampania.it</t>
  </si>
  <si>
    <t>[Annunziata, Anna; Di Somma, Camilla; Fiorentino, Giuseppe; Polistina, Giorgio Emanuele] Cotugno Monaldi Hosp, Resp Physiopathol Dept, Subintens Care Unit, AORN Osped Colli, I-80131 Naples, Italy; [Cappabianca, Salvatore; Reginelli, Alfonso] Univ Campania Luigi Vanvitelli, Dept Precis Med, I-80138 Naples, Italy; [Capuozzo, Salvatore; Gravina, Michela; Marassi, Lidia; Marrone, Stefano; Sansone, Carlo] Univ Naples Federico II, Dept Elect Engn &amp; Informat Technol DIETI, I-80125 Naples, Italy; [Coppola, Nicola; Sagnelli, Caterina] Univ Campania Luigi Vanvitelli, Dept Mental &amp; Phys Hlth &amp; Prevent Med, Naples 80138, Italy; [Docimo, Ludovico; Parmeggiani, Domenico] Univ Campania Luigi Vanvitelli, Dept Adv Med &amp; Surg Sci, I-80138 Naples, Italy</t>
  </si>
  <si>
    <t>Universita della Campania Vanvitelli; University of Naples Federico II; Universita della Campania Vanvitelli; Universita della Campania Vanvitelli</t>
  </si>
  <si>
    <t>A Multimodal Machine Learning Model in Pneumonia Patients Hospital Length of Stay Prediction</t>
  </si>
  <si>
    <t>BIG DATA AND COGNITIVE COMPUTING</t>
  </si>
  <si>
    <t>pneumonia; convolutional neural network; CT; features extraction; features selection</t>
  </si>
  <si>
    <t>fiorentino, giuseppe/Y-6202-2019; Gravina, Michela/LJA-3712-2024; Parmeggiani, Domenico/HSF-6358-2023; Docimo, Ludovico/HHD-0312-2022; Sansone, Carlo/AGZ-8858-2022; Sagnelli, Caterina/K-9338-2016; REGINELLI, Alfonso/AAL-4730-2020; Marrone, Stefano/JAC-8467-2023</t>
  </si>
  <si>
    <t>fiorentino, giuseppe/0000-0002-2523-9769; Annunziata, Anna/0000-0002-2404-3545; Marassi, Lidia/0009-0006-8134-5466; Gravina, Michela/0000-0001-5033-9617; Parmeggiani, Domenico/0000-0003-1926-5562; Polistina, Giorgio Emanuele/0000-0003-2367-6604; Capuozzo, Salvatore/0000-0002-2578-9349; Sansone, Carlo/0000-0002-8176-6950; Coppola, Nicola/0000-0001-5897-4949; Sagnelli, Caterina/0000-0002-6413-7810; Di Somma, Camilla/0000-0001-5232-3678; REGINELLI, Alfonso/0000-0003-4809-6235; Marrone, Stefano/0000-0001-6852-0377; cappabianca, salvatore/0000-0002-5417-2268</t>
  </si>
  <si>
    <t>2504-2289</t>
  </si>
  <si>
    <t>BIG DATA COGN COMPUT</t>
  </si>
  <si>
    <t>Big Data Cogn. Comput.</t>
  </si>
  <si>
    <t>10.3390/bdcc8120178</t>
  </si>
  <si>
    <t>http://dx.doi.org/10.3390/bdcc8120178</t>
  </si>
  <si>
    <t>Computer Science, Artificial Intelligence; Computer Science, Information Systems; Computer Science, Theory &amp; Methods</t>
  </si>
  <si>
    <t>Q8M4N</t>
  </si>
  <si>
    <t>WOS:001387147900001</t>
  </si>
  <si>
    <t>Emara, AHM; Alkhateeb, JH; Atteia, G; Turani, A; Zraqou, J; Elsawaf, Z; Jameel, A</t>
  </si>
  <si>
    <t>Diabetic Retinopathy (DR) remains a leading cause of preventable vision impairment among individuals with diabetes, particularly when not identified in its early stages. Conventional diagnostic techniques typically employ either fundus photography or Optical Coherence Tomography (OCT), with each modality offering distinct yet partial insights into retinal abnormalities. This study proposes a multimodal diagnostic framework that fuses both structural and spatial retinal characteristics through the integration of fundus and OCT imagery. We utilize a curated subset of 222 high- quality, modality- paired images (111 fundus + 111 OCT), selected from a larger publicly available dataset based on strict inclusion criteria including image clarity, diagnostic labeling, and modality alignment. Feature extraction pipelines are optimized for each modality to capture relevant pathological markers, and the extracted features are fused using an attention- based weighting mechanism that emphasizes diagnostically salient regions across modalities. The proposed approach achieves an accuracy of 90.5% and an AUC- ROC of 0.970 on this curated subset, indicating promising feasibility of multimodal fusion for early- stage DR assessment. Given the limited dataset size, these results should be interpreted as preliminary, demonstrating methodological potential rather than large- scale robustness. The study highlights the clinical value of hybrid imaging frameworks and AI- assisted screening tools, while emphasizing the need for future validation on larger and more diverse datasets.</t>
  </si>
  <si>
    <t>Emara, Abdel-Hamid M.; Alkhateeb, Jawad Hasan; Atteia, Ghada; Turani, Aiman; Zraqou, Jamal; Elsawaf, Zeinab; Jameel, Abid</t>
  </si>
  <si>
    <t>Atteia, G (corresponding author), Princess Nourah bint Abdulrahman Univ, Coll Comp &amp; Informat Sci, Dept Informat Technol, Riyadh, Saudi Arabia.</t>
  </si>
  <si>
    <t>geatteiaallah@pnu.edu.sa</t>
  </si>
  <si>
    <t>Princess Nourah bint Abdulrahman University Researchers Supporting Project [PNURSP2025R748]; Princess Nourah bint Abdulrahman University, Riyadh, Saudi Arabia</t>
  </si>
  <si>
    <t>Princess Nourah bint Abdulrahman University Researchers Supporting Project (Princess Nourah bint Abdulrahman University); Princess Nourah bint Abdulrahman University, Riyadh, Saudi Arabia (Princess Nourah bint Abdulrahman University)</t>
  </si>
  <si>
    <t>The author(s) declared that financial support was received for this work and/or its publication. Financial support was received from Princess Nourah bint Abdulrahman University Researchers Supporting Project number (PNURSP2025R748), Princess Nourah bint Abdulrahman University, Riyadh, Saudi Arabia.</t>
  </si>
  <si>
    <t>[Emara, Abdel-Hamid M.] Taibah Univ, Coll Comp Sci &amp; Engn, Dept Comp Sci, Medina, Saudi Arabia; [Alkhateeb, Jawad Hasan] Prince Mohammad Bin Fahd Univ, Coll Comp Engn &amp; Sci, Dept Comp Sci, Al Khobar, Saudi Arabia; [Atteia, Ghada] Princess Nourah bint Abdulrahman Univ, Coll Comp &amp; Informat Sci, Dept Informat Technol, Riyadh, Saudi Arabia; [Turani, Aiman] Taibah Univ, Coll Comp Sci &amp; Engn, Dept Informat Syst, Medina, Saudi Arabia; [Zraqou, Jamal] Univ Petra, Dept Comp Sci, Amman, Jordan; [Elsawaf, Zeinab] Taibah Univ, Med Fac, Dept Pathol, Madinah, Saudi Arabia; [Jameel, Abid] Int Islamic Univ Islamabad, Fac Comp, Dept Comp Sci, Islamabad, Pakistan</t>
  </si>
  <si>
    <t>Taibah University; Prince Mohammad Bin Fahd University; Princess Nourah bint Abdulrahman University; Taibah University; Petra University; Taibah University; International Islamic University, Pakistan</t>
  </si>
  <si>
    <t>Early prediction of diabetic retinopathy using a multimodal deep learning framework integrating fundus and OCT imaging</t>
  </si>
  <si>
    <t>artificial intelligence in ophthalmology; attention-based fusion; deep learning; diabetic retinopathy; early diagnosis; EyePACS dataset; fundus photography; medical image analysis</t>
  </si>
  <si>
    <t>Atteia, Ghada/GLT-9087-2022; Jameel, Abid/GLT-0892-2022; Emara, Abdel-Hamid/ACU-8000-2022; Zraqou, Jamal/JNJ-7318-2023</t>
  </si>
  <si>
    <t>Jameel, Abid/0009-0001-9075-7319; Emara, Abdel-Hamid/0000-0002-7730-9693</t>
  </si>
  <si>
    <t>JAN 9 2026</t>
  </si>
  <si>
    <t>1741146</t>
  </si>
  <si>
    <t>10.3389/fmed.2025.1741146</t>
  </si>
  <si>
    <t>http://dx.doi.org/10.3389/fmed.2025.1741146</t>
  </si>
  <si>
    <t>CK2KU</t>
  </si>
  <si>
    <t>41585223</t>
  </si>
  <si>
    <t>WOS:001667768000001</t>
  </si>
  <si>
    <t>Miao, JX; Liu, Q; Zhao, JN; Fan, SS; Wang, SW; Ye, F; Wu, S; Li, JZ; Zhang, HR; Zhang, M; Bu, H; Han, X; Teng, LH; Liu, YP</t>
  </si>
  <si>
    <t>Objective: Accurate detection of PIK3CA mutations is essential for guiding PI3K-targeted therapies in breast cancer, yet sequencing is not universally accessible, and single-modality prediction models have limited performance. This study developed a multimodal deep learning framework integrating whole-slide imaging (WSI) and structured clinical data to improve mutation prediction. Methods: A total of 1,047 patients from TCGA and 166 patients from 3 external centers were included. The histopathology model used a transformer-based pretrained encoder (H-optimus-0) and a clustering-constrained attention multiple instance learning (CLAM-SB MIL) classifier to generate WSI-level representations. The clinical model incorporated engineered clinical variables and an extreme gradient boosting (XGBoost) model. A decision-level late fusion strategy (Multimodal PIK3CA Model, MPM) combined probabilistic outputs from both branches. Performance was evaluated with the area under the curve (AUC) and secondary metrics. Interpretability was assessed via attention heatmaps and shapley additive explanations (SHAP) analysis. Results: MPM outperformed single-modality models. It achieved an AUC of 0.745 on TCGA and maintained stable performance across external cohorts (0.695, 0.690, and 0.680). SHAP analysis identified molecular subtype as the most influential clinical feature, whereas attention maps highlighted mutation-associated morphological regions. Conclusions: The developed multimodal framework effectively integrates complementary morphological and clinical information, and provides a robust and generalizable method for predicting PIK3CA mutation status. Strong multicenter adaptability and biological interpretability support its potential use as a clinical decision-support tool and an accessible alternative to molecular testing.</t>
  </si>
  <si>
    <t>Miao, Jiaxian; Liu, Qi; Zhao, Jianing; Fan, Shishun; Wang, Shenwen; Ye, Feng; Wu, Si; Li, Jinze; Zhang, Huirui; Zhang, Meng; Bu, Hong; Han, Xiao; Teng, Lianghong; Liu, Yueping</t>
  </si>
  <si>
    <t>Liu, YP (corresponding author), Hebei Med Univ, Hosp 4, Dept Pathol, Shijiazhuang 050011, Peoples R China.; Teng, LH (corresponding author), Capital Med Univ, Xuanwu Hosp, Dept Pathol, Beijing 100053, Peoples R China.; Han, X (corresponding author), Sichuan Univ, Coll Biomed Engn, Chengdu 610065, Peoples R China.</t>
  </si>
  <si>
    <t>annama@163.com; tenglianghong@xwhosp.org; xiao_han@scu.edu.cn</t>
  </si>
  <si>
    <t>Hebei Natural Science Foundation [H2024206504]; Medical Science Research Project of Hebei [20260484, 20260530]; Fundamental Research Funds for the Central Universities [20822041J4123]</t>
  </si>
  <si>
    <t>Hebei Natural Science Foundation (Natural Science Foundation of Hebei Province); Medical Science Research Project of Hebei; Fundamental Research Funds for the Central Universities (Fundamental Research Funds for the Central Universities)</t>
  </si>
  <si>
    <t>This study was financially supported by the Hebei Natural Science Foundation (Grant No. H2024206504) , the Medical Science Research Project of Hebei (Grant No. 20260484, 20260530) , and the Fundamental Research Funds for the Central Universities (Grant No. 20822041J4123) .</t>
  </si>
  <si>
    <t>[Miao, Jiaxian; Zhao, Jianing; Fan, Shishun; Wu, Si; Li, Jinze; Zhang, Huirui; Liu, Yueping] Hebei Med Univ, Hosp 4, Dept Pathol, Shijiazhuang 050011, Peoples R China; [Liu, Qi; Wang, Shenwen] Hebei GEO Univ, Sch Informat Engn, Shijiazhuang 052161, Peoples R China; [Ye, Feng; Bu, Hong] Sichuan Univ, West China Hosp, Lab Pathol, Chengdu 610041, Peoples R China; [Zhang, Meng; Teng, Lianghong] Capital Med Univ, Xuanwu Hosp, Dept Pathol, Beijing 100053, Peoples R China; [Han, Xiao] Sichuan Univ, Coll Biomed Engn, Chengdu 610065, Peoples R China</t>
  </si>
  <si>
    <t>Hebei Medical University; Hebei GEO University; Sichuan University; Capital Medical University; Sichuan University</t>
  </si>
  <si>
    <t>Multimodal artificial intelligence predicts PIK3CA mutation in breast cancer from digital pathology and clinical data: a multicenter study</t>
  </si>
  <si>
    <t>CANCER BIOLOGY &amp; MEDICINE</t>
  </si>
  <si>
    <t>Breast cancer; PIK3CA mutation; multimodal artificial intelligence; whole-slide imaging; computational pathology</t>
  </si>
  <si>
    <t>FOUNDATION MODEL; LANDSCAPE</t>
  </si>
  <si>
    <t>CHINA ANTI-CANCER ASSOC</t>
  </si>
  <si>
    <t>TIANJIN</t>
  </si>
  <si>
    <t>TIANJIN MEDICAL UNIV, CANCER INST &amp; HOSPITAL TI-YUAN-BEI, HUANHU XI LU, HEXIQU, TIANJIN, 300060, PEOPLES R CHINA</t>
  </si>
  <si>
    <t>2095-3941</t>
  </si>
  <si>
    <t>CANCER BIOL MED</t>
  </si>
  <si>
    <t>Cancer Biol. Med.</t>
  </si>
  <si>
    <t>MAR 15 2026</t>
  </si>
  <si>
    <t>430</t>
  </si>
  <si>
    <t>450</t>
  </si>
  <si>
    <t>10.20892/j.issn.2095-3941.2025.0771</t>
  </si>
  <si>
    <t>http://dx.doi.org/10.20892/j.issn.2095-3941.2025.0771</t>
  </si>
  <si>
    <t>Oncology; Medicine, Research &amp; Experimental</t>
  </si>
  <si>
    <t>Oncology; Research &amp; Experimental Medicine</t>
  </si>
  <si>
    <t>GL1ST</t>
  </si>
  <si>
    <t>41968976</t>
  </si>
  <si>
    <t>WOS:001739009200011</t>
  </si>
  <si>
    <t>Rao, XF; Yang, M; Chen, H; Li, GH; Wu, L; Gong, LD; Yang, MC; Wang, HY; Ding, Y; Chen, GX; Rao, XJ; Zhang, N; Wang, XX; Teng, L</t>
  </si>
  <si>
    <t>Background: Gliomas are the most common primary malignant tumors of the central nervous system. Accurate preoperative grading is essential for individualized surgical planning and treatment selection; however, reliable non-invasive prediction tools integrating multimodal preoperative data remain limited. This study aimed to develop and internally validate an interpretable machine-learning model for non-invasive glioma grading. Methods: Clinical and imaging data from 400 patients with pathologically confirmed gliomas were retrospectively collected. Twenty-four preoperative variables were analyzed. The dataset was randomly divided into training and validation cohorts (7:3). Feature selection was performed using a combination of the Boruta algorithm and logistic regression analyses, followed by correlation filtering. Seventeen machine-learning algorithms were benchmarked using five-fold cross-validation, and the optimal model was evaluated in the independent validation cohort using ROC analysis, calibration assessment, precision-recall curves, and decision curve analysis. Model interpretability was examined using SHAP. Results: Eight key predictors were identified, including age, focal neurological deficits, midline shift, tumor laterality, tumor lobar location, enhancing tumor volume, and MRS-derived Cho/NAA and Cho/Cr ratios. The Random Forest model achieved an area under the ROC curve of 0.946 (95% CI: 0.902-0.989) in the validation cohort. Calibration analysis demonstrated reasonable agreement between predicted and observed outcomes, and the precision-recall curve yielded an average precision of 0.98. Decision curve analysis indicated net clinical benefit across relevant probability thresholds. Conclusions: A multimodal machine-learning model integrating clinical, structural imaging, and MRS-derived metabolic features was developed and internally validated for non-invasive preoperative glioma grading. The model showed good discrimination and calibration and provided individualized probability estimates, suggesting potential value for preoperative risk stratification. However, clinical deployment remains premature, and further external validation is required.</t>
  </si>
  <si>
    <t>Rao, Xianfeng; Yang, Min; Chen, Hao; Li, Guanhao; Wu, Li; Gong, Liudong; Yang, Mingchun; Wang, Haiyang; Ding, Ye; Chen, Guanxi; Rao, Xianjun; Zhang, Na; Wang, Xiaoxiong; Teng, Lei</t>
  </si>
  <si>
    <t>Wang, XX; Teng, L (corresponding author), Harbin Med Univ, Affiliated Hosp 1, Dept Neurosurg, Harbin 150001, Peoples R China.</t>
  </si>
  <si>
    <t>tengleina@163.com; steven_xiaoxiong@yeah.net</t>
  </si>
  <si>
    <t>National Natural Science Foundation of China [82573744, 82473135]; Heilongjiang Provincial Charity Federation [2021HX041]; Natural Science Foundation of Heilongjiang Province [PL2025H091]</t>
  </si>
  <si>
    <t>National Natural Science Foundation of China (National Natural Science Foundation of China (NSFC)); Heilongjiang Provincial Charity Federation; Natural Science Foundation of Heilongjiang Province (Natural Science Foundation of Heilongjiang Province)</t>
  </si>
  <si>
    <t>This study was supported by grants from the National Natural Science Foundation of China Grant No. 82573744, the National Natural Science Foundation of China Grant No. 82473135, the Heilongjiang Provincial Charity Federation Grant No. 2021HX041, and the Natural Science Foundation of Heilongjiang Province Grant No. PL2025H091.</t>
  </si>
  <si>
    <t>[Rao, Xianfeng; Chen, Hao; Li, Guanhao; Wu, Li; Gong, Liudong; Yang, Mingchun; Wang, Haiyang; Ding, Ye; Chen, Guanxi; Wang, Xiaoxiong; Teng, Lei] Harbin Med Univ, Affiliated Hosp 1, Dept Neurosurg, Harbin 150001, Peoples R China; [Yang, Min] Harbin Med Univ, Affiliated Hosp 6, Dept Pediat Surg, Harbin 150023, Peoples R China; [Rao, Xianjun] China Acad Chinese Med Sci, Wangjing Hosp, Dept Spleen &amp; Stomach Dis, Beijing 100102, Peoples R China; [Zhang, Na] Harbin Med Univ, Affiliated Hosp 1, Dept Lab Diagnost, Harbin 150001, Peoples R China</t>
  </si>
  <si>
    <t>Harbin Medical University; Harbin Medical University; China Academy of Chinese Medical Sciences; Wang Jing Hospital, CACMS; Harbin Medical University</t>
  </si>
  <si>
    <t>An Interpretable Multimodal Machine-Learning Model for Non-Invasive Preoperative Glioma Grading</t>
  </si>
  <si>
    <t>glioma; preoperative grading; machine learning; predictive model; magnetic resonance spectroscopy</t>
  </si>
  <si>
    <t>RISK-FACTORS; PROGNOSIS</t>
  </si>
  <si>
    <t>APR 10 2026</t>
  </si>
  <si>
    <t>10.3390/cancers18081204</t>
  </si>
  <si>
    <t>http://dx.doi.org/10.3390/cancers18081204</t>
  </si>
  <si>
    <t>HA5AY</t>
  </si>
  <si>
    <t>42073532</t>
  </si>
  <si>
    <t>WOS:001749425000001</t>
  </si>
  <si>
    <t>185</t>
  </si>
  <si>
    <t>Chen, RJ; Lu, MY; Williamson, DFK; Chen, TY; Lipkova, J; Noor, Z; Shaban, M; Shady, M; Williams, M; Joo, BJ; Mahmood, F</t>
  </si>
  <si>
    <t>The rapidly emerging field of computational pathology has demonstrated promise in developing objective prognostic models from histology images. However, most prognostic models are either based on histology or genomics alone and do not address how these data sources can be integrated to develop joint image-omic prognostic models. Additionally, identifying explainable morphological and molecular descriptors from these models that govern such prognosis is of interest. We use multimodal deep learning to jointly examine pathology whole-slide images and molecular profile data from 14 cancer types. Our weakly supervised, multimodal deep-learning algorithm is able to fuse these heterogeneous modalities to predict outcomes and discover prognostic features that correlate with poor and favorable outcomes. We present all analyses for morphological and molecular correlates of patient prognosis across the 14 cancer types at both a disease and a patient level in an interactive open-access database to allow for further exploration, biomarker discovery, and feature assessment.</t>
  </si>
  <si>
    <t>Chen, Richard J.; Lu, Ming Y.; Williamson, Drew F. K.; Chen, Tiffany Y.; Lipkova, Jana; Noor, Zahra; Shaban, Muhammad; Shady, Maha; Williams, Mane; Joo, Bumjin; Mahmood, Faisal</t>
  </si>
  <si>
    <t>Mahmood, F (corresponding author), Harvard Med Sch, Brigham &amp; Womens Hosp, Dept Pathol, Boston, MA USA.; Mahmood, F (corresponding author), Harvard Med Sch, Mass Gen Hosp, Dept Pathol, Boston, MA USA.; Mahmood, F (corresponding author), Broad Inst Harvard, Canc Program, Cambridge, MA USA.; Mahmood, F (corresponding author), MIT, Cambridge, MA USA.; Mahmood, F (corresponding author), MIT, Dept Elect Engn &amp; Comp Sci, Cambridge, MA USA.</t>
  </si>
  <si>
    <t>faisalmahmood@bwh.harvard.edu</t>
  </si>
  <si>
    <t>BWH President's Fund; MGH Pathology, Google Cloud Research Grant; Nvidia GPU Grant Program; NIGMS [R35GM138216]; National Science Foundation (NSF) Graduate Fellowship; National Institutes of Health (NIH) National Library of Medicine (NLM) Biomedical Informatics and Data Science Research Training Program [T15LM007092]; NIH National Human Genome Research Institute (NHGRI) Ruth L. Kirschstein National Research Service Award Bioinformatics Training Grant [T32HG002295]; NIH National Cancer Institute (NCI) Ruth L. Kirschstein National Service Award [T32CA251062]; National Cancer Institute [T32CA251062] Funding Source: NIH RePORTER; National Institute of General Medical Sciences [R35GM138216] Funding Source: NIH RePORTER; National Library of Medicine [T15LM007092] Funding Source: NIH RePORTER; NIH Office of the Director; National Human Genome Research Institute [T32HG002295] Funding Source: NIH RePORTER</t>
  </si>
  <si>
    <t>BWH President's Fund; MGH Pathology, Google Cloud Research Grant; Nvidia GPU Grant Program (Nvidia Corporation); NIGMS (United States Department of Health &amp; Human Services, National Institutes of Health (NIH) - USA, NIH National Institute of General Medical Sciences (NIGMS)); National Science Foundation (NSF) Graduate Fellowship (National Science Foundation (NSF)); National Institutes of Health (NIH) National Library of Medicine (NLM) Biomedical Informatics and Data Science Research Training Program; NIH National Human Genome Research Institute (NHGRI) Ruth L. Kirschstein National Research Service Award Bioinformatics Training Grant; NIH National Cancer Institute (NCI) Ruth L. Kirschstein National Service Award; National Cancer Institute (United States Department of Health &amp; Human Services, National Institutes of Health (NIH) - USA, NIH National Cancer Institute (NCI)); National Institute of General Medical Sciences (United States Department of Health &amp; Human Services, National Institutes of Health (NIH) - USA, NIH National Institute of General Medical Sciences (NIGMS)); National Library of Medicine (United States Department of Health &amp; Human Services, National Institutes of Health (NIH) - USA, NIH National Library of Medicine (NLM)); NIH Office of the Director; National Human Genome Research Institute (United States Department of Health &amp; Human Services, National Institutes of Health (NIH) - USA, NIH Office of the Director, NIH National Human Genome Research Institute (NHGRI))</t>
  </si>
  <si>
    <t>This work was supported in part by BWH President's Fund, MGH Pathology, Google Cloud Research Grant, Nvidia GPU Grant Program, and NIGMS R35GM138216 (to F.M.). R.J.C. was additionally supported by the National Science Foundation (NSF) Graduate Fellowship. M.S. was additionally supported by the National Institutes of Health (NIH) National Library of Medicine (NLM) Biomedical Informatics and Data Science Research Training Program, T15LM007092. M.W. was additionally supported by the NIH National Human Genome Research Institute (NHGRI) Ruth L. Kirschstein National Research Service Award Bioinformatics Training Grant, T32HG002295. T.Y.C. was additionally supported by the NIH National Cancer Institute (NCI) Ruth L. Kirschstein National Service Award, T32CA251062. The content is solely the responsibility of the authors and does not reflect the official views of the NIH, NIGMS, NHGRI, NLM, NSF or the NCI.</t>
  </si>
  <si>
    <t>[Chen, Richard J.; Lu, Ming Y.; Williamson, Drew F. K.; Chen, Tiffany Y.; Lipkova, Jana; Noor, Zahra; Shaban, Muhammad; Shady, Maha; Williams, Mane; Joo, Bumjin; Mahmood, Faisal] Harvard Med Sch, Brigham &amp; Womens Hosp, Dept Pathol, Boston, MA USA; [Chen, Richard J.; Lu, Ming Y.; Williamson, Drew F. K.; Shaban, Muhammad; Williams, Mane; Mahmood, Faisal] Harvard Med Sch, Mass Gen Hosp, Dept Pathol, Boston, MA USA; [Chen, Richard J.; Shady, Maha; Williams, Mane] Harvard Med Sch, Dept Biomed Informat, Boston, MA USA; [Chen, Richard J.; Lu, Ming Y.; Williamson, Drew F. K.; Chen, Tiffany Y.; Lipkova, Jana; Shaban, Muhammad; Shady, Maha; Williams, Mane; Mahmood, Faisal] Broad Inst Harvard, Canc Program, Cambridge, MA USA; [Chen, Richard J.; Lu, Ming Y.; Williamson, Drew F. K.; Chen, Tiffany Y.; Lipkova, Jana; Shaban, Muhammad; Shady, Maha; Williams, Mane; Mahmood, Faisal] MIT, Cambridge, MA USA; [Lu, Ming Y.] Dana Farber Harvard Canc Inst, Canc Data Sci Program, Boston, MA USA; [Mahmood, Faisal] MIT, Dept Elect Engn &amp; Comp Sci, Cambridge, MA USA; [Lu, Ming Y.; Williamson, Drew F. K.; Chen, Tiffany Y.] Harvard Univ, Harvard Data Sci Initiat, Cambridge, MA USA</t>
  </si>
  <si>
    <t>Harvard University; Harvard Medical School; Harvard University Medical Affiliates; Brigham &amp; Women's Hospital; Harvard University; Harvard Medical School; Harvard University Medical Affiliates; Massachusetts General Hospital; Harvard University; Harvard Medical School; Harvard University; Massachusetts Institute of Technology (MIT); Broad Institute; Massachusetts Institute of Technology (MIT); Harvard University; Harvard University Medical Affiliates; Dana-Farber Cancer Institute; Massachusetts Institute of Technology (MIT); Harvard University</t>
  </si>
  <si>
    <t>Pan-cancer integrative histology-genomic analysis via multimodal deep learning</t>
  </si>
  <si>
    <t>CANCER CELL</t>
  </si>
  <si>
    <t>TARGETED THERAPY; LANDSCAPE; CLASSIFICATION; HETEROGENEITY; PROGNOSIS; ORGANIZATION; EFFICIENT; SYSTEM</t>
  </si>
  <si>
    <t>Mahmood, Faisal/C-1021-2015; Williamson, Drew/KLC-8523-2024; Chen, Richard/HZM-2413-2023; Shaban, Muhammad/AEV-0783-2022; Lu, Ming Yang/JCE-3271-2023</t>
  </si>
  <si>
    <t>Mahmood, Faisal/0000-0001-7587-1562; Williaon, ew/0000-0003-1745-8846; Lipková, Jana/0000-0001-8101-4794; Chen, Richard/0000-0003-0389-1331; Willia, Mane/0000-0002-4377-1855; Shaban, Muhammad/0000-0001-6115-1505</t>
  </si>
  <si>
    <t>75</t>
  </si>
  <si>
    <t>487</t>
  </si>
  <si>
    <t>566</t>
  </si>
  <si>
    <t>142</t>
  </si>
  <si>
    <t>CELL PRESS</t>
  </si>
  <si>
    <t>CAMBRIDGE</t>
  </si>
  <si>
    <t>50 HAMPSHIRE ST, FLOOR 5, CAMBRIDGE, MA 02139 USA</t>
  </si>
  <si>
    <t>1535-6108</t>
  </si>
  <si>
    <t>1878-3686</t>
  </si>
  <si>
    <t>Cancer Cell</t>
  </si>
  <si>
    <t>AUG 8 2022</t>
  </si>
  <si>
    <t>865</t>
  </si>
  <si>
    <t>+</t>
  </si>
  <si>
    <t>10.1016/j.ccell.2022.07.004</t>
  </si>
  <si>
    <t>http://dx.doi.org/10.1016/j.ccell.2022.07.004</t>
  </si>
  <si>
    <t>AUG 2022</t>
  </si>
  <si>
    <t>Oncology; Cell Biology</t>
  </si>
  <si>
    <t>6M8TS</t>
  </si>
  <si>
    <t>35944502</t>
  </si>
  <si>
    <t>WOS:000889136400014</t>
  </si>
  <si>
    <t>Liu, H; Bai, YP; Wang, ZD; Yin, S; Gong, C; Wang, B</t>
  </si>
  <si>
    <t>Although the immune checkpoint inhibitors (ICIs) have demonstrated remarkable anti-tumor efficacy in solid tumors, the proportion of ESCC patients who benefit from ICIs remains limited. Current biomarkers have assisted in identifying potential responders to immunotherapy, yet they all have inherent limitations. In this study, two ESCC cohorts were established from the Third Affiliated Hospital of Soochow University in China. One cohort included 220 patients with PD-L1 expression levels determined by immunohistochemistry, and the other cohort included 75 patients who underwent immunotherapy. For each patient in both cohorts, we curated multimodal data encompassing Hematoxylin and Eosin-stained pathology images, longitudinal computed tomography (CT) scans, and pertinent clinical variables. Next, we introduced a novel multimodal deep learning model that integrated pathological features, radiomic features, and clinical information to predict PD-L1 levels, immunotherapy response, and overall survival. Our model achieved an AUC value of 0.836 for PD-L1 biomarker prediction, and 0.809 for immunotherapy response prediction. Furthermore, our model also achieved an AUC value of 0.8 in predicting overall survival beyond one or three years. Our findings confirmed that the multimodal integration of pathological, radiomic, and clinical features offers a powerful means to predict PD-L1 biomarker levels and immunotherapy response in esophageal cancer.</t>
  </si>
  <si>
    <t>Liu, Hui; Bai, Yinpu; Wang, Zhidong; Yin, Shi; Gong, Cheng; Wang, Bin</t>
  </si>
  <si>
    <t>Yin, S (corresponding author), Nanjing Tech Univ, Coll Comp &amp; Informat Engn, Nanjing, Jiangsu, Peoples R China.; Gong, C; Wang, B (corresponding author), Soochow Univ, Affiliated Hosp 3, Dept Cardiothorac Surg, Changzhou, Jiangsu, Peoples R China.</t>
  </si>
  <si>
    <t>xxwkgongcheng@163.com; yinshi2021@njtech.edu.cn; wangbin1987@suda.edu.cn</t>
  </si>
  <si>
    <t>National Natural Science Foundation of China10.13039/501100001809; Jiangsu, China</t>
  </si>
  <si>
    <t>National Natural Science Foundation of China10.13039/501100001809 (National Natural Science Foundation of China (NSFC)); Jiangsu, China</t>
  </si>
  <si>
    <t>We are very grateful to Dr. Meihua Wang from the Department of Pathology at Changzhou Cancer Hospital, Jiangsu, China. Thanks for his work on the annotations of the pathology images used in this study.</t>
  </si>
  <si>
    <t>[Liu, Hui; Bai, Yinpu; Yin, Shi] Nanjing Tech Univ, Coll Comp &amp; Informat Engn, Nanjing, Jiangsu, Peoples R China; [Wang, Zhidong; Gong, Cheng; Wang, Bin] Soochow Univ, Affiliated Hosp 3, Dept Cardiothorac Surg, Changzhou, Jiangsu, Peoples R China</t>
  </si>
  <si>
    <t>Nanjing Tech University; Soochow University - China</t>
  </si>
  <si>
    <t>Multimodal deep learning for predicting PD-L1 biomarker and clinical immunotherapy outcomes of esophageal cancer</t>
  </si>
  <si>
    <t>FRONTIERS IN IMMUNOLOGY</t>
  </si>
  <si>
    <t>esophageal squamous cell carcinoma; PD-L1 biomarker; multi-modal deep learning; immunotherapy response; pathology image; CT imaging</t>
  </si>
  <si>
    <t>1664-3224</t>
  </si>
  <si>
    <t>FRONT IMMUNOL</t>
  </si>
  <si>
    <t>Front. Immunol.</t>
  </si>
  <si>
    <t>MAR 11 2025</t>
  </si>
  <si>
    <t>1540013</t>
  </si>
  <si>
    <t>10.3389/fimmu.2025.1540013</t>
  </si>
  <si>
    <t>http://dx.doi.org/10.3389/fimmu.2025.1540013</t>
  </si>
  <si>
    <t>Immunology</t>
  </si>
  <si>
    <t>0MN2A</t>
  </si>
  <si>
    <t>40134428</t>
  </si>
  <si>
    <t>WOS:001450905300001</t>
  </si>
  <si>
    <t>Eftekhari, N; Verma, S; Saha, A; Zampieri, G; Sawan, S; Occhipinti, A; Angione, C</t>
  </si>
  <si>
    <t>Integrating genotype (e.g., transcriptomics), phenotype (e.g., imaging), and tumor microenvironment (e.g., metabolomics) is crucial to elucidating the molecular basis of ovarian cancer. However, there is a lack of robust multimodal integration methods when only a limited number of common samples is available. Here, we generate patient-specific metabolic models starting from transcriptomics data and integrate them with imaging data. We show that this multimodal integration-never attempted before-improves survival estimation and enables a mechanistic interpretation of the predictions. We assess the robustness of our approach with different combinations of transcriptomics, fluxomics, and 3D computerized tomography (CT) imaging data, correctly stratifying patients based on risk. Fusing metabolic modeling with imaging and transcriptomics significantly improves model accuracy compared with widely used transcriptomics-imaging approaches and elucidates critical metabolic reactions. Our approach is general and can be applied to other cancer types where coupled imaging-transcriptomics data are available. A record of this paper's transparent peer review process is included in the supplemental information.</t>
  </si>
  <si>
    <t>Eftekhari, Noushin; Verma, Suraj; Saha, Aninda; Zampieri, Guido; Sawan, Saladin; Occhipinti, Annalisa; Angione, Claudio</t>
  </si>
  <si>
    <t>Angione, C (corresponding author), Teesside Univ, Sch Comp Engn &amp; Digital Technol, Middlesbrough, England.; Angione, C (corresponding author), Teesside Univ, Ctr Digital Innovat, Middlesbrough, England.; Angione, C (corresponding author), Natl Horizons Ctr, Darlington, England.</t>
  </si>
  <si>
    <t>c.angione@tees.ac.uk</t>
  </si>
  <si>
    <t>EPSRC [EP/Y001613/1]; British Society of Breast Radiologists; BBSRC [BB/Y01278X/1]; Horizon Europe [101182278]</t>
  </si>
  <si>
    <t>EPSRC (UK Research &amp; Innovation (UKRI), Engineering &amp; Physical Sciences Research Council (EPSRC)); British Society of Breast Radiologists; BBSRC (UK Research &amp; Innovation (UKRI), Biotechnology and Biological Sciences Research Council (BBSRC)); Horizon Europe</t>
  </si>
  <si>
    <t>A.O. would like to acknowledge funding from EPSRC, grant EP/Y001613/1. A.O. and C.A. acknowledge the British Society of Breast Radiologists for a research award. C.A. would like to acknowledge funding from BBSRC, grant BB/Y01278X/1, and Horizon Europe, grant 101182278. We are grateful to Kaveh Shahhosseini and Le Minh Thao Doan for early discussions on implementations.</t>
  </si>
  <si>
    <t>[Eftekhari, Noushin] Alan Turing Inst, London, England; [Eftekhari, Noushin; Verma, Suraj; Occhipinti, Annalisa; Angione, Claudio] Teesside Univ, Sch Comp Engn &amp; Digital Technol, Middlesbrough, England; [Saha, Aninda] North Tees &amp; Hartlepool NHS Fdn Trust, Dept Radiol, Stockton On Tees, England; [Zampieri, Guido] Univ Padua, Dept Biol, Padua, Italy; [Sawan, Saladin] Univ Manchester, Sch Biol Sci, Manchester, England; [Occhipinti, Annalisa; Angione, Claudio] Teesside Univ, Ctr Digital Innovat, Middlesbrough, England; [Occhipinti, Annalisa; Angione, Claudio] Natl Horizons Ctr, Darlington, England</t>
  </si>
  <si>
    <t>Alan Turing Institute; University of Teesside; University of Padua; University of Manchester; University of Teesside</t>
  </si>
  <si>
    <t>Fusing imaging and metabolic modeling via multimodal deep learning in ovarian cancer</t>
  </si>
  <si>
    <t>CELL SYSTEMS</t>
  </si>
  <si>
    <t>EXTRACELLULAR-MATRIX; DATA INTEGRATION; NEURAL-NETWORKS; SURVIVAL; REPRESENTATION; EXPRESSION; GENE</t>
  </si>
  <si>
    <t>Verma, Suraj/JPA-2789-2023; Zampieri, Guido/HJH-7472-2023; Sawan, Saladin/KHT-5903-2024</t>
  </si>
  <si>
    <t>2405-4712</t>
  </si>
  <si>
    <t>2405-4720</t>
  </si>
  <si>
    <t>CELL SYST</t>
  </si>
  <si>
    <t>Cell Syst.</t>
  </si>
  <si>
    <t>JUN 17 2026</t>
  </si>
  <si>
    <t>101594</t>
  </si>
  <si>
    <t>10.1016/j.cels.2026.101594</t>
  </si>
  <si>
    <t>http://dx.doi.org/10.1016/j.cels.2026.101594</t>
  </si>
  <si>
    <t>Biochemistry &amp; Molecular Biology; Cell Biology</t>
  </si>
  <si>
    <t>KE3JF</t>
  </si>
  <si>
    <t>42025163</t>
  </si>
  <si>
    <t>WOS:001804930000001</t>
  </si>
  <si>
    <t>Zhang, J; Hong, PJ; Wang, N; Liu, Y; Wang, Y; Chen, LQ</t>
  </si>
  <si>
    <t>Rosacea is a chronic inflammatory skin disorder characterized by persistent facial erythema. Its clinical assessment relies on the Clinician's Erythema Assessment (CEA), a subjective scale prone to inter-observer variability. To address the need for diagnostic consistency, this study developed a multimodal artificial intelligence framework for objective CEA grading using standardized VISIA (R) imaging. We analyzed a retrospective cohort of 1,001 patients. To establish a robust reference standard, three expert dermatologists conducted a multi-step collective audit to reach a unanimous consensus for each case. The framework integrated handcrafted image-derived tabular features with deep learning representations. During training, spatial data augmentations and Focal Loss were implemented to address dataset imbalance and mitigate overfitting. Our results demonstrated that the multimodal fusion model achieved statistically significant improvements over the strong image-only baseline (McNemar's p = 0.031 ; DeLong's p = 0.024 ), yielding a Macro-AUC of 0.902 (95% CI: 0.862-0.937). Furthermore, to address the ordinal nature of the disease severity, the fusion model achieved a Quadratic Weighted Kappa (QWK) of 0.800 and an Intraclass Correlation Coefficient (ICC) of 0.801 (95% CI: 0.720-0.860), indicating excellent alignment with expert consensus. Error analysis revealed that over 95% of misclassifications in intermediate grades (CEA3) were restricted to adjacent categories, reflecting strong clinical safety. Interpretability analysis via layer-wise relevance propagation confirmed the model's focus on clinically recognized erythema-prone regions.This study establishes a robust proof-of-concept tool that transforms rosacea assessment from subjective inspection into an objective digital measurement, offering significant translational potential for clinical trials and teledermatology.</t>
  </si>
  <si>
    <t>Zhang, Jun; Hong, Peijian; Wang, Ning; Liu, Yang; Wang, Yue; Chen, LiuQing</t>
  </si>
  <si>
    <t>Wang, Y; Chen, LQ (corresponding author), Wuhan 1 Hosp, Dept Dermatol, Wuhan, Peoples R China.</t>
  </si>
  <si>
    <t>chlq35@126.com; wangyuewh1@163.com</t>
  </si>
  <si>
    <t>The author(s) declared that financial support was received for this work and/or its publication. This work was supported by the National Natural Science Foundation of China (Grant Number: 82404183)</t>
  </si>
  <si>
    <t>[Zhang, Jun; Hong, Peijian; Wang, Ning; Wang, Yue; Chen, LiuQing] Wuhan 1 Hosp, Dept Dermatol, Wuhan, Peoples R China; [Liu, Yang] Huazhong Univ Sci &amp; Technol, Tongji Hosp, Tongji Med Coll, Wuhan, Peoples R China</t>
  </si>
  <si>
    <t>Wuhan No.1 Hospital; Huazhong University of Science &amp; Technology</t>
  </si>
  <si>
    <t>Objective assessment of rosacea erythema severity: a multimodal artificial intelligence framework integrating VISIA® imaging and image-derived tabular features</t>
  </si>
  <si>
    <t>AI-assisted diagnosis; clinician's erythema assessment; feature fusion; multimodal deep learning; self-supervised learning; VISIA facial analysis system</t>
  </si>
  <si>
    <t>1829629</t>
  </si>
  <si>
    <t>10.3389/fmed.2026.1829629</t>
  </si>
  <si>
    <t>http://dx.doi.org/10.3389/fmed.2026.1829629</t>
  </si>
  <si>
    <t>II4HS</t>
  </si>
  <si>
    <t>42239947</t>
  </si>
  <si>
    <t>WOS:001772435300001</t>
  </si>
  <si>
    <t>Dantone, M; Lacsamana, M; Zeng, KG; Kenny, PA; Geras, KJ; Witowski, J</t>
  </si>
  <si>
    <t>Background/Objectives: Breast cancer recurrence risk stratification has relied on gene expression tests that are limited by long turnaround times and consumption of valuable tissue. Artificial intelligence (AI) utilizing digital pathology images elucidates novel morphological biomarkers with strong prognostic associations, but the use of such AI models requires a modified analytical validation approach. Here, we report analytical validation of a novel breast cancer prognostic test. Methods: Ataraxis Breast RISK (ATX) uses a survival analysis model based upon features from a pan-cancer foundation model. This model extracts morphological features (biomarkers) from H&amp;E-stained slides. These features are combined with clinical variables, and the test outputs a calibrated recurrence risk score. We validated ATX across five axes: intra-operator repeatability, inter-operator reproducibility, limit of blank, limit of detection and inter-laboratory reproducibility. Additionally, we assessed robustness to clinicopathologic data perturbations and conducted a clinical validation bridging study. Experiments were performed in CLIA-certified laboratories. Results: Intra-operator repeatability yielded an intraclass correlation coefficient (ICC) of 0.99 with 100% risk category agreement. Inter-operator reproducibility was concordant (ICC 0.99, 100% agreement). Inter-laboratory reproducibility across multiple scanners showed an ICC of 0.97 with 94.7% agreement. Under simulated clinicopathologic data perturbation, ATX maintained an average C-index of 0.62 with 90.0% agreement. The bridging study confirmed that the performance of the CLIA version was comparable to the prior clinical validation version (C-index 0.63 vs. 0.62). Conclusions: ATX met all predefined analytical acceptance criteria. These results support the analytical readiness of ATX use in clinical testing.</t>
  </si>
  <si>
    <t>Dantone, Marc; Lacsamana, Martin; Zeng, Ken G.; Kenny, Paraic A.; Geras, Krzysztof J.; Witowski, Jan</t>
  </si>
  <si>
    <t>Witowski, J (corresponding author), Ataraxis AI, New York, NY 10016 USA.</t>
  </si>
  <si>
    <t>jan.witowski@ataraxis.ai</t>
  </si>
  <si>
    <t>[Dantone, Marc; Lacsamana, Martin; Zeng, Ken G.; Geras, Krzysztof J.; Witowski, Jan] Ataraxis AI, New York, NY 10016 USA; [Kenny, Paraic A.] Gundersen Hlth Syst, La Crosse, WI 54601 USA</t>
  </si>
  <si>
    <t>Analytical Validation of Multimodal AI Test Predicting Breast Cancer Recurrence Risk (Ataraxis Breast RISK)</t>
  </si>
  <si>
    <t>artificial intelligence; digital pathology; breast cancer; analytical validation</t>
  </si>
  <si>
    <t>CENTRAL LABORATORIES; HER2; ER</t>
  </si>
  <si>
    <t>Witowski, Jan/B-8781-2018; Kenny, Paraic/A-3120-2008</t>
  </si>
  <si>
    <t>MAR 29 2026</t>
  </si>
  <si>
    <t>1023</t>
  </si>
  <si>
    <t>10.3390/diagnostics16071023</t>
  </si>
  <si>
    <t>http://dx.doi.org/10.3390/diagnostics16071023</t>
  </si>
  <si>
    <t>GL0IZ</t>
  </si>
  <si>
    <t>41975736</t>
  </si>
  <si>
    <t>WOS:001738916200001</t>
  </si>
  <si>
    <t>Chen, J; Wu, XH; Li, MY; Liu, LX; Zhong, LXY; Xiao, J; Lou, BS; Zhong, XW; Chen, YT; Huang, WB; Meng, XD; Gui, YF; Chen, MZ; Wang, DN; Dongye, M; Zhang, XL; Cheung, CY; Lai, IF; Yan, H; Lin, XF; Zheng, YX; Lin, HT</t>
  </si>
  <si>
    <t>center dot PURPOSE: To develop a multimodal artificial intelli-gence (AI) system, EE-Explorer, to triage eye emergen-cies and assist in primary diagnosis using metadata and ocular images.center dot DESIGN: A diagnostic, cross-sectional, validity and re-liability study. center dot METHODS: EE-Explorer consists of 2 models. The triage model was developed from metadata (events, symp-toms, and medical history) and ocular surface images via smartphones from 2038 patients presenting to Zhong-shan Ophthalmic Center (ZOC) to output 3 classifica-tions: urgent, semiurgent, and nonurgent. The primary diagnostic model was developed from the paired metadata and slitlamp images of 2405 patients from ZOC. Both models were externally tested on 103 participants from 4 other hospitals. A pilot test was conducted in Guangzhou to evaluate the hierarchical referral service pattern assisted by EE-Explorer for unspecialized health care facilities.center dot RESULTS: A high overall accuracy, as indicated by an area under the receiver operating characteristic curve (AUC) of 0.982 (95% CI, 0.966-0.998), was obtained using the triage model, which outperformed the triage nurses (P &lt; .001). In the primary diagnostic model, the diagnostic classification accuracy (CA) and Hamming loss (HL) in the internal testing were 0.808 (95% CI 0.776-0.840) and 0.016 (95% CI 0.006-0.026), respec-tively. In the external testing, model performance was robust for both triage (average AUC, 0.988, 95% CI 0.967-1.000) and primary diagnosis (CA, 0.718, 95% CI 0.644-0.792; and HL, 0.023, 95% CI 0.000-0.048). In the pilot test in the hierarchical referral settings, EE-explorer demonstrated consistently robust performance and broad participant acceptance.center dot CONCLUSION: The EE-Explorer system showed robust performance in both triage and primary diagnosis for oph-thalmic emergency patients. EE-Explorer can provide pa-tients with acute ophthalmic symptoms access to remote self-triage and assist in primary diagnosis in unspecialized health care facilities to achieve rapid and effective treat-ment strategies. (Am J Ophthalmol 2023;252: 253-264.(c) 2023 The Authors. Published by Elsevier Inc. This is an open access article under the CC BY-NC-ND license ( http://creativecommons.org/licenses/by-nc-nd/4.0/ ))</t>
  </si>
  <si>
    <t>Chen, Juan; Wu, Xiaohang; LI, Mingyuan; Liu, Lixue; Zhong, Liuxueying; Xiao, Jun; Lou, Bingsheng; Zhong, Xingwu; Chen, Yanting; Huang, Wenbin; Meng, Xiangda; Gui, Yufei; Chen, Meizhen; Wang, Dongni; Dongye, Meimei; Zhang, Xulin; Cheung, Carol Y.; Lai, Iat Fan; Yan, Hua; Lin, Xiaofeng; Zheng, Yongxin; Lin, Haotian</t>
  </si>
  <si>
    <t>Lin, HT (corresponding author), Sun Yat Sen Univ, Zhongshan Ophthalm Ctr, Guangzhou, Peoples R China.</t>
  </si>
  <si>
    <t>linht5@mail.sysu.edu.cn</t>
  </si>
  <si>
    <t>Science and Technology Program of Guangzhou [202201020337]; Guangzhou Basic and Applied Basic Research Project [202201011301]; Five-five Clinical Specialty Construction Project [3030901010068]; High-level Hospital Construction Project [303010402]; Guangdong Provincial Natural Science Foundation for Progressive Young Scholars [2023A1515030170]; National Natural Science Foundation of China [82171035]; Science and Technology Planning Projects of Guangdong Province [2021B1111610006]; Hainan Province Clinical Medical Center</t>
  </si>
  <si>
    <t>Science and Technology Program of Guangzhou; Guangzhou Basic and Applied Basic Research Project; Five-five Clinical Specialty Construction Project; High-level Hospital Construction Project; Guangdong Provincial Natural Science Foundation for Progressive Young Scholars; National Natural Science Foundation of China (National Natural Science Foundation of China (NSFC)); Science and Technology Planning Projects of Guangdong Province; Hainan Province Clinical Medical Center</t>
  </si>
  <si>
    <t>This study was supported by the Science and Technology Program of Guangzhou (202201020337) , Guangzhou Basic and Applied Basic Research Project (202201011301) , Five-five Clinical Specialty Construction Project (3030901010068) , High-level Hospital Construction Project (303010402) , Guangdong Provincial Natural Science Foundation for Progressive Young Scholars (2023A1515030170) , National Natural Science Foundation of China (82171035) , Science and Technology Planning Projects of Guangdong Province (2021B1111610006) , and Hainan Province Clinical Medical Center.</t>
  </si>
  <si>
    <t>[Chen, Juan; Wu, Xiaohang; LI, Mingyuan; Liu, Lixue; Zhong, Liuxueying; Xiao, Jun; Lou, Bingsheng; Zhong, Xingwu; Wang, Dongni; Zhang, Xulin; Lin, Xiaofeng; Zheng, Yongxin; Lin, Haotian] Sun Yat Sen Univ, Zhongshan Ophthalm Ctr, Guangdong Prov Clin Res Ctr Ocular Dis, State Key Lab Ophthalmol,Guangdong Prov Key Lab Op, Guangzhou, Guangdong, Peoples R China; [Zhong, Xingwu; Chen, Yanting; Huang, Wenbin; Lin, Haotian] Sun Yat Sen Univ, Hainan Eye Hosp, Haikou, Hainan, Peoples R China; [Zhong, Xingwu; Chen, Yanting; Huang, Wenbin; Lin, Haotian] Sun Yat Sen Univ, Zhongshan Ophthalm Ctr, Key Lab Ophthalmol, Haikou, Hainan, Peoples R China; [Meng, Xiangda; Yan, Hua] Tianjin Med Univ, Gen Hosp, Tianjin, Peoples R China; [Gui, Yufei] Kunming Med Univ, Affiliated Hosp 1, Kunming, Yunnan, Peoples R China; [Chen, Meizhen] Guangzhou Aier Eye Hosp, Guangzhou, Guangdong, Peoples R China; [Cheung, Carol Y.] Chinese Univ Hong Kong, Dept Ophthalmol &amp; Visual Sci, Hong Kong, Peoples R China; [Lai, Iat Fan] Kiang Wu Hosp, Ophthalm Ctr, Macau, Peoples R China; [Lin, Haotian] Sun Yat Sen Univ, Ctr Precis Med, Zhongshan Sch Med, Guangzhou, Guangdong, Peoples R China; [Lin, Haotian] Sun Yat Sen Univ, Zhongshan Sch Med, Dept Genet &amp; Biomed Informat, Guangzhou, Guangdong, Peoples R China; [Lin, Haotian] Sun Yat Sen Univ, Zhongshan Ophthalm Ctr, Guangzhou, Peoples R China</t>
  </si>
  <si>
    <t>Sun Yat Sen University; Sun Yat Sen University; Sun Yat Sen University; Tianjin Medical University; Kunming Medical University; Chinese University of Hong Kong; Sun Yat Sen University; Sun Yat Sen University; Sun Yat Sen University</t>
  </si>
  <si>
    <t>EE-Explorer: A Multimodal Artificial Intelligence System for Eye Emergency Triage and Primary Diagnosis</t>
  </si>
  <si>
    <t>AMERICAN JOURNAL OF OPHTHALMOLOGY</t>
  </si>
  <si>
    <t>OPHTHALMIC EMERGENCY</t>
  </si>
  <si>
    <t>Chen, Yanting/KHX-5930-2024; Cheung, Carol/G-7895-2016; Y, Hua/QAW-3104-2026</t>
  </si>
  <si>
    <t>Liu, Lixue/0009-0004-5973-1067</t>
  </si>
  <si>
    <t>0002-9394</t>
  </si>
  <si>
    <t>1879-1891</t>
  </si>
  <si>
    <t>AM J OPHTHALMOL</t>
  </si>
  <si>
    <t>Am. J. Ophthalmol.</t>
  </si>
  <si>
    <t>252</t>
  </si>
  <si>
    <t>253</t>
  </si>
  <si>
    <t>264</t>
  </si>
  <si>
    <t>10.1016/j.ajo.2023.04.007</t>
  </si>
  <si>
    <t>http://dx.doi.org/10.1016/j.ajo.2023.04.007</t>
  </si>
  <si>
    <t>MAY 2023</t>
  </si>
  <si>
    <t>J6CA1</t>
  </si>
  <si>
    <t>37142171</t>
  </si>
  <si>
    <t>WOS:001010462200001</t>
  </si>
  <si>
    <t>Yin, SL; Wang, QM; Wang, LG; Ivanovic, M; Li, H</t>
  </si>
  <si>
    <t>Object detection is an important computer vision task, which is developed from image classification task. The difference is that it is no longer only to classify a single type of object in an image, but to complete the classification and positioning of multiple objects that may exist in an image at the same time. Classification refers to assigning category labels to the object, and positioning refers to determining the vertex coordinates of the peripheral rectangular box of the object. Therefore, object detection is more challenging and has broader application prospects, such as automatic driving, face recognition, pedestrian detection, medical detection etc,. Object detection can also be used as the research basis for more complex computer vision task such as image segmentation, image description, object tracking and action recognition. In traditional object detection, the feature utilization rate is low and it is easy to be affected by other environmental factors. Hence, this paper proposes a multimodal deep learning-based feature fusion for object detection in remote sensing images. In the new model, cascade RCNN is the backbone network. Parallel cascade RCNN network is utilized for feature fusion to enhance feature expression ability. In order to solve the problem of different segmentation shapes and sizes, the central part of the network adopts multi-coefficient cascaded hollow convolution to obtain multi-receptive field features without using pooling mode and preserving image information. Meanwhile, an improved self- attention combined receptive field strategy is used to obtain both low-level features with marginal details and high-level features with global semantics. Finally, we conduct experiments on DOTA set including ablation experiments and comparison experiments. The experimental results show that the mean Average Precision (mAP) and other indexes have been greatly improved, and its performance is better than the state-of-the-art detection algorithms. It has a good application prospect in the remote sensing image object detection task.</t>
  </si>
  <si>
    <t>Yin, Shoulin; Wang, Qunming; Wang, Liguo; Ivanovic, Mirjana; Li, Hang</t>
  </si>
  <si>
    <t>Wang, LG (corresponding author), Dalian Minzu Univ, Coll Informat &amp; Commun Engn, Dalian 116600, Peoples R China.</t>
  </si>
  <si>
    <t>wangliguo@hrbeu.edu.cn; yslin@synu.edu.cn; mira@dmi.uns.ac.rs; lihang@synu.edu.cn</t>
  </si>
  <si>
    <t>Liaoning Province science and technology plan joint project</t>
  </si>
  <si>
    <t>Acknowledgments. This work was supported by the Liaoning Province science and technology plan joint project. Project name "Research on key technologies of object recognition and interpre-tation in high resolution remote sensing images under complex scenes".</t>
  </si>
  <si>
    <t>[Yin, Shoulin] Harbin Engn Univ, Coll Informat &amp; Commun Engn, Harbin 150001, Peoples R China; [Wang, Qunming] Tongji Univ, Coll Surveying &amp; Geoinformat, Shanghai, Peoples R China; [Wang, Liguo] Dalian Minzu Univ, Coll Informat &amp; Commun Engn, Dalian 116600, Peoples R China; [Ivanovic, Mirjana] Univ Novi Sad, Fac Sci, Novi Sad, Serbia; [Li, Hang] Shenyang Normal Univ, Software Coll, Shenyang 110034, Peoples R China</t>
  </si>
  <si>
    <t>Harbin Engineering University; Tongji University; Dalian Minzu University; University of Novi Sad; Shenyang Normal University</t>
  </si>
  <si>
    <t>Multimodal Deep Learning-based Feature Fusion for Object Detection in Remote Sensing Images</t>
  </si>
  <si>
    <t>COMPUTER SCIENCE AND INFORMATION SYSTEMS</t>
  </si>
  <si>
    <t>Object detection; remote sensing image; multimodal deep learning; feature fusion</t>
  </si>
  <si>
    <t>TRACKING; VIDEO</t>
  </si>
  <si>
    <t>Ivanovic, Mirjana/AAE-7711-2020; Yin, Shoulin/AAQ-6430-2021</t>
  </si>
  <si>
    <t>Ivanovic, Mirjana/0000-0003-1946-0384</t>
  </si>
  <si>
    <t>COMSIS CONSORTIUM</t>
  </si>
  <si>
    <t>NOVI SAD</t>
  </si>
  <si>
    <t>UNIV NOVI SAD, FAC TECH SCI, TRG DOSITEJA OBRADOVICA 6, NOVI SAD, 21000, SERBIA</t>
  </si>
  <si>
    <t>1820-0214</t>
  </si>
  <si>
    <t>2406-1018</t>
  </si>
  <si>
    <t>COMPUT SCI INF SYST</t>
  </si>
  <si>
    <t>Comput. Sci. Inf. Syst.</t>
  </si>
  <si>
    <t>344</t>
  </si>
  <si>
    <t>10.2298/CSIS241110011Y</t>
  </si>
  <si>
    <t>http://dx.doi.org/10.2298/CSIS241110011Y</t>
  </si>
  <si>
    <t>Computer Science, Information Systems; Computer Science, Software Engineering</t>
  </si>
  <si>
    <t>Y0T1E</t>
  </si>
  <si>
    <t>WOS:001429349700016</t>
  </si>
  <si>
    <t>Dutta, S; Dwivedi, AD</t>
  </si>
  <si>
    <t>Accurate and secure classification of brain tumors from magnetic resonance imaging remains a critical problem in medical image analysis. Deep convolutional models deliver strong predictive performance but often require large, diverse datasets and offer limited interpretability. At the same time, radiologists face significant diagnostic challenges due to subtle textural variations, heterogeneous tumor morphology, and restricted access to multiparametric imaging. These clinical difficulties are further compounded by strict privacy regulations that limit the sharing of patient images. To address these issues, we propose a hybrid framework that combines mathematically defined Whirling Triangle partitioning for localized handcrafted feature extraction, convolutional neural network-based image embeddings, and a Cheon-Kim-Kim-Song homomorphic encryption-enabled inference pipeline demonstrating secure predictions without revealing plaintext data. The Whirling Triangle decomposition produces multi-scale triangular subregions from which we extract intensity, gradient, and textural descriptors (including Local Binary Patterns and Gray-Level Co-occurrence Matrix), which are fused with deep image features to produce a compact, discriminative representation. Experiments were conducted on a dataset of 7,023 T1-weighted contrast-enhanced axial brain tumor Magnetic Resonance Imaging (MRI) images, which shows 98.0% accuracy in the plaintext setting and 96.7% accuracy under encrypted inference.</t>
  </si>
  <si>
    <t>Dutta, Subhayu; Dwivedi, Ashutosh Dhar</t>
  </si>
  <si>
    <t>Dutta, S (corresponding author), Natl Inst Technol Jamshedpur, Dept Comp Sci &amp; Engn, Jamshedpur, Jharkhand, India.</t>
  </si>
  <si>
    <t>duttasuvo90@gmail.com</t>
  </si>
  <si>
    <t>[Dutta, Subhayu] Natl Inst Technol Jamshedpur, Dept Comp Sci &amp; Engn, Jamshedpur, Jharkhand, India; [Dwivedi, Ashutosh Dhar] Aalborg Univ, Cyber Secur Grp, Copenhagen, Denmark</t>
  </si>
  <si>
    <t>National Institute of Technology (NIT System); National Institute of Technology Jamshedpur; Aalborg University</t>
  </si>
  <si>
    <t>WT-HE Net: a multimodal deep learning framework integrating whirling triangle-based geometric texture features and homomorphic encryption for brain tumor analysis</t>
  </si>
  <si>
    <t>PEERJ COMPUTER SCIENCE</t>
  </si>
  <si>
    <t>Brain tumor classification; Hybrid deep learning; Whirling triangle partitioning; Homomorphic encryption; Privacy-preserving AI; MRI analysis</t>
  </si>
  <si>
    <t>Dwivedi, Ashutosh Dhar/T-8727-2019</t>
  </si>
  <si>
    <t>PEERJ INC</t>
  </si>
  <si>
    <t>341-345 OLD ST, THIRD FLR, LONDON, EC1V 9LL, ENGLAND</t>
  </si>
  <si>
    <t>2376-5992</t>
  </si>
  <si>
    <t>PEERJ COMPUT SCI</t>
  </si>
  <si>
    <t>PeerJ Comput. Sci.</t>
  </si>
  <si>
    <t>MAY 14 2026</t>
  </si>
  <si>
    <t>e3872</t>
  </si>
  <si>
    <t>10.7717/peerj-cs.3872</t>
  </si>
  <si>
    <t>http://dx.doi.org/10.7717/peerj-cs.3872</t>
  </si>
  <si>
    <t>IR7HK</t>
  </si>
  <si>
    <t>WOS:001778746200001</t>
  </si>
  <si>
    <t>Tu, YB; Yang, XR; Liu, F; Ai, RY; Luo, Y; Ran, CY; Yang, GX; Zhang, TJ; Jiang, L</t>
  </si>
  <si>
    <t>Objective Current multimodal models often experience performance degradation when faced with incomplete data and lack effective fusion strategies for diverse data types, such as imaging, clinical, and electrophysiological data. This study aims to develop a novel model to improve the accuracy of early diagnosis of coronary artery disease. Materials and methods Clinical data, laboratory test results, coronary CTA images, and ECG data from consecutive patients who underwent coronary CTA examinations at the center between February 2022 and August 2023 were collected. Features were extracted using convolutional neural networks, and a multimodal prediction model was developed using a weighted fusion strategy. An internal validation was performed with a data split ratio of 7:1.5:1.5, and an independent external validation was conducted using an external dataset. Model performance was evaluated using the area under the receiver operating characteristic curve (AUC-ROC), and model interpretability was assessed using the SHAP algorithm. Diagnostic consistency was evaluated using the Kappa coefficient. Result Compared to traditional diagnostic methods, the model has increased the diagnosis rate of coronary heart disease by 10.43% points in absolute terms and by 44.0% in relative terms. This improvement has greatly enhanced the ability to identify coronary heart disease at an early stage. For diagnosing cardiovascular diseases, the performance of the multimodal model is significantly superior to that of single imaging or clinical indicators. The area under the curve (AUC) was 0.89 in internal validation, and the model also demonstrated excellent performance in the external validation dataset, with an AUC of 0.83. Conclusion This model, by integrating three types of data for the first time and tolerating up to 50% missing data, significantly improves the detection rate of coronary artery disease and enhances diagnostic sensitivity and accuracy, thereby providing robust support for early clinical intervention and precise treatment.</t>
  </si>
  <si>
    <t>Tu, YongBo; Yang, XiaoRong; Liu, Fang; Ai, RuYue; Luo, Yu; Ran, ChunYan; Yang, GuangXu; Zhang, TiJiang; Jiang, Lin</t>
  </si>
  <si>
    <t>Jiang, L (corresponding author), Zunyi Med Univ, The Peoples Hosp Zunyi 1, Dept Radiol, Affiliated Hosp 3, Zunyi 563000, Guizhou, Peoples R China.</t>
  </si>
  <si>
    <t>jlinzmc@163.com; 345192005@qq.com; 675752143@qq.com</t>
  </si>
  <si>
    <t>[Tu, YongBo; Jiang, Lin] Zunyi Med Univ, The Peoples Hosp Zunyi 1, Dept Radiol, Affiliated Hosp 3, Zunyi 563000, Guizhou, Peoples R China; [Yang, XiaoRong] Zunyi Med Univ, Affliated Hosp, Dept Pathol, Zunyi 563000, Guizhou, Peoples R China; [Liu, Fang] Chongqing Med Univ, Yongchuan Hosp, Dept Radiol, Chongqing, Peoples R China; [Ai, RuYue] Chongqing Gen Hosp, Dept Radiol, Chongqing 400030, Peoples R China; [Luo, Yu; Ran, ChunYan; Yang, GuangXu] Zunyi Med Univ, Affiliated Hosp, Dept Radiol, Zunyi, Peoples R China; [Zhang, TiJiang] Bijie Med Coll, Dept Med Technol, Bijie, Guizhou, Peoples R China</t>
  </si>
  <si>
    <t>Zunyi Medical University; Zunyi Medical University; Chongqing Medical University; Zunyi Medical University</t>
  </si>
  <si>
    <t>Multimodal deep learning with missing data robustness for enhanced early diagnosis of coronary artery disease using CCTA, clinical, and ECG data</t>
  </si>
  <si>
    <t>BMC MEDICAL INFORMATICS AND DECISION MAKING</t>
  </si>
  <si>
    <t>Multimodal; Deep learning; Cardiovascular diseases; Intelligent diagnostic</t>
  </si>
  <si>
    <t>1472-6947</t>
  </si>
  <si>
    <t>BMC MED INFORM DECIS</t>
  </si>
  <si>
    <t>BMC Med. Inform. Decis. Mak.</t>
  </si>
  <si>
    <t>APR 13 2026</t>
  </si>
  <si>
    <t>186</t>
  </si>
  <si>
    <t>10.1186/s12911-026-03466-5</t>
  </si>
  <si>
    <t>http://dx.doi.org/10.1186/s12911-026-03466-5</t>
  </si>
  <si>
    <t>IN5CD</t>
  </si>
  <si>
    <t>41975401</t>
  </si>
  <si>
    <t>WOS:001775878100001</t>
  </si>
  <si>
    <t>Feng, JX; Zhao, XY; Liu, ZG; Ding, YM; Wang, F</t>
  </si>
  <si>
    <t>Introduction: Early diagnosis of Alzheimer's disease (AD) remains challenging due to the high similarity among AD, mild cognitive impairment (MCI), and cognitively normal (CN) individuals, as well as confounding factors such as population heterogeneity, label noise, and variations in imaging acquisition. Although multimodal neuroimaging techniques like MRI and PET can provide complementary information, current approaches are limited in multimodal fusion and multi-scale feature aggregation. Methods: We propose a novel multimodal diagnostic framework, Alzheimer's Disease Multi-View Multimodal Diagnostic Network (ADMV-Net), to enhance recognition accuracy across all AD stages. Specifically, a dual-pathway Hybrid Convolution ResNet module is designed to fuse global semantic and local boundary information, enabling robust three-dimensional medical image feature extraction. Furthermore, a Multi-view Fusion Learning mechanism, which comprises a Global Perception Module, a Multi-level Local Cross-modal Aggregation Network, and a Bidirectional Cross-Attention Module, is introduced to efficiently capture and integrate multimodal features from multiple perspectives. Additionally, a Regional Interest Perception Module is incorporated to highlight brain regions strongly associated with AD pathology. Results: Extensive experiments on public datasets demonstrate that ADMV-Net achieves 94.83% accuracy and 95.97% AUC in AD versus CN classification, significantly outperforming mainstream methods. The framework also shows strong discriminative capability and excellent generalization performance in multi-class classification tasks. Discussion: These findings suggest that ADMV-Net effectively leverages multimodal and multi-view information to improve the diagnostic accuracy of AD. By integrating global, local, and regional features, the framework provides a promising tool for assisting early diagnosis and clinical decision-making in Alzheimer's disease.</t>
  </si>
  <si>
    <t>Feng, Jianxin; Zhao, Xinyu; Liu, Zhiguo; Ding, Yuanming; Wang, Feng</t>
  </si>
  <si>
    <t>Feng, JX (corresponding author), Dalian Univ, Commun &amp; Network Key Lab, Dalian, Peoples R China.; Feng, JX (corresponding author), Dalian Univ, Sch Informat Engn, Dalian, Peoples R China.; Wang, F (corresponding author), Dalian Univ, Affiliated Xinhua Hosp, Dalian, Peoples R China.</t>
  </si>
  <si>
    <t>807218135@qq.com; fengjianxin863@163.com</t>
  </si>
  <si>
    <t>Interdisciplinary project of Dalian University [DLUXK-2023-ZD-001]</t>
  </si>
  <si>
    <t>Interdisciplinary project of Dalian University</t>
  </si>
  <si>
    <t>The author(s) declare that financial support was received for the research and/or publication of this article. This work was supported by the Interdisciplinary project of Dalian University DLUXK-2023-ZD-001.</t>
  </si>
  <si>
    <t>[Feng, Jianxin; Zhao, Xinyu; Liu, Zhiguo; Ding, Yuanming] Dalian Univ, Commun &amp; Network Key Lab, Dalian, Peoples R China; [Feng, Jianxin; Zhao, Xinyu; Liu, Zhiguo; Ding, Yuanming] Dalian Univ, Sch Informat Engn, Dalian, Peoples R China; [Wang, Feng] Dalian Univ, Affiliated Xinhua Hosp, Dalian, Peoples R China</t>
  </si>
  <si>
    <t>Dalian University; Dalian University; Dalian University</t>
  </si>
  <si>
    <t>A multi-view multimodal deep learning framework for Alzheimer's disease diagnosis</t>
  </si>
  <si>
    <t>Alzheimer's disease; multimodal fusion; Multi-view learning; cross-modal attention; neuroimaging</t>
  </si>
  <si>
    <t>OCT 1 2025</t>
  </si>
  <si>
    <t>1658776</t>
  </si>
  <si>
    <t>10.3389/fnins.2025.1658776</t>
  </si>
  <si>
    <t>http://dx.doi.org/10.3389/fnins.2025.1658776</t>
  </si>
  <si>
    <t>8PM8E</t>
  </si>
  <si>
    <t>41103726</t>
  </si>
  <si>
    <t>WOS:001594235300001</t>
  </si>
  <si>
    <t>Guarrasi, V; Aksu, F; Caruso, CM; Di Feola, F; Rofena, A; Ruffini, F; Soda, P</t>
  </si>
  <si>
    <t>Deep learning has revolutionized biomedical research by providing sophisticated methods to handle complex, high-dimensional data. Multimodal deep learning (MDL) further enhances this capability by integrating diverse data types such as imaging, textual data, and genetic information, leading to more robust and accurate predictive models. In MDL, differently from early and late fusion methods, intermediate fusion stands out for its ability to effectively combine modality-specific features during the learning process. This systematic review comprehensively analyzes and formalizes current intermediate fusion methods in biomedical applications, highlighting their effectiveness in improving predictive performance and capturing complex inter-modal relationships. We investigate the techniques employed, the challenges faced, and potential future directions for advancing intermediate fusion methods. Additionally, we introduce a novel structured notation that standardizes intermediate fusion architectures, enhancing understanding and facilitating implementation across various domains. Our findings provide actionable insights and practical guidelines intended to support researchers, healthcare professionals, and the broader deep learning community in developing more sophisticated and insightful multimodal models. Through this review, we aim to provide a foundational framework for future research and practical applications in the dynamic field of MDL.</t>
  </si>
  <si>
    <t>Guarrasi, Valerio; Aksu, Fatih; Caruso, Camillo Maria; Di Feola, Francesco; Rofena, Aurora; Ruffini, Filippo; Soda, Paolo</t>
  </si>
  <si>
    <t>Guarrasi, V; Soda, P (corresponding author), Univ Campus Biomed Roma, Dept Engn, Res Unit Comp Syst &amp; Bioinformat, Rome, Italy.; Soda, P (corresponding author), Umea Univ, Dept Diagnost &amp; Intervent, Radiat Phys, Biomed Engn, Umea, Sweden.</t>
  </si>
  <si>
    <t>aurora.rofena@unicampus.it; francesco.feola@umu.se; camillomaria.caruso@unicampus.it; fatih.aksu@st.hunimed.eu; filippo.ruffini@unicampus.it; valerio.guarrasi@unicampus.it; p.soda@unicampus.it</t>
  </si>
  <si>
    <t>University Campus BioMedico di Roma; PRIN 2022 MUR 20228MZFAA-AIDA; PNRR [PE0000013FAIR]; Project ECS 0000024 Rome Technopole [CUP C83C22000510001]; European Union-NextGenerationEU</t>
  </si>
  <si>
    <t>University Campus BioMedico di Roma; PRIN 2022 MUR 20228MZFAA-AIDA (Ministry of Education, Universities and Research (MIUR), Research Projects of National Relevance (PRIN)); PNRR; Project ECS 0000024 Rome Technopole; European Union-NextGenerationEU</t>
  </si>
  <si>
    <t>Fatih Aksu, Camillo Maria Caruso, Aurora Rofena and Filippo Ruffini are Ph.D. students enrolled in the National Ph.D. in Artificial Intelligence, course on Health and Life Sciences, organized by University Campus Bio-Medico di Roma. This work was partially founded by: (i) University Campus BioMedico di Roma under the program "University Strategic Projects" within the project "AI-powered Digital Twin for next-generation lung cancEr cAre (IDEA) "; (ii) from PRIN 2022 MUR 20228MZFAA-AIDA (CUP C53D23003620008) ; (iii) from PNRR MUR project PE0000013FAIR; (iv) from Project ECS 0000024 Rome Technopole,-CUP C83C22000510001, NRP Mission 4 Component 2 Investment 1.5, Funded by the European Union-NextGenerationEU. (v) from Kempestiftelserna grant n. JCSMK24-0094</t>
  </si>
  <si>
    <t>[Guarrasi, Valerio; Aksu, Fatih; Caruso, Camillo Maria; Rofena, Aurora; Ruffini, Filippo; Soda, Paolo] Univ Campus Biomed Roma, Dept Engn, Res Unit Comp Syst &amp; Bioinformat, Rome, Italy; [Aksu, Fatih] Humanitas Univ, Dept Biomed Sci, Milan, Italy; [Di Feola, Francesco; Soda, Paolo] Umea Univ, Dept Diagnost &amp; Intervent, Radiat Phys, Biomed Engn, Umea, Sweden</t>
  </si>
  <si>
    <t>University Campus Bio-Medico - Rome Italy; Humanitas University; Umea University</t>
  </si>
  <si>
    <t>A systematic review of intermediate fusion in multimodal deep learning for biomedical applications</t>
  </si>
  <si>
    <t>IMAGE AND VISION COMPUTING</t>
  </si>
  <si>
    <t>Joint fusion; Fusion techniques; Data integration; Biomedical data; Healthcare; Data fusion</t>
  </si>
  <si>
    <t>ARTIFICIAL-INTELLIGENCE; CHALLENGES</t>
  </si>
  <si>
    <t>Guarrasi, Valerio/GWU-9478-2022</t>
  </si>
  <si>
    <t>Caruso, Camillo Maria/0000-0002-7320-4173; Ruffini, Filippo/0009-0003-9759-5492; Guarrasi, Valerio/0000-0002-1860-7447</t>
  </si>
  <si>
    <t>0262-8856</t>
  </si>
  <si>
    <t>1872-8138</t>
  </si>
  <si>
    <t>IMAGE VISION COMPUT</t>
  </si>
  <si>
    <t>Image Vis. Comput.</t>
  </si>
  <si>
    <t>105509</t>
  </si>
  <si>
    <t>10.1016/j.imavis.2025.105509</t>
  </si>
  <si>
    <t>http://dx.doi.org/10.1016/j.imavis.2025.105509</t>
  </si>
  <si>
    <t>Computer Science, Artificial Intelligence; Computer Science, Software Engineering; Computer Science, Theory &amp; Methods; Engineering, Electrical &amp; Electronic; Optics</t>
  </si>
  <si>
    <t>Computer Science; Engineering; Optics</t>
  </si>
  <si>
    <t>1BY5G</t>
  </si>
  <si>
    <t>WOS:001461385100001</t>
  </si>
  <si>
    <t>Khosravi, B; Rouzrokh, P; Kremers, HM; Larson, DR; Johnson, QJ; Faghani, S; Kremers, WK; Erickson, BJ; Sierra, RJ; Taunton, MJ; Wyles, CC</t>
  </si>
  <si>
    <t>Purpose: To develop a multimodal machine learning-based pipeline to predict patient-specific risk of dislocation following primary total hip arthroplasty (THA). Materials and Methods: This study retrospectively evaluated 17 073 patients who underwent primary THA between 1998 and 2018. A test set of 1718 patients was held out. A hybrid network of EfficientNet-B4 and Swin-B transformer was developed to classify patients according to 5-year dislocation outcomes from preoperative anteroposterior pelvic radiographs and clinical characteristics (demo-graphics, comorbidities, and surgical characteristics). The most informative imaging features, extracted by the mentioned model, were selected and concatenated with clinical features. A collection of these features was then used to train a multimodal survival XGBoost model to predict the individualized hazard of dislocation within 5 years. C index was used to evaluate the multimodal survival model on the test set and compare it with another clinical-only model trained only on clinical data. Shapley additive explanation values were used for model explanation. Results: The study sample had a median age of 65 years (IQR: 18 years; 52.1% [8889] women) with a 5-year dislocation incidence of 2%. On the holdout test set, the clinical-only model achieved a C index of 0.64 (95% CI: 0.60, 0.68). The addition of imaging fea-tures boosted multimodal model performance to a C index of 0.74 (95% CI: 0.69, 0.78; P = .02). Conclusion: Due to its discrimination ability and explainability, this risk calculator can be a potential powerful dislocation risk stratifica-tion and THA planning tool.</t>
  </si>
  <si>
    <t>Khosravi, Bardia; Rouzrokh, Pouria; Kremers, Hilal Maradit; Larson, Dirk R.; Johnson, Quinn J.; Faghani, Shahriar; Kremers, Walter K.; Erickson, Bradley J.; Sierra, Rafael J.; Taunton, Michael J.; Wyles, Cody C.</t>
  </si>
  <si>
    <t>Wyles, CC (corresponding author), Mayo Clin, Dept Orthoped Surg, Orthoped Surg Artificial Intelligence Lab, 200 First St SW, Rochester, MN 55905 USA.; Wyles, CC (corresponding author), Mayo Clin, Dept Orthoped Surg, 200 First St SW, Rochester, MN 55905 USA.; Wyles, CC (corresponding author), Mayo Clin, Dept Clin Anat, 200 First St SW, Rochester, MN 55905 USA.</t>
  </si>
  <si>
    <t>Wyles.Cody@mayo.edu</t>
  </si>
  <si>
    <t>Mayo Foundation Presidential Fund; National Institutes of Health (NIH) [R01AR73147, P30AR76312]; National Institute of Arthritis and Musculoskeletal and Skin Diseases [P30AR076312, R01AR073147] Funding Source: NIH RePORTER</t>
  </si>
  <si>
    <t>Mayo Foundation Presidential Fund (Mayo Clinic); National Institutes of Health (NIH) (United States Department of Health &amp; Human Services, National Institutes of Health (NIH) - USA); National Institute of Arthritis and Musculoskeletal and Skin Diseases (United States Department of Health &amp; Human Services, National Institutes of Health (NIH) - USA, NIH National Institute of Arthritis &amp; Musculoskeletal &amp; Skin Diseases (NIAMS))</t>
  </si>
  <si>
    <t>Supported in part by the Mayo Foundation Presidential Fund and the National Institutes of Health (NIH) (grant nos. R01AR73147 and P30AR76312).</t>
  </si>
  <si>
    <t>[Khosravi, Bardia; Rouzrokh, Pouria; Kremers, Hilal Maradit; Larson, Dirk R.; Johnson, Quinn J.; Taunton, Michael J.; Wyles, Cody C.] Mayo Clin, Dept Orthoped Surg, Orthoped Surg Artificial Intelligence Lab, 200 First St SW, Rochester, MN 55905 USA; [Khosravi, Bardia; Rouzrokh, Pouria; Faghani, Shahriar; Erickson, Bradley J.] Mayo Clin, Dept Radiol, Radiol Informat Lab, 200 First St SW, Rochester, MN 55905 USA; [Kremers, Hilal Maradit; Larson, Dirk R.; Kremers, Walter K.] Mayo Clin, Dept Quantitat Hlth Sci, 200 First St SW, Rochester, MN 55905 USA; [Johnson, Quinn J.] Mayo Clin, Alix Sch Med, 200 First St SW, Rochester, MN 55905 USA; [Sierra, Rafael J.; Taunton, Michael J.; Wyles, Cody C.] Mayo Clin, Dept Orthoped Surg, 200 First St SW, Rochester, MN 55905 USA; [Wyles, Cody C.] Mayo Clin, Dept Clin Anat, 200 First St SW, Rochester, MN 55905 USA</t>
  </si>
  <si>
    <t>Mayo Clinic; Mayo Clinic; Mayo Clinic; Mayo Clinic; Mayo Clinic; Mayo Clinic</t>
  </si>
  <si>
    <t>Patient-specific Hip Arthroplasty Dislocation Risk Calculator: An Explainable Multimodal Machine Learning- based Approach</t>
  </si>
  <si>
    <t>RADIOLOGY-ARTIFICIAL INTELLIGENCE</t>
  </si>
  <si>
    <t>Maradit Kremers,, Hilal/AAZ-9376-2021; Taunton, Michael/I-4346-2013; Rouzrokh, Pouria/KBB-2252-2024; Faghani, Shahriar/ABE-1888-2021; Khosravi, Bardia/AAQ-4321-2021</t>
  </si>
  <si>
    <t>Maradit Kremers,, Hilal/0000-0003-3882-602X; Erickson, Bradley/0000-0001-7926-6095; Kremers, Walter/0000-0001-5714-3473; Taunton, Michael/0000-0002-7636-0489; Rouzrokh, Pouria/0000-0003-4664-0751; Johnson, Quinn/0000-0002-6380-7261; Faghani, Shahriar/0000-0003-3275-2971; Khosravi, Bardia/0000-0002-8024-339X</t>
  </si>
  <si>
    <t>2638-6100</t>
  </si>
  <si>
    <t>RADIOL-ARTIF INTELL</t>
  </si>
  <si>
    <t>Radiology-Artificial Intelligence</t>
  </si>
  <si>
    <t>e220067</t>
  </si>
  <si>
    <t>10.1148/ryai.220067</t>
  </si>
  <si>
    <t>http://dx.doi.org/10.1148/ryai.220067</t>
  </si>
  <si>
    <t>Computer Science, Artificial Intelligence; Radiology, Nuclear Medicine &amp; Medical Imaging</t>
  </si>
  <si>
    <t>Computer Science; Radiology, Nuclear Medicine &amp; Medical Imaging</t>
  </si>
  <si>
    <t>P2JP8</t>
  </si>
  <si>
    <t>36523643</t>
  </si>
  <si>
    <t>WOS:001048957200008</t>
  </si>
  <si>
    <t>Razaque, A; Rai, P; Sami, M; Baloch, J; Dewani, A; Memon, M</t>
  </si>
  <si>
    <t>Early and accurate detection of Autism Spectrum Disorder (ASD) is the key factor in facilitating early interventions and enhancing development in children with ASD. This paper proposes an innovative, multimodal diagnostic framework that utilizes machine learning methods by combining both behavioral testing through questionnaires and facial image analysis. Each modality was trained independently, and the results were fused in a user-friendly mobile application, increasing accessibility as well as clinical utility. The proposed system demonstrates high performance in identifying ASDrelated characteristics, achieving high predictive accuracy through a non-invasive, cost-effective, and scalable method. Our results demonstrate the transformative potential of machine learning to improve early ASD screening (especially in resource-limited contexts) and contribute to the development of intelligent digital health solutions. The integrated model was found to have an overall diagnostic accuracy of 85%, with the questionnaire-based classifier having almost perfect accuracy and the image-based model showing a promising generalizability. These findings show that the proposed system has the potential to become a practical solution for early ASD detection and effectively enable timely, life-changing interventions.</t>
  </si>
  <si>
    <t>Razaque, Abdul; Rai, Pawang; Sami, Memoona; Baloch, Junaid; Dewani, Amirita; Memon, Mariam</t>
  </si>
  <si>
    <t>Sami, M (corresponding author), Mehran Univ Engn &amp; Technol, Dept Software Engn, Jamshoro, Pakistan.</t>
  </si>
  <si>
    <t>sw.memoona@gmail.com</t>
  </si>
  <si>
    <t>[Razaque, Abdul; Sami, Memoona; Baloch, Junaid; Dewani, Amirita; Memon, Mariam] Mehran Univ Engn &amp; Technol, Dept Software Engn, Jamshoro, Pakistan; [Rai, Pawang] Xoomtec, Karachi, Pakistan</t>
  </si>
  <si>
    <t>Mehran University Engineering &amp; Technology</t>
  </si>
  <si>
    <t>Transforming Early Autism Screening with Multimodal Machine Learning in Digital Health</t>
  </si>
  <si>
    <t>MEHRAN UNIVERSITY RESEARCH JOURNAL OF ENGINEERING AND TECHNOLOGY</t>
  </si>
  <si>
    <t>Autism Spectrum Disorder; Deep Learning; Image Classification; Questionnaire Model; Mobile Application; Early Detection</t>
  </si>
  <si>
    <t>Razaque, Abdul/AAC-4837-2020</t>
  </si>
  <si>
    <t>Memon, Mariam/0000-0003-2275-0534; Dewani, Amirita/0000-0002-3816-3644; Sami, Memoona/0009-0004-9454-5884</t>
  </si>
  <si>
    <t>MEHRAN UNIV ENGINEERING &amp; TECHNOLOGY</t>
  </si>
  <si>
    <t>JAMSHORO</t>
  </si>
  <si>
    <t>C/O Prof. Awais Khatri, Editor MURJET, JAMSHORO, Sindh, PAKISTAN</t>
  </si>
  <si>
    <t>0254-7821</t>
  </si>
  <si>
    <t>2413-7219</t>
  </si>
  <si>
    <t>MEHRAN UNIV RES J EN</t>
  </si>
  <si>
    <t>Mehran Univ. Res. J. Eng. Technol.</t>
  </si>
  <si>
    <t>182</t>
  </si>
  <si>
    <t>10.22581/muet1982.0571</t>
  </si>
  <si>
    <t>http://dx.doi.org/10.22581/muet1982.0571</t>
  </si>
  <si>
    <t>CG7XB</t>
  </si>
  <si>
    <t>WOS:001665418500001</t>
  </si>
  <si>
    <t>Su, C; Miao, K; Zhang, LW; Yu, XM; Guo, ZY; Li, DS; Xu, MD; Zhang, QM; Dong, XQ</t>
  </si>
  <si>
    <t>This study aimed to develop and validate a multimodal deep learning model that leverages 2D grayscale ultrasound (US) images alongside readily available clinical data to improve diagnostic performance for ovarian cancer (OC). A retrospective analysis was conducted involving 1899 patients who underwent preoperative US examinations and subsequent surgeries for adnexal masses between 2019 and 2024. A multimodal deep learning model was constructed for OC diagnosis and extracting US morphological features from the images. The model's performance was evaluated using metrics such as receiver operating characteristic (ROC) curves, accuracy, and F1 score. The multimodal deep learning model exhibited superior performance compared to the image-only model, achieving areas under the curves (AUCs) of 0.9393 (95% CI 0.9139-0.9648) and 0.9317 (95% CI 0.9062-0.9573) in the internal and external test sets, respectively. The model significantly improved the AUCs for OC diagnosis by radiologists and enhanced inter-reader agreement. Regarding US morphological feature extraction, the model demonstrated robust performance, attaining accuracies of 86.34% and 85.62% in the internal and external test sets, respectively. Multimodal deep learning has the potential to enhance the diagnostic accuracy and consistency of radiologists in identifying OC. The model's effective feature extraction from ultrasound images underscores the capability of multimodal deep learning to automate the generation of structured ultrasound reports.</t>
  </si>
  <si>
    <t>Su, Chang; Miao, Kuo; Zhang, Liwei; Yu, Xuemei; Guo, Zhiyao; Li, Daoshuang; Xu, Mingda; Zhang, Qiming; Dong, Xiaoqiu</t>
  </si>
  <si>
    <t>Dong, XQ (corresponding author), Harbin Med Univ, Dept Ultrasound, Affiliated Hosp 4, 37 Yi Yuan St, Harbin 150086, Heilongjiang, Peoples R China.</t>
  </si>
  <si>
    <t>dongxq0451@163.com</t>
  </si>
  <si>
    <t>Natural Science Foundation of Heilongjiang Province, China; Fourth Affiliated Hospital of Harbin Medical University</t>
  </si>
  <si>
    <t>Natural Science Foundation of Heilongjiang Province, China (Natural Science Foundation of Heilongjiang Province); Fourth Affiliated Hospital of Harbin Medical University</t>
  </si>
  <si>
    <t>The authors thank all participants who made valuable contributions to this study, including all the patients and experts of the Department of Ultrasound, Fourth Affiliated Hospital of Harbin Medical University. The authors thank citexs (www.citexs.com) for English language editing.</t>
  </si>
  <si>
    <t>[Su, Chang; Miao, Kuo; Zhang, Liwei; Yu, Xuemei; Guo, Zhiyao; Li, Daoshuang; Xu, Mingda; Zhang, Qiming; Dong, Xiaoqiu] Harbin Med Univ, Dept Ultrasound, Affiliated Hosp 4, 37 Yi Yuan St, Harbin 150086, Heilongjiang, Peoples R China</t>
  </si>
  <si>
    <t>Harbin Medical University</t>
  </si>
  <si>
    <t>Multimodal Deep Learning Based on Ultrasound Images and Clinical Data for Better Ovarian Cancer Diagnosis</t>
  </si>
  <si>
    <t>Multimodal deep learning; Ultrasound; Ovarian cancer; Structured report</t>
  </si>
  <si>
    <t>O-RADS; MULTICENTER</t>
  </si>
  <si>
    <t>Li, Daoshuang/KQV-4412-2024; yu, xuemei/MGV-5140-2025</t>
  </si>
  <si>
    <t>1168</t>
  </si>
  <si>
    <t>1180</t>
  </si>
  <si>
    <t>10.1007/s10278-025-01566-8</t>
  </si>
  <si>
    <t>http://dx.doi.org/10.1007/s10278-025-01566-8</t>
  </si>
  <si>
    <t>GW3FY</t>
  </si>
  <si>
    <t>40555943</t>
  </si>
  <si>
    <t>WOS:001514292500001</t>
  </si>
  <si>
    <t>Wang, YQ; Xia, PH; Xu, Y; Xu, JX; Xu, WZ; Lv, W; Yan, JR; Ou, QX; Bao, H; Wang, LM; Hu, J</t>
  </si>
  <si>
    <t>Background Deep learning (DL) is revolutionizing high-dimensional analysis for clinical applications, with multimodal approaches showing promise in integrating diverse datasets and improving predictive accuracy. However, its use in prognostic assessment, particularly for non-small-cell lung cancer (NSCLC), remains limited. Methods Whole-slide imaging (WSI), next-generation sequencing (NGS), and clinical features from 2,366 NSCLC patients sourced from various databases were analyzed. A Sequential-Adapted Attention (SeAttn) model was developed to process WSI, while multiple DL models analyzed genetic and clinical data. Multimodal features were combined using a COX-based DL approach to predict long-term prognosis. Validation (N = 100) and test (N = 101) cohorts were used to confirm model performance. Results The SeAttn model achieved an area under the curve (AUC) of 0.98 for NSCLC histologic subtype prediction in the test cohort (P &lt; 0.0001). Individually, WSI, clinical, and genetic features predicted prognosis with concordance indices (C-indices) of 0.55-0.67 using the test cohort. Combined multimodal features improved the test cohort C-index to 0.71 (P = 0.002). The model accurately predicted prognosis up to 5 years post-diagnosis (P &lt; 0.05 for all time-dependent AUCs) and stratified patients by overall survival (P = 0.012). SeAttn demonstrated attention shifts when comparing subtyping and prognosis models and revealed immuno-hot and immuno-cold stroma enrichment underlying survival differences. Novel prognostic markers, including TPTE mutation, microRNA cluster amplification, and RIPK4-IL10RB co-deletion, were identified and validated. Conclusions This multimodal DL framework demonstrates robust prognostic capabilities for NSCLC, integrating clinical, genetic, and imaging data to yield accurate survival estimates and identify biomarkers. These findings highlight the scalability of multimodal DL for broader cancer applications.</t>
  </si>
  <si>
    <t>Wang, Yiqing; Xia, Pinghui; Xu, Yang; Xu, Jianxin; Xu, Wenzhen; Lv, Wang; Yan, Junrong; Ou, Qiuxiang; Bao, Hua; Wang, Luming; Hu, Jian</t>
  </si>
  <si>
    <t>Wang, LM; Hu, J (corresponding author), Zhejiang Univ, Affiliated Hosp 1, Sch Med, Dept Thorac Surg, Hangzhou 310003, Zhejiang, Peoples R China.; Hu, J (corresponding author), Key Lab Clin Evaluat Technol Med Device Zhejiang P, Hangzhou 310003, Zhejiang, Peoples R China.</t>
  </si>
  <si>
    <t>1507144@zju.edu.cn; dr_hujian@zju.edu.cn</t>
  </si>
  <si>
    <t>Research Center for Lung Tumor Diagnosis and Treatment of Zhejiang Province [JBZX-202007]; Major Science and Technology Projects of Zhejiang Province [2025C01136, 2022C04030]; National Key Research and Development Program of China [2022YFC2407303]</t>
  </si>
  <si>
    <t>Research Center for Lung Tumor Diagnosis and Treatment of Zhejiang Province; Major Science and Technology Projects of Zhejiang Province; National Key Research and Development Program of China (National Key Research &amp; Development Program of China)</t>
  </si>
  <si>
    <t>The National Key Research and Development Program of China (2022YFC2407303) to Jian Hu; Major Science and Technology Projects of Zhejiang Province (2025C01136, 2022C04030) to Jian Hu; Research Center for Lung Tumor Diagnosis and Treatment of Zhejiang Province (JBZX-202007) to Jian Hu.</t>
  </si>
  <si>
    <t>[Wang, Yiqing; Xia, Pinghui; Lv, Wang; Wang, Luming; Hu, Jian] Zhejiang Univ, Affiliated Hosp 1, Sch Med, Dept Thorac Surg, Hangzhou 310003, Zhejiang, Peoples R China; [Xu, Yang; Yan, Junrong; Ou, Qiuxiang; Bao, Hua] Nanjing Geneseeq Technol Inc, Geneseeq Res Inst, Nanjing 210031, Jiangsu, Peoples R China; [Xu, Jianxin] Fujian Med Univ, Hosp Putian 1, Sch Clin Med, Dept Thorac Surg, Putian 351100, Fujian, Peoples R China; [Xu, Wenzhen] Peoples Hosp Sanmen Cty, Dept Thorac Surg, Taizhou 317100, Zhejiang, Peoples R China; [Hu, Jian] Key Lab Clin Evaluat Technol Med Device Zhejiang P, Hangzhou 310003, Zhejiang, Peoples R China</t>
  </si>
  <si>
    <t>Zhejiang University; Geneseeq Technology Inc.; Fujian Medical University</t>
  </si>
  <si>
    <t>Multimodal deep learning for survival prediction and biomarker discovery in non-small cell lung cancer</t>
  </si>
  <si>
    <t>BIODATA MINING</t>
  </si>
  <si>
    <t>Multimodal deep learning; Attention model; Whole-slide imaging; NGS; NSCLC</t>
  </si>
  <si>
    <t>MODEL</t>
  </si>
  <si>
    <t>Xu, Jianxin/LQJ-1865-2024</t>
  </si>
  <si>
    <t>1756-0381</t>
  </si>
  <si>
    <t>BIODATA MIN</t>
  </si>
  <si>
    <t>BioData Min.</t>
  </si>
  <si>
    <t>FEB 17 2026</t>
  </si>
  <si>
    <t>10.1186/s13040-026-00522-8</t>
  </si>
  <si>
    <t>http://dx.doi.org/10.1186/s13040-026-00522-8</t>
  </si>
  <si>
    <t>Mathematical &amp; Computational Biology</t>
  </si>
  <si>
    <t>FN9KH</t>
  </si>
  <si>
    <t>41703583</t>
  </si>
  <si>
    <t>WOS:001723249700001</t>
  </si>
  <si>
    <t>Lin, HS; Li, SR; Chen, YH; Chen, ZH; Wei, JH; Liu, JM; Guo, Y; Chen, W; Wang, HJ; Luo, JH; Tian, L; Yao, HH</t>
  </si>
  <si>
    <t>Background: Due to the prognosis and treatment differences between primary renal sarcomas and renal cell carcinoma (RCC), preoperative differentiation between them is important but challenging. This study aims to explore and develop a diagnostic method based on computed tomography (CT) and clinical data for preoperatively differentiating primary renal sarcomas from RCCs. Methods: Patients pathologically diagnosed with primary renal sarcoma from two centers were retrospectively included, and RCCs were probably 2:1 compared to renal sarcomas as the control group. Clinical data, standard contrast-enhanced CT images and histological findings were obtained. A clinical model was established with independent indicators based on logistic regression analysis. The region of interest was outlined in each of the three modal CT images [unenhanced phase (UP), corticomedullary phase (CMP) and nephrographic phase (NP)] and formed 7 modal imaging datasets for deep learning (DL) models' development. Reported performance metrics included accuracy (ACC) and area under the curve (AUC). Results: Totally, 7,482 images were obtained from 85 patients. Multivariate logistic regression showed that the independent indicators of renal sarcoma were intratumoral arteries and Gerota's fascia invasion (P&lt;0.05). The AUC of clinical model was 0.77 [95% confidence interval (CI): 0.67-0.87], sensitivity 0.74, specificity 0.67, positive predictive value (PPV) 0.51, and negative predictive value (NPV) 0.85. The DL models yielded effective discrimination. The UP model yielded AUC of 0.95 +/- 0.09 and ACC of 0.94 +/- 0.07, and UP + NP model yielded nearly AUC =0.95 +/- 0.06, and ACC =0.94 +/- 0.07. Conclusions: The multimodal artificial intelligence (AI) models show good performance for differentiating renal sarcomas from RCCs, which assist in individualized management.</t>
  </si>
  <si>
    <t>Lin, Haishan; Li, Shurong; Chen, Yuhang; Chen, Zhenhua; Wei, Jinhuan; Liu, Jiumin; Guo, Yan; Chen, Wei; Wang, Huanjun; Luo, Junhang; Tian, Li; Yao, Haohua</t>
  </si>
  <si>
    <t>Luo, JH; Yao, HH (corresponding author), Sun Yat Sen Univ, Affiliated Hosp 1, Dept Urol, Zhongshan Rd 2 58, Guangzhou 510080, Peoples R China.; Yao, HH (corresponding author), Southern Med Univ, Guangdong Acad Med Sci, Guangdong Prov Peoples Hosp, Dept Urol, Guangzhou, Peoples R China.; Tian, L (corresponding author), Sun Yat Den Univ, Collaborat Innovat Ctr Canc Med, State Key Lab Oncol South China, Dept Med Imaging,Canc Ctr, 651 Dongfeng Rd East, Guangzhou 510060, Peoples R China.</t>
  </si>
  <si>
    <t>tianli@sysucc.org.cn; luojunh@mail.sysu.edu.cn; yaohaohua@gdph.org.cn</t>
  </si>
  <si>
    <t>National Natural Science Foundation of China [82373433, 81725016, 81872094, 82272862, 81902576]; Guangdong Provincial Department of Finance Project [KS0120220267]; Guangzhou Science and Technology Projects [202201010910]</t>
  </si>
  <si>
    <t>National Natural Science Foundation of China (National Natural Science Foundation of China (NSFC)); Guangdong Provincial Department of Finance Project; Guangzhou Science and Technology Projects</t>
  </si>
  <si>
    <t>This study was supported in part by the National Natural Science Foundation of China (Nos. 82373433, 81725016, 81872094, 82272862, and 81902576) , Guangdong Provincial Department of Finance Project in 2022 (No. KS0120220267) , and the Guangzhou Science and Technology Projects (No. 202201010910) .</t>
  </si>
  <si>
    <t>[Lin, Haishan; Chen, Zhenhua; Wei, Jinhuan; Chen, Wei; Luo, Junhang; Yao, Haohua] Sun Yat Sen Univ, Affiliated Hosp 1, Dept Urol, Zhongshan Rd 2 58, Guangzhou 510080, Peoples R China; [Lin, Haishan] Sun Yat Sen Univ, Sun Yat Sen Mem Hosp, Dept Urol, Guangzhou, Peoples R China; [Li, Shurong; Guo, Yan; Wang, Huanjun] Sun Yat Sen Univ, Affiliated Hosp 1, Dept Radiol, Guangzhou, Peoples R China; [Chen, Yuhang; Yao, Haohua] Tianjin Med Univ Canc Inst &amp; Hosp, Dept Geniturinary Oncol, Tianjin, Peoples R China; [Chen, Yuhang; Yao, Haohua] Tianjins Clin Res Ctr Canc, Natl Clin Res Ctr Canc, Key Lab Canc Prevent &amp; Therapy, Tianjin, Peoples R China; [Liu, Jiumin; Yao, Haohua] Southern Med Univ, Guangdong Acad Med Sci, Guangdong Prov Peoples Hosp, Dept Urol, Guangzhou, Peoples R China; [Tian, Li] Sun Yat Den Univ, Collaborat Innovat Ctr Canc Med, State Key Lab Oncol South China, Dept Med Imaging,Canc Ctr, 651 Dongfeng Rd East, Guangzhou 510060, Peoples R China</t>
  </si>
  <si>
    <t>Sun Yat Sen University; Sun Yat Sen University; Sun Yat Sen University; Tianjin Medical University; Southern Medical University - China; Guangdong Academy of Medical Sciences &amp; Guangdong General Hospital; State Key Lab Oncology South China</t>
  </si>
  <si>
    <t>Multimodal artificial intelligence model based on CT for differentiating primary renal sarcomas from renal cell carcinomas: a dual-center retrospective study</t>
  </si>
  <si>
    <t>TRANSLATIONAL ANDROLOGY AND UROLOGY</t>
  </si>
  <si>
    <t>Renal sarcoma; renal cell carcinoma (RCC); computed tomography (CT); deep learning (DL)</t>
  </si>
  <si>
    <t>PROGNOSTIC-FACTORS; KIDNEY; TUMORS; CLASSIFICATION; RADIOMICS; NEOPLASMS; CANCER; IMAGES; SYSTEM; ADULTS</t>
  </si>
  <si>
    <t>CHEN, Zhenhua/B-5028-2019</t>
  </si>
  <si>
    <t>2223-4683</t>
  </si>
  <si>
    <t>2223-4691</t>
  </si>
  <si>
    <t>TRANSL ANDROL UROL</t>
  </si>
  <si>
    <t>Transl. Androl. Urol.</t>
  </si>
  <si>
    <t>10.21037/tau-2025-539</t>
  </si>
  <si>
    <t>http://dx.doi.org/10.21037/tau-2025-539</t>
  </si>
  <si>
    <t>Andrology; Urology &amp; Nephrology</t>
  </si>
  <si>
    <t>Endocrinology &amp; Metabolism; Urology &amp; Nephrology</t>
  </si>
  <si>
    <t>AY2DB</t>
  </si>
  <si>
    <t>39816227</t>
  </si>
  <si>
    <t>WOS:001649542200001</t>
  </si>
  <si>
    <t>Li, YJ; Su, F; Banyi, N; Edgcumbe, P; Thamboo, A; Amanian, A</t>
  </si>
  <si>
    <t>Objective Artificial intelligence (AI) has advanced to simultaneously process visual, auditory, and textual inputs, providing users with "multimodal" AI. Given the clinical integration potential of these tools, otolaryngologists must stay informed. This study reviews current literature on applications of multimodal AI in otolaryngology.Data Sources The MEDLINE, EMBASE, SCOPUS, Cochrane Library, Web of Science, and CINAHL databases.Review Methods Databases were searched from the date of inception to March 4, 2025, following Preferred Reporting Items for Systematic Reviews and Meta-analyses extension for scoping reviews (PRISMA-ScR) guidelines. Studies on any application of multimodal AI in otolaryngology were included.Conclusions Forty-four studies were included, with 55% (24/44) published in 2024 and 18% (8/44) in 2025. Image and text were the most commonly combined modalities (80%, 35/44), with emerging combinations including video with vector data (2%,1/44) and omics with text and/or image (14%, 6/44). Head and neck cancer was the most common subspecialty of focus (75%, 33/44), followed by general ear, nose, and throat (ENT) (11%, 5/44). All studies applied the models for clinical education (9%, 4/44) or decision support (91%, 40/44), assessing performance in areas such as board-style examination performance (accuracy: 37%-86%) or disease classification and prognostication (area under the receiver operating characteristic curve [AUC] 0.65-0.96). However, most studies were limited to small, single-institution samples and lacked prospective validation. Model error, data set bias, and language limitations underscore the need for further refinement.Implications for Practice The application of multimodal large language models (LLMs) in otolaryngology is rapidly expanding. Clinicians must understand both the capabilities and limitations of these systems. Rigorous validation and ethical oversight will be essential to ensure the safe, equitable, and effective adoption in otolaryngologic care.</t>
  </si>
  <si>
    <t>Li, Ying Jie; Su, Flora; Banyi, Norbert; Edgcumbe, Philip; Thamboo, Andrew; Amanian, Ameen</t>
  </si>
  <si>
    <t>Li, YJ (corresponding author), Univ British Columbia, Fac Med, 317-2194 Hlth Sci Mall, Vancouver, BC V6T 1Z3, Canada.</t>
  </si>
  <si>
    <t>yingjie2@student.ubc.ca</t>
  </si>
  <si>
    <t>[Li, Ying Jie] Univ British Columbia, Fac Med, 317-2194 Hlth Sci Mall, Vancouver, BC V6T 1Z3, Canada; [Su, Flora] Univ British Columbia, Dept Sci, Vancouver, BC, Canada; [Banyi, Norbert; Thamboo, Andrew; Amanian, Ameen] Univ British Columbia, Dept Surg, Div Otolaryngol Head &amp; Neck Surg, Vancouver, BC, Canada; [Edgcumbe, Philip] Univ British Columbia, Dept Radiol, Vancouver, BC, Canada</t>
  </si>
  <si>
    <t>University of British Columbia; University of British Columbia; University of British Columbia; University of British Columbia</t>
  </si>
  <si>
    <t>Clinical Applications of Multimodal Artificial Intelligence in Otolaryngology: A State-of-the-Art Review</t>
  </si>
  <si>
    <t>OTOLARYNGOLOGY-HEAD AND NECK SURGERY</t>
  </si>
  <si>
    <t>artificial intelligence; deep learning; multimodal; natural language processing</t>
  </si>
  <si>
    <t>DEEP; PREDICT; MODEL; HEAD</t>
  </si>
  <si>
    <t>Amanian, Ameen/GLQ-9046-2022</t>
  </si>
  <si>
    <t>Su, Flora/0009-0001-2989-5560</t>
  </si>
  <si>
    <t>0194-5998</t>
  </si>
  <si>
    <t>1097-6817</t>
  </si>
  <si>
    <t>OTOLARYNG HEAD NECK</t>
  </si>
  <si>
    <t>Otolaryngol. Head Neck Surg.</t>
  </si>
  <si>
    <t>304</t>
  </si>
  <si>
    <t>315</t>
  </si>
  <si>
    <t>10.1002/ohn.70285</t>
  </si>
  <si>
    <t>http://dx.doi.org/10.1002/ohn.70285</t>
  </si>
  <si>
    <t>Otorhinolaryngology; Surgery</t>
  </si>
  <si>
    <t>LY2ED</t>
  </si>
  <si>
    <t>42117403</t>
  </si>
  <si>
    <t>WOS:001762189400001</t>
  </si>
  <si>
    <t>Brockhattingen, KK; Karlsson, EH; Bielefeldt, TBR; Naemi, A; Andersen-Ranberg, K; Moradbeiki, P; Ebrahimi, A; Wiil, UK</t>
  </si>
  <si>
    <t>Background Early detection and treatment of sarcopenia are crucial for improving patient outcomes, yet current diagnostic methods often lack the accuracy, accessibility, and efficiency needed for widespread clinical use. The aim of this study was to develop an accurate, secure, and evidence-based multimodal AI model using a point-of-care ultrasound (POCUS) framework combining muscle imaging properties with physical performance for sarcopenia diagnosis. Methods The model uses clinical data and POCUS images. Clinical data consisted of age, gender, height, weight, body mass index (BMI) and data on physical performance by Short Physical Performance Battery (SPPB) scores. SPPB scores were chosen since it is recommended by both the European Working Group of Sarcopenia in Older People 2 and the Asian Working Group for Sarcopenia. POCUS data consisted of images from the dominant thigh, focusing on the rectus femoris muscle, using longitudinal and transverse projections. Various Machine Learning (ML) and Deep Learning (DL) algorithms and multimodal architectures were tested. Explainable AI (XAI) methods, including Grad-CAM for ultrasound images and feature-attribution analysis for clinical variables, were integrated to provide transparent interpretation of the multimodal model's diagnostic decisions. The final model was implemented as part of the Sarcopenia Artificial Intelligence Diagnostic Decision Support System (SAID DSS). Results Participants (24) were mostly women (63%) with a mean age of 81 years (+/- 5.2), (age range: 71-91 years) a mean body mass index of 26 kg/m(2) (+/- 4.1), and mean SPPB scores of 5 (+/- 1.6) and 9 (+/- 1.6) for sarcopenic and controls. 1060 and 2414 longitudinal and transverse ultrasound events for sarcopenic and control participants, respectively, were used, demonstrating a robust dataset despite the small number of participants. Comprehensive experimental results showed that a feature-level fusion technique using a multilayer perceptron network as classifier and Xception architectures for image feature extraction demonstrated the best performance. The final model yielded a diagnostic accuracy of 85%, an F1-score of 0.85 and an area under the curve (AUC) of 0.84, higher than previous models. Conclusion This study is the first to introduce a clinically oriented, AI-based multimodal model for sarcopenia detection, demonstrating improved performance over existing approaches. In addition, we provided an explanation of the decisions generated by the best-performing detection model. By integrating this model into SAID DSS, we provide a practical and scalable tool with potential for direct application in clinical workflows, supporting early and accurate identification of sarcopenia. Clinical trial number Not applicable.</t>
  </si>
  <si>
    <t>Brockhattingen, Kristoffer Kittelmann; Karlsson, Emilie Helgesen; Bielefeldt, Tobias Bolvig Rasmussen; Naemi, Amin; Andersen-Ranberg, Karen; Moradbeiki, Pardis; Ebrahimi, Ali; Wiil, Uffe Kock</t>
  </si>
  <si>
    <t>Brockhattingen, KK (corresponding author), Univ Southern Denmark, Dept Clin Res, Geriatr Res Unit, Odense, Denmark.; Brockhattingen, KK (corresponding author), Odense Univ Hosp, Dept Geriatr Med, Svendborg, Denmark.; Brockhattingen, KK (corresponding author), Odense Univ Hosp, Dept Geriatr Med, Odense, Denmark.; Brockhattingen, KK (corresponding author), European Union Geriatr Med Soc, Sarcopenia Ultrasound SARCUS Working Grp, Antwerp, Belgium.</t>
  </si>
  <si>
    <t>Kristoffer.k.brockhattingen@rsyd.dk</t>
  </si>
  <si>
    <t>University of Southern Denmark</t>
  </si>
  <si>
    <t>University of Southern Denmark (University of Southern Denmark)</t>
  </si>
  <si>
    <t>Open access funding provided by University of Southern Denmark</t>
  </si>
  <si>
    <t>[Brockhattingen, Kristoffer Kittelmann; Andersen-Ranberg, Karen] Univ Southern Denmark, Dept Clin Res, Geriatr Res Unit, Odense, Denmark; [Brockhattingen, Kristoffer Kittelmann] Odense Univ Hosp, Dept Geriatr Med, Svendborg, Denmark; [Brockhattingen, Kristoffer Kittelmann; Andersen-Ranberg, Karen] Odense Univ Hosp, Dept Geriatr Med, Odense, Denmark; [Brockhattingen, Kristoffer Kittelmann; Andersen-Ranberg, Karen] European Union Geriatr Med Soc, Sarcopenia Ultrasound SARCUS Working Grp, Antwerp, Belgium; [Brockhattingen, Kristoffer Kittelmann; Andersen-Ranberg, Karen] Univ Antwerp, Antwerp, Belgium; [Karlsson, Emilie Helgesen; Bielefeldt, Tobias Bolvig Rasmussen; Naemi, Amin; Moradbeiki, Pardis; Ebrahimi, Ali; Wiil, Uffe Kock] Univ Southern Denmark, Maersk Mc Kinney Moller Inst, SDU Hlth Informat &amp; Technol, Sonderborg, Denmark; [Naemi, Amin] Univ Southern Denmark, Dept Biol, Nordcee, Sonderborg, Denmark</t>
  </si>
  <si>
    <t>University of Southern Denmark; University of Southern Denmark; Odense University Hospital; University of Southern Denmark; Odense University Hospital; University of Antwerp; University of Southern Denmark; University of Southern Denmark</t>
  </si>
  <si>
    <t>The sarcopenia artificial intelligence diagnostic decision support system (SAID DSS) - a multimodal deep learning model</t>
  </si>
  <si>
    <t>BMC GERIATRICS</t>
  </si>
  <si>
    <t>Sarcopenia; Ultrasound; Artificial intelligence; Multimodal; Decision support system; Deep learning; Explainable AI; XAI</t>
  </si>
  <si>
    <t>OLDER-ADULTS; CHALLENGES; PREDICTION; ULTRASOUND</t>
  </si>
  <si>
    <t>Karlsson, Emilie Helgesen/PYY-1308-2026; Naemi, Amin/ABG-4023-2022; Andersen-Ranberg, Karen/P-7053-2015; Ebrahimi, Ali/O-9627-2018; Brockhattingen, Kristoffer/PYW-5749-2026</t>
  </si>
  <si>
    <t>Karlsson, Emilie Helgesen/0009-0002-9790-7081; Moradbeiki, pardis/0009-0000-2213-0074; Andersen-Ranberg, Karen/0000-0003-1970-7076; Ebrahimi, Ali/0000-0002-3332-6205</t>
  </si>
  <si>
    <t>1471-2318</t>
  </si>
  <si>
    <t>BMC GERIATR</t>
  </si>
  <si>
    <t>BMC Geriatr.</t>
  </si>
  <si>
    <t>JAN 26 2026</t>
  </si>
  <si>
    <t>415</t>
  </si>
  <si>
    <t>10.1186/s12877-026-07005-9</t>
  </si>
  <si>
    <t>http://dx.doi.org/10.1186/s12877-026-07005-9</t>
  </si>
  <si>
    <t>Geriatrics &amp; Gerontology; Gerontology</t>
  </si>
  <si>
    <t>Geriatrics &amp; Gerontology</t>
  </si>
  <si>
    <t>FU3BF</t>
  </si>
  <si>
    <t>41588346</t>
  </si>
  <si>
    <t>WOS:001727562400001</t>
  </si>
  <si>
    <t>Saeed, MA; Afify, YM; Badr, NL; Helal, NA</t>
  </si>
  <si>
    <t>Skin cancer is the abnormal growth of skin cells, most often developing on skin exposed to the sun. It is among the most fatal forms of cancer, making its early detection and therapy crucial. In addition to conventional techniques, deep learning methods are increasingly utilized for accurate identification and classification. This study proposes a convolutional neural network (CNN) model using transfer learning to detect and classify multiple types of skin cancer. This study focuses on evaluating the efficacy of transfer learning techniques in enhancing CNN performance for this critical task. A significant contribution of this study is the use of transfer learning to improve CNN performance in skin cancer detection and classification by leveraging pre-trained models, including ResNet50, Xception, MobileNet, EfficientNetB0, and DenseNet121. The integration of metadata demonstrated a significant improvement in accuracy compared to using images alone, enhancing the performance of most models. Further enhancement was achieved through ensemble techniques, specifically an adaptive weighted ensemble method, which dynamically assigns weights to individual models based on their performance, resulting in superior overall accuracy. SMOTE was used as an oversampling technique to address class imbalance. The proposed fusion of pre-trained models (ResNet50, Xception, and EfficientNetB0) combined with metadata achieved 93.2% accuracy, 93% precision, 93% recall, 93% F1 score, and 97.3% AUC on the ISIC 2018 dataset. On the ISIC 2019 dataset, it achieved 91.1% accuracy, 92% precision, 93% recall, 92% F1 score, and 95.5% AUC, surpassing many state-of-the-art methods. Experiments on an external dataset, Derm7pt, resulted in 82.5% accuracy, with a precision of 86%, recall of 83%, F1 score of 84% and AUC of 89.15%, demonstrating the improved interpretability and generalization of the proposed model. The proposed ensemble model optimizes deep learning for healthcare applications, enhancing dermatological diagnosis and treatment strategies for skin cancer patients.</t>
  </si>
  <si>
    <t>Saeed, Mayar Ashraf; Afify, Yasmine M.; Badr, Nagwa Lotfy; Helal, Nivin A.</t>
  </si>
  <si>
    <t>Saeed, MA (corresponding author), Ain Shams Univ, Fac Comp &amp; Informat Sci, Bioinformat, Cairo 11566, Egypt.</t>
  </si>
  <si>
    <t>yasmine.afify@cis.asu.edu.eg; mayar_ashraf@cis.asu.edu.eg; nagwabadr@cis.asu.edu.eg; nivin.atef@cis.asu.edu.eg</t>
  </si>
  <si>
    <t>Ain Shams University</t>
  </si>
  <si>
    <t>Ain Shams University (Egyptian Knowledge Bank (EKB), Ain Shams University)</t>
  </si>
  <si>
    <t>Open access funding provided by The Science, Technology &amp; Innovation Funding Authority (STDF) in cooperation with The Egyptian Knowledge Bank (EKB).</t>
  </si>
  <si>
    <t>[Saeed, Mayar Ashraf] Ain Shams Univ, Fac Comp &amp; Informat Sci, Bioinformat, Cairo 11566, Egypt; [Afify, Yasmine M.; Badr, Nagwa Lotfy; Helal, Nivin A.] Ain Shams Univ, Fac Comp &amp; Informat Sci, Informat Syst, Cairo 11566, Egypt</t>
  </si>
  <si>
    <t>Egyptian Knowledge Bank (EKB); Ain Shams University; Egyptian Knowledge Bank (EKB); Ain Shams University</t>
  </si>
  <si>
    <t>Multimodal deep learning ensemble framework for skin cancer detection</t>
  </si>
  <si>
    <t>Skin lesion classification; CNN; Transfer learning; Ensemble learning; SMOTE; ISIC dataset</t>
  </si>
  <si>
    <t>Afify, Yasmine/FEA-3260-2022</t>
  </si>
  <si>
    <t>DEC 30 2025</t>
  </si>
  <si>
    <t>45660</t>
  </si>
  <si>
    <t>10.1038/s41598-025-30534-z</t>
  </si>
  <si>
    <t>http://dx.doi.org/10.1038/s41598-025-30534-z</t>
  </si>
  <si>
    <t>AL9HN</t>
  </si>
  <si>
    <t>41469782</t>
  </si>
  <si>
    <t>WOS:001651242300001</t>
  </si>
  <si>
    <t>Mnyambo, JJ; Aly, A; Ifeachor, E; Wei, YH; Zhou, SM; Mullin, S</t>
  </si>
  <si>
    <t>Introduction Early detection of drug-resistant tuberculosis (DR-TB) is critical for timely treatment and limiting transmission. Differentiating DR-TB from drug-sensitive TB (DS-TB) remains challenging due to overlapping manifestations and subtle differences in chest X-rays (CXRs).Methods We developed an explainable multimodal machine learning framework integrating CXR embeddings from a Data-Efficient Image Transformer (DEiT) with patient-level data, including clinical, interpreted radiological, demographic, socioeconomic, and behavioral variables. Using 6,279 subjects from the TB Portals program, model performance was evaluated across three settings comprising CXR embeddings only, patient-level features only, and multimodal. Interpretability was analyzed using Shapley Additive Explanations (SHAP).Results A multimodal XGBoost model achieved a precision-recall area under the curve (PR-AUC) of 0.9258 and receiver operating characteristic area under the curve (ROC-AUC) of 0.8718. CXR-embeddings-only classifiers performed lower (PR-AUC: 0.8334; ROC-AUC: 0.7369), while patient-level XGBoost yielded highest performance. The multimodal model improved interpretability through complementary structural information. SHAP identified CXR embeddings as primary global drivers. Among patient-level variables, daily contacts and employment status were the strongest contributors, reflecting exposure intensity and socioeconomic conditions. Comorbidity showed moderate effects, while education and case definition had smaller contributions. Key radiological factors included non-tuberculosis abnormalities and mediastinal lymph node involvement, whereas medium-density stabalized fibrotic nodules, medium nodules, and small cavities demonstrated minimal association. Interaction analysis revealed higher risk with increasing comorbidity in the presence of morphological alterations; BMI and age exhibited modest influence. Independent review by two clinicians confirmed plausibility and consistency of SHAP explanations.Discussion This interpretable multimodal framework supports early DR-TB detection and targeted interventions in high-burden settings.</t>
  </si>
  <si>
    <t>Mnyambo, Joan Jonathan; Aly, Amir; Ifeachor, Emmanuel; Wei, Yinghui; Zhou, Shang-Ming; Mullin, Stephen</t>
  </si>
  <si>
    <t>Mnyambo, JJ (corresponding author), Univ Plymouth, Sch Engn Comp &amp; Math, Plymouth, England.; Mnyambo, JJ (corresponding author), Sokoine Univ Agr, Dept Informat &amp; Informat Technol, Morogoro, Tanzania.</t>
  </si>
  <si>
    <t>joan.mnyambo@plymouth.ac.uk</t>
  </si>
  <si>
    <t>Commonwealth Scholarship Commission (CSC), United Kingdom, under the Foreign, Commonwealth and Development Office (FCDO) scholarship programme [TZCS-2023-543]; University of Plymouth, United Kingdom; Government of Tanzania through the Ministry of Education, Science and Technology</t>
  </si>
  <si>
    <t>Commonwealth Scholarship Commission (CSC), United Kingdom, under the Foreign, Commonwealth and Development Office (FCDO) scholarship programme; University of Plymouth, United Kingdom; Government of Tanzania through the Ministry of Education, Science and Technology</t>
  </si>
  <si>
    <t>The author(s) declared that financial support was received for this work and/or its publication. This research was funded by the Commonwealth Scholarship Commission (CSC), United Kingdom, under the Foreign, Commonwealth and Development Office (FCDO) scholarship programme (Scholarship No. TZCS-2023-543), in collaboration with the University of Plymouth, United Kingdom. It also received support from the Government of Tanzania through the Ministry of Education, Science and Technology.</t>
  </si>
  <si>
    <t>[Mnyambo, Joan Jonathan; Aly, Amir; Ifeachor, Emmanuel] Univ Plymouth, Sch Engn Comp &amp; Math, Plymouth, England; [Mnyambo, Joan Jonathan] Sokoine Univ Agr, Dept Informat &amp; Informat Technol, Morogoro, Tanzania; [Wei, Yinghui] Univ Exeter, Fac Hlth &amp; Life Sci, Med Sch, Exeter, England; [Zhou, Shang-Ming] Univ Plymouth, Sch Nursing &amp; Midwifery, Plymouth, England; [Mullin, Stephen] Univ Plymouth, Peninsula Med Sch, Plymouth, England</t>
  </si>
  <si>
    <t>University of Plymouth; Sokoine University of Agriculture; University of Exeter; University of Plymouth; University of Plymouth</t>
  </si>
  <si>
    <t>Interpretable multimodal machine learning for diagnosis of drug-resistant tuberculosis</t>
  </si>
  <si>
    <t>chest x-ray; data-efficient image transformer (DEiT); drug-resistant tuberculosis; interpretability; shapley additive explanations (SHAP)</t>
  </si>
  <si>
    <t>TB PORTALS</t>
  </si>
  <si>
    <t>JUL 30 2026</t>
  </si>
  <si>
    <t>1828522</t>
  </si>
  <si>
    <t>10.3389/fdgth.2026.1828522</t>
  </si>
  <si>
    <t>http://dx.doi.org/10.3389/fdgth.2026.1828522</t>
  </si>
  <si>
    <t>MS2RD</t>
  </si>
  <si>
    <t>WOS:001849659400001</t>
  </si>
  <si>
    <t>Zhang, RS; Chang, Q</t>
  </si>
  <si>
    <t>Introduction Pulmonary diseases pose significant health risks to athletes, necessitating accurate early detection and risk prediction methods. In this study, we propose a novel Multimodal Pulmonary Risk Prediction Network (MPRPN), which integrates visual data, textual data, and auxiliary physiological data through a unified deep learning framework.Methods The model incorporates an Adaptive Modality Weighting Strategy (AMWS) to dynamically adjust modality contributions and a Hierarchical Risk Prediction Strategy (HRPS) to capture domain-specific feature structures. Experiments were conducted on multiple multimodal datasets, including the Athlete Respiratory Health Records dataset, Multimodal Pulmonary Imaging Collection, Pulmonary Risk Profiles dataset, and Early Detection Biomarker dataset, comprising diverse clinical, imaging, and physiological samples.Results and discussion The proposed method achieves superior performance compared to state-of-the-art models, with accuracy improvements up to 89.92%, F1-score reaching 90.23%, and AUC up to 90.47%, demonstrating strong predictive capability and robustness. These results indicate that MPRPN effectively leverages complementary multimodal information and provides a reliable tool for early detection and personalized risk assessment of pulmonary diseases in athletes. The proposed framework has significant potential for real-world applications in sports medicine and preventive healthcare.</t>
  </si>
  <si>
    <t>Zhang, Rusen; Chang, Qi</t>
  </si>
  <si>
    <t>Zhang, RS (corresponding author), Peking Univ, Sch Software &amp; Microelect, Beijing, Peoples R China.</t>
  </si>
  <si>
    <t>cassandramrs5429@outlook.com</t>
  </si>
  <si>
    <t>[Zhang, Rusen] Peking Univ, Sch Software &amp; Microelect, Beijing, Peoples R China; [Chang, Qi] Nanchang Univ, Sch Mechan &amp; Elect Engn, Nanchang, Jiangxi, Peoples R China</t>
  </si>
  <si>
    <t>Peking University; Nanchang University</t>
  </si>
  <si>
    <t>Multimodal data integration and machine learning methods for early detection and risk prediction of pulmonary diseases in athletes</t>
  </si>
  <si>
    <t>athletes; early detection; machine learning; multimodal data integration; pulmonary diseases</t>
  </si>
  <si>
    <t>ARTIFICIAL-INTELLIGENCE; CANCER-DIAGNOSIS</t>
  </si>
  <si>
    <t>MAY 29 2026</t>
  </si>
  <si>
    <t>1758840</t>
  </si>
  <si>
    <t>10.3389/fmed.2026.1758840</t>
  </si>
  <si>
    <t>http://dx.doi.org/10.3389/fmed.2026.1758840</t>
  </si>
  <si>
    <t>JK0QL</t>
  </si>
  <si>
    <t>42292270</t>
  </si>
  <si>
    <t>WOS:001791186900001</t>
  </si>
  <si>
    <t>Dong, XC; Gui, HH; Quan, K; Li, ZZ; Xiao, Y; Zhou, JX; Zhao, YC; Wang, DD; Liu, MJ; Duan, HJ; Yang, SX; Lin, XL; Dong, J; Wang, L; Ma, Y; Zhu, W</t>
  </si>
  <si>
    <t>OBJECTIVE Given that resection of brainstem cavernous malformations (BSCMs) ends hemorrhaging but carries a high risk of neurological deficits, it is necessary to develop and validate a model predicting surgical outcomes. This study aimed to construct a BSCM surgery outcome prediction model based on clinical characteristics and T2-weighted MRIbased radiomics. METHODS Two separate cohorts of patients undergoing BSCM resection were included as discovery and validation sets. Patient characteristics and imaging data were analyzed. An unfavorable outcome was defined as a modified Rankin Scale score &gt; 2 at the 12-month follow-up. Image features were extracted from regions of interest within lesions and adjacent brainstem. A nomogram was constructed using the risk score from the optimal model. RESULTS The discovery and validation sets comprised 218 and 49 patients, respectively (mean age 40 +/- 14 years, females); 63 patients in the discovery set and 35 in the validation set had an unfavorable outcome. The eXtreme Gradient Boosting imaging model with selected radiomics features achieved the best performance (area under the receiver operating characteristic curve [AUC] 0.82). Patients were stratified into high-and low-risk groups based on risk scores computed from this model (optimal cutoff 0.37). The final integrative multimodal prognostic model attained an AUC of 0.90, surpassing both the imaging and clinical models alone. CONCLUSIONS Inclusion of BSCM and brainstem subregion imaging data in machine learning models yielded significant predictive capability for unfavorable postoperative outcomes. The integration of specific clinical features enhanced prediction accuracy.</t>
  </si>
  <si>
    <t>Dong, Xuchen; Gui, Haohuai; Quan, Kai; Li, Zongze; Xiao, Ying; Zhou, Jiaxi; Zhao, Yuchuan; Wang, Dongdong; Liu, Mingjian; Duan, Haojing; Yang, Shaoxuan; Lin, Xiaolei; Dong, Jun; Wang, Lin; Ma, Yu; Zhu, Wei</t>
  </si>
  <si>
    <t>Zhu, W (corresponding author), Fudan Univ, Huashan Hosp, Shanghai Med Coll, Shanghai, Peoples R China.</t>
  </si>
  <si>
    <t>drzhuwei@fudan.edu.cn</t>
  </si>
  <si>
    <t>[Dong, Xuchen; Quan, Kai; Li, Zongze; Liu, Mingjian; Yang, Shaoxuan; Zhu, Wei] Fudan Univ, Huashan Hosp, Shanghai Med Coll, Dept Neurosurg, Shanghai, Peoples R China; [Dong, Xuchen; Quan, Kai; Li, Zongze; Liu, Mingjian; Yang, Shaoxuan; Zhu, Wei] Natl Ctr Neurol Disorders, Shanghai, Peoples R China; [Dong, Xuchen; Quan, Kai; Li, Zongze; Liu, Mingjian; Yang, Shaoxuan; Zhu, Wei] Shanghai Key Lab Brain Funct &amp; Restorat &amp; Neural R, Shanghai, Peoples R China; [Dong, Xuchen; Quan, Kai; Li, Zongze; Liu, Mingjian; Yang, Shaoxuan; Zhu, Wei] Fudan Univ, Neurosurg Inst, Shanghai, Peoples R China; [Dong, Xuchen; Quan, Kai; Li, Zongze; Liu, Mingjian; Yang, Shaoxuan; Zhu, Wei] Shanghai Clin Med Ctr Neurosurg, Shanghai, Peoples R China; [Gui, Haohuai; Xiao, Ying; Zhou, Jiaxi; Zhao, Yuchuan; Ma, Yu] Fudan Univ, Sch Informat Sci &amp; Technol, Shanghai, Peoples R China; [Gui, Haohuai; Xiao, Ying; Zhou, Jiaxi; Zhao, Yuchuan; Ma, Yu] Key Lab Med Imaging Comp &amp; Comp Assisted Intervent, Shanghai, Peoples R China; [Wang, Dongdong] Fudan Univ, Huashan Hosp, Dept Radiol, Shanghai, Peoples R China; [Duan, Haojing] Fudan Univ, Inst Sci &amp; Technol Brain Inspired Intelligence, Shanghai, Peoples R China; [Lin, Xiaolei] Huashan Hosp, Huashan Inst Med, Shanghai, Peoples R China; [Lin, Xiaolei] Fudan Univ, Sch Data Sci, Shanghai, Peoples R China; [Dong, Jun] Soochow Univ, Affiliated Hosp 2, Dept Neurosurg, Suzhou, Jiangsu, Peoples R China; [Wang, Lin] Zhejiang Univ, Affiliated Hosp 2, Sch Med, Dept Neurosurg, Hangzhou, Zhejiang, Peoples R China</t>
  </si>
  <si>
    <t>Fudan University; Fudan University; Fudan University; Fudan University; Fudan University; Fudan University; Fudan University; Soochow University - China; Zhejiang University</t>
  </si>
  <si>
    <t>A multiregional multimodal machine learning model for predicting outcome of surgery for symptomatic hemorrhagic brainstem cavernous malformations</t>
  </si>
  <si>
    <t>NEUROSURGICAL FOCUS</t>
  </si>
  <si>
    <t>brainstem cavernous malformations; machine learning; radiomics; surgical outcome</t>
  </si>
  <si>
    <t>SURGICAL-MANAGEMENT; NATURAL-HISTORY; RISK; METAANALYSIS</t>
  </si>
  <si>
    <t>Zhou, Jiaxi/KBA-4942-2024; Quan, Kai/PXW-1703-2026</t>
  </si>
  <si>
    <t>dong, jun/0000-0002-0026-6680; Dong, Xuchen/0009-0006-3806-1679</t>
  </si>
  <si>
    <t>AMER ASSOC NEUROLOGICAL SURGEONS</t>
  </si>
  <si>
    <t>ROLLING MEADOWS</t>
  </si>
  <si>
    <t>5550 MEADOWBROOK DRIVE, ROLLING MEADOWS, IL 60008 USA</t>
  </si>
  <si>
    <t>1092-0684</t>
  </si>
  <si>
    <t>NEUROSURG FOCUS</t>
  </si>
  <si>
    <t>Neurosurg. Focus</t>
  </si>
  <si>
    <t>E7</t>
  </si>
  <si>
    <t>10.3171/2025.4.FOCUS24778</t>
  </si>
  <si>
    <t>http://dx.doi.org/10.3171/2025.4.FOCUS24778</t>
  </si>
  <si>
    <t>Clinical Neurology; Surgery</t>
  </si>
  <si>
    <t>Neurosciences &amp; Neurology; Surgery</t>
  </si>
  <si>
    <t>4WE0G</t>
  </si>
  <si>
    <t>40591971</t>
  </si>
  <si>
    <t>WOS:001528104900007</t>
  </si>
  <si>
    <t>Steyaert, S; Qiu, YPLN; Zheng, YN; Mukherjee, P; Vogel, H; Gevaert, O</t>
  </si>
  <si>
    <t>Steyaert, Qiu et al. develop a deep learning framework for multimodal data fusion for adult and pediatric brain tumors. Multimodal data models combining histopathology imaging and gene expression data outperform single data models in predicting prognosis.BackgroundThe introduction of deep learning in both imaging and genomics has significantly advanced the analysis of biomedical data. For complex diseases such as cancer, different data modalities may reveal different disease characteristics, and the integration of imaging with genomic data has the potential to unravel additional information than when using these data sources in isolation. Here, we propose a DL framework that combines these two modalities with the aim to predict brain tumor prognosis.MethodsUsing two separate glioma cohorts of 783 adults and 305 pediatric patients we developed a DL framework that can fuse histopathology images with gene expression profiles. Three strategies for data fusion were implemented and compared: early, late, and joint fusion. Additional validation of the adult glioma models was done on an independent cohort of 97 adult patients.ResultsHere we show that the developed multimodal data models achieve better prediction results compared to the single data models, but also lead to the identification of more relevant biological pathways. When testing our adult models on a third brain tumor dataset, we show our multimodal framework is able to generalize and performs better on new data from different cohorts. Leveraging the concept of transfer learning, we demonstrate how our pediatric multimodal models can be used to predict prognosis for two more rare (less available samples) pediatric brain tumors.ConclusionsOur study illustrates that a multimodal data fusion approach can be successfully implemented and customized to model clinical outcome of adult and pediatric brain tumors.Plain Language SummaryAn increasing amount of complex patient data is generated when treating patients with cancer, including histopathology data (where the appearance of a tumor is examined under a microscope) and molecular data (such as analysis of a tumor's genetic material). Computational methods to integrate these data types might help us to predict outcomes in patients with cancer. Here, we propose a deep learning method which involves computer software learning from patterns in the data, to combine histopathology and molecular data to predict outcomes in patients with brain cancers. Using three cohorts of patients, we show that our method combining the different datasets performs better than models using one data type. Methods like ours might help clinicians to better inform patients about their prognosis and make decisions about their care.</t>
  </si>
  <si>
    <t>Steyaert, Sandra; Qiu, Yeping Lina; Zheng, Yuanning; Mukherjee, Pritam; Vogel, Hannes; Gevaert, Olivier</t>
  </si>
  <si>
    <t>Gevaert, O (corresponding author), Stanford Univ, Stanford Ctr Biomed Informat Res BMIR, Dept Med, Stanford, CA 94305 USA.; Gevaert, O (corresponding author), Stanford Univ, Dept Biomed Data Sci, Stanford, CA 94305 USA.</t>
  </si>
  <si>
    <t>ogevaert@stanford.edu</t>
  </si>
  <si>
    <t>National Institute of Biomedical Imaging and Bioengineering (NIBIB) [R56 EB020527]; National Cancer Institute (NCI) [R01 CA260271, U01 CA217851, U01 CA199241]; National Cancer Institute [R01CA260271] Funding Source: NIH RePORTER</t>
  </si>
  <si>
    <t>National Institute of Biomedical Imaging and Bioengineering (NIBIB) (United States Department of Health &amp; Human Services, National Institutes of Health (NIH) - USA, NIH National Institute of Biomedical Imaging &amp; Bioengineering (NIBIB)); National Cancer Institute (NCI)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t>
  </si>
  <si>
    <t>We would like to thank Armaury Sabran for his work during the early stages of this manuscript. We are grateful for his insightful ideas and prototypes of the data fusion concepts. We would also like to express our great appreciation to Marija Pizurica for her support and valuable suggestions in performing the HoverNet experiments. This research was conducted using data made available by The Children's Brain Tumor Tissue Consortium (CBTTC). Research reported here was further supported by the National Institute of Biomedical Imaging and Bioengineering (NIBIB) under award R56 EB020527, and the National Cancer Institute (NCI) under awards: R01 CA260271, U01 CA217851, and U01 CA199241. The content is solely the responsibility of the authors and does not necessarily represent the official views of the National Institutes of Health (NIH).</t>
  </si>
  <si>
    <t>[Steyaert, Sandra; Qiu, Yeping Lina; Zheng, Yuanning; Mukherjee, Pritam; Gevaert, Olivier] Stanford Univ, Stanford Ctr Biomed Informat Res BMIR, Dept Med, Stanford, CA 94305 USA; [Qiu, Yeping Lina] Stanford Univ, Dept Elect Engn, Stanford, CA 94305 USA; [Vogel, Hannes] Stanford Univ, Dept Pathol, Stanford, CA 94305 USA; [Gevaert, Olivier] Stanford Univ, Dept Biomed Data Sci, Stanford, CA 94305 USA</t>
  </si>
  <si>
    <t>Stanford University; Stanford Medicine; Stanford University; Stanford Medicine; Stanford University; Stanford University</t>
  </si>
  <si>
    <t>Multimodal deep learning to predict prognosis in adult and pediatric brain tumors</t>
  </si>
  <si>
    <t>COMMUNICATIONS MEDICINE</t>
  </si>
  <si>
    <t>CENTRAL-NERVOUS-SYSTEM; SURVIVAL; CLASSIFICATION</t>
  </si>
  <si>
    <t>Gevaert, Olivier/H-3413-2019; Mukherjee, Pritam/AAL-6003-2021</t>
  </si>
  <si>
    <t>Gevaert, Olivier/0000-0002-9965-5466; Vogel, Otto Hannes/0000-0002-0960-3508; Zheng, Yuanning/0000-0002-0018-3252; Steyaert, Sandra/0000-0002-0996-1364</t>
  </si>
  <si>
    <t>71</t>
  </si>
  <si>
    <t>85</t>
  </si>
  <si>
    <t>2730-664X</t>
  </si>
  <si>
    <t>COMMUN MED-LONDON</t>
  </si>
  <si>
    <t>Communications Med.</t>
  </si>
  <si>
    <t>MAR 29 2023</t>
  </si>
  <si>
    <t>10.1038/s43856-023-00276-y</t>
  </si>
  <si>
    <t>http://dx.doi.org/10.1038/s43856-023-00276-y</t>
  </si>
  <si>
    <t>C2WJ2</t>
  </si>
  <si>
    <t>36991216</t>
  </si>
  <si>
    <t>WOS:000960577900001</t>
  </si>
  <si>
    <t>Rodrigues, AC; de Almeida, JG; Rodrigues, N; Moreno, R; Verde, ASC; Gaivao, AM; Bilreiro, C; Santiago, I; Ip, J; Beliao, S; Silva, S; Domingues, I; Tsiknakis, M; Marias, K; Regge, D; Papanikolaou, N</t>
  </si>
  <si>
    <t>Purpose: To develop and prospectively validate a clinical and radiologic model to predict clinically significant prostate cancer (csPCa) using biparametric MRI (bpMRI). Materials and Methods: Retrospective data (acquired before March 31, 2022) from 12 medical centers were collected. Radiomic features were extracted from the whole prostate gland using segmentations generated by an automatic deep learning algorithm. A model incorporating bpMRI radiomics, age, prostate-specific antigens, the Prostate Imaging Reporting and Data System (PI-RADS), and the prostate zone lesion location was trained. A retrospective validation set and prospective data (acquired after March 31, 2022) were used to compare PI-RADS scoring (area under the receiver operating characteristic curve [AUC] and specificity at PI-RADS &gt;3). Sensitivity analyses for sequence (T2-weighted, apparent diffusion coefficient, diffusion-weighted imaging) and scanner vendor (GE, Philips, Siemens) were performed, in addition to fairness analyses for relevant categories. Results: The retrospective dataset for model development included 7157 male patients (mean age, 64.78 years; 3342 [46.7%] with csPCa), and the prospective dataset for model validation included 1629 patients (mean age, 66.19 years; 592 [36.3%] with csPCa). The multimodal model outperformed PI-RADS in the retrospective (AUC, 0.88 vs 0.80, P = .005; specificity of 71% vs 58%, P = .002) and prospective validation sets (AUC, 0.91 vs 0.85, P &lt; .001; specificity of 77% vs 66%, P &lt; .001), leading to 22.7% fewer biopsies compared with PI-RADS. Sensitivity analyses showed the importance of multiple sequences and vendors in achieving model generalization, as using specific sequences or vendors alone led to worse performance. Fairness analysis showed generalizability across different categories but highlighted increased sensitivity with higher PI-RADS and reduced performance in one medical center. Conclusion: A multimodal model provided a temporally generalizable predictor of csPCa that outperformed PI-RADS.</t>
  </si>
  <si>
    <t>Rodrigues, Ana Carolina; de Almeida, Jose Guilherme; Rodrigues, Nuno; Moreno, Raquel; Verde, Ana Sofia Castro; Gaivao, Ana Mascarenhas; Bilreiro, Carlos; Santiago, Ines; Ip, Joana; Beliao, Sara; Silva, Sara; Domingues, Ines; Tsiknakis, Manolis; Marias, Konstantinos; Regge, Daniele; Papanikolaou, Nikolaos</t>
  </si>
  <si>
    <t>Papanikolaou, N (corresponding author), Champalimaud Fdn, Champalimaud Res, Computat Clin Imaging, Ave Brasilia, P-T1400038 Lisbon, Portugal.</t>
  </si>
  <si>
    <t>nickolas.papanikolaou@research.fchampalimaud.org</t>
  </si>
  <si>
    <t>European Union Horizon 2020 research and innovation program [952159]; Fundacao para a Ciencia e a Tecnologia, Portugal, through the LASIGE Research Unit [UIDB/00408/2020, UIDP/00408/2020]</t>
  </si>
  <si>
    <t>European Union Horizon 2020 research and innovation program (Horizon 2020); Fundacao para a Ciencia e a Tecnologia, Portugal, through the LASIGE Research Unit</t>
  </si>
  <si>
    <t>Supported by European Union Horizon 2020 research and innovation program (grant no. 952159) . Partially supported by Fundacao para a Ciencia e a Tecnologia, Portugal, through the LASIGE Research Unit (UIDB/00408/2020) and UIDP/00408/2020. N.R. supported by PhD grant no. 10.54499/2021.05322.BD.</t>
  </si>
  <si>
    <t>[Rodrigues, Ana Carolina; de Almeida, Jose Guilherme; Rodrigues, Nuno; Moreno, Raquel; Verde, Ana Sofia Castro; Papanikolaou, Nikolaos] Champalimaud Fdn, Champalimaud Res, Computat Clin Imaging, Ave Brasilia, P-T1400038 Lisbon, Portugal; [Rodrigues, Ana Carolina] Univ Porto, Fac Med, Porto, Portugal; [Rodrigues, Nuno; Silva, Sara] Univ Lisbon, Fac Sci, LASIGE, Lisbon, Portugal; [Gaivao, Ana Mascarenhas; Bilreiro, Carlos; Santiago, Ines; Ip, Joana; Beliao, Sara] Champalimaud Fdn, Champalimaud Clin Ctr, Radiol Dept, Lisbon, Portugal; [Domingues, Ines] Inst Politecn Coimbra, Inst Super Engn, Coimbra, Portugal; [Domingues, Ines] Ctr Invest Inst Portugues Oncol Porto CI IPOP, Grp Fis Med Radiobiol &amp; Proteccao Radiol, P-4200072 Porto, Portugal; [Tsiknakis, Manolis; Marias, Konstantinos] FORTH, Inst Comp Sci, Computat Biomed Lab, Iraklion, Greece; [Regge, Daniele] FPO IRCCS, Candiolo Canc Inst, Turin, Italy</t>
  </si>
  <si>
    <t>Universidade do Porto; Universidade de Lisboa; Fundacao Champalimaud; Instituto Politecnico de Coimbra (IPC); Foundation for Research &amp; Technology - Hellas (FORTH); IRCCS Fondazione del Piemonte per l'Oncologia</t>
  </si>
  <si>
    <t>ProCAncer-I Consortium</t>
  </si>
  <si>
    <t>Improving Clinically Significant Prostate Cancer Detection with a Multimodal Machine Learning Approach: A Large-Scale Multicenter Study</t>
  </si>
  <si>
    <t>RADIOLOGY-IMAGING CANCER</t>
  </si>
  <si>
    <t>PI-RADS; RADIOMICS; SYSTEM; SCORE; BIAS</t>
  </si>
  <si>
    <t>Castro Verde, Ana Sofia/KCK-2099-2024; Bilreiro, Carlos/R-2768-2019; Tsiknakis, Manolis/Z-2114-2019; Marias, Kostas/AAM-2330-2021; Domingues, Inês/B-7335-2012; de Almeida, José Guilherme/G-1983-2018; Santiago, Inês/AAB-3129-2021; Rodrigues, Nuno/HJY-1088-2023</t>
  </si>
  <si>
    <t>Castro Verde, Ana Sofia/0000-0001-6729-5681; Bilreiro, Carlos/0000-0001-7755-0842; Roigues, Ana Carolina/0009-0006-3252-7343; Domingues, Inês/0000-0002-2334-7280; de Almeida, José Guilherme/0000-0002-1887-0157; Rao, Arjun/0009-0005-8378-3876</t>
  </si>
  <si>
    <t>2638-616X</t>
  </si>
  <si>
    <t>RADIOL-IMAG CANCER</t>
  </si>
  <si>
    <t>Radiology-Imaging Cancer</t>
  </si>
  <si>
    <t>e240507</t>
  </si>
  <si>
    <t>10.1148/rycan.240507</t>
  </si>
  <si>
    <t>http://dx.doi.org/10.1148/rycan.240507</t>
  </si>
  <si>
    <t>Oncology; Radiology, Nuclear Medicine &amp; Medical Imaging</t>
  </si>
  <si>
    <t>6HS8X</t>
  </si>
  <si>
    <t>40815224</t>
  </si>
  <si>
    <t>WOS:001553642600005</t>
  </si>
  <si>
    <t>He, QH; Tan, H; Xiao, BX; Peng, X; Peng, CJ; Tan, YW; Liu, YJ; Cao, YD; Lv, FJ; Zhao, WL; Yue, XF; He, WY; Xiao, MZ</t>
  </si>
  <si>
    <t>Precise survival risk stratification for bladder urothelial carcinoma (BUC) remains a clinical challenge. We developed and validated a multimodal AI agent that integrates textual, radiographic, and pathological data from 1185 patients across four medical centers to predict survival risk. The agent employs LLMs to standardize pathology reports, interactive deep learning networks for precise CT image segmentation, and extracts features from CT scans and whole slide images using CTVisionNet and MacroVisionNet. The multimodal fusion framework, MATCH-Net, integrates these features with microscopic pathology information and clinical text embeddings using a multi-head attention mechanism to generate a comprehensive prognostic score. In multi-center validation, MATCH-Net demonstrated robust performance (C-index ranging from 0.836 to 0.874) and effectively stratified patients into high- and low-risk groups, identifying potential candidates responsive to adjuvant chemotherapy. Furthermore, the framework enabled the quantification of novel, interpretable prognostic biomarkers and provides a reliable and clinically applicable solution for personalized BUC prognosis.</t>
  </si>
  <si>
    <t>He, Quanhao; Tan, Hao; Xiao, Bangxin; Peng, Xiang; Peng, Canjie; Tan, Yiwen; Liu, YingJia; Cao, Youde; Lv, Fa Jin; Zhao, Wenlong; Yue, Xiaofeng; He, Weiyang; Xiao, Mingzhao</t>
  </si>
  <si>
    <t>He, WY; Xiao, MZ (corresponding author), Chongqing Med Univ, Dept Urol, Affiliated Hosp 1, Chongqing, Peoples R China.; Zhao, WL (corresponding author), Chongqing Med Univ, Coll Artificial Intelligence Med, Chongqing, Peoples R China.; Zhao, WL (corresponding author), Chongqing Med Univ, Coll Biomed Engn, Chongqing, Peoples R China.; Yue, XF (corresponding author), Chongqing Med Univ, Dept Urol, Affiliated Hosp 3, Chongqing, Peoples R China.</t>
  </si>
  <si>
    <t>cqzhaowl@cqmu.edu.cn; weiyang361@163.com; 652282@hospital.cqmu.edu.cn; mingzhaoxiao@hospital.cqmu.edu.cn</t>
  </si>
  <si>
    <t>the Chongqing Municipal Education Commission's 14th Five-Year Key Discipline Support Project [No. 20240101]; Chongqing Municipal Education Commission's 14th Five-Year Key Discipline Support Project [No. 20240101]; Medical Health Care Ecosystem Innovation Team of the First Affiliated Hospital of Chongqing Medical University [CYYY-DSTDXM-202409]</t>
  </si>
  <si>
    <t>the Chongqing Municipal Education Commission's 14th Five-Year Key Discipline Support Project; Chongqing Municipal Education Commission's 14th Five-Year Key Discipline Support Project; Medical Health Care Ecosystem Innovation Team of the First Affiliated Hospital of Chongqing Medical University</t>
  </si>
  <si>
    <t>We acknowledge the support from the Medical Health Care Ecosystem Innovation Team of the First Affiliated Hospital of Chongqing Medical University (CYYY-DSTDXM-202409), the Postgraduate Education Reform Project of the First Affiliated Hospital of Chongqing Medical University (jgxm-202501), and the Chongqing Municipal Education Commission's 14th 5-year key discipline Support Project (No. 20240101). We thank all pathologists, radiologists, and related staff at the participating institutions for their assistance in data collection. Computing work was partly supported by the Supercomputing Center of Chongqing Medical University.</t>
  </si>
  <si>
    <t>[He, Quanhao; Tan, Hao; Xiao, Bangxin; Peng, Xiang; Peng, Canjie; He, Weiyang; Xiao, Mingzhao] Chongqing Med Univ, Dept Urol, Affiliated Hosp 1, Chongqing, Peoples R China; [Tan, Yiwen] Chongqing Med Univ, Dept Pathol, Affiliated Hosp 2, Chongqing, Peoples R China; [Liu, YingJia] Chongqing Med Univ, Dept Pathol, Yongchuan Hosp, Chongqing, Peoples R China; [Cao, Youde] Chongqing Med Univ, Coll Basic Med, Dept Pathol, Chongqing, Peoples R China; [Cao, Youde] Chongqing Med Univ, Dept Clin Pathololgy, Lab Pathol, Diagnost Ctr, Chongqing, Peoples R China; [Cao, Youde] Chongqing Med Univ, Mol Med Diagnost &amp; Testing Ctr, Chongqing, Peoples R China; [Lv, Fa Jin] First Affiliated Hosp Chongqing Med Univ, Dept Radiol, Chongqing, Peoples R China; [Zhao, Wenlong] Chongqing Med Univ, Coll Artificial Intelligence Med, Chongqing, Peoples R China; [Zhao, Wenlong] Chongqing Med Univ, Coll Biomed Engn, Chongqing, Peoples R China; [Yue, Xiaofeng] Chongqing Med Univ, Dept Urol, Affiliated Hosp 3, Chongqing, Peoples R China</t>
  </si>
  <si>
    <t>Chongqing Medical University; Chongqing Medical University; Chongqing Medical University; Chongqing Medical University; Chongqing Medical University; Chongqing Medical University; Chongqing Medical University; Chongqing Medical University; Chongqing Medical University; Chongqing Medical University</t>
  </si>
  <si>
    <t>Development and validation of a multimodal AI-agent system for prognosis analysis of bladder urothelial carcinoma</t>
  </si>
  <si>
    <t>NPJ PRECISION ONCOLOGY</t>
  </si>
  <si>
    <t>FOUNDATION MODEL; CANCER</t>
  </si>
  <si>
    <t>2397-768X</t>
  </si>
  <si>
    <t>NPJ PRECIS ONCOL</t>
  </si>
  <si>
    <t>npj Precis. Oncol.</t>
  </si>
  <si>
    <t>APR 14 2026</t>
  </si>
  <si>
    <t>223</t>
  </si>
  <si>
    <t>10.1038/s41698-026-01415-z</t>
  </si>
  <si>
    <t>http://dx.doi.org/10.1038/s41698-026-01415-z</t>
  </si>
  <si>
    <t>JO1XT</t>
  </si>
  <si>
    <t>41981218</t>
  </si>
  <si>
    <t>WOS:001793988900001</t>
  </si>
  <si>
    <t>Dasanayaka, C; Dandeniya, K; Dissanayake, MB; Gunasena, C; Jayasinghe, R</t>
  </si>
  <si>
    <t>Access to high-quality dental healthcare remains a challenge in many countries due to limited resources, lack of trained professionals, and time-consuming report generation tasks. An intelligent clinical decision support system (ICDSS), which can make informed decisions based on past data, is an innovative solution to address these shortcomings while improving continuous patient support in dental healthcare. This study proposes a viable solution with the aid of multimodal artificial intelligence (AI) and large language models (LLMs), focusing on their application for generating orthopantomography radiology reports and answering questions in the dental domain. This work also discusses efficient adaptation methods of LLMs for specific language and application domains. The proposed system primarily consists of a Blip-2-based caption generator tuned on DPT images followed by a Llama 3 8B based LLM for radiology report generation. The performance of the entire system is evaluated in two ways. The diagnostic performance of the system achieved an overall accuracy of 81.3%, with specific detection rates of 87.9% for dental caries, 89.7% for impacted teeth, 88% for bone loss, and 81.8% for periapical lesions. Subjective evaluation of AI-generated radiology reports by certified dental professionals demonstrates an overall accuracy score of 7.5 out of 10. In addition, the proposed solution includes a question-answering platform in the native Sinhala language, alongside the English language, designed to function as a chatbot for dental-related queries. We hope that this platform will eventually bridge the gap between dental services and patients, created due to a lack of human resources. Overall, our proposed solution creates new opportunities for LLMs in healthcare by introducing a robust end-to-end system for the automated generation of dental radiology reports and enhancing patient interaction and awareness.</t>
  </si>
  <si>
    <t>Dasanayaka, Chirath; Dandeniya, Kanishka; Dissanayake, Maheshi B.; Gunasena, Chandira; Jayasinghe, Ruwan</t>
  </si>
  <si>
    <t>Dissanayake, MB (corresponding author), Univ Peradeniya, Fac Engn, Dept Elect &amp; Elect Engn, Peradeniya 20400, Sri Lanka.</t>
  </si>
  <si>
    <t>kanishka.d@eng.pdn.ac.lk; ruwanja@dental.pdn.ac.lk; chandirag@dental.pdn.ac.lk; chirath.dasanayaka@eng.pdn.ac.lk; maheshid@eng.pdn.ac.lk</t>
  </si>
  <si>
    <t>[Dasanayaka, Chirath; Dandeniya, Kanishka; Dissanayake, Maheshi B.] Univ Peradeniya, Fac Engn, Dept Elect &amp; Elect Engn, Peradeniya 20400, Sri Lanka; [Gunasena, Chandira; Jayasinghe, Ruwan] Univ Peradeniya, Fac Dent Sci, Peradeniya 20400, Sri Lanka</t>
  </si>
  <si>
    <t>University of Peradeniya; University of Peradeniya</t>
  </si>
  <si>
    <t>Multimodal AI and Large Language Models for Orthopantomography Radiology Report Generation and Q&amp;A</t>
  </si>
  <si>
    <t>APPLIED SYSTEM INNOVATION</t>
  </si>
  <si>
    <t>dental healthcare; large language models; vision language models; Blip-2; Llama-3; multimodal AI; instruction tuning</t>
  </si>
  <si>
    <t>Dissanayake, Maheshi/Y-1565-2019; Jayasinghe, Ruwan/AAW-1160-2021</t>
  </si>
  <si>
    <t>Dissanayake, Maheshi/0000-0001-5209-5441; Jayasinghe, Ruwan/0000-0002-8054-4301; Dandeniya, Kanishka/0000-0002-2910-2145; Dasanayaka, Chirath/0000-0003-3425-4554</t>
  </si>
  <si>
    <t>56</t>
  </si>
  <si>
    <t>2571-5577</t>
  </si>
  <si>
    <t>APPL SYST INNOV</t>
  </si>
  <si>
    <t>Appl. Syst. Innov.</t>
  </si>
  <si>
    <t>MAR 17 2025</t>
  </si>
  <si>
    <t>10.3390/asi8020039</t>
  </si>
  <si>
    <t>http://dx.doi.org/10.3390/asi8020039</t>
  </si>
  <si>
    <t>1VY0K</t>
  </si>
  <si>
    <t>WOS:001474932400001</t>
  </si>
  <si>
    <t>Peng, ZY; Ma, RQ; Zhang, YH; Yan, MX; Lu, J; Cheng, Q; Liao, JJ; Zhang, YQ; Wang, JH; Zhao, Y; Zhu, J; Qin, B; Jiang, Q; Shi, F; Qian, J; Chen, XJ; Zhao, C</t>
  </si>
  <si>
    <t>Introduction: Artificial intelligence (AI) technology has made rapid progress for disease diagnosis and triage. In the field of ophthalmic diseases, image-based diagnosis has achieved high accuracy but still encounters limitations due to the lack of medical history. The emergence of ChatGPT enables human-computer interaction, allowing for the development of a multimodal AI system that integrates interactive text and image information.Objective: To develop a multimodal AI system using ChatGPT and anterior segment images for diagnosing and triaging ophthalmic diseases. To assess the AI system's performance through a two-stage cross-sectional study, starting with silent evaluation and followed by early clinical evaluation in outpatient clinics.Methods and analysis: Our study will be conducted across three distinct centers in Shanghai, Nanjing, and Suqian. The development of the smartphone-based multimodal AI system will take place in Shanghai with the goal of achieving &gt;= 90% sensitivity and &gt;= 95% specificity for diagnosing and triaging ophthalmic diseases. The first stage of the cross-sectional study will explore the system's performance in Shanghai's outpatient clinics. Medical histories will be collected without patient interaction, and anterior segment images will be captured using slit lamp equipment. This stage aims for &gt;= 85% sensitivity and &gt;= 95% specificity with a sample size of 100 patients. The second stage will take place at three locations, with Shanghai serving as the internal validation dataset, and Nanjing and Suqian as the external validation dataset. Medical history will be collected through patient interviews, and anterior segment images will be captured via smartphone devices. An expert panel will establish reference standards and assess AI accuracy for diagnosis and triage throughout all stages. A one-vs.-rest strategy will be used for data analysis, and a post-hoc power calculation will be performed to evaluate the impact of disease types on AI performance.Discussion: Our study may provide a user-friendly smartphone-based multimodal AI system for diagnosis and triage of ophthalmic diseases. This innovative system may support early detection of ocular abnormalities, facilitate establishment of a tiered healthcare system, and reduce the burdens on tertiary facilities.</t>
  </si>
  <si>
    <t>Peng, Zhiyu; Ma, Ruiqi; Zhang, Yihan; Yan, Mingxu; Lu, Jie; Cheng, Qian; Liao, Jingjing; Zhang, Yunqiu; Wang, Jinghan; Zhao, Yue; Zhu, Jiang; Qin, Bing; Jiang, Qin; Shi, Fei; Qian, Jiang; Chen, Xinjian; Zhao, Chen</t>
  </si>
  <si>
    <t>Qian, J; Zhao, C (corresponding author), Fudan Eye &amp; ENT Hosp, Dept Ophthalmol, Shanghai, Peoples R China.; Qian, J; Zhao, C (corresponding author), Chinese Acad Med Sci, Lab Myopia, Shanghai, Peoples R China.; Qian, J; Zhao, C (corresponding author), Fudan Univ, NHC Key Lab Myopia, Shanghai, Peoples R China.; Shi, F; Chen, XJ (corresponding author), Soochow Univ, Sch Elect &amp; Informat Engn, Med Image Proc Anal &amp; Visualizat MIVAP Lab, Suzhou, Peoples R China.; Chen, XJ (corresponding author), Soochow Univ, State Key Lab Radiat Med &amp; Protect, Suzhou, Peoples R China.</t>
  </si>
  <si>
    <t>dr_zhaochen@fudan.edu.cn; shifei@suda.edu.cn; xjchen@suda.edu.cn; qianjiang@fudan.edu.cn</t>
  </si>
  <si>
    <t>National Natural Science Foundation of China [82371101, 82000940, 81970835, 81800867, 82020108006, 81730025]; Natural Science Foundation of Shanghai [20ZR1409500]; Excellent Academic Leaders of Shanghai [18XD1401000]; Open Research Funds of the State Key Laboratory of Ophthalmology, Zhongshan Ophthalmic Center, Sun Yat-sen University [303060202400375]</t>
  </si>
  <si>
    <t>National Natural Science Foundation of China (National Natural Science Foundation of China (NSFC)); Natural Science Foundation of Shanghai (Natural Science Foundation of Shanghai); Excellent Academic Leaders of Shanghai; Open Research Funds of the State Key Laboratory of Ophthalmology, Zhongshan Ophthalmic Center, Sun Yat-sen University</t>
  </si>
  <si>
    <t>The author(s) declare financial support was received for the research, authorship, and/or publication of this article. This work was supported by the National Natural Science Foundation of China (Grant Numbers 82371101, 82000940, 81970835, 81800867, 82020108006, and 81730025), the Natural Science Foundation of Shanghai (Grant Number 20ZR1409500), Excellent Academic Leaders of Shanghai (Grant Number 18XD1401000); The Open Research Funds of the State Key Laboratory of Ophthalmology, Zhongshan Ophthalmic Center, Sun Yat-sen University (Grant Number 303060202400375).</t>
  </si>
  <si>
    <t>[Peng, Zhiyu; Ma, Ruiqi; Zhang, Yihan; Yan, Mingxu; Lu, Jie; Wang, Jinghan; Qian, Jiang; Zhao, Chen] Fudan Eye &amp; ENT Hosp, Dept Ophthalmol, Shanghai, Peoples R China; [Peng, Zhiyu] Zhejiang Univ, Sch Med, Affiliated Hosp 1, Dept Ophthalmol, Hangzhou, Zhejiang, Peoples R China; [Peng, Zhiyu; Ma, Ruiqi; Zhang, Yihan; Yan, Mingxu; Lu, Jie; Wang, Jinghan; Qian, Jiang; Zhao, Chen] Chinese Acad Med Sci, Lab Myopia, Shanghai, Peoples R China; [Peng, Zhiyu; Ma, Ruiqi; Zhang, Yihan; Yan, Mingxu; Lu, Jie; Wang, Jinghan; Qian, Jiang; Zhao, Chen] Fudan Univ, NHC Key Lab Myopia, Shanghai, Peoples R China; [Yan, Mingxu] Fudan Univ, Sch Basic Med Sci, Shanghai, Peoples R China; [Lu, Jie; Zhang, Yunqiu] Fudan Univ, Sch Publ Hlth, Shanghai, Peoples R China; [Cheng, Qian; Liao, Jingjing; Shi, Fei; Chen, Xinjian] Soochow Univ, Sch Elect &amp; Informat Engn, Med Image Proc Anal &amp; Visualizat MIVAP Lab, Suzhou, Peoples R China; [Zhao, Yue; Jiang, Qin] Nanjing Med Univ, Affiliated Eye Hosp, Nanjing, Peoples R China; [Zhu, Jiang; Qin, Bing] Suqian First Hosp, Dept Ophthalmol, Suqian, Peoples R China; [Jiang, Qin] Nanjing Med Univ, Sch Clin Med 4, Nanjing, Peoples R China; [Chen, Xinjian] Soochow Univ, State Key Lab Radiat Med &amp; Protect, Suzhou, Peoples R China</t>
  </si>
  <si>
    <t>Zhejiang University; Chinese Academy of Medical Sciences - Peking Union Medical College; Fudan University; Fudan University; Fudan University; Soochow University - China; Nanjing Medical University; Nanjing Medical University; Soochow University - China</t>
  </si>
  <si>
    <t>Development and evaluation of multimodal AI for diagnosis and triage of ophthalmic diseases using ChatGPT and anterior segment images: protocol for a two-stage cross-sectional study</t>
  </si>
  <si>
    <t>multimodal AI; ophthalmic diseases; ChatGPT; anterior segment images; cross-sectional study; protocol; prompt engineering</t>
  </si>
  <si>
    <t>Peng, Zhiyu/GXV-5301-2022; Zhao, Chen/AAD-6134-2021</t>
  </si>
  <si>
    <t>Lu, Jie/0009-0008-4553-8118</t>
  </si>
  <si>
    <t>DEC 8 2023</t>
  </si>
  <si>
    <t>1323924</t>
  </si>
  <si>
    <t>10.3389/frai.2023.1323924</t>
  </si>
  <si>
    <t>http://dx.doi.org/10.3389/frai.2023.1323924</t>
  </si>
  <si>
    <t>CY4C7</t>
  </si>
  <si>
    <t>38145231</t>
  </si>
  <si>
    <t>WOS:001128769800001</t>
  </si>
  <si>
    <t>Jung, HJ; Ju, DY; Kim, C; Hwang, SJ; Lee, C; Park, Y</t>
  </si>
  <si>
    <t>Early diagnosis of temporomandibular disorders is challenging. Particularly, intra-articular temporomandibular joint (TMJ) abnormalities can only be confirmed using magnetic resonance imaging (MRI). This study aimed to develop a comprehensive screening method for MRI-detectable TMJ pathologies. We developed an interpretable deep learning framework that leveraged paired open- and closed-mouth TMJ panoramic radiographs and structured clinical metadata. The architecture integrated anatomically guided attention, multimodal clinical features, and ensemble learning for enhanced diagnostic accuracy and interpretability. Across 1355 patients (2710 joints), the best-performing ensemble framework achieved an area under the curve of 0.86, with a balanced classification of MRI-negative and -positive cases. Gradient-weighted Class Activation Mapping visualizations confirmed a consistent focus on the condylar regions, and ablation studies demonstrated the added value of clinical metadata and spatial attention. In conclusion, our prototype workflow can be useful to triage TMJ patients for MRI referral, thus supporting early detection of TMJ abnormalities and timely interventions.</t>
  </si>
  <si>
    <t>Jung, Hyo-Jung; Ju, Dayun; Kim, Chanyoung; Hwang, Seong Jae; Lee, Chena; Park, Younjung</t>
  </si>
  <si>
    <t>Park, Y (corresponding author), Yonsei Univ, Coll Dent, Dept Orofacial Pain &amp; Oral Med, Seoul, South Korea.; Park, Y (corresponding author), Yonsei Univ, Inst Innovat Digital Healthcare, Seoul, South Korea.</t>
  </si>
  <si>
    <t>darkstar@yuhs.ac</t>
  </si>
  <si>
    <t>National Research Foundation of Korea [RS-2023-00241352]</t>
  </si>
  <si>
    <t>National Research Foundation of Korea (National Research Foundation of Korea)</t>
  </si>
  <si>
    <t>This research was supported by the Basic Science Research Program of the National Research Foundation (NRF) of Korea funded by the Ministry of Education (No. RS-2023-00241352) and by the Yonsei University College of Dentistry Fund (No. 6-2023-0062).</t>
  </si>
  <si>
    <t>[Jung, Hyo-Jung; Park, Younjung] Yonsei Univ, Coll Dent, Dept Orofacial Pain &amp; Oral Med, Seoul, South Korea; [Jung, Hyo-Jung; Lee, Chena] Yonsei Univ, Oral Sci Res Inst, Seoul, South Korea; [Ju, Dayun; Kim, Chanyoung; Hwang, Seong Jae] Yonsei Univ, Dept Artificial Intelligence, Coll Comp, Seoul, South Korea; [Lee, Chena] Yonsei Univ, Coll Dent, Dept Oral &amp; Maxillofacial Radiol, Seoul, South Korea; [Park, Younjung] Yonsei Univ, Inst Innovat Digital Healthcare, Seoul, South Korea</t>
  </si>
  <si>
    <t>Yonsei University; Yonsei University Health System; Yonsei University; Yonsei University; Yonsei University; Yonsei University Health System; Yonsei University</t>
  </si>
  <si>
    <t>Multimodal deep learning with anatomically constrained attention for screening MRI-detectable TMJ abnormalities from panoramic images</t>
  </si>
  <si>
    <t>TEMPOROMANDIBULAR-JOINT DISORDERS; DIAGNOSTIC-CRITERIA; RDC/TMD; RELIABILITY; SIGNS</t>
  </si>
  <si>
    <t>Park, Younjung/HDM-6468-2022; Jung, Hyojung/PLC-5726-2026</t>
  </si>
  <si>
    <t>Park, Younjung/0000-0002-9152-7849; Lee, Chena/0000-0002-8943-4192</t>
  </si>
  <si>
    <t>JAN 23 2026</t>
  </si>
  <si>
    <t>189</t>
  </si>
  <si>
    <t>10.1038/s41746-026-02378-y</t>
  </si>
  <si>
    <t>http://dx.doi.org/10.1038/s41746-026-02378-y</t>
  </si>
  <si>
    <t>ED1QN</t>
  </si>
  <si>
    <t>41577795</t>
  </si>
  <si>
    <t>WOS:001698260500001</t>
  </si>
  <si>
    <t>Tonekaboni, S; Friedman, SF; Zhang, XY; Maddah, M; Uhler, C</t>
  </si>
  <si>
    <t>Modern medicine increasingly relies on multimodal data, ranging from clinical notes to imaging and genomics, to guide diagnosis and treatment. However, integrating these heterogeneous data sources in a principled and interpretable manner remains a major challenge. We present MODES (Multi-mOdal Disentangled Embedding Space), a representation fusion framework that explicitly separates shared and modality-specific factors of variation, offering a structured latent space for multimodal information that improves both prediction and interpretability. By leveraging pre-trained unimodal foundation models, MODES mitigates the dependency on extensive paired datasets, crucial in data-scarce clinical settings. We introduce a masking strategy that optimizes representation dimensionality by eliminating low-information dimensions, to achieve compact, information-rich representations. Our framework demonstrates superior performance in predicting diagnoses and phenotypes compared to unimodal and conventional fusion models. MODES also enables robust diagnostic inference in missing data scenarios, offering an opportunity toward interpretable and efficient multimodal diagnostics in personalized healthcare.</t>
  </si>
  <si>
    <t>Tonekaboni, Sana; Friedman, Sam Freesun; Zhang, Xinyi; Maddah, Mahnaz; Uhler, Caroline</t>
  </si>
  <si>
    <t>Tonekaboni, S; Uhler, C (corresponding author), Broad Inst MIT &amp; Harvard, Eric &amp; Wendy Schmidt Ctr, Cambridge, MA 02139 USA.; Tonekaboni, S (corresponding author), Broad Inst MIT &amp; Harvard, Data Sci Platform, Cambridge, MA 02142 USA.; Uhler, C (corresponding author), MIT, Lab Informat &amp; Decis Syst, Cambridge, MA 02142 USA.</t>
  </si>
  <si>
    <t>cuhler@mit.edu; stonekab@broadinstitute.org</t>
  </si>
  <si>
    <t>U.S. Department of Energy [DE-SC0023187]; Simons Foundation [Simons Investigator Award]; NCCIH/NIH [1DP2AT012345]; Eric and Wendy Schmidt Center, Broad Institute; Office of Naval Research [N00014-22-1-2116 and N00014-24-1-2687]; U.S. Department of Energy (DOE) [DE-SC0023187] Funding Source: U.S. Department of Energy (DOE)</t>
  </si>
  <si>
    <t>U.S. Department of Energy (United States Department of Energy (DOE)); Simons Foundation (Simons Foundation); NCCIH/NIH; Eric and Wendy Schmidt Center, Broad Institute; Office of Naval Research (United States Department of Defense, United States Navy, Office of Naval Research); U.S. Department of Energy (DOE) (United States Department of Energy (DOE))</t>
  </si>
  <si>
    <t>S.T. and X.Z. were supported by Fellowships from the Eric and Wendy Schmidt Center at the Broad institute of MIT and Harvard, C.U. was partially supported by NCCIH/NIH (1DP2AT012345), ONR (N00014-22-1-2116 and N00014-24-1-2687), the United States Department of Energy (DE-SC0023187), the Eric and Wendy Schmidt Center at the Broad Institute, and a Simons Investigator Award. M.M. was partially supported by grants from the National Institutes of Health (3OT2OD035404-01S3, 1R01NS134597, and 1UG3HG014379-01) and from the American Heart Association (961045). S.F. was partially supported by grants from the NIH 3OT2OD035404-01S3 and 1UG3HG014379-01. We thank Dr. Elvira Forte for editing the manuscript.</t>
  </si>
  <si>
    <t>[Tonekaboni, Sana; Friedman, Sam Freesun; Zhang, Xinyi; Uhler, Caroline] Broad Inst MIT &amp; Harvard, Eric &amp; Wendy Schmidt Ctr, Cambridge, MA 02139 USA; [Tonekaboni, Sana; Friedman, Sam Freesun; Maddah, Mahnaz] Broad Inst MIT &amp; Harvard, Data Sci Platform, Cambridge, MA 02142 USA; [Zhang, Xinyi; Uhler, Caroline] MIT, Lab Informat &amp; Decis Syst, Cambridge, MA 02142 USA</t>
  </si>
  <si>
    <t>Harvard University; Broad Institute; Massachusetts Institute of Technology (MIT); Broad Institute; Harvard University; Broad Institute; Massachusetts Institute of Technology (MIT); Broad Institute; Massachusetts Institute of Technology (MIT)</t>
  </si>
  <si>
    <t>A Representation Fusion Framework for Decoupling Diagnostic Information in Multimodal Learning</t>
  </si>
  <si>
    <t>Zhang, Xinyi/AAJ-4858-2021</t>
  </si>
  <si>
    <t>Zhang, Xinyi/0000-0003-4996-4698</t>
  </si>
  <si>
    <t>DEC 17 2025</t>
  </si>
  <si>
    <t>765</t>
  </si>
  <si>
    <t>10.1038/s41746-025-02144-6</t>
  </si>
  <si>
    <t>http://dx.doi.org/10.1038/s41746-025-02144-6</t>
  </si>
  <si>
    <t>X9294</t>
  </si>
  <si>
    <t>41408105</t>
  </si>
  <si>
    <t>WOS:001641099400002</t>
  </si>
  <si>
    <t>Qu, LH; Zhang, CS; Hou, YY; Tang, F; Sheng, WQ; Huang, D; Song, ZJ</t>
  </si>
  <si>
    <t>Accurate prognostic prediction for colorectal cancer is essential for optimizing personalized treatment strategies and improving patient outcomes. Current unimodal approaches encounter significant limitations in effectively leveraging multimodal data and confront challenges with the issue of missing modalities. A novel multimodal deep learning framework named FLARE, which integrates pathological images, radiological imaging, and clinical text reports, is introduced to provide accurate risk assessments for colorectal cancer survival and progression. FLARE employs foundation models to achieve efficient feature extraction, utilizes an attention-based multi-branch framework to enhance synergy and distinctiveness across modalities, and incorporates a diversity-promoting loss function. To address the issue of incomplete data, FLARE integrates modality and missing-aware prompts, pseudo embeddings, and a modality-level augmentation strategy, thereby effectively mitigating potential performance degradation. The performance of FLARE is retrospectively assessed using a dataset of 1679 colorectal cancer patients from four independent clinical centers. Its superior prognostic capability is demonstrated through Kaplan-Meier analysis and the concordance index. FLARE effectively stratified patients into high- and low-risk groups. It achieved the highest concordance index across all validation cohorts, significantly outperforming traditional clinical models and existing multimodal methods, thereby highlighting its robust generalizability. Interpretability was enhanced by the comprehensive analyses of clinical factors, immune infiltration patterns, and gene pathways, as well as visualizations of feature importance across multiple modalities. In summary, FLARE establishes a comprehensive and robust framework for multimodal deep learning in medical prognostics, providing an advanced Artificial intelligence, Multimodal Deep Learning, Prognosis prediction, colorectal cancer, foundation modeltool for precision cancer prognosis and intelligent diagnosis.</t>
  </si>
  <si>
    <t>Qu, Linhao; Zhang, Chengsheng; Hou, Yingyong; Tang, Feng; Sheng, Weiqi; Huang, Dan; Song, Zhijian</t>
  </si>
  <si>
    <t>Song, ZJ (corresponding author), Fudan Univ, Digital Med Res Ctr, Sch Basic Med Sci, Shanghai, Peoples R China.; Song, ZJ (corresponding author), Shanghai Key Lab Med Imaging Comp &amp; Comp Assisted, Shanghai, Peoples R China.; Huang, D (corresponding author), Fudan Univ, Dept Pathol, Shanghai Canc Ctr, Shanghai, Peoples R China.; Huang, D (corresponding author), Fudan Univ, Shanghai Med Coll, Dept Oncol, Shanghai, Peoples R China.; Song, ZJ (corresponding author), Fudan Univ, Zhongshan Hosp, Dept Rheumatol, Shanghai, Peoples R China.</t>
  </si>
  <si>
    <t>zjsong@fudan.edu.cn; Danhuang@shca.org.cn</t>
  </si>
  <si>
    <t>National Natural Science Foundation of China [82372097]</t>
  </si>
  <si>
    <t>L.H.Q. conceived the study and designed the experiments. D.H., Y.Y.H., F.T., W.Q.S., and L.H.Q. performed data collection and processing. L.H.Q. performed model development. L.H.Q., C.S.Z., and D.H. performed experimental analyses and interpreted the results. D.H. and Z.J.S. provided feedback on the analysis. L.H.Q. and C.S.Z. prepared the manuscript. L.H.Q., D.H., and Z.J.S. revised the manuscript. Z.J.S. supervised the research. This work was supported by the National Natural Science Foundation of China under Grant 82372097.</t>
  </si>
  <si>
    <t>[Qu, Linhao; Zhang, Chengsheng; Song, Zhijian] Fudan Univ, Digital Med Res Ctr, Sch Basic Med Sci, Shanghai, Peoples R China; [Qu, Linhao; Zhang, Chengsheng; Song, Zhijian] Shanghai Key Lab Med Imaging Comp &amp; Comp Assisted, Shanghai, Peoples R China; [Hou, Yingyong] Fudan Univ, Zhongshan Hosp, Dept Pathol, Shanghai, Peoples R China; [Tang, Feng] Fudan Univ, Huashan Hosp, Dept Pathol, Shanghai, Peoples R China; [Sheng, Weiqi; Huang, Dan] Fudan Univ, Dept Pathol, Shanghai Canc Ctr, Shanghai, Peoples R China; [Sheng, Weiqi; Huang, Dan] Fudan Univ, Shanghai Med Coll, Dept Oncol, Shanghai, Peoples R China; [Song, Zhijian] Fudan Univ, Zhongshan Hosp, Dept Rheumatol, Shanghai, Peoples R China</t>
  </si>
  <si>
    <t>Fudan University; Fudan University; Fudan University; Fudan University; Fudan University</t>
  </si>
  <si>
    <t>Foundation Model-Enabled Multimodal Deep Learning for Prognostic Prediction in Colorectal Cancer with Incomplete Modalities: A Multi-Institutional Retrospective Study</t>
  </si>
  <si>
    <t>artificial intelligence; colorectal cancer; foundation model; multimodal deep learning; prognosis prediction</t>
  </si>
  <si>
    <t>DATA INTEGRATION; EOSINOPHILS; SURVIVAL</t>
  </si>
  <si>
    <t>Sheng, Weiqi/GXF-1216-2022</t>
  </si>
  <si>
    <t>10.1002/advs.202510931</t>
  </si>
  <si>
    <t>http://dx.doi.org/10.1002/advs.202510931</t>
  </si>
  <si>
    <t>FK6AU</t>
  </si>
  <si>
    <t>41556415</t>
  </si>
  <si>
    <t>WOS:001664846200001</t>
  </si>
  <si>
    <t>van Rijswijk, RE; Bogdanovic, M; Roy, J; Yeung, KK; Zeebregts, CJ; Geelkerken, RH; Jebbink, EG; Wolterink, JM; Reijnen, MMPJ; RADAR Consortium</t>
  </si>
  <si>
    <t>Purpose: The goal of the study described in this protocol is to build a multimodal artificial intelligence (AI) model to predict abdominal aortic aneurysm (AAA) shrinkage 1 year after endovascular aneurysm repair (EVAR). Methods: In this retrospective observational multicenter study, approximately 1000 patients will be enrolled from hospital records of 5 experienced vascular centers. Patients will be included if they underwent elective EVAR for infrarenal AAA with initial assisted technical success and had imaging available of the same modality preoperatively and at 1-year follow-up (CTA-CTA or US-US). Data collection will include baseline and vascular characteristics, medication use, procedural data, preoperative and postoperative imaging data, follow-up data, and complications. Proposed Analyses: The cohort will be stratified into 3 groups of AAA remodeling based on the maximum AAA diameter difference between the preoperative and 1-year postoperative moment. Patients with a diameter reduction of &gt;= 5 mm will be assigned to the AAA shrinkage group, cases with an increase of &gt;= 5 mm will be assigned to the AAA growth group, and patients with a diameter increase or reduction of &lt;5 mm will be assigned to the stable AAA group. Furthermore, an additional fourth group will include all patients who underwent an AAA-related reintervention within the first year after EVAR, because both the complication and the reintervention might have influenced the state of AAA remodeling at 1 year. The preoperative and postoperative CTA scans will be used for anatomical AAA analysis and biomechanical assessment through semi-automatic segmentation and finite element analysis. All collected clinical, biomechanical, and imaging data will be used to create an AI prediction model for AAA shrinkage. Explainable AI techniques will be used to identify the most descriptive input features in the model. Predicting factors resulting from the AI model will be compared with conventional univariate and multivariate logistic regression analyses to find the best model for the prediction of AAA shrinkage. The study is registered at www.clinicaltrials.gov under the registration number NCT06250998. Clinical Impact This study aims to develop a robust and high-performance AI model for predicting AAA shrinkage one-year after EVAR, with great potential for optimizing both EVAR treatment and follow-up. The model can identify cases with an initially lower chance of early AAA shrinkage, in whom EVAR-treatment could be tailored by including additional preoperative coil embolization, active sac management and/or postoperative tranexamic acid therapy, which have shown to promote AAA shrinkage rate but are too complex and costly to perform in all patients. The model could aid in stratification of post-EVAR surveillance based on the patient's individual risk and possibly decrease follow-up for the 40-50% of patients who will experience AAA sac shrinkage. Overall, the AI prediction model is expected to improve patient survival and decrease the number of reinterventions after EVAR and associated healthcare costs.</t>
  </si>
  <si>
    <t>van Rijswijk, Rianne E.; Bogdanovic, Marko; Roy, Joy; Yeung, Kak Khee; Zeebregts, Clark J.; Geelkerken, Robert H.; Jebbink, Erik Groot; Wolterink, Jelmer M.; Reijnen, Michel M. P. J.; RADAR Consortium</t>
  </si>
  <si>
    <t>van Rijswijk, RE (corresponding author), Rijnstate, Dept Vasc Surg, Arnhem, Netherlands.; van Rijswijk, RE (corresponding author), Univ Twente, Tech Med Ctr, Multimodal Med Imaging Grp, Enschede, Netherlands.</t>
  </si>
  <si>
    <t>r.e.vanrijswijk@gmail.com</t>
  </si>
  <si>
    <t>Stichting Lijf en Leven [71]; W.L. Gore Associates</t>
  </si>
  <si>
    <t>Stichting Lijf en Leven; W.L. Gore Associates</t>
  </si>
  <si>
    <t>The author(s) disclosed receipt of the following financial support for the research, authorship, and/or publication of this article: The research of this article was supported by Stichting Lijf en Leven [project number 71]. KK Yeung received an unrestricted research grant from W.L. Gore &amp; Associates on this subject.</t>
  </si>
  <si>
    <t>[van Rijswijk, Rianne E.; Jebbink, Erik Groot; Reijnen, Michel M. P. J.] Rijnstate, Dept Vasc Surg, Arnhem, Netherlands; [van Rijswijk, Rianne E.; Geelkerken, Robert H.; Jebbink, Erik Groot; Reijnen, Michel M. P. J.] Univ Twente, Tech Med Ctr, Multimodal Med Imaging Grp, Enschede, Netherlands; [Bogdanovic, Marko; Roy, Joy] Karolinska Inst, Dept Mol Med &amp; Surg, Stockholm, Sweden; [Bogdanovic, Marko; Roy, Joy] Karolinska Univ Hosp, Dept Vasc Surg, Stockholm, Sweden; [Yeung, Kak Khee] Vrije Univ Amsterdam, Amsterdam Univ Med Ctr, Dept Surg, Amsterdam Cardiovasc Sci, Amsterdam, Netherlands; [Zeebregts, Clark J.] Univ Med Ctr Groningen, Dept Surg, Div Vasc Surg, Groningen, Netherlands; [Geelkerken, Robert H.] Med Spectrum Twente, Dept Vasc Surg, Enschede, Netherlands; [Wolterink, Jelmer M.] Univ Twente, Tech Med Ctr, Dept Appl Math, Enschede, Netherlands</t>
  </si>
  <si>
    <t>Rijnstate Hospital; University of Twente; Karolinska Institutet; Karolinska Institutet; Karolinska University Hospital; Vrije Universiteit Amsterdam; University of Groningen; Medical Spectrum Twente; University of Twente</t>
  </si>
  <si>
    <t>Multimodal Artificial Intelligence Model for Prediction of Abdominal Aortic Aneurysm Shrinkage After Endovascular Repair (the ART in EVAR study)</t>
  </si>
  <si>
    <t>JOURNAL OF ENDOVASCULAR THERAPY</t>
  </si>
  <si>
    <t>abdominal aortic aneurysm; endovascular aneurysm repair; aneurysm sac; biomechanics; artificial intelligence; prediction model; aneurysm remodeling</t>
  </si>
  <si>
    <t>SAC SHRINKAGE; REGRESSION</t>
  </si>
  <si>
    <t>van Rijswijk, Rianne/JSK-4349-2023; Wolterink, Jelmer/K-1242-2019; Yeung, Kak/J-4814-2014; Geelkerken, R./AAF-7404-2019</t>
  </si>
  <si>
    <t>Groot Jebbink, Erik/0000-0001-7041-8603; van Rijswijk, Rianne/0000-0001-5532-203X; Wolterink, Jelmer/0000-0001-5505-475X</t>
  </si>
  <si>
    <t>1526-6028</t>
  </si>
  <si>
    <t>1545-1550</t>
  </si>
  <si>
    <t>J ENDOVASC THER</t>
  </si>
  <si>
    <t>J. Endovascular Ther.</t>
  </si>
  <si>
    <t>10.1177/15266028251314359</t>
  </si>
  <si>
    <t>http://dx.doi.org/10.1177/15266028251314359</t>
  </si>
  <si>
    <t>Surgery; Peripheral Vascular Disease</t>
  </si>
  <si>
    <t>Surgery; Cardiovascular System &amp; Cardiology</t>
  </si>
  <si>
    <t>U3Q3H</t>
  </si>
  <si>
    <t>39882767</t>
  </si>
  <si>
    <t>WOS:001410976300001</t>
  </si>
  <si>
    <t>Muhtadi, S; Gallippi, CM</t>
  </si>
  <si>
    <t>Purpose: We propose and evaluate multimodal deep learning (DL) approaches that combine ultrasound (US) B-mode and Nakagami parametric images for breast tumor classification. It is hypothesized that integrating tissue brightness information from B-mode images with scattering properties from Nakagami images will enhance diagnostic performance compared with single-input approaches. Approach: An EfficientNetV2B0 network was used to develop multimodal DL frameworks that took as input (i) numerical two-dimensional (2D) maps or (ii) rendered red-green-blue (RGB) representations of both B-mode and Nakagami data. The diagnostic performance of these frameworks was compared with single-input counterparts using 831 US acquisitions from 264 patients. In addition, gradient-weighted class activation mapping was applied to evaluate diagnostically relevant information utilized by the different networks. Results: The multimodal architectures demonstrated significantly higher area under the receiver operating characteristic curve (AUC) values (p &lt; 0.05) than their monomodal counterparts, achieving an average improvement of 10.75%. In addition, the multimodal networks incorporated, on average, 15.70% more diagnostically relevant tissue information. Among the multimodal models, those using RGB representations as input outperformed those that utilized 2D numerical data maps (p &lt; 0.05). The top-performing multimodal architecture achieved a mean AUC of 0.896 [95% confidence interval (CI): 0.813 to 0.959] when performance was assessed at the image level and 0.848 (95% CI: 0.755 to 0.903) when assessed at the lesion level. Conclusions: Incorporating B-mode and Nakagami information together in a multimodal DL framework improved classification outcomes and increased the amount of diagnostically relevant information accessed by networks, highlighting the potential for automating and standardizing US breast cancer diagnostics to enhance clinical outcomes.</t>
  </si>
  <si>
    <t>Muhtadi, Sabiq; Gallippi, Caterina M.</t>
  </si>
  <si>
    <t>Muhtadi, S (corresponding author), Univ North Carolina Chapel Hill, North Carolina State Univ, Lampe Joint Dept Biomed Engn, Chapel Hill, NC 27599 USA.</t>
  </si>
  <si>
    <t>smuhtadi@unc.edu; cmgallip@email.unc.edu</t>
  </si>
  <si>
    <t>Center for Strategic Scientific Initiatives, National Cancer Institutehttps://doi.org/10.13039/100008637; National Cancer Institute (NCI) [R01CA281150, R01DK107740]; National Institute of Diabetes and Digestive and Kidney Diseases (NIDDK) of the National Institutes of Health (NIH)</t>
  </si>
  <si>
    <t>Center for Strategic Scientific Initiatives, National Cancer Institutehttps://doi.org/10.13039/100008637; National Cancer Institute (NCI) (United States Department of Health &amp; Human Services, National Institutes of Health (NIH) - USA, NIH National Cancer Institute (NCI)); National Institute of Diabetes and Digestive and Kidney Diseases (NIDDK) of the National Institutes of Health (NIH) (United States Department of Health &amp; Human Services, National Institutes of Health (NIH) - USA, NIH National Institute of Diabetes &amp; Digestive &amp; Kidney Diseases (NIDDK))</t>
  </si>
  <si>
    <t>This work was supported by the National Cancer Institute (NCI) and the National Institute of Diabetes and Digestive and Kidney Diseases (NIDDK) of the National Institutes of Health (NIH) (Grant Nos. R01CA281150 and R01DK107740). The authors express gratitude to Dr. S. Kaisar Alam, Centre for Computational Biomedicine Imaging and Modelling, Rutgers University, the State University of New Jersey, for providing one of the datasets used in this study. The authors would also like to thank Siemens Healthineers, Ultrasound Division, Issaquah, Washington, United States, for research support.</t>
  </si>
  <si>
    <t>[Muhtadi, Sabiq; Gallippi, Caterina M.] Univ North Carolina Chapel Hill, North Carolina State Univ, Lampe Joint Dept Biomed Engn, Chapel Hill, NC 27599 USA</t>
  </si>
  <si>
    <t>University of North Carolina; University of North Carolina Chapel Hill; University of North Carolina School of Medicine; North Carolina State University</t>
  </si>
  <si>
    <t>Breast tumor diagnosis via multimodal deep learning using ultrasound B-mode and Nakagami images</t>
  </si>
  <si>
    <t>JOURNAL OF MEDICAL IMAGING</t>
  </si>
  <si>
    <t>breast cancer; ultrasound imaging; quantitative ultrasound; deep learning; multimodal deep learning</t>
  </si>
  <si>
    <t>COMPUTER-AIDED DIAGNOSIS; RADS</t>
  </si>
  <si>
    <t>Muhtadi, Sabiq/ADA-8574-2022</t>
  </si>
  <si>
    <t>SPIE-SOC PHOTO-OPTICAL INSTRUMENTATION ENGINEERS</t>
  </si>
  <si>
    <t>BELLINGHAM</t>
  </si>
  <si>
    <t>1000 20TH ST, PO BOX 10, BELLINGHAM, WA 98225 USA</t>
  </si>
  <si>
    <t>2329-4302</t>
  </si>
  <si>
    <t>2329-4310</t>
  </si>
  <si>
    <t>J MED IMAGING</t>
  </si>
  <si>
    <t>J. Med. Imaging</t>
  </si>
  <si>
    <t>NOV 30 2025</t>
  </si>
  <si>
    <t>S22009</t>
  </si>
  <si>
    <t>10.1117/1.JMI.12.S2.S22009</t>
  </si>
  <si>
    <t>http://dx.doi.org/10.1117/1.JMI.12.S2.S22009</t>
  </si>
  <si>
    <t>7EO4G</t>
  </si>
  <si>
    <t>40375887</t>
  </si>
  <si>
    <t>WOS:001569160100010</t>
  </si>
  <si>
    <t>Miura, T; Yashima, T; Takaya, E; Taniyama, Y; Sato, C; Okamoto, H; Ozawa, Y; Ishida, H; Unno, M; Ueda, T; Kamei, T</t>
  </si>
  <si>
    <t>BackgroundNeoadjuvant chemotherapy is standard for advanced esophageal squamous cell carcinoma, though often ineffective. Therefore, predicting the response to chemotherapy before treatment is desirable. However, there is currently no established method for predicting response to neoadjuvant chemotherapy. This study aims to build a deep-learning model to predict the response of esophageal squamous cell carcinoma to preoperative chemotherapy by utilizing multimodal data integrating esophageal endoscopic images and clinical information.Methods170 patients with locally advanced esophageal squamous cell carcinoma were retrospectively studied, and endoscopic images and clinical information before neoadjuvant chemotherapy were collected. Endoscopic images alone and endoscopic images plus clinical information were each analyzed with a deep-learning model based on ResNet50. The clinical information alone was analyzed using logistic regression machine learning models, and the area under a receiver operating characteristic curve was calculated to compare the accuracy of each model. Gradient-weighted Class Activation Mapping was used on the endoscopic images to analyze the trend of the regions of interest in this model.ResultsThe area under the curve by clinical information alone, endoscopy alone, and both combined were 0.64, 0.55, and 0.77, respectively. The endoscopic image plus clinical information group was statistically more significant than the other models. This model focused more on the tumor when trained with clinical information.ConclusionsThe deep-learning model developed suggests that gastrointestinal endoscopic imaging, in combination with other clinical information, has the potential to predict the efficacy of neoadjuvant chemotherapy in locally advanced esophageal squamous cell carcinoma before treatment.</t>
  </si>
  <si>
    <t>Miura, Takuma; Yashima, Takumi; Takaya, Eichi; Taniyama, Yusuke; Sato, Chiaki; Okamoto, Hiroshi; Ozawa, Yohei; Ishida, Hirotaka; Unno, Michiaki; Ueda, Takuya; Kamei, Takashi</t>
  </si>
  <si>
    <t>Miura, T (corresponding author), Tohoku Univ, Grad Sch Med, Dept Surg, 1-1 Seiryo Machi,Aoba Ku, Sendai, Miyagi 9808574, Japan.</t>
  </si>
  <si>
    <t>tackman88888@gmail.com</t>
  </si>
  <si>
    <t>[Miura, Takuma; Taniyama, Yusuke; Sato, Chiaki; Okamoto, Hiroshi; Ozawa, Yohei; Ishida, Hirotaka; Unno, Michiaki; Kamei, Takashi] Tohoku Univ, Grad Sch Med, Dept Surg, 1-1 Seiryo Machi,Aoba Ku, Sendai, Miyagi 9808574, Japan; [Yashima, Takumi; Ueda, Takuya] Tohoku Univ, Grad Sch Med, Dept Clin Imaging, Sendai, Japan; [Takaya, Eichi] Tohoku Univ Hosp, AI Lab, Sendai, Japan</t>
  </si>
  <si>
    <t>Tohoku University; Tohoku University; Tohoku University</t>
  </si>
  <si>
    <t>Multimodal deep-learning model using pre-treatment endoscopic images and clinical information to predict efficacy of neoadjuvant chemotherapy in esophageal squamous cell carcinoma</t>
  </si>
  <si>
    <t>ESOPHAGUS</t>
  </si>
  <si>
    <t>Neoadjuvant chemotherapy; Esophageal squamous cell carcinoma; Multimodal machine learning; Prediction</t>
  </si>
  <si>
    <t>THERAPY; CISPLATIN; DOCETAXEL; SURGERY; CANCER</t>
  </si>
  <si>
    <t>Okamoto, Hiroshi/AAH-9733-2019; Unno, Michiaki/AAX-5246-2020</t>
  </si>
  <si>
    <t>Ishida, Hirotaka/0000-0002-6814-3564; Miura, Takuma/0009-0007-2056-7871</t>
  </si>
  <si>
    <t>SPRINGER JAPAN KK</t>
  </si>
  <si>
    <t>TOKYO</t>
  </si>
  <si>
    <t>SHIROYAMA TRUST TOWER 5F, 4-3-1 TORANOMON, MINATO-KU, TOKYO, 105-6005, JAPAN</t>
  </si>
  <si>
    <t>1612-9059</t>
  </si>
  <si>
    <t>1612-9067</t>
  </si>
  <si>
    <t>ESOPHAGUS-TOKYO</t>
  </si>
  <si>
    <t>Esophagus</t>
  </si>
  <si>
    <t>207</t>
  </si>
  <si>
    <t>214</t>
  </si>
  <si>
    <t>10.1007/s10388-025-01106-x</t>
  </si>
  <si>
    <t>http://dx.doi.org/10.1007/s10388-025-01106-x</t>
  </si>
  <si>
    <t>0KN1H</t>
  </si>
  <si>
    <t>39792350</t>
  </si>
  <si>
    <t>WOS:001394058200001</t>
  </si>
  <si>
    <t>Kim, B; Suh, J; Kim, YH; Ahn, JM; Jun, TJ</t>
  </si>
  <si>
    <t>Percutaneous coronary intervention (PCI) is a cornerstone treatment for coronary artery disease, yet accurate prediction of long-term mortality remains a critical challenge due to the complex interplay of risk factors. Existing prognostic models rely predominantly on structured clinical data, overlooking the rich, nuanced information embedded in diagnostic imaging and procedural narratives. To address this gap, we present a novel multimodal machine learning framework that integrates coronary angiography video, unstructured procedural text, and structured clinical variables to predict 5-year all-cause mortality. Utilizing a large real-world cohort of 10,353 patients, we extracted visual embeddings via CLIP, textual embeddings via BioBERT, and structured features to construct a unified patient representation. Our trimodal LightGBM model achieved an AUC-ROC of 0.814, significantly outperforming single-and dual-modality baselines (p &lt; 0.01). SHAP-based analysis revealed that unstructured data captured complementary prognostic signals, while structured variables provided concentrated predictive strength. This study demonstrates the prognostic value of integrating heterogeneous data sources and establishes a robust, explainable foundation for precision medicine in interventional cardiology.</t>
  </si>
  <si>
    <t>Kim, Byeolhee; Suh, Jungyo; Kim, Young-Hak; Ahn, Jung-Min; Jun, Tae Joon</t>
  </si>
  <si>
    <t>Ahn, JM (corresponding author), Univ Ulsan, Asan Med Ctr, Dept Internal Med, Div Cardiol,Coll Med, Olymp Ro 43 Gil, Seoul 05505, South Korea.; Jun, TJ (corresponding author), Univ Ulsan, Asan Med Ctr, Dept Informat Med, Coll Med, Olymp Ro 43 Gil, Seoul 05505, South Korea.</t>
  </si>
  <si>
    <t>d090693@amc.seoul.kr; taejoon@amc.seoul.kr</t>
  </si>
  <si>
    <t>Ministry of Health &amp; Welfare, Republic of Korea [HI23C0896]; Korea government(MSIT) [RS-2024-00392315]</t>
  </si>
  <si>
    <t>Ministry of Health &amp; Welfare, Republic of Korea (Ministry of Health &amp; Welfare (MOHW), Republic of Korea); Korea government(MSIT) (Ministry of Science &amp; ICT (MMSTI))</t>
  </si>
  <si>
    <t>This work was supported by the National Research Foundation of Korea(NRF) grant funded by the Korea government(MSIT) (RS-2024-00392315). This research was supported by a grant of the Korea Health Technology R&amp;D Project through the Korea Health Industry Development Institute (KHIDI), funded by the Ministry of Health &amp; Welfare, Republic of Korea (grant number: HI23C0896). This work was supported by Institute of Information &amp; communications Technology Planning &amp; Evaluation (IITP) grant funded by the Korea government(MSIT) (RS-2022-00143911, AI Excellence Global Innovative Leader Education Program).</t>
  </si>
  <si>
    <t>[Kim, Byeolhee] Univ Ulsan, Coll Med, Asan Med Inst Convergence Sci &amp; Technol, Dept Med Sci,Asan Med Ctr, Olymp Ro 43 Gil, Seoul 05505, South Korea; [Suh, Jungyo] Univ Ulsan, Asan Med Ctr, Dept Urol, Coll Med, Olymp Ro 43 Gil, Seoul 05505, South Korea; [Kim, Young-Hak; Ahn, Jung-Min] Univ Ulsan, Asan Med Ctr, Dept Internal Med, Div Cardiol,Coll Med, Olymp Ro 43 Gil, Seoul 05505, South Korea; [Kim, Byeolhee; Jun, Tae Joon] Univ Ulsan, Asan Med Ctr, Dept Informat Med, Coll Med, Olymp Ro 43 Gil, Seoul 05505, South Korea</t>
  </si>
  <si>
    <t>University of Ulsan; Asan Medical Center; University of Ulsan; Asan Medical Center; University of Ulsan; Asan Medical Center; University of Ulsan; Asan Medical Center</t>
  </si>
  <si>
    <t>Multimodal machine learning for 5-year mortality prediction after percutaneous coronary intervention</t>
  </si>
  <si>
    <t>Suh, Jungyo/MXJ-8071-2025</t>
  </si>
  <si>
    <t>Jun, Tae Joon/0000-0002-6808-5149</t>
  </si>
  <si>
    <t>DEC 23 2025</t>
  </si>
  <si>
    <t>2887</t>
  </si>
  <si>
    <t>10.1038/s41598-025-32734-z</t>
  </si>
  <si>
    <t>http://dx.doi.org/10.1038/s41598-025-32734-z</t>
  </si>
  <si>
    <t>CM2BJ</t>
  </si>
  <si>
    <t>41429851</t>
  </si>
  <si>
    <t>WOS:001669102500002</t>
  </si>
  <si>
    <t>Hsu, BWY; Chen, YC; Chen, CK; Lee, CK; Tseng, VS</t>
  </si>
  <si>
    <t>Hypertensive retinopathy serves as a critical indicator of systemic target organ damage (TOD). This study aims to develop and evaluate a multimodal learning method utilizing optical coherence tomography angiography (OCTA) and electronic medical records (EMR) for early hypertension detection. The dataset comprised 727 patients (186 hypertensive; 541 non-hypertensive) from the National Taiwan University Hospital Hsin-Chu Branch, encompassing 1,377 eye-level image-EMR pairs. We employed convolutional neural network (CNN) backbones, specifically ResNet and EfficientNet, to extract visual features from OCT-A images, while tree-based ensemble methods, such as CatBoost, were utilized to process EMR variables categorized by clinical modalities. A weighted-average late-fusion mechanism was implemented to integrate predictions from both modalities, effectively capturing the synergy between microvascular morphological patterns and systemic clinical phenotypes. The proposed multimodal framework achieved an area under the receiver operating characteristic curve (AUC) of 0.86 +/- 0.03, with a sensitivity of 0.80 and a specificity of 0.82, significantly exceeding the image-only model while providing a modest, complementary gain over the EMR-only model. These results demonstrate the potential of AI-assisted tools in detecting ocular target organ damage. The proposed method supports the potential utility of a non-invasive AI-assisted framework for hypertension screening and risk stratification, while further external validation remains necessary for broader clinical deployment.</t>
  </si>
  <si>
    <t>Hsu, Benny Wei-Yun; Chen, Yu-Chan; Chen, Chun-Kai; Lee, Chih-Kuo; Tseng, Vincent S.</t>
  </si>
  <si>
    <t>Tseng, VS (corresponding author), Natl Yang Ming Chiao Tung Univ, Dept Comp Sci, Room 515,Engn Bldg 3,1001 Univ Rd, Hsinchu 300, Taiwan.; Lee, CK (corresponding author), Natl Taiwan Univ Hosp, Dept Internal Med, Div Cardiol, Hsin Chu Branch, 25,Ln 442,Sec 1,Jingguo Rd, Hsinchu 300195, Taiwan.; Lee, CK (corresponding author), Natl Taiwan Univ, Coll Med, 25,Ln 442,Sec 1,Jingguo Rd, Hsinchu 300195, Taiwan.</t>
  </si>
  <si>
    <t>keitheva2009@gmail.com; vtseng@cs.nycu.edu.tw</t>
  </si>
  <si>
    <t>NYMU-National Taiwan University Hospital Hsin-Chu Branch Joint Research Grant [112-HCH104]</t>
  </si>
  <si>
    <t>NYMU-National Taiwan University Hospital Hsin-Chu Branch Joint Research Grant</t>
  </si>
  <si>
    <t>We thank the National Center for High-performance Computing (NCHC) for providing computational and storage resources. This study has received funding by NYMU-National Taiwan University Hospital Hsin-Chu Branch Joint Research Grant 112-HCH104.</t>
  </si>
  <si>
    <t>[Hsu, Benny Wei-Yun; Chen, Yu-Chan; Tseng, Vincent S.] Natl Yang Ming Chiao Tung Univ, Dept Comp Sci, Room 515,Engn Bldg 3,1001 Univ Rd, Hsinchu 300, Taiwan; [Chen, Chun-Kai] Natl Taiwan Univ Hosp, Dept Internal Med, Div Cardiol, 7 Zhong Shan South Rd, Taipei 100, Taiwan; [Lee, Chih-Kuo] Natl Taiwan Univ Hosp, Dept Internal Med, Div Cardiol, Hsin Chu Branch, 25,Ln 442,Sec 1,Jingguo Rd, Hsinchu 300195, Taiwan; [Lee, Chih-Kuo] Natl Taiwan Univ, Coll Med, 25,Ln 442,Sec 1,Jingguo Rd, Hsinchu 300195, Taiwan</t>
  </si>
  <si>
    <t>National Yang Ming Chiao Tung University; National Taiwan University; National Taiwan University Hospital; National Taiwan University; National Taiwan University Hospital; National Taiwan University Hospital; National Taiwan University</t>
  </si>
  <si>
    <t>Multimodal learning for early hypertension burden detection using OCT angiography and electronic medical records</t>
  </si>
  <si>
    <t>Deep learning; Hypertension burden; Multimodal learning; Optical coherence tomography angiography; Target organ damage</t>
  </si>
  <si>
    <t>RETINOPATHY; CLASSIFICATION; IMPUTATION</t>
  </si>
  <si>
    <t>OCT 15 2026</t>
  </si>
  <si>
    <t>B</t>
  </si>
  <si>
    <t>110917</t>
  </si>
  <si>
    <t>10.1016/j.bspc.2026.110917</t>
  </si>
  <si>
    <t>http://dx.doi.org/10.1016/j.bspc.2026.110917</t>
  </si>
  <si>
    <t>KX8HC</t>
  </si>
  <si>
    <t>WOS:001818156500001</t>
  </si>
  <si>
    <t>Chen, YR; Chen, XY; Han, Y; Li, HR; Zhao, DB; Li, JZ; Wang, X; Zhou, Y</t>
  </si>
  <si>
    <t>Nonalcoholic fatty liver disease (NAFLD) is the most common cause of chronic liver disease, and if it is accurately predicted, severe fibrosis and cirrhosis can be prevented. While liver biopsies, the gold standard for NAFLD diagnosis, is intrusive, expensive, and prone to sample errors, noninvasive studies are extremely promising but are still in their infancy due to a dearth of comprehensive study data and sophisticated multimodal data methodologies. This paper proposes a novel approach for diagnosing NAFLD by integrating a comprehensive clinical dataset with a multimodal learning-based prediction method. The dataset comprises physical examinations, laboratory and imaging studies, detailed questionnaires, and facial photographs of a substantial number of participants, totaling more than 6 000. This comprehensive collection of data holds significant value for clinical studies. The dataset is subjected to quantitative analysis to identify which clinical metadata, such as metadata and facial images, has the greatest impact on the prediction of NAFLD. Furthermore, a multimodal learning-based prediction method (DeepFLD) is proposed that incorporates several modalities and demonstrates superior performance compared to the methodology that relies only on metadata. Additionally, satisfactory performance is assessed through verification of the results using other unseen data. Inspiringly, the proposed DeepFLD prediction method can achieve competitive results by solely utilizing facial images as input rather than relying on metadata, paving the way for a more robust and simpler noninvasive NAFLD diagnosis.</t>
  </si>
  <si>
    <t>Chen, Yaran; Chen, Xueyu; Han, Yu; Li, Haoran; Zhao, Dongbin; Li, Jingzhong; Wang, Xu; Zhou, Yong</t>
  </si>
  <si>
    <t>Wang, X (corresponding author), Beijing Univ Chinese Med, Sch Life Sci, Beijing 100029, Peoples R China.; Zhou, Y (corresponding author), Shanghai Jiao Tong Univ, Shanghai Gen Hosp, Clin Res Inst, Sch Med, Shanghai 201620, Peoples R China.</t>
  </si>
  <si>
    <t>yongzhou78214@163.com; lihaoran2015@ia.ac.cn; hanyu2021@ia.ac.cn; chenxueyv@163.com; dongbin.zhao@ia.ac.cn; lijz@bucm.edu.cn; chenyaran2013@ia.ac.cn; wangx@bucm.edu.cn</t>
  </si>
  <si>
    <t>[Chen, Yaran; Han, Yu; Li, Haoran; Zhao, Dongbin] Chinese Acad Sci, Inst Automat, State Key Lab Multimodal Artificial Intelligence S, Beijing 100190, Peoples R China; [Chen, Yaran; Han, Yu; Li, Haoran; Zhao, Dongbin] Univ Chinese Acad Sci, Coll Artificial Intelligence, Beijing 100049, Peoples R China; [Chen, Xueyu] Shandong Univ, Cheeloo Coll Med, Sch Publ Hlth, Dept Biostat, Jinan 205100, Peoples R China; [Li, Jingzhong; Wang, Xu] Beijing Univ Chinese Med, Sch Life Sci, Beijing 100029, Peoples R China; [Zhou, Yong] Shanghai Jiao Tong Univ, Shanghai Gen Hosp, Clin Res Inst, Sch Med, Shanghai 201620, Peoples R China</t>
  </si>
  <si>
    <t>Chinese Academy of Sciences; Institute of Automation, CAS; Chinese Academy of Sciences; University of Chinese Academy of Sciences, CAS; Shandong University; Beijing University of Chinese Medicine; Shanghai Jiao Tong University</t>
  </si>
  <si>
    <t>Multimodal Learning-based Prediction for Nonalcoholic Fatty Liver Disease</t>
  </si>
  <si>
    <t>MACHINE INTELLIGENCE RESEARCH</t>
  </si>
  <si>
    <t>Nonalcoholic fatty liver disease detection (NAFLD); disease diagnosis; convolutional neural networks; multimodal data; multimodal learning-based prediction</t>
  </si>
  <si>
    <t>ASSOCIATION</t>
  </si>
  <si>
    <t>Chen, Yaran/Y-9446-2019; Han, Yuliang/MTG-3306-2025</t>
  </si>
  <si>
    <t>赵, 冬斌/0000-0001-8218-9633; Chen, Xueyu/0000-0001-6104-4240</t>
  </si>
  <si>
    <t>2731-538X</t>
  </si>
  <si>
    <t>2731-5398</t>
  </si>
  <si>
    <t>MACH INTELL RES</t>
  </si>
  <si>
    <t>Mach. Intell. Res.</t>
  </si>
  <si>
    <t>871</t>
  </si>
  <si>
    <t>887</t>
  </si>
  <si>
    <t>10.1007/s11633-024-1506-4</t>
  </si>
  <si>
    <t>http://dx.doi.org/10.1007/s11633-024-1506-4</t>
  </si>
  <si>
    <t>Automation &amp; Control Systems; Computer Science, Artificial Intelligence</t>
  </si>
  <si>
    <t>Automation &amp; Control Systems; Computer Science</t>
  </si>
  <si>
    <t>7XM2A</t>
  </si>
  <si>
    <t>WOS:001448442000001</t>
  </si>
  <si>
    <t>Yao, JC; Lei, ZK; Yue, WW; Feng, BJ; Li, W; Ou, D; Feng, N; Lu, YD; Xu, J; Chen, WC; Yang, C; Wang, LJ; Wang, LP; Liu, JP; Wei, PY; Xu, HX; Xu, D</t>
  </si>
  <si>
    <t>Papillary thyroid cancer (PTC) accounts for more than 80% of thyroid cancers, and ultrasound (US) imaging is the preferred method for the diagnosis of PTC. However, accurate prediction of different patterns of cervical lymph node metastasis (CLNM) in PTC continues to be a challenge. Herein, US images and clinical factors of PTC patients from three hospitals for more than 11 years are collected, and a multimodal deep learning model called DeepThy-Net is then developed to predict different CLNM patterns. The proposed model not only uses the convolutional features extracted by deep learning but also integrates traditional clinical factors that are highly related to lymph node metastasis. Finally, the model is tested in two independent test sets, and the experimental results show that the area under curve (AUC) is between 0.870 and 0.905, indicating clinical applicability. The proposed method provides an important reference for the treatment and management of PTC. Moreover, for PTC cases involving an active surveillance strategy, the proposed method can serve as an important CLNM early warning tool.</t>
  </si>
  <si>
    <t>Yao, Jincao; Lei, Zhikai; Yue, Wenwen; Feng, Bojian; Li, Wei; Ou, Di; Feng, Na; Lu, Yidan; Xu, Jing; Chen, Wencong; Yang, Chen; Wang, Lijing; Wang, Liping; Liu, Junping; Wei, Peiying; Xu, Huixiong; Xu, Dong</t>
  </si>
  <si>
    <t>Xu, D (corresponding author), Univ Chinese Acad Sci, Zhejiang Canc Hosp, Canc Hosp, Med Ultrason Dept, 1 East Banshan Rd, Hangzhou 310022, Peoples R China.; Xu, D (corresponding author), Chinese Acad Sci, Inst Basic Med &amp; Canc IBMC, 150 Dongfangjie, Hangzhou 310000, Peoples R China.; Xu, D (corresponding author), Zhejiang Prov Res Ctr Canc Intelligent Diag &amp; Mol, Key Lab Head &amp; Neck Canc Translat Res Zhejiang Pr, 1 East Banshan Rd, Hangzhou 310022, Peoples R China.; Xu, HX (corresponding author), Tongji Univ, Shanghai Engn Res Ctr Ultrasound Diag &amp; Treatment, Sch Med, Dept Med Ultrasound,Shanghai Peoples Hosp 10, 301 Middle Yanchang Rd, Shanghai 200072, Peoples R China.; Xu, HX (corresponding author), Fudan Univ, Zhongshan Hosp, Dept Ultrasound, 921 Tongxin Rd, Shanghai 200032, Peoples R China.</t>
  </si>
  <si>
    <t>xuhuixiong2022@126.com; xudong@zjcc.org.cn</t>
  </si>
  <si>
    <t>National Natural Science Foundation of China [82071946]; Natural Science Foundation of Zhejiang Province [LZY21F030001, LSD19H180001, LY20H180001]; University Cancer Foundation via the Sister Institution Network Fund at the University of Texas MD Anderson Cancer Center</t>
  </si>
  <si>
    <t>National Natural Science Foundation of China (National Natural Science Foundation of China (NSFC)); Natural Science Foundation of Zhejiang Province (Natural Science Foundation of Zhejiang Province); University Cancer Foundation via the Sister Institution Network Fund at the University of Texas MD Anderson Cancer Center</t>
  </si>
  <si>
    <t>J.C.Y., Z.K.L., and W.W.Y. contributed equally to this work. This study was supported in part by the National Natural Science Foundation of China (82071946), the Natural Science Foundation of Zhejiang Province (LZY21F030001, LSD19H180001, LY20H180001), the funds from the University Cancer Foundation via the Sister Institution Network Fund at the University of Texas MD Anderson Cancer Center. The authors appreciate the valuable suggestions given by Dr. Xueqin Zhou from Esaote (Shenzhen) Medical Equipment Co., Ltd. and the Swiss Federal Institute of Technology in Zurich (ETHz).</t>
  </si>
  <si>
    <t>[Yao, Jincao; Li, Wei; Ou, Di; Feng, Na; Lu, Yidan; Yang, Chen; Wang, Lijing; Wang, Liping; Liu, Junping; Xu, Dong] Univ Chinese Acad Sci, Zhejiang Canc Hosp, Canc Hosp, Med Ultrason Dept, 1 East Banshan Rd, Hangzhou 310022, Peoples R China; [Yao, Jincao; Li, Wei; Ou, Di; Feng, Na; Lu, Yidan; Yang, Chen; Wang, Lijing; Wang, Liping; Liu, Junping; Xu, Dong] Chinese Acad Sci, Inst Basic Med &amp; Canc IBMC, 150 Dongfangjie, Hangzhou 310000, Peoples R China; [Yao, Jincao; Xu, Dong] Zhejiang Prov Res Ctr Canc Intelligent Diag &amp; Mol, Key Lab Head &amp; Neck Canc Translat Res Zhejiang Pr, 1 East Banshan Rd, Hangzhou 310022, Peoples R China; [Lei, Zhikai; Wei, Peiying] Zhejiang Univ, Sch Med, Affiliated Hangzhou Peoples Hosp 1, 261 Huansha Rd, Hangzhou 310006, Peoples R China; [Yue, Wenwen; Xu, Huixiong] Tongji Univ, Shanghai Engn Res Ctr Ultrasound Diag &amp; Treatment, Sch Med, Dept Med Ultrasound,Shanghai Peoples Hosp 10, 301 Middle Yanchang Rd, Shanghai 200072, Peoples R China; [Feng, Bojian; Xu, Jing] Zhejiang Gongshang Univ, Sch Stat &amp; Math, 18 Xuezhengjie, Hangzhou 310018, Peoples R China; [Chen, Wencong] Vanderbilt Univ, Dept Biostat, Med Ctr, 2215 Garland Ave, Nashville, TN USA; [Xu, Huixiong] Fudan Univ, Zhongshan Hosp, Dept Ultrasound, 921 Tongxin Rd, Shanghai 200032, Peoples R China</t>
  </si>
  <si>
    <t>Zhejiang Cancer Hospital; Chinese Academy of Sciences; University of Chinese Academy of Sciences, CAS; Chinese Academy of Sciences; Zhejiang University; Tongji University; Zhejiang Gongshang University; Vanderbilt University; Fudan University</t>
  </si>
  <si>
    <t>DeepThy-Net: A Multimodal Deep Learning Method for Predicting Cervical Lymph Node Metastasis in Papillary Thyroid Cancer</t>
  </si>
  <si>
    <t>ADVANCED INTELLIGENT SYSTEMS</t>
  </si>
  <si>
    <t>computational methods; deep learning; lymph-node metastasis; papillary thyroid cancer; ultrasound imaging</t>
  </si>
  <si>
    <t>MANAGEMENT; IMPACT; TUMOR</t>
  </si>
  <si>
    <t>Xu, Dong/AFS-4478-2022; Yao, Jincao/NEU-5078-2025; Feng, Bojian/JCN-9615-2023</t>
  </si>
  <si>
    <t>Feng, Bojian/0000-0002-4559-0775</t>
  </si>
  <si>
    <t>2640-4567</t>
  </si>
  <si>
    <t>ADV INTELL SYST-GER</t>
  </si>
  <si>
    <t>Adv. Intell. Syst.</t>
  </si>
  <si>
    <t>2200100</t>
  </si>
  <si>
    <t>10.1002/aisy.202200100</t>
  </si>
  <si>
    <t>http://dx.doi.org/10.1002/aisy.202200100</t>
  </si>
  <si>
    <t>Automation &amp; Control Systems; Computer Science, Artificial Intelligence; Robotics</t>
  </si>
  <si>
    <t>Automation &amp; Control Systems; Computer Science; Robotics</t>
  </si>
  <si>
    <t>5L4TL</t>
  </si>
  <si>
    <t>WOS:000838271700001</t>
  </si>
  <si>
    <t>Fan, F; Song, H; Jiang, J; He, HY; Sun, D; Xu, ZP; Peng, SS; Zhang, R; Li, T; Cao, J; Xu, J; Peng, XX; Lei, M; He, C; Zhang, JJ</t>
  </si>
  <si>
    <t>Cerebrovascular disease (CVD) is the second leading cause of dementia worldwide. The accurate detection of vascular cognitive impairment (VCI) in CVD patients remains an unresolved challenge. We collected the clinical non-imaging data and neuroimaging data from 307 subjects with CVD. Using these data, we developed a multimodal deep learning framework that combined the vision transformer and extreme gradient boosting algorithms. The final hybrid model within the framework included only two neuroimaging features and six clinical features, demonstrating robust performance across both internal and external datasets. Furthermore, the diagnostic performance of our model on a specific dataset was demonstrated to be comparable to that of expert clinicians. Notably, our model can identify the brain regions and clinical features that significantly contribute to the VCI diagnosis, thereby enhancing transparency and interpretability. We developed an accurate and explainable clinical decision support tool to identify the presence of VCI in patients with CVD.</t>
  </si>
  <si>
    <t>Fan, Fan; Song, Hao; Jiang, Jiu; He, Haoying; Sun, Dong; Xu, Zhipeng; Peng, Sisi; Zhang, Ran; Li, Tian; Cao, Jing; Xu, Juan; Peng, Xiaoxiang; Lei, Ming; He, Chu; Zhang, Junjian</t>
  </si>
  <si>
    <t>Zhang, JJ (corresponding author), Wuhan Univ, Zhongnan Hosp, Dept Neurol, Wuhan, Hubei, Peoples R China.; He, C (corresponding author), Wuhan Univ, Elect Informat Sch, Wuhan, Hubei, Peoples R China.</t>
  </si>
  <si>
    <t>chuhe@whu.edu.cn; zhangjj@whu.edu.cn</t>
  </si>
  <si>
    <t>National Key R&amp;D Program of China [2021YFC2500100, 2016YFC0803000]; National Natural Science Foundation of China [82071210, 41371342]</t>
  </si>
  <si>
    <t>National Key R&amp;D Program of China (National Key Research &amp; Development Program of China); National Natural Science Foundation of China (National Natural Science Foundation of China (NSFC))</t>
  </si>
  <si>
    <t>The authors would like to acknowledge all the subjects and their family in this study. This work was supported by the National Key R&amp;D Program of China (2021YFC2500100, 2016YFC0803000) and the National Natural Science Foundation of China (82071210, 41371342) .</t>
  </si>
  <si>
    <t>[Fan, Fan; Song, Hao; He, Haoying; Sun, Dong; Xu, Zhipeng; Peng, Sisi; Zhang, Ran; Li, Tian; Cao, Jing; Xu, Juan; Zhang, Junjian] Wuhan Univ, Zhongnan Hosp, Dept Neurol, Wuhan, Hubei, Peoples R China; [Jiang, Jiu; He, Chu] Wuhan Univ, Elect Informat Sch, Wuhan, Hubei, Peoples R China; [Peng, Xiaoxiang] Third Peoples Hosp Hubei Prov, Dept Neurol, Wuhan, Hubei, Peoples R China; [Lei, Ming] Gen Hosp Yangtze River Shipping, Dept Neurol, Wuhan, Hubei, Peoples R China</t>
  </si>
  <si>
    <t>Wuhan University; Wuhan University</t>
  </si>
  <si>
    <t>Development and validation of a multimodal deep learning framework for vascular cognitive impairment diagnosis</t>
  </si>
  <si>
    <t>ISCIENCE</t>
  </si>
  <si>
    <t>CORTICAL THICKNESS; ALZHEIMERS-DISEASE; MRI; CLASSIFICATION; DEMENTIA</t>
  </si>
  <si>
    <t>He, Haoying/NKP-8996-2025</t>
  </si>
  <si>
    <t>Fan, Fan/0000-0003-3986-5303; He, Haoying/0009-0003-4575-0227</t>
  </si>
  <si>
    <t>2589-0042</t>
  </si>
  <si>
    <t>iScience</t>
  </si>
  <si>
    <t>OCT 18 2024</t>
  </si>
  <si>
    <t>110945</t>
  </si>
  <si>
    <t>10.1016/j.isci.2024.110945</t>
  </si>
  <si>
    <t>http://dx.doi.org/10.1016/j.isci.2024.110945</t>
  </si>
  <si>
    <t>H3J9I</t>
  </si>
  <si>
    <t>39391736</t>
  </si>
  <si>
    <t>WOS:001322443900001</t>
  </si>
  <si>
    <t>Xia, CC; Zuo, MJ; Lin, Z; Deng, LB; Rao, YL; Chen, WX; Chen, JQ; Yao, WR; Hu, M</t>
  </si>
  <si>
    <t>Rationale and Objectives: To develop and validate a multimodal deep learning (DL) model based on computed tomography (CT) images and clinical knowledge to predict lymph node metastasis (LNM) in early lung adenocarcinoma. Materials and Methods: A total of 724 pathologically confirmed early invasive lung adenocarcinoma patients were retrospectively included from two centers. Clinical and CT semantic features of the patients were collected, and 3D radiomics features were extracted from nonenhanced CT images. We proposed a multimodal feature fusion DL network based on the InceptionResNetV2 architecture, which can effectively extract and integrate image and clinical knowledge to predict LNM. Results: A total of 524 lung adenocarcinoma patients from Center 1 were randomly divided into training (n=418) and internal validation (n=106) sets in a 4:1 ratio, while 200 lung adenocarcinoma patients from Center 2 served as the independent test set. Among the 16 collected clinical and imaging features, 8 were selected: gender, serum carcinoembryonic antigen, cytokeratin 19 fragment antigen 21-1, neuron-specific enolase, tumor size, location, density, and centrality. From the 1595 extracted radiomics features, six key features were identified. The CS-RS-DL fusion model achieved the highest area under the receiver operating characteristic curve in both the internal validation set (0.877) and the independent test set (0.906) compared to other models. The Delong test results for the independent test set indicated that the CS-RS-DL model significantly outperformed the clinical model (0.844), radiomics model (0.850), CS-RS model (0.872), single DL model (0.848), and the CS-DL model (0.875) (all P &lt; 0.05). Additionally, the CS-RS-DL model exhibited the highest sensitivity (0.941) and average precision (0.642). Conclusion: The knowledge derived from clinical, radiomics, and DL is complementary in predicting LNM in lung adenocarcinoma. The integration of clinical and radiomics scores through DL can significantly improve the accuracy of lymph node status assessment.</t>
  </si>
  <si>
    <t>Xia, Chengcheng; Zuo, Minjing; Lin, Ze; Deng, Libin; Rao, Yulian; Chen, Wenxiang; Chen, Jinqin; Yao, Weirong; Hu, Min</t>
  </si>
  <si>
    <t>Hu, M (corresponding author), Nanchang Univ, Jiangxi Med Coll, Sch Publ Hlth, Nanchang 330006, Peoples R China.; Hu, M (corresponding author), Nanchang Univ, Jiangxi Prov Key Lab Dis Prevent &amp; Publ Hlth, Nanchang 330006, Peoples R China.</t>
  </si>
  <si>
    <t>humin@ncu.edu.cn</t>
  </si>
  <si>
    <t>Wu Jieping Medical Foundation [320.6750.2020-10-108]</t>
  </si>
  <si>
    <t>Wu Jieping Medical Foundation</t>
  </si>
  <si>
    <t>This work was supported by the Wu Jieping Medical Foundation (No. 320.6750.2020-10-108) .</t>
  </si>
  <si>
    <t>[Xia, Chengcheng; Deng, Libin; Chen, Wenxiang; Hu, Min] Nanchang Univ, Jiangxi Med Coll, Sch Publ Hlth, Nanchang 330006, Peoples R China; [Xia, Chengcheng; Deng, Libin; Chen, Wenxiang; Hu, Min] Nanchang Univ, Jiangxi Prov Key Lab Dis Prevent &amp; Publ Hlth, Nanchang 330006, Peoples R China; [Zuo, Minjing] Nanchang Univ, Affiliated Hosp 2, Jiangxi Med Coll, Dept Radiol, Nanchang 330006, Peoples R China; [Zuo, Minjing] Intelligent Med Imaging Jiangxi Key Lab, Nanchang 330006, Peoples R China; [Lin, Ze] Hubei Prov Hosp Tradit Chinese Med, Dept Radiol, Wuhan 430022, Peoples R China; [Lin, Ze] Hubei Univ Chinese Med, Affiliated Hosp, Wuhan 430022, Peoples R China; [Rao, Yulian] Wanli Dist Ctr Dis Control &amp; Prevent Nanchang, Nanchang 330004, Peoples R China; [Yao, Weirong] Jiangxi Prov Peoples Hosp, Affiliated Hosp 1, Nanchang Med Coll, Dept Oncol, Nanchang, Peoples R China; [Chen, Jinqin] Nanchang Univ, Jiangxi Med Coll, Nanchang, Peoples R China</t>
  </si>
  <si>
    <t>Nanchang University; Nanchang University; Nanchang University; Hubei University of Chinese Medicine; Nanchang Medical College; Nanchang University</t>
  </si>
  <si>
    <t>Multimodal Deep Learning Fusing Clinical and Radiomics Scores for Prediction of Early-Stage Lung Adenocarcinoma Lymph Node Metastasis</t>
  </si>
  <si>
    <t>Deep learning; Radiomics; Feature fusion; Lung adenocarcinoma; Lymph node metastasis</t>
  </si>
  <si>
    <t>CANCER; TRENDS</t>
  </si>
  <si>
    <t>2977</t>
  </si>
  <si>
    <t>2989</t>
  </si>
  <si>
    <t>10.1016/j.acra.2024.12.018</t>
  </si>
  <si>
    <t>http://dx.doi.org/10.1016/j.acra.2024.12.018</t>
  </si>
  <si>
    <t>1ZP2Z</t>
  </si>
  <si>
    <t>39730249</t>
  </si>
  <si>
    <t>WOS:001477411000001</t>
  </si>
  <si>
    <t>Ren, H; Jing, FS; Chen, ZR; He, S; Zhou, JD; Liu, L; Jing, R; Lian, WM; Tian, JZ; Zhang, QP; Xu, ZZ; Cheng, WB</t>
  </si>
  <si>
    <t>Pneumonia can be a deadly illness for particular populations, one of which is older adults. While studies have successfully trained artificial intelligent assisted diagnostic tools to detect pneumonia using chest X-ray images, they were targeted to the general population without stratification on age groups. This study (a) investigated the performance disparities between geriatric and younger patients when using chest X-ray images to detect pneumonia, and (b) developed and tested a multimodal model called CheXMed that incorporates clinical notes together with image data to improve pneumonia detection performance for older people. Accuracy, precision, recall, and F1-score were used for model performance evaluation. CheXMed outperforms baseline models on all evaluation metrics. The accuracy, precision, recall, and F1-score are 0.746, 0.746, 0.740, 0.743 for CheXMed, 0.645, 0.680, 0.535, 0.599 for CheXNet, 0.623, 0.655, 0.521, 0.580 for DenseNet121, and 0.610, 0.617, 0.543, 0.577 for ResNet18.</t>
  </si>
  <si>
    <t>Ren, Hao; Jing, Fengshi; Chen, Zhurong; He, Shan; Zhou, Jiandong; Liu, Le; Jing, Ran; Lian, Wanmin; Tian, Junzhang; Zhang, Qingpeng; Xu, Zhongzhi; Cheng, Weibin</t>
  </si>
  <si>
    <t>Cheng, WB (corresponding author), Guangdong Second Prov Gen Hosp, Inst Healthcare Artificial Intelligence Applicat, Guangzhou, Peoples R China.; Zhang, QP (corresponding author), Univ Hong Kong, Dept Pharmacol &amp; Pharm, Hong Kong, Peoples R China.; Zhang, QP (corresponding author), Univ Hong Kong, Musketeers Fdn Inst Data Sci, Hong Kong, Peoples R China.; Xu, ZZ (corresponding author), Sun Yat Sen Univ, Sch Publ Hlth, Guangzhou, Peoples R China.; Cheng, WB (corresponding author), City Univ Hong Kong, Sch Data Sci, Hong Kong, Peoples R China.</t>
  </si>
  <si>
    <t>chwb817@gmail.com; qpzhang@hku.hk; xuzhzh26@mail.sysu.edu.cn</t>
  </si>
  <si>
    <t>National Key R &amp; D Program of China [2021YFC2009400]; National Doctoral Workstation Foun-dation of Guangdong Second Provincial General Hospital [2023BSGZ014]; Guangzhou Science and Technology Project [SL2022A04J01130]</t>
  </si>
  <si>
    <t>National Key R &amp; D Program of China (National Key Research &amp; Development Program of China); National Doctoral Workstation Foun-dation of Guangdong Second Provincial General Hospital; Guangzhou Science and Technology Project</t>
  </si>
  <si>
    <t>This study is supported by the National Key R &amp; D Program of China (2021YFC2009400) , National Doctoral Workstation Foun-dation of Guangdong Second Provincial General Hospital (2023BSGZ014) , and Guangzhou Science and Technology Project (SL2022A04J01130) .</t>
  </si>
  <si>
    <t>[Ren, Hao; Jing, Fengshi; Jing, Ran; Tian, Junzhang; Cheng, Weibin] Guangdong Second Prov Gen Hosp, Inst Healthcare Artificial Intelligence Applicat, Guangzhou, Peoples R China; [Ren, Hao; Jing, Fengshi] City Univ Macau, Fac Data Sci, Macau, Peoples R China; [Chen, Zhurong] Shenzhen Univ, Coll Comp Sci &amp; Software Engn, Shenzhen, Peoples R China; [He, Shan] Educ Univ Hong Kong, Dept Hlth &amp; Phys Educ, Hong Kong, Peoples R China; [Zhou, Jiandong] Univ Warwick, Warwick Med Sch, Warwick, England; [Liu, Le] Jishou Univ, Coll Foreign Languages, Jishou, Hunan, Peoples R China; [Lian, Wanmin] Guangdong Second Prov Gen Hosp, Informat Dept, Guangzhou, Peoples R China; [Zhang, Qingpeng] Univ Hong Kong, Dept Pharmacol &amp; Pharm, Hong Kong, Peoples R China; [Zhang, Qingpeng] Univ Hong Kong, Musketeers Fdn Inst Data Sci, Hong Kong, Peoples R China; [Xu, Zhongzhi] Sun Yat Sen Univ, Sch Publ Hlth, Guangzhou, Peoples R China; [Cheng, Weibin] City Univ Hong Kong, Sch Data Sci, Hong Kong, Peoples R China</t>
  </si>
  <si>
    <t>City University of Macau; Shenzhen University; Education University of Hong Kong (EdUHK); University of Warwick; Jishou University; University of Hong Kong; University of Hong Kong; Sun Yat Sen University; City University of Hong Kong</t>
  </si>
  <si>
    <t>CheXMed: A multimodal learning algorithm for pneumonia detection in the elderly</t>
  </si>
  <si>
    <t>INFORMATION SCIENCES</t>
  </si>
  <si>
    <t>Multimodal learning; Pneumonia detection; AI-assisted precision medicine; Deep neural networks; Medical image processing</t>
  </si>
  <si>
    <t>Cheng, Weibin/C-9441-2018; Zhang, Qingpeng/D-4682-2011; Ren, Hao/KVA-6987-2024; Zhou, Jiandong/JXL-8570-2024; Jing, Ran/ADN-9939-2022; JING, Fengshi/KHD-2106-2024</t>
  </si>
  <si>
    <t>Cheng, Weibin/0000-0002-9845-6676; Zhang, Qingpeng/0000-0002-6819-0686; Zhou, Jiandong/0000-0003-3780-9033; JING, Fengshi/0000-0002-6747-6527</t>
  </si>
  <si>
    <t>0020-0255</t>
  </si>
  <si>
    <t>1872-6291</t>
  </si>
  <si>
    <t>INFORM SCIENCES</t>
  </si>
  <si>
    <t>Inf. Sci.</t>
  </si>
  <si>
    <t>654</t>
  </si>
  <si>
    <t>119854</t>
  </si>
  <si>
    <t>10.1016/j.ins.2023.119854</t>
  </si>
  <si>
    <t>http://dx.doi.org/10.1016/j.ins.2023.119854</t>
  </si>
  <si>
    <t>Y9XL9</t>
  </si>
  <si>
    <t>WOS:001108716500001</t>
  </si>
  <si>
    <t>Fathallah, W; Abid, M; Mars, M; Sakli, H</t>
  </si>
  <si>
    <t>The rising incidence of skin cancer necessitates scalable and accurate diagnostic tools. While dermoscopy-based systems have achieved expert-level performance, clinical smartphone images pose challenges due to variability in lighting, resolution, and artifacts. Recent advances in multimodal deep learning have shown promise, yet most approaches rely on simple feature concatenation or single-model classifiers, limiting their ability to capture complex cross-modal interactions. This study aims to bridge the diagnostic gap in resource-limited settings by developing a robust multimodal framework that synergizes clinical smartphone images with structured patient metadata for automated skin cancer classification. We propose a novel hybrid architecture integrating a Swin Transformer V2 (SwinV2-Tiny) for hierarchical visual feature extraction and a Denoising Autoencoder (DAE) with PCA for robust metadata embedding. These heterogeneous modalities are fused via a Gated Attention Mechanism that dynamically weighs feature importance across streams. Classification is performed by a Heterogeneous Meta-Stack Ensemble comprising CatBoost, LightGBM, XGBoost, and Logistic Regression, designed to maximize calibration and generalization across imbalanced classes. Evaluated on the PAD-UFES-20 dataset (2298 clinical smartphone images, six diagnostic classes), the proposed framework achieves state-of-the-art performance with a macro-averaged F1-score of 0.977, accuracy of 0.978, and an AUC of 0.990. It significantly outperforms unimodal baselines and existing multimodal methods, demonstrating superior sensitivity (0.974) and precision (0.981), particularly for underrepresented malignant classes like Melanoma (F1: 0.995) and Squamous Cell Carcinoma (F1: 0.960). The integration of clinical metadata with advanced visual embeddings via gated attention significantly enhances diagnostic reliability. Comprehensive ablation studies confirm the contribution of each architectural component. This framework offers a viable pathway for deploying high-precision, AI-driven dermatological screening tools on standard smartphone devices.</t>
  </si>
  <si>
    <t>Fathallah, Wyssem; Abid, M'hamed; Mars, Mourad; Sakli, Hedi</t>
  </si>
  <si>
    <t>Sakli, H (corresponding author), Univ Tunis El Manar, Natl Engn Sch Tunis ENIT, LR SysCom, Belvedere Campus, Tunis 1002, Tunisia.</t>
  </si>
  <si>
    <t>msmars@uqu.edu.sa; fathallahwyssem@gmail.com; saklihedi12@gmail.com; mhamedabid123@gmail.com</t>
  </si>
  <si>
    <t>Umm al-Qura University [26UQU4350491GSSR03]</t>
  </si>
  <si>
    <t>Umm al-Qura University (Umm Al-Qura University)</t>
  </si>
  <si>
    <t>This research work was funded by Umm Al-Qura University, Saudi Arabia under grant number: 26UQU4350491GSSR03.</t>
  </si>
  <si>
    <t>[Fathallah, Wyssem; Abid, M'hamed; Sakli, Hedi] Univ Tunis El Manar, Natl Engn Sch Tunis ENIT, LR SysCom, Belvedere Campus, Tunis 1002, Tunisia; [Mars, Mourad] Umm Al Qura Univ, Coll Comp, Dept Comp Sci &amp; Artificial Intelligence, Mecca 24382, Saudi Arabia</t>
  </si>
  <si>
    <t>Universite de Tunis-El-Manar; Ecole Nationale d'Ingenieurs de Tunis (ENIT); Umm Al-Qura University</t>
  </si>
  <si>
    <t>Ensemble-Based Multimodal Deep Learning for Precise Skin Cancer Diagnosis: Integrating Clinical Imagery with Patient Metadata</t>
  </si>
  <si>
    <t>TECHNOLOGIES</t>
  </si>
  <si>
    <t>skin cancer; multimodal learning; Swin Transformer; gated attention; ensemble learning; PAD-UFES-20; meta-stack</t>
  </si>
  <si>
    <t>Sakli, Hèdi/AAD-3638-2020; Mars, Mourad/HSG-8139-2023</t>
  </si>
  <si>
    <t>2227-7080</t>
  </si>
  <si>
    <t>Technologies</t>
  </si>
  <si>
    <t>MAY 2 2026</t>
  </si>
  <si>
    <t>10.3390/technologies14050277</t>
  </si>
  <si>
    <t>http://dx.doi.org/10.3390/technologies14050277</t>
  </si>
  <si>
    <t>IL2EA</t>
  </si>
  <si>
    <t>WOS:001774323600001</t>
  </si>
  <si>
    <t>Kayikci, S; Khoshgoftaar, TM</t>
  </si>
  <si>
    <t>Women are prone to breast cancer, which is a major cause of death. One out of every eight women has a lifetime risk of developing this cancer. Early diagnosis of this disease is critical and enhances the success rate of cure. It is extremely important to determine which genes are associated with the disease. However, too many features make studies on gene data challenging. In this study, an attention-based multimodal deep learning model was created by combining data from clinical, copy number alteration and gene expression sources. Attention-based deep learning models can analyze mammography images and identify subtle patterns or abnormalities that may indicate the presence of cancer. These models can also integrate patient data, such as age and family history, to improve the accuracy of predictions. The objective of this study is to help breast cancer prediction tasks and improve efficiency by incorporating attention mechanisms. Our suggested methodology employs multimodal data and generates insightful characteristics to improve the prediction of the prognosis for breast cancer. It is a two-phase model; the first phase generates the stacked features using a sigmoid gated attention convolutional neural network, and the second phase uses flatten, dense and dropout processes for bi-modal attention. Based on our findings, the proposed model produced successful results and has the potential to significantly improve breast cancer detection and diagnosis, ultimately leading to better patient outcomes.</t>
  </si>
  <si>
    <t>Kayikci, Safak; Khoshgoftaar, Taghi M.</t>
  </si>
  <si>
    <t>Kayikci, S (corresponding author), Florida Atlantic Univ, Dept Elect Engn &amp; Comp Sci, Boca Raton, FL 33431 USA.</t>
  </si>
  <si>
    <t>skayikci@fau.edu</t>
  </si>
  <si>
    <t>[Kayikci, Safak; Khoshgoftaar, Taghi M.] Florida Atlantic Univ, Dept Elect Engn &amp; Comp Sci, Boca Raton, FL 33431 USA</t>
  </si>
  <si>
    <t>State University System of Florida; Florida Atlantic University</t>
  </si>
  <si>
    <t>Breast cancer prediction using gated attentive multimodal deep learning</t>
  </si>
  <si>
    <t>JOURNAL OF BIG DATA</t>
  </si>
  <si>
    <t>Breast cancer prediction; Attention mechanism; Deep learning; Multimodality</t>
  </si>
  <si>
    <t>Kayikci, Safak/H-1359-2018</t>
  </si>
  <si>
    <t>Kayikci, Safak/0000-0002-3325-4731</t>
  </si>
  <si>
    <t>2196-1115</t>
  </si>
  <si>
    <t>J BIG DATA-GER</t>
  </si>
  <si>
    <t>J. Big Data</t>
  </si>
  <si>
    <t>MAY 13 2023</t>
  </si>
  <si>
    <t>10.1186/s40537-023-00749-w</t>
  </si>
  <si>
    <t>http://dx.doi.org/10.1186/s40537-023-00749-w</t>
  </si>
  <si>
    <t>F9WX5</t>
  </si>
  <si>
    <t>WOS:000985788300001</t>
  </si>
  <si>
    <t>Jujjavarapu, C; Suri, P; Pejaver, V; Friedly, J; Gold, LS; Meier, E; Cohen, T; Mooney, SD; Heagerty, PJ; Jarvik, JG</t>
  </si>
  <si>
    <t>Background Low back pain (LBP) is a common condition made up of a variety of anatomic and clinical subtypes. Lumbar disc herniation (LDH) and lumbar spinal stenosis (LSS) are two subtypes highly associated with LBP. Patients with LDH/LSS are often started with non-surgical treatments and if those are not effective then go on to have decompression surgery. However, recommendation of surgery is complicated as the outcome may depend on the patient's health characteristics. We developed a deep learning (DL) model to predict decompression surgery for patients with LDH/LSS.Materials and method We used datasets of 8387 and 8620 patients from a prospective study that collected data from four healthcare systems to predict early (within 2 months) and late surgery (within 12 months after a 2 month gap), respectively. We developed a DL model to use patients' demographics, diagnosis and procedure codes, drug names, and diagnostic imaging reports to predict surgery. For each prediction task, we evaluated the model's performance using classical and generalizability evaluation. For classical evaluation, we split the data into training (80%) and testing (20%). For generalizability evaluation, we split the data based on the healthcare system. We used the area under the curve (AUC) to assess performance for each evaluation. We compared results to a benchmark model (i.e. LASSO logistic regression).Results For classical performance, the DL model outperformed the benchmark model for early surgery with an AUC of 0.725 compared to 0.597. For late surgery, the DL model outperformed the benchmark model with an AUC of 0.655 compared to 0.635. For generalizability performance, the DL model outperformed the benchmark model for early surgery. For late surgery, the benchmark model outperformed the DL model.Conclusions For early surgery, the DL model was preferred for classical and generalizability evaluation. However, for late surgery, the benchmark and DL model had comparable performance. Depending on the prediction task, the balance of performance may shift between DL and a conventional ML method. As a result, thorough assessment is needed to quantify the value of DL, a relatively computationally expensive, time-consuming and less interpretable method.</t>
  </si>
  <si>
    <t>Jujjavarapu, Chethan; Suri, Pradeep; Pejaver, Vikas; Friedly, Janna; Gold, Laura S.; Meier, Eric; Cohen, Trevor; Mooney, Sean D.; Heagerty, Patrick J.; Jarvik, Jeffrey G.</t>
  </si>
  <si>
    <t>Jarvik, JG (corresponding author), Univ Washington, Clin Learning Evidence &amp; Res Ctr, 4333 Brooklyn Ave NE, Seattle, WA 98105 USA.; Jarvik, JG (corresponding author), Univ Washington, Dept Radiol, 1959 NE Pacific St, Seattle, WA 98195 USA.; Jarvik, JG (corresponding author), Univ Washington, Dept Neurol Surg, 1959 NE Pacific St, Seattle, WA 98195 USA.; Jarvik, JG (corresponding author), Univ Washington, Dept Hlth Serv, Box 357660, Seattle, WA 98195 USA.</t>
  </si>
  <si>
    <t>jarvikj@uw.edu</t>
  </si>
  <si>
    <t>National Institutes of Health (NIH) Health Care Systems Research Collaboratory by the NIH Common Fund from the Office of Strategic Coordination; National Institute of Arthritis and Musculoskeletal and Skin Diseases (NIAMS) [U24AT009676]; NIH [UH2AT007766, UH3AR066795]; University of Washington Clinical Learning, Evidence, and Research (CLEAR) Center for Musculoskeletal Disorders Administrative, Methodologic and Resource Cores [5UH3AR06679]; NIAMS/NIH; National Center for Advancing Translational Sciences [UL1TR002319] Funding Source: NIH RePORTER; National Institute of Arthritis and Musculoskeletal and Skin Diseases [P30AR072572] Funding Source: NIH RePORTER; National Institute of Arthritis and Musculoskeletal and Skin Diseases; National Institute on Aging; National Institute on Minority Health and Health Disparities; National Institute of Nursing Research; National Institute of Allergy and Infectious Diseases; National Center for Complementary and Integrative Health; National Cancer Institute; National Heart Lung and Blood Institute; NIH Office of the Director [U24AT009676] Funding Source: NIH RePORTER</t>
  </si>
  <si>
    <t>National Institutes of Health (NIH) Health Care Systems Research Collaboratory by the NIH Common Fund from the Office of Strategic Coordination (United States Department of Health &amp; Human Services, National Institutes of Health (NIH) - USA, Office of the Administrator (NIH)); National Institute of Arthritis and Musculoskeletal and Skin Diseases (NIAMS) (United States Department of Health &amp; Human Services, National Institutes of Health (NIH) - USA, NIH National Institute of Arthritis &amp; Musculoskeletal &amp; Skin Diseases (NIAMS)); NIH (United States Department of Health &amp; Human Services, National Institutes of Health (NIH) - USA); University of Washington Clinical Learning, Evidence, and Research (CLEAR) Center for Musculoskeletal Disorders Administrative, Methodologic and Resource Cores; NIAMS/NIH (United States Department of Health &amp; Human Services, National Institutes of Health (NIH) - USA, NIH National Institute of Arthritis &amp; Musculoskeletal &amp; Skin Diseases (NIAMS)); National Center for Advancing Translational Sciences (United States Department of Health &amp; Human Services, National Institutes of Health (NIH) - USA, NIH National Center for Advancing Translational Sciences (NCATS)); National Institute of Arthritis and Musculoskeletal and Skin Diseases (United States Department of Health &amp; Human Services, National Institutes of Health (NIH) - USA, NIH National Institute of Arthritis &amp; Musculoskeletal &amp; Skin Diseases (NIAMS)); National Institute of Arthritis and Musculoskeletal and Skin Diseases; National Institute on Aging; National Institute on Minority Health and Health Disparities; National Institute of Nursing Research; National Institute of Allergy and Infectious Diseases; National Center for Complementary and Integrative Health; National Cancer Institute; National Heart Lung and Blood Institute; NIH Office of the Director (United States Department of Health &amp; Human Services, National Institutes of Health (NIH) - USA, NIH National Institute of Arthritis &amp; Musculoskeletal &amp; Skin Diseases (NIAMS), NIH National Institute on Aging (NIA), NIH National Institute on Minority Health &amp; Health Disparities (NIMHD), NIH National Institute of Nursing Research (NINR), NIH National Institute of Allergy &amp; Infectious Diseases (NIAID), NIH National Center for Complementary &amp; Alternative Medicine (NCCAM), NIH National Cancer Institute (NCI), NIH National Heart Lung &amp; Blood Institute (NHLBI), NIH Office of the Director)</t>
  </si>
  <si>
    <t>This research was supported by the (1) National Institutes of Health (NIH) Health Care Systems Research Collaboratory by the NIH Common Fund through cooperative agreement U24AT009676 from the Office of Strategic Coordination within the Office of the NIH Director and cooperative agree-ments UH2AT007766 and UH3AR066795 from the National Institute of Arthritis and Musculoskeletal and Skin Diseases (NIAMS), (2) NIH Common Fund 5UH3AR06679 and (3) University of Washington Clinical Learning, Evidence, and Research (CLEAR) Center for Musculoskeletal Disorders Administrative, Methodologic and Resource Cores and NIAMS/NIH P30AR072572. The content is solely the responsibility of the authors and does not necessarily represent the official views of the NIH.</t>
  </si>
  <si>
    <t>[Jujjavarapu, Chethan; Cohen, Trevor; Mooney, Sean D.] Univ Washington, Sch Med, Dept Biomed Informat &amp; Med Educ, Box 358047, Seattle, WA 98195 USA; [Suri, Pradeep; Friedly, Janna; Gold, Laura S.; Meier, Eric; Jarvik, Jeffrey G.] Univ Washington, Clin Learning Evidence &amp; Res Ctr, 4333 Brooklyn Ave NE, Seattle, WA 98105 USA; [Suri, Pradeep; Friedly, Janna] Univ Washington, Dept Rehabil Med, 1959 NE Pacific St, Seattle, WA 98195 USA; [Pejaver, Vikas] Icahn Sch Med Mt Sinai, Inst Genom Hlth, New York, NY 10029 USA; [Pejaver, Vikas] Icahn Sch Med Mt Sinai, Dept Genet &amp; Genom Sci, New York, NY 10029 USA; [Gold, Laura S.; Jarvik, Jeffrey G.] Univ Washington, Dept Radiol, 1959 NE Pacific St, Seattle, WA 98195 USA; [Meier, Eric; Heagerty, Patrick J.] Univ Washington, Dept Biostat, Box 357232, Seattle, WA 98195 USA; [Meier, Eric; Heagerty, Patrick J.] Univ Washington, Ctr Biomed Stat, Seattle, WA USA; [Jarvik, Jeffrey G.] Univ Washington, Dept Neurol Surg, 1959 NE Pacific St, Seattle, WA 98195 USA; [Jarvik, Jeffrey G.] Univ Washington, Dept Hlth Serv, Box 357660, Seattle, WA 98195 USA</t>
  </si>
  <si>
    <t>University of Washington; University of Washington Seattle; University of Washington; University of Washington Seattle; University of Washington; University of Washington Seattle; Icahn School of Medicine at Mount Sinai; Icahn School of Medicine at Mount Sinai; University of Washington; University of Washington Seattle; University of Washington; University of Washington Seattle; University of Washington; University of Washington Seattle; University of Washington; University of Washington Seattle; University of Washington; University of Washington Seattle</t>
  </si>
  <si>
    <t>Predicting decompression surgery by applying multimodal deep learning to patients' structured and unstructured health data</t>
  </si>
  <si>
    <t>Lower back pain; Lumbar spinal stenosis; Lumbar disc herniation; Deep learning; Generalizability; Multimodal; Machine learning; Decompression surgery; Prediction; Classification</t>
  </si>
  <si>
    <t>LOW-BACK-PAIN; LUMBAR DISC HERNIATION; NONOPERATIVE TREATMENT; SPINAL STENOSIS; CARE; TRAJECTORIES; DISABILITY; INJECTIONS; FEATURES; ADULTS</t>
  </si>
  <si>
    <t>Suri, Pradeep/AAH-9572-2020; Jarvik, Jeffrey/AAL-4292-2021</t>
  </si>
  <si>
    <t>Jujjavarapu, Chethan/0000-0003-1604-2312; Friedly, Janna/0000-0002-7483-7888</t>
  </si>
  <si>
    <t>JAN 6 2023</t>
  </si>
  <si>
    <t>10.1186/s12911-022-02096-x</t>
  </si>
  <si>
    <t>http://dx.doi.org/10.1186/s12911-022-02096-x</t>
  </si>
  <si>
    <t>7R6HF</t>
  </si>
  <si>
    <t>36609379</t>
  </si>
  <si>
    <t>WOS:000910171300003</t>
  </si>
  <si>
    <t>Dipaola, F; Gatti, M; Levra, AG; Mene, R; Shiffer, D; Faccincani, R; Raouf, Z; Secchi, A; Querini, PR; Voza, A; Badalamenti, S; Solbiati, M; Costantino, G; Savevski, V; Furlan, R</t>
  </si>
  <si>
    <t>Predicting clinical deterioration in COVID-19 patients remains a challenging task in the Emergency Department (ED). To address this aim, we developed an artificial neural network using textual (e.g. patient history) and tabular (e.g. laboratory values) data from ED electronic medical reports. The predicted outcomes were 30-day mortality and ICU admission. We included consecutive patients from Humanitas Research Hospital and San Raffaele Hospital in the Milan area between February 20 and May 5, 2020. We included 1296 COVID-19 patients. Textual predictors consisted of patient history, physical exam, and radiological reports. Tabular predictors included age, creatinine, C-reactive protein, hemoglobin, and platelet count. TensorFlow tabular-textual model performance indices were compared to those of models implementing only tabular data. For 30-day mortality, the combined model yielded slightly better performances than the tabular fastai and XGBoost models, with AUC 0.87 &amp; PLUSMN; 0.02, F1 score 0.62 &amp; PLUSMN; 0.10 and an MCC 0.52 &amp; PLUSMN; 0.04 (p &lt; 0.32). As for ICU admission, the combined model MCC was superior (p &lt; 0.024) to the tabular models. Our results suggest that a combined textual and tabular model can effectively predict COVID-19 prognosis which may assist ED physicians in their decision-making process.</t>
  </si>
  <si>
    <t>Dipaola, Franca; Gatti, Mauro; Giaj Levra, Alessandro; Mene, Roberto; Shiffer, Dana; Faccincani, Roberto; Raouf, Zainab; Secchi, Antonio; Rovere Querini, Patrizia; Voza, Antonio; Badalamenti, Salvatore; Solbiati, Monica; Costantino, Giorgio; Savevski, Victor; Furlan, Raffaello</t>
  </si>
  <si>
    <t>Furlan, R (corresponding author), Humanitas Univ, Via A Manzoni, 56, I-20089 Milan, Italy.; Furlan, R (corresponding author), Humanitas Univ, Dept Biomed Sci, Via R Levi Montalcini 4, Pieve Emanuele, Italy.</t>
  </si>
  <si>
    <t>raffaello.furlan@hunimed.eu</t>
  </si>
  <si>
    <t>[Dipaola, Franca; Badalamenti, Salvatore; Furlan, Raffaello] Humanitas Univ, Via A Manzoni, 56, I-20089 Milan, Italy; [Gatti, Mauro] IBM Corp, Milan, Italy; [Giaj Levra, Alessandro; Shiffer, Dana; Voza, Antonio; Furlan, Raffaello] Humanitas Univ, Dept Biomed Sci, Via R Levi Montalcini 4, Pieve Emanuele, Italy; [Giaj Levra, Alessandro] IRCCS Humanitas Res Hosp, Via A Manzoni, 56, I-20089 Milan, Italy; [Mene, Roberto] Univ Milano Bicocca, Dept Med &amp; Surg, Milan, Italy; [Mene, Roberto] Heart Rhythm Dept, Clin Pasteur, Toulouse, France; [Faccincani, Roberto] Emergency Dept, Humanitas Mater Domini, Castellanza, Varese, Italy; [Raouf, Zainab; Secchi, Antonio; Rovere Querini, Patrizia] Univ V Salute San Raffaele, Osped San Raffaele, IRCCS, Milan, Italy; [Voza, Antonio] Humanitas Clin &amp; Res Ctr, Emergency Dept, IRCCS, Via Manzoni 56, Rozzano, Italy; [Solbiati, Monica; Costantino, Giorgio] Osped Maggiore, Fdn IRCCS CaGranda, Emergency Dept, Milan, Italy; [Savevski, Victor] Humanitas Res Hosp, Ctr, IRCCS, Via Manzoni 56, Rozzano, Italy</t>
  </si>
  <si>
    <t>Humanitas University; International Business Machines (IBM); IBM Italy; Humanitas University; University of Milano-Bicocca; Vita-Salute San Raffaele University; IRCCS Ospedale San Raffaele; IRCCS Humanitas Research Hospital; IRCCS Humanitas Research Hospital</t>
  </si>
  <si>
    <t>Multimodal deep learning for COVID-19 prognosis prediction in the emergency department: a bi-centric study</t>
  </si>
  <si>
    <t>HOSPITALIZED-PATIENTS; RISK</t>
  </si>
  <si>
    <t>Menè, Roberto/GMW-4953-2022; BADALAMENTI, SALVATORE/NKP-0420-2025; Giaj Levra, Alessandro/PGT-3187-2026; Furlan, Raffaello/ACH-0541-2022; Rovere-Querini, Patrizia/J-2340-2012; costantino, giorgio/AAC-6441-2022; , Mauro Gatti/AAM-4083-2021; Dipaola, Franca/F-5081-2018; Voza, Antonio/AEW-4659-2022; Savevski, victor/JXL-4612-2024; Solbiati, Monica/K-4755-2016</t>
  </si>
  <si>
    <t>Menè, Roberto/0000-0003-1671-1977; BADALAMENTI, SALVATORE/0000-0002-0394-0730; Furlan, Raffaello/0000-0001-5209-6786; Giaj Levra, Alessandro/0000-0001-7779-5276</t>
  </si>
  <si>
    <t>JUL 5 2023</t>
  </si>
  <si>
    <t>10868</t>
  </si>
  <si>
    <t>10.1038/s41598-023-37512-3</t>
  </si>
  <si>
    <t>http://dx.doi.org/10.1038/s41598-023-37512-3</t>
  </si>
  <si>
    <t>L6UU6</t>
  </si>
  <si>
    <t>37407595</t>
  </si>
  <si>
    <t>WOS:001024600400076</t>
  </si>
  <si>
    <t>Baur, S; Ruhwedel, T; Böke, E; Kobus, Z; Lishkova, G; Wetz, C; Amthauer, H; Roderburg, C; Tacke, F; Rogasch, JM; Samek, W; Jann, H; Ma, JC; Eschrich, J</t>
  </si>
  <si>
    <t>Background/Objectives: Peptide receptor radionuclide therapy (PRRT) is an established treatment for metastatic neuroendocrine tumors (NETs), yet long-term disease control occurs only in a subset of patients. Predicting progression-free survival (PFS) could support individualized treatment planning. This study evaluates laboratory, imaging, and multimodal deep learning models for PFS prediction in PRRT-treated patients. Methods: In this retrospective, single-center study 116 patients with metastatic NETs undergoing [177Lu]Lu-DOTATOC were included. Clinical characteristics, laboratory values, and pretherapeutic somatostatin receptor positron emission tomography/computed tomographies (SR-PET/CTs) were collected. Seven models were trained to classify low- vs. high-PFS groups, including unimodal (laboratory, SR-PET, or CT) and multimodal fusion approaches. Performance was assessed via repeated 3-fold cross-validation with area under the receiver operating characteristic curve (AUROC) and area under the precision-recall curve (AUPRC). Explainability was evaluated by feature importance analysis and gradient based saliency maps. Results: Forty-two patients (36%) displayed short PFS (&lt;= 1 year) and 74 patients displayed long PFS (&gt;1 year). Groups were similar in most characteristics, except for higher baseline chromogranin A (p = 0.003), elevated gamma-GT (p = 0.002), and fewer PRRT cycles (p &lt; 0.001) in short-PFS patients. The Random Forest model trained only on laboratory biomarkers reached an AUROC of 0.59 +/- 0.02. Unimodal three-dimensional convolutional neural networks using SR-PET or CT performed worse (AUROC 0.42 +/- 0.03 and 0.54 +/- 0.01, respectively). A multimodal fusion model integrating laboratory values, SR-PET, and CT-augmented with a pretrained CT branch-achieved the best results (AUROC 0.72 +/- 0.01, AUPRC 0.80 +/- 0.01). Explainability analyses provided insights into model predictions, with explainability patterns in the fusion model appearing physiologically plausible and predominantly tumor-focused. Conclusions: Multimodal deep learning combining SR-PET, CT, and laboratory biomarkers outperformed unimodal approaches for PFS prediction after PRRT. Upon external validation, such models may support risk-adapted follow-up strategies.</t>
  </si>
  <si>
    <t>Baur, Simon; Ruhwedel, Tristan; Boke, Ekin; Kobus, Zuzanna; Lishkova, Gergana; Wetz, Christoph; Amthauer, Holger; Roderburg, Christoph; Tacke, Frank; Rogasch, Julian M.; Samek, Wojciech; Jann, Henning; Ma, Jackie; Eschrich, Johannes</t>
  </si>
  <si>
    <t>Baur, S (corresponding author), Fraunhofer Heinrich Hertz Inst, Dept Artificial Intelligence, D-10587 Berlin, Germany.</t>
  </si>
  <si>
    <t>wojciech.samek@hhi.fraunhofer.de; ekin.boeke@hhi.fraunhofer.de; gergana.lishkova@charite.de; h.jann@drk-kliniken-berlin.de; jackie.ma@hhi.fraunhofer.de; frank.tacke@charite.de; zuzanna.kobus@charite.de; christoph.wetz@hgzn.de; christoph.roderburg@med.uni-duesseldorf.de; holger.amthauer@charite.de; simon.baur@hhi.fraunhofer.de; julian.rogasch@charite.de; johannes.eschrich@charite.de; tristan.ruhwedel@charite.de</t>
  </si>
  <si>
    <t>Charit-Universittsmedizin Berlin; Senate of Berlin and the European Commission's Digital Europe Programme (DIGITAL) [101100700]; Berlin Institute of Health at Charit</t>
  </si>
  <si>
    <t>Charit-Universittsmedizin Berlin; Senate of Berlin and the European Commission's Digital Europe Programme (DIGITAL); Berlin Institute of Health at Charit</t>
  </si>
  <si>
    <t>This work was supported by the Senate of Berlin and the European Commission's Digital Europe Programme (DIGITAL), grant TEF-Health (101100700). Johannes Eschrich is a participant in the BIH Charite Junior Digital Clinician Scientist Program funded by Charite-Universitatsmedizin Berlin and the Berlin Institute of Health at Charite.</t>
  </si>
  <si>
    <t>[Baur, Simon; Boke, Ekin; Samek, Wojciech; Ma, Jackie] Fraunhofer Heinrich Hertz Inst, Dept Artificial Intelligence, D-10587 Berlin, Germany; [Ruhwedel, Tristan; Wetz, Christoph; Amthauer, Holger; Rogasch, Julian M.] Charite Univ Med Berlin, Dept Nucl Med, D-13353 Berlin, Germany; [Kobus, Zuzanna; Tacke, Frank; Jann, Henning; Eschrich, Johannes] Charite Univ Med Berlin, Dept Hepatol &amp; Gastroenterol, D-13353 Berlin, Germany; [Kobus, Zuzanna] Mem Sloan Kettering Canc Ctr, Dept Radiol, Div Intervent Radiol, New York, NY 10065 USA; [Lishkova, Gergana] Charite Univ Med Berlin, Dept Endocrinol &amp; Metab, D-13353 Berlin, Germany; [Roderburg, Christoph] Heinrich Heine Univ Dusseldorf, Univ Hosp Dusseldorf, Clin Gastroenterol Hepatol &amp; Infect Dis, Med Fac, D-40225 Dusseldorf, Germany; [Samek, Wojciech] BIFOLD Berlin Inst Fdn Learning &amp; Data, D-10587 Berlin, Germany; [Samek, Wojciech] Tech Univ Berlin, Dept Elect Engn &amp; Comp Sci, D-10623 Berlin, Germany; [Eschrich, Johannes] Charite Univ Med Berlin, Berlin Inst Hlth, BIH Biomed Innovat Acad, BIH Charite Digital Clinician Scientist Program, Charitepl 1, D-10117 Berlin, Germany</t>
  </si>
  <si>
    <t>Fraunhofer Gesellschaft; Free University of Berlin; Charite Universitatsmedizin Berlin; Humboldt University of Berlin; Charite Universitatsmedizin Berlin; Free University of Berlin; Charite Universitatsmedizin Berlin; Humboldt University of Berlin; Charite Universitatsmedizin Berlin; Memorial Sloan Kettering Cancer Center; Free University of Berlin; Charite Universitatsmedizin Berlin; Humboldt University of Berlin; Charite Universitatsmedizin Berlin; Heinrich Heine University Dusseldorf; Heinrich Heine University Dusseldorf Hospital; Technical University of Berlin; Free University of Berlin; Charite Universitatsmedizin Berlin; Berlin Institute of Health; Humboldt University of Berlin; Charite Universitatsmedizin Berlin</t>
  </si>
  <si>
    <t>Multimodal Deep Learning for Prediction of Progression-Free Survival in Patients with Neuroendocrine Tumors Undergoing 177Lu-Based Peptide Receptor Radionuclide Therapy</t>
  </si>
  <si>
    <t>neuroendocrine tumors; peptide receptor radionuclide therapy; [Lu-177]Lu-DOTATOC; progression-free survival; somatostatin receptor PET/CT; multimodal deep learning; radiomics; predictive modeling; treatment outcome</t>
  </si>
  <si>
    <t>Rogasch, Julian/AAC-8223-2019; Samek, Wojciech/AAZ-2156-2021; Roderburg, Christoph/AHC-8101-2022; Tacke, Frank/ABF-2212-2020</t>
  </si>
  <si>
    <t>Jann, Henning/0000-0003-4095-336X</t>
  </si>
  <si>
    <t>APR 8 2026</t>
  </si>
  <si>
    <t>1194</t>
  </si>
  <si>
    <t>10.3390/cancers18081194</t>
  </si>
  <si>
    <t>http://dx.doi.org/10.3390/cancers18081194</t>
  </si>
  <si>
    <t>HC6QD</t>
  </si>
  <si>
    <t>42073521</t>
  </si>
  <si>
    <t>WOS:001750885400001</t>
  </si>
  <si>
    <t>Jing, SY; Li, XL; Wen, H; Cai, JX; Bei, YQ; Zhao, XL; Zhang, ZT; Fan, XH; Zou, YN; Chen, LL; Wang, YL; Wang, CY; Li, X; Meng, LL; Lin, P; Yan, X; Ji, Y; Li, H</t>
  </si>
  <si>
    <t>Detection of early hepatocellular carcinoma (eHCC) is important for timely treatment and improved prognosis. However, it is challenging to distinguish eHCC from pre-malignant high-grade dysplastic nodules (HGDN). Here we developed an artificial intelligence (AI) derived computational framework to identify potential biomarkers and built classification models for eHCC and HGDN. A two-stage multiscale deep learning model (TMC-net) captured the subtle features based on H&amp;E images, and outperformed the pathology foundation model and traditional histopathological features. The learned features were consistent with clinical diagnostic criteria and could be highlighted on the virtual images, assisting junior pathologists in improving the diagnostic accuracy. Four marker genes were screened through comparative transcriptome analysis. The multimodal model based on marker genes and histopathological features achieved AUROC of 0.8875 and 0.9500 on the internal and external test sets, respectively. We confirmed the morpho-phenotype correlations of these genes and found that the multimodal features were associated with patient prognosis in a broader HCC cohort. This study reveals histopathological and transcriptomic features of eHCC, and provides an optimized AI solution for assistant diagnosis.</t>
  </si>
  <si>
    <t>Jing, Si-yu; Li, Xue-liang; Wen, Hong; Cai, Jing-xuan; Bei, Yong-qi; Zhao, Xue-lian; Zhang, Zheng-tao; Fan, Xiao-han; Zou, Yi-ning; Chen, Ling-li; Wang, Yu-lin; Wang, Cai-ying; Li, Xin; Meng, Li-li; Lin, Ping; Yan, Xi; Ji, Yuan; Li, Hong</t>
  </si>
  <si>
    <t>Li, H (corresponding author), Chinese Acad Sci, Univ Chinese Acad Sci, Shanghai Inst Nutr &amp; Hlth, Shanghai, Peoples R China.; Ji, Y (corresponding author), Fudan Univ, Dept Pathol, Zhongshan Hosp, Shanghai, Peoples R China.; Ji, Y (corresponding author), Fudan Univ, Zhongshan Hosp, Mol Pathol Ctr, Shanghai, Peoples R China.</t>
  </si>
  <si>
    <t>ji.yuan@zs-hospital.sh.cn; lihong01@sinh.ac.cn</t>
  </si>
  <si>
    <t>Shanghai Municipal Science and Technology Commission [22JC1403002]; National Natural Science Foundation of China [32300555, T2122018]; Shanghai Post-doctoral Excellence Program [2025190]; Shanghai Municipal Science and Technology Major Project, Shanghai Sailing Program [22YF1458000]</t>
  </si>
  <si>
    <t>Shanghai Municipal Science and Technology Commission (Science &amp; Technology Commission of Shanghai Municipality (STCSM)); National Natural Science Foundation of China (National Natural Science Foundation of China (NSFC)); Shanghai Post-doctoral Excellence Program; Shanghai Municipal Science and Technology Major Project, Shanghai Sailing Program (Shanghai Municipal Science &amp; Technology Major Project, Shanghai Sailing Program)</t>
  </si>
  <si>
    <t>This work was supported by the National Natural Science Foundation of China (T2122018, 32470707 to H.L. and 32300555 to P.L.), Shanghai Post-doctoral Excellence Program (2025190), Shanghai Municipal Science and Technology Major Project, Shanghai Sailing Program (22YF1458000 to P.L.), and Shanghai Municipal Science and Technology Commission (Project Number: 22JC1403002 to Y.J.).</t>
  </si>
  <si>
    <t>[Jing, Si-yu; Li, Xue-liang; Cai, Jing-xuan; Bei, Yong-qi; Lin, Ping; Yan, Xi; Li, Hong] Chinese Acad Sci, Univ Chinese Acad Sci, Shanghai Inst Nutr &amp; Hlth, Shanghai, Peoples R China; [Wen, Hong; Fan, Xiao-han; Zou, Yi-ning; Chen, Ling-li; Wang, Yu-lin; Wang, Cai-ying; Li, Xin; Meng, Li-li; Ji, Yuan] Fudan Univ, Dept Pathol, Zhongshan Hosp, Shanghai, Peoples R China; [Wen, Hong] Fujian Med Univ, Fujian Canc Hosp, Dept Pathol, Clin Oncol Sch, Fuzhou, Peoples R China; [Zhao, Xue-lian; Ji, Yuan] Fudan Univ, Zhongshan Hosp, Mol Pathol Ctr, Shanghai, Peoples R China; [Zhang, Zheng-tao] Univ Chinese Acad Sci, Shanghai Inst Biochem &amp; Cell Biol, Ctr Excellence Mol Cell Sci, Chinese Acad Sci,State Key Lab Cell Biol, Shanghai, Peoples R China</t>
  </si>
  <si>
    <t>Chinese Academy of Sciences; Shanghai Institute of Nutrition &amp; Health, CAS; University of Chinese Academy of Sciences, CAS; Fudan University; Fujian Medical University; Fudan University; Chinese Academy of Sciences; Center for Excellence in Molecular Cell Science, CAS; University of Chinese Academy of Sciences, CAS</t>
  </si>
  <si>
    <t>Multimodal AI model for early detection of hepatocellular carcinoma</t>
  </si>
  <si>
    <t>NODULES; RECURRENCE; CIRRHOSIS; HSP70</t>
  </si>
  <si>
    <t>Lin, Ping-Ju/OWJ-0744-2025</t>
  </si>
  <si>
    <t>10.1038/s41698-026-01393-2</t>
  </si>
  <si>
    <t>http://dx.doi.org/10.1038/s41698-026-01393-2</t>
  </si>
  <si>
    <t>IO7CJ</t>
  </si>
  <si>
    <t>41927783</t>
  </si>
  <si>
    <t>WOS:001776694600001</t>
  </si>
  <si>
    <t>Fard, RS; Agu, E; Busaranuvong, P; Kumar, D; Gautam, S; Tulu, B; Strong, D</t>
  </si>
  <si>
    <t>Chronic wounds affect 8.5 million Americans, especially the elderly and patients with diabetes. As regular care is critical for proper healing, many patients receive care in their homes from visiting nurses and caregivers with variable wound expertise. Problematic, non-healing wounds should be referred to experts in wound clinics to avoid adverse outcomes such as limb amputations. Unfortunately, due to the lack of wound expertise, referral decisions made in non-clinical settings can be erroneous, delayed or unnecessary. This paper proposes the Deep Multimodal Wound Assessment Tool (DM-WAT), a novel machine learning framework to support visiting nurses by recommending wound referral decisions from smartphone-captured wound images and associated clinical notes. DM-WAT extracts visual features from wound images using DeiT-Base-Distilled, a Vision Transformer (ViT) architecture. Distillation-based training facilitates representation learning and knowledge transfer from a larger teacher model to DeiT-Base, enabling robust performance on our small wound image dataset of 205 wound images. DM-WAT extracts text features from clinical notes using DeBERTa-base, which comprehends context by disentangling content and position information from clinical notes. Visual and text features are combined using an intermediate fusion approach. To overcome the challenges posed by a small and imbalanced dataset, DM-WAT integrates image and text augmentation along with transfer learning via pre-trained feature extractors to achieve high performance. In rigorous evaluation, DM-WAT achieved an accuracy of 77% +/- 3% and an F1 score of 70% +/- 2%, outperforming the prior state of the art and all baseline single-modality and multimodal approaches. Additionally, to interpret DM-WAT's recommendations, the Score-CAM and Captum interpretation algorithms provided insights into the specific parts of the image and text inputs that the model focused on during decision-making.</t>
  </si>
  <si>
    <t>Fard, Reza Saadati; Agu, Emmanuel; Busaranuvong, Palawat; Kumar, Deepak; Gautam, Shefalika; Tulu, Bengisu; Strong, Diane</t>
  </si>
  <si>
    <t>Fard, RS (corresponding author), Worcester Polytech Inst, Dept Comp Sci, Worcester, MA 01609 USA.</t>
  </si>
  <si>
    <t>rsaadatifard@wpi.edu</t>
  </si>
  <si>
    <t>Academic and Research Computing Group; Worcester Polytechnic Institute</t>
  </si>
  <si>
    <t>This research was performed using computational resources supported by the Academic and Research Computing Group, Worcester Polytechnic Institute.</t>
  </si>
  <si>
    <t>[Fard, Reza Saadati; Agu, Emmanuel; Kumar, Deepak] Worcester Polytech Inst, Dept Comp Sci, Worcester, MA 01609 USA; [Busaranuvong, Palawat; Gautam, Shefalika] Worcester Polytech Inst, Dept Data Sci, Worcester, MA 01609 USA; [Tulu, Bengisu; Strong, Diane] Worcester Polytech Inst, Business Sch, Worcester, MA 01609 USA</t>
  </si>
  <si>
    <t>Worcester Polytechnic Institute; Worcester Polytechnic Institute; Worcester Polytechnic Institute</t>
  </si>
  <si>
    <t>Multimodal AI for Home Wound Patient Referral Decisions From Images With Specialist Annotations</t>
  </si>
  <si>
    <t>IEEE JOURNAL OF TRANSLATIONAL ENGINEERING IN HEALTH AND MEDICINE</t>
  </si>
  <si>
    <t>Chronic wounds; wound care patient referral; machine learning</t>
  </si>
  <si>
    <t>COMPENDIUM; BURDEN</t>
  </si>
  <si>
    <t>Saadati Fard, Reza/0009-0005-9065-3084</t>
  </si>
  <si>
    <t>2168-2372</t>
  </si>
  <si>
    <t>IEEE J TRANSL ENG HE</t>
  </si>
  <si>
    <t>IEEE J. Transl. Eng. Health Med.-JTEHM</t>
  </si>
  <si>
    <t>341</t>
  </si>
  <si>
    <t>353</t>
  </si>
  <si>
    <t>10.1109/JTEHM.2025.3588427</t>
  </si>
  <si>
    <t>http://dx.doi.org/10.1109/JTEHM.2025.3588427</t>
  </si>
  <si>
    <t>FG7QM</t>
  </si>
  <si>
    <t>40740838</t>
  </si>
  <si>
    <t>WOS:001718370200001</t>
  </si>
  <si>
    <t>Olatunji, I; Cui, F</t>
  </si>
  <si>
    <t>Metastasis of cancer is directly related to death in almost all cases, however a lot is yet to be understood about this process. Despite advancements in the available radiological investigation techniques, not all cases of Distant Metastasis (DM) are diagnosed at initial clinical presentation. Also, there are currently no standard biomarkers of metastasis. Early, accurate diagnosis of DM is however crucial for clinical decision making, and planning of appropriate management strategies. Previous works have achieved little success in attempts to predict DM from either clinical, genomic, radiology, or histopathology data. In this work we attempt a multimodal approach to predict the presence of DM in cancer patients by combining gene expression data, clinical data and histopathology images. We tested a novel combination of Random Forest (RF) algorithm with an optimization technique for gene selection, and investigated if gene expression pattern in the primary tissues of three cancer types (Bladder Carcinoma, Pancreatic Adenocarcinoma, and Head and Neck Squamous Carcinoma) with DM are similar or different. Gene expression biomarkers of DM identified by our proposed method outperformed Differentially Expressed Genes (DEGs) identified by the DESeq2 software package in the task of predicting presence or absence of DM. Genes involved in DM tend to be more cancer type specific rather than general across all cancers. Our results also indicate that multimodal data is more predictive of metastasis than either of the three unimodal data tested, and genomic data provides the highest contribution by a wide margin. The results re-emphasize the importance for availability of sufficient image data when a weakly supervised training technique is used. Code is made available at: https://github.com/rit-cui-lab/Multimodal-AI-for-Prediction-of-Distant-Metastasis-in-Carcinoma-Patients.</t>
  </si>
  <si>
    <t>Olatunji, Isaac; Cui, Feng</t>
  </si>
  <si>
    <t>Cui, F (corresponding author), Rochester Inst Technol, Thomas H Gosnell Sch Life Sci, Rochester, NY 14623 USA.</t>
  </si>
  <si>
    <t>fxcsbi@rit.edu</t>
  </si>
  <si>
    <t>We acknowledge the resources and assistance provided by RIT (Rochester Institute of Technology) Research Computing which has made this work possible.</t>
  </si>
  <si>
    <t>[Olatunji, Isaac; Cui, Feng] Rochester Inst Technol, Thomas H Gosnell Sch Life Sci, Rochester, NY 14623 USA</t>
  </si>
  <si>
    <t>Rochester Institute of Technology</t>
  </si>
  <si>
    <t>Multimodal AI for prediction of distant metastasis in carcinoma patients</t>
  </si>
  <si>
    <t>FRONTIERS IN BIOINFORMATICS</t>
  </si>
  <si>
    <t>metastasis; cancer; multimodal; gene expression; histopathology; deep learning; machine learning</t>
  </si>
  <si>
    <t>LYMPH-NODE METASTASIS; PANCREATIC-CANCER; HIGH EXPRESSION; PROGRESSION; PROGNOSIS; INVASION; MIGRATION; HISTOLOGY; RGS16; MODEL</t>
  </si>
  <si>
    <t>Olatunji, Isaac/HLG-8733-2023</t>
  </si>
  <si>
    <t>2673-7647</t>
  </si>
  <si>
    <t>FRONT BIOINFORM</t>
  </si>
  <si>
    <t>Front. Bioinform.</t>
  </si>
  <si>
    <t>MAY 9 2023</t>
  </si>
  <si>
    <t>1131021</t>
  </si>
  <si>
    <t>10.3389/fbinf.2023.1131021</t>
  </si>
  <si>
    <t>http://dx.doi.org/10.3389/fbinf.2023.1131021</t>
  </si>
  <si>
    <t>U7YE0</t>
  </si>
  <si>
    <t>37228671</t>
  </si>
  <si>
    <t>WOS:001086914600001</t>
  </si>
  <si>
    <t>Vanderbecq, Q; Xia, WF; Chouzenoux, E; Smaily, D; Pesquet, JC; Zins, M; Wagner, M</t>
  </si>
  <si>
    <t>This study aims to develop and externally validate a multimodal AI model for detecting ischemia complicating small-bowel obstruction (SBO). We combined 3D CT data with routine laboratory markers (C-reactive protein, neutrophil count) and, optionally, radiology report indication/history text. From two centers, 1350 CT examinations were curated; 771 confirmed SBO scans were used for model development with patient-level splits. Ischemia labels were defined by surgical confirmation within 24 h of imaging. Models (MViT, ResNet-101, DaViT) were trained as unimodal and multimodal variants. External testing was used for 66 independent cases from a third center. Four radiologists (two residents and two experts) read the test set with and without AI assistance. Performance was assessed using AUC, sensitivity, specificity, and 95% bootstrap confidence intervals; predictions included a confidence score. The image-plus-laboratory model performed best on external testing (AUC 0.69 [0.59-0.79], sensitivity 0.89 [0.76-1.00], and specificity 0.44 [0.35-0.54]). Adding report text improved internal validation but did not generalize externally; image + text and full multimodal variants did not exceed image + laboratory performance. Across readers, baseline AUC ranged from 0.496 [0.361-0.640] to 0.745 [0.589-0.875] and increased with reader experience. With AI assistance, AUC ranged from 0.565 [0.419-0.717] to 0.845 [0.714-0.952] and from 0.519 [0.373-0.669] to 0.845 [0.708-0.954] when confidence scores were displayed, showing consistent but non-significant changes whatever the experience level. A multimodal model combining CT and lab data surpassed unimodal approaches for 24-h ischemia detection; as a triage-support tool, it showed a consistent but non-significant improvement in radiologist performance.</t>
  </si>
  <si>
    <t>Vanderbecq, Quentin; Xia, Wen Fan; Chouzenoux, Emilie; Smaily, Dima; Pesquet, Jean-Christophe; Zins, Marc; Wagner, Mathilde</t>
  </si>
  <si>
    <t>Vanderbecq, Q (corresponding author), St Antoine Hosp, AP HP Sorbonne, Dept Radiol, 184 Rue Faubourg St Antoine, F-75012 Paris, France.; Vanderbecq, Q (corresponding author), Univ Sorbonne, CNRS, INSERM,U114615, LLIB,UMR 7371, Rue Ecole Med, F-75006 Paris, France.</t>
  </si>
  <si>
    <t>q.vanderbecq@gmail.com</t>
  </si>
  <si>
    <t>Sorbonne Center for Artificial Intelligence (SCAI) of Sorbonne University under the IDEX SUPER program [11-IDEX-0004]</t>
  </si>
  <si>
    <t>Sorbonne Center for Artificial Intelligence (SCAI) of Sorbonne University under the IDEX SUPER program</t>
  </si>
  <si>
    <t>This work was supported by the Sorbonne Center for Artificial Intelligence (SCAI) of Sorbonne University under the IDEX SUPER program (11-IDEX-0004).</t>
  </si>
  <si>
    <t>[Vanderbecq, Quentin; Xia, Wen Fan; Smaily, Dima; Wagner, Mathilde] St Antoine Hosp, AP HP Sorbonne, Dept Radiol, 184 Rue Faubourg St Antoine, F-75012 Paris, France; [Vanderbecq, Quentin; Wagner, Mathilde] Univ Sorbonne, CNRS, INSERM,U114615, LLIB,UMR 7371, Rue Ecole Med, F-75006 Paris, France; [Chouzenoux, Emilie; Pesquet, Jean-Christophe] Univ Paris Saclay, INRIA Paris Saclay, CentraleSupelec, CVN, Gif Sur Yvette, France; [Zins, Marc] St Joseph Hosp, Dept Med Imaging, 185 Rue Raymond Losserand, F-75014 Paris, France</t>
  </si>
  <si>
    <t>Sorbonne Universite; Assistance Publique Hopitaux Paris (APHP); Hopital Universitaire Saint-Antoine - APHP; Institut National de la Sante et de la Recherche Medicale (Inserm); Sorbonne Universite; Centre National de la Recherche Scientifique (CNRS); Universite Paris Saclay; Universite Paris Cite; Hopital Paris Saint-Joseph</t>
  </si>
  <si>
    <t>Radiologist-AI Collaboration for Ischemia Diagnosis in Small-Bowel Obstruction: Multicentric Development and External Validation of a Multimodal Deep Learning Model</t>
  </si>
  <si>
    <t>Artificial intelligence; Deep learning; Computed tomography; Abdomen; Intestinal obstruction</t>
  </si>
  <si>
    <t>CT; MANAGEMENT; NEED</t>
  </si>
  <si>
    <t>10.1007/s10278-026-01980-6</t>
  </si>
  <si>
    <t>http://dx.doi.org/10.1007/s10278-026-01980-6</t>
  </si>
  <si>
    <t>HF7CR</t>
  </si>
  <si>
    <t>42056618</t>
  </si>
  <si>
    <t>WOS:001752952700001</t>
  </si>
  <si>
    <t>Green Accepted; Green Submitted</t>
  </si>
  <si>
    <t>He, Y; Wei, JY; Sun, YS; Bao, W; Huang, DH; Fan, YJ; Huang, W; Wang, TT</t>
  </si>
  <si>
    <t>Background Degenerative meniscus tears are often accompanied by varying degrees of osteoarthritis, making the prognostic outcome of arthroscopic partial meniscectomy (APM) difficult to predict. Our research objective is to develop and validate a multimodal deep learning radiology (MDLR) model based on the integration of multimodal data using deep learning radiology (DLR) scores from preoperative magnetic resonance imaging (MRI) images and clinical variables.Materials and methods From February 2020 to February 2022, 452 eligible patients with degenerative meniscus tear who underwent APM were retrospectively enrolled in cohorts. DLR features were extracted from MRI of the patient's knee. Then, an MDLR model was used for the patient prognosis after arthroscopy. The MDLR model for prognostic risk stratification incorporated DLR signatures and clinical variable.Results The standalone DLR model performed poorly, with a micro average receiver operating characteristic (ROC) curve and macro average ROC line of 0.780 and 0.765 in the training set, 0.747 and 0.747 in the validation set, and 0.720 and 0.732 in the test set, respectively, for predicting postoperative outcomes in degenerative meniscus tears. Multivariate analysis identified gender, height, weight, duration of pain, ESR, and VAS as indicators of poor prognosis. After combining the above clinical features, the performance of the MDLR model has been significantly improved, with the best performance achieved under the Light Gradient Boosting Machine (GBM) algorithm. The micro average ROC curve and macro average ROC line of this model for predicting the postoperative effect of degenerative meniscus tear were 0.917 and 0.919 in the training set, 0.874 and 0.882 in the validation set, and 0.921 and 0.951 in the test set, respectively. With these variables, the MDLR model provides four levels of prognosis for arthroscopic partial meniscectomy: Poor, pain relief 0-25%, Average, pain relief 25-50%, Good, pain relief 50-75%, Excellent, pain relief 75-100%.Conclusion A tool based on MDLR was developed to consider that the pain exacerbation time is an important prognosis factor for arthroscopic partial meniscectomy in degenerative meniscus tear patients. MDLR showed outstanding performance for the prognostic efficiency stratification of degenerative meniscus tear patients who underwent arthroscopic partial meniscectomy and may help physicians with therapeutic decision making and surveillance strategy selection in clinical practice.</t>
  </si>
  <si>
    <t>He, Yao; Wei, Jiaying; Sun, Yinsong; Bao, Wei; Huang, Denghua; Fan, Yuanjun; Huang, Wei; Wang, Tingting</t>
  </si>
  <si>
    <t>Wang, TT (corresponding author), Chongqing Med Univ, Banan Hosp, Gen Comm Off, Chongqing, Peoples R China.</t>
  </si>
  <si>
    <t>h137445886@163.com</t>
  </si>
  <si>
    <t>Medical Science and Technology Research Program of Chongqing Banan Science and Technology Bureau and Chongqing Banan Health Commission [BNWJ202500130]</t>
  </si>
  <si>
    <t>Medical Science and Technology Research Program of Chongqing Banan Science and Technology Bureau and Chongqing Banan Health Commission</t>
  </si>
  <si>
    <t>The study supported by the Medical Science and Technology Research Program of Chongqing Banan Science and Technology Bureau and Chongqing Banan Health Commission (Grant No. BNWJ202500130).</t>
  </si>
  <si>
    <t>[He, Yao; Bao, Wei; Huang, Denghua; Fan, Yuanjun] Chongqing Med Univ, Banan Hosp, Dept Orthoped, Chongqing, Peoples R China; [He, Yao; Wei, Jiaying; Sun, Yinsong; Bao, Wei; Huang, Wei] Chongqing Med Univ, Affiliated Hosp 1, Dept Orthoped, Chongqing, Peoples R China; [He, Yao; Wei, Jiaying; Sun, Yinsong; Bao, Wei; Huang, Wei] Chongqing Municipal Hlth Commiss Key Lab Musculosk, Chongqing, Peoples R China; [He, Yao; Wei, Jiaying; Sun, Yinsong; Bao, Wei; Huang, Wei] Chongqing Med Univ, Orthoped Res Lab, Chongqing, Peoples R China; [Wang, Tingting] Chongqing Med Univ, Banan Hosp, Gen Comm Off, Chongqing, Peoples R China</t>
  </si>
  <si>
    <t>Chongqing Medical University; Chongqing Medical University; Chongqing Medical University; Chongqing Medical University</t>
  </si>
  <si>
    <t>A multimodal deep learning radiomics model for predicting degenerative meniscus tear after arthroscopy</t>
  </si>
  <si>
    <t>PLOS ONE</t>
  </si>
  <si>
    <t>PARTIAL MENISCECTOMY; KNEE PAIN; VALIDATION; INJURY; MRI</t>
  </si>
  <si>
    <t>Sun, Yinsong/JBI-6517-2023</t>
  </si>
  <si>
    <t>1932-6203</t>
  </si>
  <si>
    <t>PLoS One</t>
  </si>
  <si>
    <t>AUG 13 2025</t>
  </si>
  <si>
    <t>e0328299</t>
  </si>
  <si>
    <t>10.1371/journal.pone.0328299</t>
  </si>
  <si>
    <t>http://dx.doi.org/10.1371/journal.pone.0328299</t>
  </si>
  <si>
    <t>6DV4Z</t>
  </si>
  <si>
    <t>40802781</t>
  </si>
  <si>
    <t>WOS:001550991300044</t>
  </si>
  <si>
    <t>Sahin, E; Tatar, OC</t>
  </si>
  <si>
    <t>Pancreatic ductal adenocarcinoma (PDAC) has poor prognosis due to late diagnosis, limitations of computed tomography (CT) imaging, and low accuracy of clinical biomarkers. This study aimed to develop and validate a multimodal artificial intelligence (AI) approach integrating imaging-based deep learning (DL) and clinical data-driven machine learning (ML) to improve PDAC diagnosis. A retrospective cohort of 158 patients (123 PDAC, 35 benign) undergoing pancreatic surgery was analyzed. A YOLOv8-based DL model was trained on contrast-enhanced CT scans to detect pancreatic lesions, while clinical data (age, sex, serum CA19-9) were analyzed with a Random Forest ML classifier. Predictions from both models were combined into a multimodal fusion model, optimized to maximize diagnostic accuracy. Performance metrics included precision, recall, accuracy, F1-score, and ROC-AUC. The imaging-based DL model achieved strong tumor detection performance (mAP: 87.0%, precision: 86.5%, recall: 81.2%). The clinical ML model showed excellent specificity (precision: 100%, ROC-AUC: 0.931) but limited sensitivity (60%). The multimodal AI fusion model outperformed both individual models, significantly improving sensitivity, specificity, and overall diagnostic accuracy. A multimodal AI strategy integrating DL imaging analysis with ML-based clinical predictions markedly enhances diagnostic performance in pancreatic cancer. This approach offers potential as an effective decision-support tool, facilitating earlier diagnosis and optimized clinical decision-making.</t>
  </si>
  <si>
    <t>Sahin, Enes; Tatar, Ozan Can</t>
  </si>
  <si>
    <t>Tatar, OC (corresponding author), Kocaeli Univ, Fac Technol, Biomed Engn, Izmit, Turkiye.; Tatar, OC (corresponding author), Kocaeli City Hosp, Dept Gen Surg, Izmit, Kocaeli, Turkiye.</t>
  </si>
  <si>
    <t>ozancantatar@gmail.com</t>
  </si>
  <si>
    <t>[Sahin, Enes] Kocaeli Univ, Fac Med, Dept Gen Surg, TR-41000 Izmit, Kocaeli, Turkiye; [Tatar, Ozan Can] Kocaeli Univ, Fac Technol, Biomed Engn, Izmit, Turkiye; [Tatar, Ozan Can] Kocaeli City Hosp, Dept Gen Surg, Izmit, Kocaeli, Turkiye</t>
  </si>
  <si>
    <t>Kocaeli University; Kocaeli University</t>
  </si>
  <si>
    <t>Multimodal AI approach combining deep learning imaging and clinical machine learning for pancreatic cancer detection</t>
  </si>
  <si>
    <t>UPDATES IN SURGERY</t>
  </si>
  <si>
    <t>Pancreatic ductal adenocarcinoma; Artifi cial intelligence; Multimodal fusion; Deep learning; Computed tomography</t>
  </si>
  <si>
    <t>CA-19-9; DIAGNOSIS</t>
  </si>
  <si>
    <t>Tatar, Ozan/AAR-8524-2020</t>
  </si>
  <si>
    <t>SPRINGER-VERLAG ITALIA SRL</t>
  </si>
  <si>
    <t>MILAN</t>
  </si>
  <si>
    <t>VIA DECEMBRIO, 28, MILAN, 20137, ITALY</t>
  </si>
  <si>
    <t>2038-131X</t>
  </si>
  <si>
    <t>2038-3312</t>
  </si>
  <si>
    <t>UPDATES SURG</t>
  </si>
  <si>
    <t>Updates Surg.</t>
  </si>
  <si>
    <t>10.1007/s13304-026-02650-6</t>
  </si>
  <si>
    <t>http://dx.doi.org/10.1007/s13304-026-02650-6</t>
  </si>
  <si>
    <t>HF6TW</t>
  </si>
  <si>
    <t>42053950</t>
  </si>
  <si>
    <t>WOS:001752929800001</t>
  </si>
  <si>
    <t>Kim, S; Park, JH; Kim, CH; You, S; Choi, JS; Chang, JW; Jo, IY; Lee, BJ; Park, IS; Kim, HS; Park, YJ; Heo, J</t>
  </si>
  <si>
    <t>Background: Previous attempts to classify lymphoma subtypes based on metabolic features extracted from F-18-FDG PET imaging have been hindered by inconsistencies in imaging protocols, scanner types, and inter-institutional variability. To overcome these limitations, we propose a multimodal deep learning framework that integrates harmonized PET imaging features with structured clinical information. The proposed framework is designed to perform hierarchical classification of clinically meaningful lymphoma subtypes through two sequential binary classification tasks. Methods: We collected multi-center data comprising F-18-FDG PET images and structured clinical variables of patients with lymphoma. To mitigate domain shifts caused by different scanner manufacturers, we integrated a Scanner-Conditioned Normalization (SCN) module, which adaptively harmonizes feature distributions using manufacturer-specific parameters. Performance was validated using internal and external cohorts, with the statistical significance of performance gains assessed via DeLong's test and bootstrap-based CI analysis. Results: The proposed model achieved an area under the curve (AUC) of 0.89 (internal) and 0.84 (external) for Hodgkin lymphoma versus non-Hodgkin lymphoma classification and 0.84 (internal) and 0.76 (external) for diffuse large B-cell lymphoma versus follicular lymphoma classification (p &gt; 0.05). These results were obtained using a multimodal model that integrated anterior and lateral maximum intensity projection (MIP) images with clinical data. Conclusions: This study demonstrates the potential of a deep learning-based approach for lymphoma subtype classification using non-invasive F-18-FDG PET imaging combined with clinical data. While further validation in larger, more diverse cohorts is necessary to address the challenges of rare subtypes and biological heterogeneity, LymphoMAP serves as a meaningful step toward developing assistive tools for early clinical decision-making. These findings underscore the feasibility of using automated pipelines to support, rather than replace, conventional diagnostic workflows in personalized lymphoma management.</t>
  </si>
  <si>
    <t>Kim, Seonhwa; Park, Jun Hyeong; Kim, Chul-Ho; You, Seulgi; Choi, Jeong-Seok; Chang, Jae Won; Jo, In Young; Lee, Byung-Joo; Park, Il-Seok; Kim, Han Su; Park, Yong-Jin; Heo, Jaesung</t>
  </si>
  <si>
    <t>Heo, J (corresponding author), Ajou Univ, Sch Med, Dept Radiat Oncol, Suwon 16499, South Korea.; Park, YJ (corresponding author), Ajou Univ, Med Ctr, Sch Med, Dept Nucl Med, Suwon 16499, South Korea.</t>
  </si>
  <si>
    <t>yongjin.park@hanmail.net; nahero@ajou.ac.kr</t>
  </si>
  <si>
    <t>Ministry of Health &amp; Welfare, Republic of Korea [RS-2021-KH113822, RS-2022-KH130307]</t>
  </si>
  <si>
    <t>Ministry of Health &amp; Welfare, Republic of Korea (Ministry of Health &amp; Welfare (MOHW), Republic of Korea)</t>
  </si>
  <si>
    <t>This research was supported by a grant from the Korea Health Technology R&amp;D Project through the Korea Health Industry Development Institute (KHIDI), funded by the Ministry of Health &amp; Welfare, Republic of Korea (Grant numbers: RS-2021-KH113822 and RS-2022-KH130307). This study was supported by the National R&amp;D Program for Cancer Control through the National Cancer Center (NCC) funded by the Ministry of Health &amp; Welfare, Republic of Korea (RS-2025-02214710).</t>
  </si>
  <si>
    <t>[Kim, Seonhwa; Heo, Jaesung] Ajou Univ, Sch Med, Dept Radiat Oncol, Suwon 16499, South Korea; [Park, Jun Hyeong] Ajou Univ, Grad Sch, Dept Biomed Sci, Suwon 16499, South Korea; [Kim, Chul-Ho] Ajou Univ, Sch Med, Dept Otolaryngol, Suwon 16499, South Korea; [You, Seulgi] Ajou Univ, Sch Med, Dept Radiol, Suwon 16499, South Korea; [Choi, Jeong-Seok] Inha Univ, Coll Med, Dept Otorhinolaryngol Head &amp; Neck Surg, Incheon 22212, Gwangye, South Korea; [Chang, Jae Won] Chungnam Natl Univ Hosp, Dept Otolaryngol Head &amp; Neck Surg, Daejeon 35015, South Korea; [Jo, In Young] Soonchunhyang Univ Hosp, Dept Radiat Oncol, Cheonan 33019, South Korea; [Lee, Byung-Joo] Pusan Natl Univ, Coll Med, Dept Otorhinolaryngol Head &amp; Neck Surg, Busan 49241, South Korea; [Lee, Byung-Joo] Pusan Natl Univ, Pusan Natl Univ Hosp, Biomed Res Inst, Busan 49241, South Korea; [Park, Il-Seok] Hallym Univ, Dongtan Sacred Heart Hosp, Coll Med, Dept Otorhinolaryngol Head &amp; Neck Surg, Chunchon 24252, South Korea; [Kim, Han Su] Ewha Womans Univ, Sch Med, Dept Otorhinolaryngol Head &amp; Neck Surg, Seoul, South Korea; [Park, Yong-Jin] Ajou Univ, Med Ctr, Sch Med, Dept Nucl Med, Suwon 16499, South Korea</t>
  </si>
  <si>
    <t>Ajou University; Ajou University; Ajou University; Ajou University; Inha University; Chungnam National University; Chungnam National University Hospital; Soonchunhyang University; Soonchunhyang University Hospital; Pusan National University; Pusan National University; Pusan National University Hospital; Hallym University; Ewha Womans University; Ajou University</t>
  </si>
  <si>
    <t>Robust Multimodal Deep Learning for Lymphoma Subtype Classification Using 18F-FDG PET Maximum Intensity Projection Images and Clinical Data: A Multi-Center Study</t>
  </si>
  <si>
    <t>cancer imaging; deep learning; Hodgkin lymphoma; b-cell lymphoma; F-18-FDG; PET image</t>
  </si>
  <si>
    <t>INDOLENT</t>
  </si>
  <si>
    <t>Chang, Jae/R-3511-2019; Kim, Han/AAT-3295-2021</t>
  </si>
  <si>
    <t>210</t>
  </si>
  <si>
    <t>10.3390/cancers18020210</t>
  </si>
  <si>
    <t>http://dx.doi.org/10.3390/cancers18020210</t>
  </si>
  <si>
    <t>CQ4SW</t>
  </si>
  <si>
    <t>41595131</t>
  </si>
  <si>
    <t>WOS:001671995700001</t>
  </si>
  <si>
    <t>Banerji, CRS; Shah, AB; Dabson, B; Chakraborti, T; Hellon, V; Harbron, C; MacArthur, B</t>
  </si>
  <si>
    <t>Multimodal artificial intelligence (AI) is a powerful new technological advance, capable of simultaneously learning from diverse data types, such as text, images, video, and audio. Because clinical decisions are usually based on information from multiple sources, multimodal AI has the potential to significantly improve clinical practice. However, unlike most developed multimodal AI workflows, clinical medicine is both a dynamic and interventional process in which the clinician continually learns about the patient's health and acts accordingly as data is collected. In this article we argue that multimodal clinical AI must be fully attuned to the particular challenges and constraints of the clinic, and clinician involvement is needed throughout development-not just at clinical deployment. We propose ways that clinician involvement can add value at each stage of the multimodal AI development pipeline, and argue for the establishment of actively managed multidisciplinary communities to work collaboratively towards the shared goal of improving the health of all. Copyright (c) 2025 The Authors. Published by Elsevier Ltd. This is an open access article under the CC BY-NC-ND license (http://creativecommons.org/licenses/by-nc-nd/4.0/).</t>
  </si>
  <si>
    <t>Banerji, Christopher R. S.; Shah, Aroon Bhardwaj; Dabson, Ben; Chakraborti, Tapabrata; Hellon, Vicky; Harbron, Chris; MacArthur, Ben D.</t>
  </si>
  <si>
    <t>Banerji, CRS; MacArthur, B (corresponding author), Alan Turing Inst, London, England.</t>
  </si>
  <si>
    <t>bmacarthur@turing.ac.uk; cbanerji@turing.ac.uk</t>
  </si>
  <si>
    <t>Turing-Roche Strategic Partnership; CRUK City of London Centre Award [CTRQQR-2021\100004]</t>
  </si>
  <si>
    <t>Turing-Roche Strategic Partnership; CRUK City of London Centre Award</t>
  </si>
  <si>
    <t>CRSB, TC, VH, CH, and BDM were supported by the Turing-Roche Strategic Partnership. CRSB was also supported by the CRUK City of London Centre Award [CTRQQR-2021\100004].</t>
  </si>
  <si>
    <t>[Banerji, Christopher R. S.; Chakraborti, Tapabrata; Hellon, Vicky; MacArthur, Ben D.] Alan Turing Inst, London, England; [Banerji, Christopher R. S.] Univ Coll London Hosp, Univ Coll London Hosp NHS Trust, London, England; [Banerji, Christopher R. S.; Chakraborti, Tapabrata] UCL, UCL Canc Inst, Fac Med Sci, London, England; [Banerji, Christopher R. S.] Kings Coll London, Kings Comprehens Canc Ctr, London, England; [Shah, Aroon Bhardwaj] Whittington Hlth NHS Trust, Whittington Hosp, London, England; [Dabson, Ben] Imperial Coll London NHS Trust, Hammersmith Hosp, London, England; [Harbron, Chris] Roche Pharmaceut, Welwyn Garden City, England; [MacArthur, Ben D.] Univ Southampton, Fac Med, Southampton, England; [MacArthur, Ben D.] Univ Southampton, Math Sci, Southampton, England</t>
  </si>
  <si>
    <t>Alan Turing Institute; University of London; University College London Hospitals NHS Foundation Trust; University College London; University of London; University College London; University of London; King's College London; University of London; University College London; UCL Medical School; Imperial College London; Roche Holding; Roche Holding United Kingdom; University of Southampton; University of Southampton</t>
  </si>
  <si>
    <t>Clinicians must participate in the development of multimodal AI</t>
  </si>
  <si>
    <t>ECLINICALMEDICINE</t>
  </si>
  <si>
    <t>Multimodal AI; Human-in-the-loop AI; Health policy; Community management; Clinical AI</t>
  </si>
  <si>
    <t>ARTIFICIAL-INTELLIGENCE</t>
  </si>
  <si>
    <t>Banerji, Christopher R. S/0000-0002-4373-7657; Harbron, Chris/0000-0002-4353-5780; MacArthur, Ben/0000-0002-5396-9750; Hellon, Victoria/0000-0002-2745-0445</t>
  </si>
  <si>
    <t>2589-5370</t>
  </si>
  <si>
    <t>EClinicalMedicine</t>
  </si>
  <si>
    <t>84</t>
  </si>
  <si>
    <t>103252</t>
  </si>
  <si>
    <t>10.1016/j.eclinm.2025.103252</t>
  </si>
  <si>
    <t>http://dx.doi.org/10.1016/j.eclinm.2025.103252</t>
  </si>
  <si>
    <t>3GC9R</t>
  </si>
  <si>
    <t>40496887</t>
  </si>
  <si>
    <t>WOS:001499528000002</t>
  </si>
  <si>
    <t>Li, QW; Yang, Z; Chen, KL; Zhao, M; Long, H; Deng, YM; Hu, HR; Jia, C; Wu, MY; Zhao, ZD; Zhu, H; Zhou, SQ; Zhao, MM; Cao, PP; Zhou, SN; Song, Y; Tang, GS; Liu, J; Jiang, J; Liao, W; Zhou, WH; Yang, BY; Xiong, F; Zhang, SH; Gao, XF; Jiang, YQ; Zhang, W; Zhang, B; He, YL; Ran, LW; Zhang, CL; Wu, WT; Suolang, Q; Luo, HH; Kang, XJ; Wu, CY; Jin, HZ; Chen, L; Guo, Q; Gui, GJ; Li, SS; Si, HA; Guo, SP; Liu, HY; Liu, XG; Ma, GZ; Deng, DQ; Yuan, LM; Lu, JY; Zeng, JR; Jiang, X; Lyu, X; Chen, LQ; Hu, B; Tao, J; Liu, YH; Wang, G; Zhu, GN; Yao, ZR; Xu, QY; Yang, B; Wang, Y; Ding, Y; Yang, XX; Kai, H; Wu, HJ; Lu, QJ</t>
  </si>
  <si>
    <t>BackgroundLupus erythematosus (LE) is a spectrum of autoimmune diseases. Due to the complexity of cutaneous LE (CLE), clinical skin image-based artificial intelligence is still experiencing difficulties in distinguishing subtypes of LE.ObjectivesWe aim to develop a multimodal deep learning system (MMDLS) for human-AI collaboration in diagnosis of LE subtypes.MethodsThis is a multi-centre study based on 25 institutions across China to assist in diagnosis of LE subtypes, other eight similar skin diseases and healthy subjects. In total, 446 cases with 800 clinical skin images, 3786 multicolor-immunohistochemistry (multi-IHC) images and clinical data were collected, and EfficientNet-B3 and ResNet-18 were utilized in this study.ResultsIn the multi-classification task, the overall performance of MMDLS on 13 skin conditions is much higher than single or dual modals (Sen = 0.8288, Spe = 0.9852, Pre = 0.8518, AUC = 0.9844). Further, the MMDLS-based diagnostic-support help improves the accuracy of dermatologists from 66.88% +/- 6.94% to 81.25% +/- 4.23% (p = 0.0004).ConclusionsThese results highlight the benefit of human-MMDLS collaborated framework in telemedicine by assisting dermatologists and rheumatologists in the differential diagnosis of LE subtypes and similar skin diseases.</t>
  </si>
  <si>
    <t>Li, Qianwen; Yang, Zhi; Chen, Kaili; Zhao, Ming; Long, Hai; Deng, Yueming; Hu, Haoran; Jia, Chen; Wu, Meiyu; Zhao, Zhidan; Zhu, Huan; Zhou, Suqing; Zhao, Mingming; Cao, Pengpeng; Zhou, Shengnan; Song, Yang; Tang, Guishao; Liu, Juan; Jiang, Jiao; Liao, Wei; Zhou, Wenhui; Yang, Bingyi; Xiong, Feng; Zhang, Suhan; Gao, Xiaofei; Jiang, Yiqun; Zhang, Wei; Zhang, Bo; He, Yan-ling; Ran, Liwei; Zhang, Chunlei; Wu, Wenting; Suolang, Quzong; Luo, Hanhuan; Kang, Xiaojing; Wu, Caoying; Jin, Hongzhong; Chen, Lei; Guo, Qing; Gui, Guangji; Li, Shanshan; Si, Henan; Guo, Shuping; Liu, Hong-Ye; Liu, Xiguang; Ma, Guo-Zhang; Deng, Danqi; Yuan, Limei; Lu, Jianyun; Zeng, Jinrong; Jiang, Xian; Lyu, Xiaoyan; Chen, Liuqing; Hu, Bin; Tao, Juan; Liu, Yuhao; Wang, Gang; Zhu, Guannan; Yao, Zhirong; Xu, Qianyue; Yang, Bin; Wang, Yu; Ding, Yan; Yang, Xianxu; Kai, Hu; Wu, Haijing; Lu, Qianjin</t>
  </si>
  <si>
    <t>Lu, QJ (corresponding author), 12 Jiangwangmiao St, Nanjing 210042, Peoples R China.; Wu, HJ (corresponding author), Cent South Univ, Xiangya Hosp 2, Changsha 410011, Hunan, Peoples R China.; Kai, H (corresponding author), Xiangtan Univ, Xiangtan 411105, Peoples R China.</t>
  </si>
  <si>
    <t>chriswu1010@126.com; qianlu5860@pumcderm.cams.cn; kaihu@xtu.edu.cn</t>
  </si>
  <si>
    <t>National Natural Science Foundation of China [81830097, 81972943, 81773332, 82173425, 61972333]; Key Research and Development Program of Hunan Province, China [2018XK2304]; Hunan Talent Young Investigator of China [2019RS2012]; Hunan Outstanding Young Investigator of China [2020JJ2055]; CAMS Innovation Fund for Medical Sciences (CIFMS) [2019-I2 M-5-033, 2021-I2 M-1-059]; Nonprofit Central Research Institute Fund of the Chinese Academy of Medical Sciences [2021-RC320-001, 2020-RC320-003]; National Key R&amp;D Program of China [2021YFC2702004]; Science and Technology Major Project of Changsha [kh2202005]; Clinical Medical Innovation Guide Project of Hunan Province [2021SK53509]</t>
  </si>
  <si>
    <t>National Natural Science Foundation of China (National Natural Science Foundation of China (NSFC)); Key Research and Development Program of Hunan Province, China; Hunan Talent Young Investigator of China; Hunan Outstanding Young Investigator of China; CAMS Innovation Fund for Medical Sciences (CIFMS) (CAMS Innovation Fund for Medical Sciences (CIFMS)); Nonprofit Central Research Institute Fund of the Chinese Academy of Medical Sciences; National Key R&amp;D Program of China (National Key Research &amp; Development Program of China); Science and Technology Major Project of Changsha; Clinical Medical Innovation Guide Project of Hunan Province</t>
  </si>
  <si>
    <t>National Natural Science Foundation of China (Nos 81830097, 81972943, 81773332, 82173425 and 61972333). Key Research and Development Program of Hunan Province, China (2018XK2304), Hunan Talent Young Investigator of China (No. 2019RS2012). Hunan Outstanding Young Investigator of China (No. 2020JJ2055). CAMS Innovation Fund for Medical Sciences (CIFMS) (Nos 2019-I2 M-5-033 and 2021-I2 M-1-059). Nonprofit Central Research Institute Fund of the Chinese Academy of Medical Sciences (Nos 2021-RC320-001 and 2020-RC320-003). National Key R&amp;D Program of China (No. 2021YFC2702004). Science and Technology Major Project of Changsha (No. kh2202005). Clinical Medical Innovation Guide Project of Hunan Province (No. 2021SK53509).</t>
  </si>
  <si>
    <t>[Li, Qianwen; Chen, Kaili; Zhao, Ming; Long, Hai; Deng, Yueming; Hu, Haoran; Jia, Chen; Wu, Meiyu; Zhao, Zhidan; Zhu, Huan; Zhou, Suqing; Zhao, Mingming; Cao, Pengpeng; Zhou, Shengnan; Song, Yang; Tang, Guishao; Liu, Juan; Jiang, Jiao; Zhou, Wenhui; Yang, Bingyi; Xiong, Feng; Zhang, Suhan; Wu, Haijing; Lu, Qianjin] Cent South Univ, Dept Dermatol, Hunan Key Lab Med Epigen, Xiangya Hosp 2, Changsha, Peoples R China; [Yang, Zhi; Kai, Hu] Xiangtan Univ, Key Lab Intelligent Comp &amp; Informat Proc, Minist Educ, Xiangtan, Peoples R China; [Liao, Wei; Gao, Xiaofei] Hunan Childrens Hosp, Dept Dermatol, Changsha, Peoples R China; [Jiang, Yiqun; Zhang, Wei; Zhang, Bo; Lu, Qianjin] Chinese Acad Med Sci &amp; Peking Union Med Coll, Inst Dermatol, Nanjing 210042, Peoples R China; [He, Yan-ling; Ran, Liwei] Capital Med Univ, Beijing Chao Yang Hosp, Dept Dermatol, Beijing, Peoples R China; [Zhang, Chunlei; Wu, Wenting] Peking Univ, Dept Dermatol, Hosp 3, Beijing, Peoples R China; [Suolang, Quzong; Luo, Hanhuan] Peoples Hosp Tibet Autonomous Reg, Dept Dermatol, Lhasa, Peoples R China; [Kang, Xiaojing; Wu, Caoying] Peoples Hosp Xinjiang Uygur Autonomous Reg, Dept Dermatol, Urumqi, Peoples R China; [Jin, Hongzhong; Chen, Lei] Chinese Acad Med Sci &amp; Peking Union Med Coll, Dept Dermatol, Peking Union Med Coll Hosp, State Key Lab Complex Severe &amp; Rare Dis, Beijing, Peoples R China; [Guo, Qing; Gui, Guangji] Sun Yat Sen Univ, Sun Yat Sen Mem Hosp, Dept Dermatol, Guangzhou, Peoples R China; [Li, Shanshan; Si, Henan] Jilin Univ, Bethune Hosp 1, Dept Dermatol, Changchun, Peoples R China; [Guo, Shuping; Liu, Hong-Ye] Shanxi Med Univ, Hosp 1, Dept Dermatol, Taiyuan, Peoples R China; [Liu, Xiguang; Ma, Guo-Zhang] Hei Long Jiang Prov Hosp, Dept Dermatol, Harbin, Peoples R China; [Deng, Danqi; Yuan, Limei] Kunming Med Univ, Affiliated Hosp 2, Dept Dermatol, Kunming, Peoples R China; [Lu, Jianyun; Zeng, Jinrong] Cent South Univ, Xiangya Hosp 3, Dept Dermatol, Changsha, Peoples R China; [Jiang, Xian; Lyu, Xiaoyan] Sichuan Univ, West China Hosp, Dept Dermatol, Chengdu, Peoples R China; [Chen, Liuqing; Hu, Bin] Wuhan 1 Hosp, Dept Dermatol, Wuhan, Peoples R China; [Tao, Juan; Liu, Yuhao] Wuhan Union Hosp China, Dept Dermatol, Wuhan, Peoples R China; [Wang, Gang; Zhu, Guannan] Xijing Hosp, Dept Dermatol, Xian, Peoples R China; [Yao, Zhirong; Xu, Qianyue] Shanghai Jiao Tong Univ, Xinhua Hosp, Dept Dermatol, Sch Med, Shanghai, Peoples R China; [Yang, Bin; Wang, Yu] Southern Med Univ, Dermatol Hosp, Guangzhou, Peoples R China; [Ding, Yan; Yang, Xianxu] Hainan Prov Hosp Skin Dis, Haikou, Peoples R China; [Lu, Qianjin] Chinese Acad Med Sci, Key Lab Basic &amp; Translat Res Immune Mediated Skin, Nanjing, Peoples R China; [Lu, Qianjin] Jiangsu Key Lab Mol Biol Skin Dis &amp; STIs, Nanjing, Peoples R China; [Lu, Qianjin] 12 Jiangwangmiao St, Nanjing 210042, Peoples R China; [Wu, Haijing] Cent South Univ, Xiangya Hosp 2, Changsha 410011, Hunan, Peoples R China; [Kai, Hu] Xiangtan Univ, Xiangtan 411105, Peoples R China</t>
  </si>
  <si>
    <t>Central South University; Xiangtan University; Chinese Academy of Medical Sciences - Peking Union Medical College; Institute of Dermatology - CAMS; Peking Union Medical College; Capital Medical University; Peking University; Chinese Academy of Medical Sciences - Peking Union Medical College; Peking Union Medical College; Peking Union Medical College Hospital; Sun Yat Sen University; Jilin University; Shanxi Medical University; Kunming Medical University; Central South University; Sichuan University; Wuhan No.1 Hospital; Air Force Medical University; Shanghai Jiao Tong University; Southern Medical University - China; Chinese Academy of Medical Sciences - Peking Union Medical College; Central South University; Xiangtan University</t>
  </si>
  <si>
    <t>Human-multimodal deep learning collaboration in 'precise' diagnosis of lupus erythematosus subtypes and similar skin diseases</t>
  </si>
  <si>
    <t>JOURNAL OF THE EUROPEAN ACADEMY OF DERMATOLOGY AND VENEREOLOGY</t>
  </si>
  <si>
    <t>CLASSIFICATION; SUBSETS</t>
  </si>
  <si>
    <t>Zhou, Shengnan/LTD-9544-2024; Jiang, Yiqun/KPA-2218-2024; Zhang, Bo/KBB-8283-2024; Gao, Xiaofei/NBX-9121-2025; Zhu, Guannan/LCE-7619-2024; Zhang, Suhan/MGT-2473-2025; Xu, Qianyue/IZD-6651-2023; guo, qi/IQV-5348-2023; Hu, Haoran/OZF-1282-2025</t>
  </si>
  <si>
    <t>Deng, Danqi/0000-0003-1875-7450; Wang, Gang/0000-0002-5842-8080; Lyu, Xiaoyan/0000-0003-4224-0718; Zhang, Bo/0000-0001-6101-3743; Chen, Kaili/0000-0001-9298-4817</t>
  </si>
  <si>
    <t>0926-9959</t>
  </si>
  <si>
    <t>1468-3083</t>
  </si>
  <si>
    <t>J EUR ACAD DERMATOL</t>
  </si>
  <si>
    <t>J. Eur. Acad. Dermatol. Venereol.</t>
  </si>
  <si>
    <t>2268</t>
  </si>
  <si>
    <t>2279</t>
  </si>
  <si>
    <t>10.1111/jdv.20031</t>
  </si>
  <si>
    <t>http://dx.doi.org/10.1111/jdv.20031</t>
  </si>
  <si>
    <t>Dermatology</t>
  </si>
  <si>
    <t>N4P3D</t>
  </si>
  <si>
    <t>38619440</t>
  </si>
  <si>
    <t>WOS:001202572100001</t>
  </si>
  <si>
    <t>Bronze</t>
  </si>
  <si>
    <t>Fu, X; Bao, J; Qiao, XM; Shen, JK; Zhang, YY; Jin, PF; Ji, YT; Zhang, J; Su, YT; Ji, LB; Li, ZK; Hu, CH; Lu, J; Wang, XM; Shen, HL; Liu, JA</t>
  </si>
  <si>
    <t>Purpose This study aimed to develop a deep learning model based on magnetic resonance imaging (MRI) and clinical features for predicting PSM risk after radical prostatectomy (RP). Methods This retrospective multicenter study included 1177 prostate cancer patients who underwent preoperative MRI and RP across eight institutions. A total of 1022 patients from two institutions were used for model training, while 155 patients from six independent centers formed the external validation cohort. A feature disentanglement-based deep learning model (DESM) was developed to isolate disease-specific features from hospital-specific variations. A multimodal fusion model (MDESM) was further constructed by integrating the DESM-derived imaging signature with clinical variables to enhance prediction accuracy and generalizability. Gradient-weighted class activation mapping was applied to provide interpretability by highlighting model attention regions. Results In the external validation cohort, MDESM achieved an area under the receiver operating characteristic curve of 0.843 (95% CI, 0.770-0.911), significantly outperforming the DESM (0.711, 95% CI, 0.607-0.800, p = 0.003, Z = 2.936) and the clinical-only model (0.676, 95% CI, 0.577-0.770, p &lt; 0.001, Z = 3.420). Decision curve analysis demonstrated the highest net benefit for MDESM across a range of threshold probabilities. Conclusion The MDESM model, based on a feature disentanglement and multimodal fusion strategy, demonstrates the potential to effectively combine MRI and clinical data to achieve accurate PSM prediction. This approach offers a promising tool for preoperative risk stratification and surgical planning in prostate cancer.</t>
  </si>
  <si>
    <t>Fu, Xu; Bao, Jie; Qiao, Xiaomeng; Shen, Junkang; Zhang, Yueyue; Jin, Pengfei; Ji, Yanting; Zhang, Ji; Su, Yueting; Ji, Libiao; Li, Zhenkai; Hu, Chunhong; Lu, Jian; Wang, Ximing; Shen, Hailin; Liu, Jiangang</t>
  </si>
  <si>
    <t>Liu, JA (corresponding author), Beihang Univ, Sch Engn Med, Beijing, Peoples R China.; Liu, JA (corresponding author), Beihang Univ, Key Lab Big Data Based Precis Med, Minist Ind &amp; Informat Technol China, Beijing, Peoples R China.; Wang, XM (corresponding author), Soochow Univ, Affiliated Hosp 1, Dept Radiol, Suzhou, Peoples R China.; Shen, HL (corresponding author), Shanghai Jiao Tong Univ, Suzhou Kowloon Hosp, Dept Radiol, Sch Med, Suzhou, Peoples R China.; Lu, J (corresponding author), Peking Univ Third Hosp, Dept Urol, Beijing, Peoples R China.</t>
  </si>
  <si>
    <t>hch5305@163.com; yxyxzy@126.com; 291514032@qq.com; hailinshen@163.com; jinpengfei19951102@163.com; sdfesjk@126.com; bgda123@163.com; qiaoxiaomeng0829@163.com; baojie7346@sina.com; xufu2022@buaa.edu.cn; lujian@bjmu.edu.cn; zhenkaili0116@163.com; wangximing1998@163.com; jilibiao@163.com; zj00151@126.com; jgliu@buaa.edu.cn</t>
  </si>
  <si>
    <t>2024 Shouyi Medical "Hundred Clinical Scientists Program"-Research on AI Automatic Construction and Clinical Application of Holographic Imaging for Prostate Cancer [SYBR202401]; National Natural Science Foundation of China [62331001]; Joint Funds of the National Natural Science Foundation of China [U24A20755]; 2024 Capital's Funds for Health Improvement and Research-Application of holographic three-dimensional imaging technology in partial nephrectomy of renal tumors [SFH2024-2-6044]; Beijing Natural Science Foundation [L258056]</t>
  </si>
  <si>
    <t>2024 Shouyi Medical "Hundred Clinical Scientists Program"-Research on AI Automatic Construction and Clinical Application of Holographic Imaging for Prostate Cancer; National Natural Science Foundation of China (National Natural Science Foundation of China (NSFC)); Joint Funds of the National Natural Science Foundation of China (National Natural Science Foundation of China (NSFC)); 2024 Capital's Funds for Health Improvement and Research-Application of holographic three-dimensional imaging technology in partial nephrectomy of renal tumors; Beijing Natural Science Foundation (Beijing Natural Science Foundation)</t>
  </si>
  <si>
    <t>This work was supported by the Beijing Natural Science Foundation (Grant Number: L258056), the Joint Funds of the National Natural Science Foundation of China (Grant Number: U24A20755), the National Natural Science Foundation of China (Grant Number: 62331001), 2024 Capital's Funds for Health Improvement and Research-Application of holographic three-dimensional imaging technology in partial nephrectomy of renal tumors (Grant Number: SFH2024-2-6044), and 2024 Shouyi Medical "Hundred Clinical Scientists Program"-Research on AI Automatic Construction and Clinical Application of Holographic Imaging for Prostate Cancer (Grant Number: SYBR202401).</t>
  </si>
  <si>
    <t>[Fu, Xu; Liu, Jiangang] Beihang Univ, Sch Engn Med, Beijing, Peoples R China; [Fu, Xu; Liu, Jiangang] Beihang Univ, Key Lab Big Data Based Precis Med, Minist Ind &amp; Informat Technol China, Beijing, Peoples R China; [Bao, Jie; Qiao, Xiaomeng; Jin, Pengfei; Ji, Yanting; Hu, Chunhong; Wang, Ximing] Soochow Univ, Affiliated Hosp 1, Dept Radiol, Suzhou, Peoples R China; [Shen, Junkang; Zhang, Yueyue] Soochow Univ, Affiliated Hosp 2, Dept Radiol, Suzhou, Peoples R China; [Ji, Yanting] Soochow Univ, Affiliated Zhangjiagang Hosp, Dept Radiol, Zhangjiagang, Peoples R China; [Zhang, Ji; Su, Yueting] Peoples Hosp Taizhou, Dept Radiol, Taizhou, Peoples R China; [Ji, Libiao] Changshu 1 Peoples Hosp, Dept Radiol, Changshu, Peoples R China; [Li, Zhenkai; Shen, Hailin] Shanghai Jiao Tong Univ, Suzhou Kowloon Hosp, Dept Radiol, Sch Med, Suzhou, Peoples R China; [Lu, Jian] Peking Univ Third Hosp, Dept Urol, Beijing, Peoples R China</t>
  </si>
  <si>
    <t>Beihang University; Beihang University; Soochow University - China; Soochow University - China; Soochow University - China; Peking University</t>
  </si>
  <si>
    <t>Preoperative prediction of positive surgical margins in prostate cancer using multimodal deep learning model: a multicenter study</t>
  </si>
  <si>
    <t>Prostate cancer; Positive surgical margin; Magnetic resonance imaging; Deep learning</t>
  </si>
  <si>
    <t>RADICAL PROSTATECTOMY; MULTIPARAMETRIC MRI; FEATURES</t>
  </si>
  <si>
    <t>10.1007/s00261-026-05672-1</t>
  </si>
  <si>
    <t>http://dx.doi.org/10.1007/s00261-026-05672-1</t>
  </si>
  <si>
    <t>LQ6RH</t>
  </si>
  <si>
    <t>42501097</t>
  </si>
  <si>
    <t>WOS:001830929800001</t>
  </si>
  <si>
    <t>Nie, SL; Jiang, YM; Duan, YN; Han, YL; Jiang, DN; Chen, AP; Chu, HJ</t>
  </si>
  <si>
    <t>Background High-grade serous ovarian carcinoma (HGSOC) is associated with a high risk of postoperative recurrence, and the timing of recurrence is closely related to patient survival outcomes and subsequent treatment strategies. However, current postoperative surveillance primarily relies on clinical indicators and routine imaging examinations, which offer limited predictive accuracy. Although deep learning-based image analysis has shown promise in capturing tumor heterogeneity and improving prognostic assessment, studies integrating preoperative contrast-enhanced computed tomography (CE-CT) and ultrasound imaging for recurrence risk prediction in HGSOC remain limited. Methods This single-center retrospective study enrolled 293 patients with pathologically confirmed HGSOC, who were randomly assigned to a training cohort and an internal validation cohort. Separate two-dimensional deep learning survival models were developed using preoperative CE-CT and ultrasound images. A Cox partial likelihood-based time-to-event loss function was applied to generate modality-specific deep learning scores (DL-scores). Independent clinical predictors were identified through univariate and multivariate Cox regression analyses and were integrated with CT-DL and US-DL scores to construct a multimodal Cox prognostic model, which was visualized using a nomogram. Model performance was assessed using the concordance index (C-index), time-dependent receiver operating characteristic (ROC) curves, Kaplan-Meier survival analysis, calibration curves, and decision curve analysis. Bootstrap resampling was performed to evaluate model robustness, and Gradient-weighted Class Activation Mapping (Grad-CAM) was used to visualize model attention. Results The multimodal integrated model demonstrated superior prognostic performance, achieving C-index values of 0.840 in the training cohort and 0.722 in the internal validation cohort. Time-dependent ROC analysis showed that the combined model achieved areas under the curve (AUCs) of 0.880, 0.890, and 0.892 for predicting 1-, 2-, and 3-year recurrence-free survival (RFS) in the training cohort, and 0.864, 0.781, and 0.772 in the validation cohort, respectively. Kaplan-Meier survival analysis revealed a significant separation between high- and low-risk groups (log-rank test, all P &lt; 0.001). Calibration and decision curve analyses indicated good agreement between predicted and observed outcomes and a higher net clinical benefit. Bootstrap resampling further confirmed the robustness of the multimodal model. Grad-CAM visualizations suggested that the model primarily focused on tumor and peritumoral regions. Conclusions This study proposes a multimodal prognostic framework integrating deep learning features from CE-CT and ultrasound with clinical variables for preoperative prediction of postoperative recurrence risk in HGSOC. Using routinely acquired imaging data, the model shows consistent interpretability and performance, supporting its use as an exploratory decision-support and risk-stratification tool. Prospective, multicenter validation is required before clinical implementation.</t>
  </si>
  <si>
    <t>Nie, Silin; Jiang, Yumin; Duan, Yanan; Han, Yulu; Jiang, Danni; Chen, Aiping; Chu, Huijun</t>
  </si>
  <si>
    <t>Chen, AP; Chu, HJ (corresponding author), Qingdao Univ, Affiliated Hosp, Dept Obstet &amp; Gynecol, Qingdao, Shandong, Peoples R China.</t>
  </si>
  <si>
    <t>chenaiping@qdu.edu.cn; chuhuijun@qdu.edu.cn</t>
  </si>
  <si>
    <t>[Nie, Silin; Duan, Yanan; Chen, Aiping; Chu, Huijun] Qingdao Univ, Affiliated Hosp, Dept Obstet &amp; Gynecol, Qingdao, Shandong, Peoples R China; [Jiang, Yumin] Qingdao Univ, Affiliated Hosp, Dept Hepatobiliary &amp; Pancreat Surg, Qingdao, Shandong, Peoples R China; [Han, Yulu] Qingdao Univ, Qingdao Med Coll, Qingdao 266000, Shandong, Peoples R China; [Jiang, Danni] Qingdao Univ, Affiliated Hosp, Ultrasound Sect, Qingdao, Shandong, Peoples R China</t>
  </si>
  <si>
    <t>Qingdao University; Qingdao University; Qingdao University; Qingdao University</t>
  </si>
  <si>
    <t>Multimodal deep learning using preoperative CT and ultrasound for recurrence risk prediction in high-grade serous ovarian carcinoma</t>
  </si>
  <si>
    <t>BMC MEDICAL IMAGING</t>
  </si>
  <si>
    <t>CE-CT; US; HGSOC; Deep learning; Multimodal imaging; Recurrence-free survival; Prognostic model</t>
  </si>
  <si>
    <t>CANCER; BIOMARKERS</t>
  </si>
  <si>
    <t>1471-2342</t>
  </si>
  <si>
    <t>BMC MED IMAGING</t>
  </si>
  <si>
    <t>BMC Med. Imag.</t>
  </si>
  <si>
    <t>JAN 29 2026</t>
  </si>
  <si>
    <t>107</t>
  </si>
  <si>
    <t>10.1186/s12880-026-02192-8</t>
  </si>
  <si>
    <t>http://dx.doi.org/10.1186/s12880-026-02192-8</t>
  </si>
  <si>
    <t>EB2XQ</t>
  </si>
  <si>
    <t>41612257</t>
  </si>
  <si>
    <t>WOS:001696987900001</t>
  </si>
  <si>
    <t>Pham, QTM; Han, JC; Park, D; Shin, J</t>
  </si>
  <si>
    <t>Glaucoma is one of the most common reasons for blindness worldwide, especially in elderly people. Glaucoma can be monitored using visual field (VF) tests. Therefore, predicting the future VF to monitor progression of glaucoma is important. In this paper, we proposed a deep learning model to predict future VF based on previous VF and optical coherence tomography (OCT) images (including thickness map, vertical tomogram, and horizontal tomogram). The image data were analyzed using a ResNet-50 model. Image features and previous VFs were combined, and a long short-term memory (LSTM) network was used to predict future VF. A weighted method was used to detect noisy data. The proposed method was improved when applying weighted loss. The mean absolute error (MAE) was 3.31 +/- 1.37, and the root mean square error (RMSE) was 4.58 +/- 1.77. The model showed high performance when combining VF data and OCT image data. Furthermore, the model was useful for detecting and re-weighting noisy data.</t>
  </si>
  <si>
    <t>Pham, Quang T. M.; Han, Jong Chul; Park, Do Young; Shin, Jitae</t>
  </si>
  <si>
    <t>Shin, J (corresponding author), Sungkyunkwan Univ, Dept Elect &amp; Comp Engn, Suwon 16419, South Korea.; Han, JC (corresponding author), Sungkyunkwan Univ, Samsung Med Ctr, Dept Ophthalmol, Sch Med, Seoul 03181, South Korea.; Han, JC (corresponding author), Sungkyunkwan Univ, Dept Med Device Management &amp; Res, SAIHST, Seoul 03181, South Korea.</t>
  </si>
  <si>
    <t>jtshin@skku.edu; heartmedic79@gmail.com</t>
  </si>
  <si>
    <t>SMC-SKKU Future Convergence Research Program Grant; National Research Foundation of Korea (NRF) grant - Korea government (MSIT) [NRF-2020R1F1A1065626]</t>
  </si>
  <si>
    <t>SMC-SKKU Future Convergence Research Program Grant; National Research Foundation of Korea (NRF) grant - Korea government (MSIT) (National Research Foundation of Korea)</t>
  </si>
  <si>
    <t>This study was supported in part by SMC-SKKU Future Convergence Research Program Grant and in part by the National Research Foundation of Korea (NRF) grant funded by the Korea government (MSIT) (NRF-2020R1F1A1065626)</t>
  </si>
  <si>
    <t>[Pham, Quang T. M.; Shin, Jitae] Sungkyunkwan Univ, Dept Elect &amp; Comp Engn, Suwon 16419, South Korea; [Han, Jong Chul] Sungkyunkwan Univ, Samsung Med Ctr, Dept Ophthalmol, Sch Med, Seoul 03181, South Korea; [Han, Jong Chul] Sungkyunkwan Univ, Dept Med Device Management &amp; Res, SAIHST, Seoul 03181, South Korea; [Park, Do Young] Yeungnam Univ, Yeungnam Univ Hosp, Dept Ophthalmol, Coll Med, Daegu 42415, South Korea</t>
  </si>
  <si>
    <t>Sungkyunkwan University (SKKU); Sungkyunkwan University (SKKU); Samsung Medical Center; Sungkyunkwan University (SKKU); Yeungnam University; Yeungnam University Hospital</t>
  </si>
  <si>
    <t>Multimodal Deep Learning Model of Predicting Future Visual Field for Glaucoma Patients</t>
  </si>
  <si>
    <t>Predictive models; Noise measurement; Optical imaging; Deep learning; Analytical models; Optical fibers; Glaucoma; Visualization; glaucoma; OCT; visual field</t>
  </si>
  <si>
    <t>QUALITY-OF-LIFE; OPTICAL COHERENCE TOMOGRAPHY; NERVE-FIBER LAYER; THICKNESS MAPS</t>
  </si>
  <si>
    <t>Shin, Jitae/V-3834-2019</t>
  </si>
  <si>
    <t>Shin, Jitae/0000-0002-2599-3331; Park, Do Young/0000-0001-6089-6898; Pham Tran Minh, Quang/0000-0003-1652-299X</t>
  </si>
  <si>
    <t>19049</t>
  </si>
  <si>
    <t>19058</t>
  </si>
  <si>
    <t>10.1109/ACCESS.2023.3248065</t>
  </si>
  <si>
    <t>http://dx.doi.org/10.1109/ACCESS.2023.3248065</t>
  </si>
  <si>
    <t>9M4WC</t>
  </si>
  <si>
    <t>WOS:000942231000001</t>
  </si>
  <si>
    <t>Tian, X; Jiang, YC; Zhu, SX; Liu, XH; Anwaier, A; Ye, SQ; Chang, K; Qu, YY; Gu, YJ; Zhang, HL; Ye, DW; Xu, WH</t>
  </si>
  <si>
    <t>Despite sunitinib remaining the cornerstone of systemic therapy for advanced renal cell carcinoma (RCC), reliable predictive biomarkers for therapeutic response remain elusive. We retrospectively analyzed multi-modal data (complete across four modalities) from 157 clear cell RCC (ccRCC) patients receiving sunitinib monotherapy. The cohort was randomly partitioned into training (70%) and testing (30%) sets. Seven deep learning architectures (DenseNet201, ResNet18, ResNet152, ResNet34, Inception_v3, ShuffleNet_v2, and MobileNet_v3) were deployed to identify imaging biomarkers. Deep transfer learning features derived from ResNet34 were integrated with genomic variants, proteomic profiles, and clinical parameters to develop a multimodal predictive model-termed the CGPR (Clinical, Genomic, Proteomic, and Radiomic) model. Model interpretability was enhanced via SHapley Additive exPlanations (SHAP) to quantify feature contribution weights. Single-modality-based models exhibited suboptimal performance, with average area under the receiver operating characteristic curves (AUCs) below 0.8 and significant discrepancies between training and testing sets. Radiomics-based deep learning models also showed limited efficacy (ResNet34: mean AUC = 0.785). The multimodal CGPR model achieved superior accuracy (mean AUC = 0.946). SHAP analysis identified the deep transfer learning features DL_0 and DL_60, alongside the proteomic marker SRGAP1 (SLIT-ROBO Rho GTPase Activating Protein 1), as the three most influential predictors. This study demonstrates the transformative potential of multimodal integration for predicting sunitinib response in advanced ccRCC. By harmonizing deep learning signatures (ResNet34-derived), proteomic biomarkers (SRGAP1), and clinical parameters, the CGPR model surpassed conventional single-modality approaches in predictive accuracy.</t>
  </si>
  <si>
    <t>Tian, Xi; Jiang, Yuchen; Zhu, Shuxuan; Liu, Xiaohang; Anwaier, Aihetaimujiang; Ye, Shiqi; Chang, Kun; Qu, Yuanyuan; Gu, Ya-jia; Zhang, Hailiang; Ye, Dingwei; Xu, Wenhao</t>
  </si>
  <si>
    <t>Gu, YJ; Zhang, HL; Ye, DW; Xu, WH (corresponding author), Fudan Univ, Shanghai Canc Ctr, Dept Urol, 270 Dongan Rd, Shanghai 200032, Peoples R China.</t>
  </si>
  <si>
    <t>zhanghl918@163.com; cjr.guyajia@vip.163.com; xwhao0407@163.com; dwyelie@163.com</t>
  </si>
  <si>
    <t>Natural Science Foundation of Shanghai 2025 [25ZR1401067]; Scientific Innovation Project of Shanghai Education Committee [2021-01-07-00-07-E00080]; Beijing Xisike Clinical Oncology Research Foundation [Y-HR2020MS-0948]; Joint Breakthrough Project for New Frontier Technologies of the Shanghai Hospital Development Center [SHDC2025CCS007, SHDC12022105]; National Natural Science Foundation of China [82473192, 82172741]; Shanghai Anti-Cancer Association Eyas Project [SACA-CY23A02, SACA-CY23C04]; Demonstration Program for Innovative Medical Devices and Drugs of Science and Technology Commission of Shanghai Municipality [24SF1900800]; Shanghai Municipal Health Bureau [2020CXJQ03]</t>
  </si>
  <si>
    <t>Natural Science Foundation of Shanghai 2025; Scientific Innovation Project of Shanghai Education Committee; Beijing Xisike Clinical Oncology Research Foundation; Joint Breakthrough Project for New Frontier Technologies of the Shanghai Hospital Development Center; National Natural Science Foundation of China (National Natural Science Foundation of China (NSFC)); Shanghai Anti-Cancer Association Eyas Project; Demonstration Program for Innovative Medical Devices and Drugs of Science and Technology Commission of Shanghai Municipality; Shanghai Municipal Health Bureau</t>
  </si>
  <si>
    <t>The authors gratefully acknowledge the invaluable contributions of all participants in this research.</t>
  </si>
  <si>
    <t>[Tian, Xi; Jiang, Yuchen; Zhu, Shuxuan; Anwaier, Aihetaimujiang; Ye, Shiqi; Chang, Kun; Qu, Yuanyuan; Zhang, Hailiang; Ye, Dingwei; Xu, Wenhao] Fudan Univ, Dept Urol, Shanghai Med Coll, Shanghai Canc Ctr,Dept Oncol, Shanghai, Peoples R China; [Tian, Xi; Jiang, Yuchen; Zhu, Shuxuan; Anwaier, Aihetaimujiang; Ye, Shiqi; Chang, Kun; Qu, Yuanyuan; Zhang, Hailiang; Ye, Dingwei; Xu, Wenhao] Shanghai Genitourinary Canc Inst, Shanghai, Peoples R China; [Liu, Xiaohang; Gu, Ya-jia] Fudan Univ, Shanghai Canc Ctr, Dept Radiol, Shanghai, Peoples R China; [Liu, Xiaohang; Gu, Ya-jia] Fudan Univ, Shanghai Med Coll, Dept Oncol, Shanghai, Peoples R China</t>
  </si>
  <si>
    <t>Fudan University; Fudan University; Fudan University</t>
  </si>
  <si>
    <t>A multimodal deep learning framework for predicting sunitinib response in advanced clear cell renal cell carcinoma</t>
  </si>
  <si>
    <t>biomarker; clear cell renal cell carcinoma; deep learning; radiomics; sunitinib</t>
  </si>
  <si>
    <t>CONVOLUTIONAL NEURAL-NETWORK; CANCER</t>
  </si>
  <si>
    <t>Zhang, Hailiang/AAF-4937-2020; Xu, Wenhao/NHQ-4669-2025; Y, q/MBH-2398-2025</t>
  </si>
  <si>
    <t>Tian, Xi/0000-0003-1965-0647</t>
  </si>
  <si>
    <t>20250157</t>
  </si>
  <si>
    <t>10.1002/VIW.20250157</t>
  </si>
  <si>
    <t>http://dx.doi.org/10.1002/VIW.20250157</t>
  </si>
  <si>
    <t>DT2OG</t>
  </si>
  <si>
    <t>WOS:001625246800001</t>
  </si>
  <si>
    <t>Choi, EY; Kim, D; Kim, J; Kim, E; Lee, H; Yeo, J; Yoo, TK; Kim, M</t>
  </si>
  <si>
    <t>Branch retinal vein occlusion (BRVO) is a leading cause of visual impairment in working-age individuals, though predicting its occurrence from retinal vascular features alone remains challenging. We developed a deep learning model to predict BRVO based on pre-onset, metadata-matched fundus hemisection images. This retrospective cohort study included patients diagnosed with unilateral BRVO from two Korean tertiary centers (2005-2023), using hemisection fundus images from 27 BRVO-affected eyes paired with 81 unaffected hemisections (27 counter and 54 contralateral) for training. A U-net model segmented retinal optic discs and blood vessels (BVs), dividing them into upper and lower halves labeled for BRVO occurrence. Both unimodal models (using either fundus or BV images) and a BV-enhanced multimodal model were constructed to predict future BRVO. The multimodal model outperformed the unimodal models achieving an area under the receiver operating characteristic curve of 0.76 (95% confidence interval [CI], 0.66-0.83) and accuracy of 68.5% (95% CI 58.9-77.1%), with predictions focusing on arteriovenous crossing regions in the retinal vascular arcade. These findings demonstrate the potential of the BV-enhanced multimodal approach for BRVO prediction and highlight the need for larger, multicenter datasets to improve its clinical utility and predictive accuracy.</t>
  </si>
  <si>
    <t>Choi, Eun Young; Kim, Dongyoung; Kim, Jinyeong; Kim, Eunjin; Lee, Hyunseo; Yeo, Jinyoung; Yoo, Tae Keun; Kim, Min</t>
  </si>
  <si>
    <t>Kim, M (corresponding author), Yonsei Univ, Gangnam Severance Hosp, Inst Vis Res, Coll Med,Dept Ophthalmol, 211,Eonjuro,Gangnam-gu, Seoul 06273, South Korea.; Yoo, TK (corresponding author), HanGil Eye Hosp, Dept Ophthalmol, 35 Bupyeong Daero, Incheon 21388, South Korea.</t>
  </si>
  <si>
    <t>minkim76@yuhs.ac; eyetaekeunyoo@gmail.com</t>
  </si>
  <si>
    <t>Faculty Research Grant Assistance Program of Yonsei University College of Medicine [6-2021-0222]; Yonsei University Graduate School; Institute of Information &amp; Communications Technology Planning &amp; Evaluation (IITP) - Korean government (MSIT) [RS-2020-II201361, RS-2022-II220077]</t>
  </si>
  <si>
    <t>Faculty Research Grant Assistance Program of Yonsei University College of Medicine; Yonsei University Graduate School; Institute of Information &amp; Communications Technology Planning &amp; Evaluation (IITP) - Korean government (MSIT) (Institute for Information &amp; Communication Technology Planning &amp; Evaluation (IITP), Republic of Korea)</t>
  </si>
  <si>
    <t>This work was supported by the Faculty Research Grant Assistance Program of Yonsei University College of Medicine (Grant No. 6-2021-0222), the 2021 Research Grant from Yonsei University Graduate School, and the Institute of Information &amp; Communications Technology Planning &amp; Evaluation (IITP) grants funded by the Korean government (MSIT) (No. RS-2020-II201361, Artificial Intelligence Graduate School Program, Yonsei University; No. RS-2022-II220077, AI Technology Development for Commonsense Extraction, Reasoning, and Inference from Heterogeneous Data).</t>
  </si>
  <si>
    <t>[Choi, Eun Young; Kim, Min] Yonsei Univ, Gangnam Severance Hosp, Inst Vis Res, Coll Med,Dept Ophthalmol, 211,Eonjuro,Gangnam-gu, Seoul 06273, South Korea; [Kim, Dongyoung] VISUWORKS, Seoul, South Korea; [Kim, Jinyeong] Yonsei Univ, Severance Eye Hosp, Inst Vis Res, Coll Med,Dept Ophthalmol, Seoul, South Korea; [Kim, Eunjin; Lee, Hyunseo] Yonsei Univ, Coll Med, Seoul, South Korea; [Yeo, Jinyoung] Yonsei Univ, Coll Comp, Dept Artificial Intelligence, Seoul, South Korea; [Yoo, Tae Keun] HanGil Eye Hosp, Dept Ophthalmol, 35 Bupyeong Daero, Incheon 21388, South Korea</t>
  </si>
  <si>
    <t>Yonsei University; Severance Hospital; Yonsei University Health System; Yonsei University; Yonsei University Health System; Yonsei University; Yonsei University Health System; Yonsei University</t>
  </si>
  <si>
    <t>Predicting branch retinal vein occlusion development using multimodal deep learning and pre-onset fundus hemisection images</t>
  </si>
  <si>
    <t>Branch retinal vein occlusion; Deep learning; Multimodal prediction model; Fundus hemisection images; Retinal vascular features</t>
  </si>
  <si>
    <t>RISK-FACTORS; POPULATION; PATTERNS; FEATURES; UPDATE</t>
  </si>
  <si>
    <t>Yoo, Tae Keun/Q-3620-2019; Choi, Eun Young/Y-5204-2018</t>
  </si>
  <si>
    <t>Yoo, Tae Keun/0000-0003-0890-8614; Kim, Dongyoung/0009-0003-4990-289X; Choi, Eun Young/0000-0002-1668-6452; Kim, Jin Yeong/0000-0001-9896-1851; Lee, Hyunseo/0009-0005-5211-1647; Kim, Min/0000-0003-1873-6959</t>
  </si>
  <si>
    <t>JAN 21 2025</t>
  </si>
  <si>
    <t>2729</t>
  </si>
  <si>
    <t>10.1038/s41598-025-85777-7</t>
  </si>
  <si>
    <t>http://dx.doi.org/10.1038/s41598-025-85777-7</t>
  </si>
  <si>
    <t>T2A1D</t>
  </si>
  <si>
    <t>39837962</t>
  </si>
  <si>
    <t>WOS:001403090300040</t>
  </si>
  <si>
    <t>Gomaa, A; Huang, YX; Stephan, P; Breininger, K; Frey, B; Dörfler, A; Schnell, O; Delev, D; Coras, R; Donaubauer, AJ; Schmitter, C; Stritzelberger, J; Semrau, S; Maier, A; Bayer, S; Schönecker, S; Heiland, DH; Hau, P; Gaipl, US; Bert, C; Fietkau, R; Schmidt, MA; Putz, F</t>
  </si>
  <si>
    <t>Accurate differentiation of pseudoprogression (PsP) from True Progression (TP) following radiotherapy (RT) in glioblastoma patients is crucial for optimal treatment planning. However, this task remains challenging due to the overlapping imaging characteristics of PsP and TP. This study therefore proposes a multimodal deep-learning approach utilizing complementary information from routine anatomical MR images, clinical parameters, and RT treatment planning information for improved predictive accuracy. The approach utilizes a self-supervised Vision Transformer (ViT) to encode multi-sequence MR brain volumes to effectively capture both global and local context from the high dimensional input. The encoder is trained in a self-supervised upstream task on unlabeled glioma MRI datasets from the open BraTS2021, UPenn-GBM, and UCSF-PDGM datasets (n = 2317 MRI studies) to generate compact, clinically relevant representations from FLAIR and T1 post-contrast sequences. These encoded MR inputs are then integrated with clinical data and RT treatment planning information through guided cross-modal attention, improving progression classification accuracy. This work was developed using two datasets from different centers: the Burdenko Glioblastoma Progression Dataset (n = 59) for training and validation, and the GlioCMV progression dataset from the University Hospital Erlangen (UKER) (n = 20) for testing. The proposed method achieved competitive performance, with an AUC of 75.3%, outperforming the current state-of-the-art data-driven approaches. Importantly, the proposed approach relies solely on readily available anatomical MRI sequences, clinical data, and RT treatment planning information, enhancing its clinical feasibility. The proposed approach addresses the challenge of limited data availability for PsP and TP differentiation and could allow for improved clinical decision-making and optimized treatment plans for glioblastoma patients.</t>
  </si>
  <si>
    <t>Gomaa, Ahmed; Huang, Yixing; Stephan, Pluvio; Breininger, Katharina; Frey, Benjamin; Doerfler, Arnd; Schnell, Oliver; Delev, Daniel; Coras, Roland; Donaubauer, Anna-Jasmina; Schmitter, Charlotte; Stritzelberger, Jenny; Semrau, Sabine; Maier, Andreas; Bayer, Siming; Schoenecker, Stephan; Heiland, Dieter H.; Hau, Peter; Gaipl, Udo S.; Bert, Christoph; Fietkau, Rainer; Schmidt, Manuel A.; Putz, Florian</t>
  </si>
  <si>
    <t>Gomaa, A (corresponding author), Friedrich Alexander Univ Erlangen Nurnberg, Univ Hosp Erlangen, Dept Radiat Oncol, D-91054 Erlangen, Germany.; Gomaa, A (corresponding author), Comprehens Canc Ctr Erlangen EMN CCC ER EMN, D-91054 Erlangen, Germany.; Gomaa, A (corresponding author), Bavarian Canc Res Ctr BZKF, D-91052 Erlangen, Germany.</t>
  </si>
  <si>
    <t>ahmed.gomaa@uk-erlangen.de</t>
  </si>
  <si>
    <t>Projekt DEAL</t>
  </si>
  <si>
    <t>Projekt DEAL (Projekt DEAL)</t>
  </si>
  <si>
    <t>[Gomaa, Ahmed; Huang, Yixing; Stephan, Pluvio; Frey, Benjamin; Donaubauer, Anna-Jasmina; Schmitter, Charlotte; Semrau, Sabine; Gaipl, Udo S.; Bert, Christoph; Fietkau, Rainer; Putz, Florian] Friedrich Alexander Univ Erlangen Nurnberg, Univ Hosp Erlangen, Dept Radiat Oncol, D-91054 Erlangen, Germany; [Gomaa, Ahmed; Huang, Yixing; Stephan, Pluvio; Frey, Benjamin; Doerfler, Arnd; Schnell, Oliver; Delev, Daniel; Donaubauer, Anna-Jasmina; Schmitter, Charlotte; Semrau, Sabine; Gaipl, Udo S.; Bert, Christoph; Fietkau, Rainer; Schmidt, Manuel A.; Putz, Florian] Comprehens Canc Ctr Erlangen EMN CCC ER EMN, D-91054 Erlangen, Germany; [Gomaa, Ahmed; Huang, Yixing; Stephan, Pluvio; Donaubauer, Anna-Jasmina; Schmitter, Charlotte; Semrau, Sabine; Schoenecker, Stephan; Gaipl, Udo S.; Bert, Christoph; Fietkau, Rainer; Schmidt, Manuel A.; Putz, Florian] Bavarian Canc Res Ctr BZKF, D-91052 Erlangen, Germany; [Doerfler, Arnd; Schmidt, Manuel A.] Friedrich Alexander Univ Erlangen Nurnberg, Univ Hosp Erlangen, Inst Neuroradiol, D-91054 Erlangen, Germany; [Breininger, Katharina] Univ Wurzburg, Ctr Artificial Intelligence &amp; Data Sci, D-97074 Wurzburg, Germany; [Heiland, Dieter H.] Alexander Friedrich Univ Erlangen Nurnberg, Translat Neurosurg, D-91054 Erlangen, Germany; [Schnell, Oliver; Delev, Daniel; Coras, Roland; Heiland, Dieter H.] Friedrich Alexander Univ Erlangen Nurnberg, Univ Hosp Erlangen, Dept Neurosurg, D-91054 Erlangen, Germany; [Stritzelberger, Jenny] Friedrich Alexander Univ Erlangen Nurnberg, Univ Hosp Erlangen, Dept Neurol, D-91054 Erlangen, Germany; [Maier, Andreas; Bayer, Siming] Friedrich Alexander Univ Erlangen Nurnberg, Pattern Recognit Lab, Erlangen, Germany; [Schoenecker, Stephan] Ludwig Maximilian Univ Munich, Univ Hosp, Dept Radiat Oncol, D-81377 Munich, Germany; [Heiland, Dieter H.] Northwestern Univ, Feinberg Sch Med, Dept Neurol Surg, Chicago, IL 60611 USA; [Hau, Peter] Univ Hosp Regensburg, Dept Neurol, Regensburg, Germany; [Hau, Peter] Univ Hosp Regensburg, Wilhelm Sander NeuroOncol Unit, Regensburg, Germany</t>
  </si>
  <si>
    <t>University of Erlangen Nuremberg; University of Erlangen Nuremberg; University of Wurzburg; University of Erlangen Nuremberg; University of Erlangen Nuremberg; University of Erlangen Nuremberg; University of Munich; Northwestern University; Feinberg School of Medicine; University of Regensburg; University of Regensburg</t>
  </si>
  <si>
    <t>A self-supervised multimodal deep learning approach to differentiate post-radiotherapy progression from pseudoprogression in glioblastoma</t>
  </si>
  <si>
    <t>PSEUDORESPONSE; CONCOMITANT</t>
  </si>
  <si>
    <t>Gaipl, Udo/AAE-1060-2020; Bert, Christoph/C-2585-2013; Donaubauer, Anna-Jasmina/AAM-5529-2021; Maier, Andreas/AAV-6505-2021; Putz, Florian/GLT-8227-2022; Schmidt, Manuel/HFZ-9950-2022; Heiland, Dieter Henrik/ITU-4039-2023; Bayer, Siming/AFX-9474-2022; Frey, Benjamin/D-9565-2017; Huang, Yixing/OPM-7005-2025; Breininger, Katharina/ACE-9793-2022; Delev, Daniel/PQW-8707-2026</t>
  </si>
  <si>
    <t>Huang, Yixing/0000-0003-2627-3077; Breininger, Katharina/0000-0001-7600-5869; Delev, Daniel/0000-0001-9444-0178</t>
  </si>
  <si>
    <t>MAY 17 2025</t>
  </si>
  <si>
    <t>17133</t>
  </si>
  <si>
    <t>10.1038/s41598-025-02026-7</t>
  </si>
  <si>
    <t>http://dx.doi.org/10.1038/s41598-025-02026-7</t>
  </si>
  <si>
    <t>2SB9W</t>
  </si>
  <si>
    <t>40382400</t>
  </si>
  <si>
    <t>WOS:001489971100004</t>
  </si>
  <si>
    <t>Wang, WP; Yang, G; Liu, YL; Wei, LC; Xu, XY; Zhang, CL; Pan, ZH; Liang, YG; Yang, B; Qiu, J; Zhang, FQ; Hou, XR; Hu, K; Liang, XK</t>
  </si>
  <si>
    <t>For patients with locally advanced cervical cancer (LACC), precise survival prediction models could guide personalized treatment. We developed and validated CerviPro, a deep learning-based multimodal prognostic model, to predict disease-free survival (DFS) in 1018 patients with LACC receiving definitive radiotherapy. The model integrates pre- and post-treatment CT imaging, handcrafted radiomic features, and clinical variables. CerviPro demonstrated robust predictive performance in the internal validation cohort (C-index 0.81), and external validation cohorts (C-index 0.70&amp;0.66), significantly stratifying patients into distinct high- and low-risk DFS groups. Multimodal feature fusion consistently outperformed models based on single feature categories (clinical data, imaging, or radiomics alone), highlighting the synergistic value of integrating diverse data sources. By integrating multimodal data to predict DFS and recurrence risk, CerviPro provides a clinically valuable prognostic tool for LACC, offering the potential to guide personalized treatment strategies.</t>
  </si>
  <si>
    <t>Wang, Weiping; Yang, Guang; Liu, Yulin; Wei, Lichun; Xu, Xiaoying; Zhang, Chulong; Pan, Zhaohong; Liang, Yongguang; Yang, Bo; Qiu, Jie; Zhang, Fuquan; Hou, Xiaorong; Hu, Ke; Liang, Xiaokun</t>
  </si>
  <si>
    <t>Hou, XR; Hu, K (corresponding author), Chinese Acad Med Sci &amp; Peking Union Med Coll, Peking Union Med Coll Hosp, Dept Radiat Oncol, Beijing, Peoples R China.; Liang, XK (corresponding author), Chinese Acad Sci, Shenzhen Inst Adv Technol, Shenzhen, Guangdong, Peoples R China.</t>
  </si>
  <si>
    <t>huke8000@126.com; hxr_pumch@163.com; xk.liang@siat.ac.cn</t>
  </si>
  <si>
    <t>National High-Level Hospital Clinical Research Funding; National Key R&amp;D Program of China, Ministry of Science and Technology of the People's Republic of China [2023YFC2411504, 2023YFC2411502, 2022YFC2402305]; Peking Union Medical College Hospital Talent Cultivation Program</t>
  </si>
  <si>
    <t>National High-Level Hospital Clinical Research Funding; National Key R&amp;D Program of China, Ministry of Science and Technology of the People's Republic of China; Peking Union Medical College Hospital Talent Cultivation Program</t>
  </si>
  <si>
    <t>This work is supported by National Key R&amp;D Program of China, Ministry of Science and Technology of the People's Republic of China (2023YFC2411504, 2023YFC2411502, 2022YFC2402305), the National High-Level Hospital Clinical Research Funding (2022-PUMCH-B-127, 2022-PUMCH-B-116) and Peking Union Medical College Hospital Talent Cultivation Program (Category C) No.UBJ04712.</t>
  </si>
  <si>
    <t>[Wang, Weiping; Liu, Yulin; Liang, Yongguang; Yang, Bo; Qiu, Jie; Zhang, Fuquan; Hou, Xiaorong; Hu, Ke] Chinese Acad Med Sci &amp; Peking Union Med Coll, Peking Union Med Coll Hosp, Dept Radiat Oncol, Beijing, Peoples R China; [Yang, Guang; Zhang, Chulong; Pan, Zhaohong; Liang, Xiaokun] Chinese Acad Sci, Shenzhen Inst Adv Technol, Shenzhen, Guangdong, Peoples R China; [Wei, Lichun] Air Force Mil Med Univ, Xijing Hosp, Dept Radiat Oncol, Xian, Peoples R China; [Xu, Xiaoying] Dalian Med Univ, Dept Radiat Oncol, Affiliated Hosp 2, Dalian, Peoples R China</t>
  </si>
  <si>
    <t>Chinese Academy of Medical Sciences - Peking Union Medical College; Peking Union Medical College; Peking Union Medical College Hospital; Chinese Academy of Sciences; Shenzhen Institute of Advanced Technology, CAS; Air Force Medical University; Dalian Medical University</t>
  </si>
  <si>
    <t>Multimodal deep learning model for prognostic prediction in cervical cancer receiving definitive radiotherapy: a multi-center study</t>
  </si>
  <si>
    <t>Liang, Xiaokun/AAU-2366-2020; Zhang, Chulong/KIJ-9629-2024; 许, 筱颖/ACG-9319-2022; Liang, Yongguang/POU-3442-2026</t>
  </si>
  <si>
    <t>Zhang, Chulong/0009-0007-1149-1860</t>
  </si>
  <si>
    <t>AUG 4 2025</t>
  </si>
  <si>
    <t>503</t>
  </si>
  <si>
    <t>10.1038/s41746-025-01903-9</t>
  </si>
  <si>
    <t>http://dx.doi.org/10.1038/s41746-025-01903-9</t>
  </si>
  <si>
    <t>5UG6T</t>
  </si>
  <si>
    <t>40760164</t>
  </si>
  <si>
    <t>WOS:001544479500003</t>
  </si>
  <si>
    <t>Wang, YN; Ishida, T; Wang, ZY; Wu, YJ; Kamoi, K; Ting, DSW; Ohno-Matsui, K</t>
  </si>
  <si>
    <t>Purpose: To develop artificial intelligence-based models for estimating the risk of myopic macular neovascularization (MNV) in highly myopic eyes. Design: Retrospective, single-center cohort study. Participants: A total of 4235 eyes from 2501 patients with high myopia who visited the Institute of Science Tokyo between October 2011 and May 2021 were included for analysis. Methods: Baseline fundus photographs and 7 clinical variables were used for model development and validation. Three image-based deep learning (DL) models with a DenseNet-121 backbone were trained to predict the risk of MNV within 1, 3, and 5 years after baseline. A multimodal survival model based on the DeepSurv framework was further developed by integrating image-derived features with clinical variables to estimate time-to-event risk. Model performance was evaluated using discrimination, calibration, and clinical utility metrics. Model interpretability was explored using gradient-weighted class activation mapping and SHapley Additive exPlanation analyses. Main Outcome Measures: Area under the receiver operating characteristic curve for the DL models and concordance index for the multimodal DeepSurv model. Results: The DL models achieved area under the receiver operating characteristic curves of 0.785 (95% confidence interval [CI], 0.474-0.988), 0.798 (95% CI, 0.687-0.900), and 0.729 (95% CI, 0.614-0.832) for the 1-, 3-, and 5year predictions, respectively. The multimodal DeepSurv model achieved a concordance index of 0.683 (95% CI, 0.582-0.775) and enabled stratification of eyes into subgroups with distinct long-term probabilities of MNV development. Heatmaps showed activation in clinically relevant regions, and SHapley Additive exPlanation analysis indicated that axial length and pathologic myopia category showed prominent conditional contributions within the multimodal model. Conclusions: Artificial intelligence-based models enabled fixed-horizon risk estimation and longitudinal time-to-event risk assessment for MNV in highly myopic eyes, providing clinically meaningful risk stratification. With further external validation, this approach may support risk-adapted long-term monitoring strategies in high myopia. Financial Disclosure(s): Proprietary or commercial disclosure may be found in the Footnotes and Disclosures at the end of this article. Ophthalmology Retina 2026;10:651-660 (c) 2026 American Academy of Ophthalmology, Inc. Published by Elsevier Inc.</t>
  </si>
  <si>
    <t>Wang, Yining; Ishida, Takashi; Wang, Ziye; Wu, Yijin; Kamoi, Koju; Ting, Daniel Shu Wei; Ohno-Matsui, Kyoko</t>
  </si>
  <si>
    <t>Ohno-Matsui, K (corresponding author), Inst Sci Tokyo, Dept Ophthalmol &amp; Visual Sci, 1-5-45 Yushima,Bunkyo Ku, Tokyo 1138510, Japan.</t>
  </si>
  <si>
    <t>k.ohno.oph@tmd.ac.jp</t>
  </si>
  <si>
    <t>Institute of Science Tokyo [1203000000]</t>
  </si>
  <si>
    <t>Institute of Science Tokyo</t>
  </si>
  <si>
    <t>Supported by grants Mission Jitsugen Senryaku (number: 1203000000) from the Institute of Science Tokyo.</t>
  </si>
  <si>
    <t>[Wang, Yining; Wang, Ziye; Wu, Yijin; Kamoi, Koju; Ohno-Matsui, Kyoko] Inst Sci Tokyo, Dept Ophthalmol &amp; Visual Sci, Tokyo, Japan; [Ishida, Takashi] Inst Sci Tokyo, Dept Comp Sci, Tokyo, Japan; [Ting, Daniel Shu Wei] Duke NUS Med Sch, Singapore, Singapore; [Ting, Daniel Shu Wei] Singapore Natl Eye Ctr, Singapore Eye Res Inst, Singapore, Singapore; [Ohno-Matsui, Kyoko] Inst Sci Tokyo, Dept Ophthalmol &amp; Visual Sci, 1-5-45 Yushima,Bunkyo Ku, Tokyo 1138510, Japan</t>
  </si>
  <si>
    <t>Institute of Science Tokyo; Institute of Science Tokyo; National University of Singapore; Singapore National Eye Center; National University of Singapore; Institute of Science Tokyo</t>
  </si>
  <si>
    <t>Multimodal Artificial Intelligence for Predicting 3- and 5-Year Risks of Myopic Choroidal Neovascularization in High Myopia</t>
  </si>
  <si>
    <t>OPHTHALMOLOGY RETINA</t>
  </si>
  <si>
    <t>Artificial intelligence; High myopia; Myopic macular neovascularization</t>
  </si>
  <si>
    <t>PATHOLOGICAL MYOPIA; MODELS</t>
  </si>
  <si>
    <t>Ting, Daniel/QOC-0597-2026</t>
  </si>
  <si>
    <t>ELSEVIER INC</t>
  </si>
  <si>
    <t>525 B STREET, STE 1900, SAN DIEGO, CA 92101-4495 USA</t>
  </si>
  <si>
    <t>2468-6530</t>
  </si>
  <si>
    <t>OPHTHALMOL RETINA</t>
  </si>
  <si>
    <t>Ophthalmol. Retina</t>
  </si>
  <si>
    <t>651</t>
  </si>
  <si>
    <t>660</t>
  </si>
  <si>
    <t>10.1016/j.oret.2026.02.003</t>
  </si>
  <si>
    <t>http://dx.doi.org/10.1016/j.oret.2026.02.003</t>
  </si>
  <si>
    <t>JH4SM</t>
  </si>
  <si>
    <t>41655768</t>
  </si>
  <si>
    <t>WOS:001789430900002</t>
  </si>
  <si>
    <t>Bülbül, NG; Baytas, IM; Kavalci, E; Karasu, E; Korkmaz, BCO; Belen, BG; Musaoglu, IS; Övüt, AR; Arslanoglu, NE; Urhan, M; Mutlu, H; Özdag, MF</t>
  </si>
  <si>
    <t>Background and Objectives: Mild cognitive impairment (MCI) is heterogeneous within the Alzheimer's disease (AD) continuum, and categorical labels may not reflect biological variability. We evaluated whether multimodal machine learning using routine clinical data and neuroimaging could support biologically informed enrichment across MCI and AD in a real-world memory clinic cohort. Methods: We analyzed 474 patients (1547 visits) with clinical and cognitive measures, laboratory parameters, MRI regional volumes, and FDG-PET regional uptake. Elastic Net and gradient boosting models were trained using nested cross-validation with strict patient-level separation. Results: Model discrimination improved as additional data modalities were added, and FDG-PET contributed the largest performance improvement. Hypometabolism in posterior default mode network regions consistently emerged as the most influential predictor. In the MCI subgroup, AD-like scores showed a continuous distribution consistent with biological enrichment. Conclusions: Multimodal models may provide an interpretable enrichment framework in heterogeneous memory clinic populations.</t>
  </si>
  <si>
    <t>Bulbul, Nazli Gamze; Baytas, Inci Meliha; Kavalci, Efekan; Karasu, Elvan; Korkmaz, Basak Ceren Okcu; Belen, Buse Gul; Musaoglu, Ismail Serhat; Ovut, Ayse Rana; Arslanoglu, Nefise Eda; Urhan, Muammer; Mutlu, Hakan; Ozdag, Mehmet Fatih</t>
  </si>
  <si>
    <t>Bülbül, NG (corresponding author), Univ Hlth Sci Sultan Abdulhamid Han Res &amp; Training, Dept Neurol, TR-34668 Istanbul, Turkiye.</t>
  </si>
  <si>
    <t>ranahoral@gmail.com; nzl.gmzb@gmail.com; ozdagf@yahoo.com; inci.baytas@bogazici.edu.tr; i.s.musaoglu@gmail.com; hakanmutlu1@gmail.com; busegulb@gmail.com</t>
  </si>
  <si>
    <t>Scientific and Technological Research Council of Trkiye (TBIdot;TAK) under the 3501 Career Development Program (Project No: 121E594)</t>
  </si>
  <si>
    <t>This research was supported by the Scientific and Technological Research Council of Turkiye (TUB &amp; Idot;TAK) under the 3501 Career Development Program (Project No: 121E594).</t>
  </si>
  <si>
    <t>[Bulbul, Nazli Gamze; Korkmaz, Basak Ceren Okcu; Belen, Buse Gul; Ozdag, Mehmet Fatih] Univ Hlth Sci Sultan Abdulhamid Han Res &amp; Training, Dept Neurol, TR-34668 Istanbul, Turkiye; [Baytas, Inci Meliha; Kavalci, Efekan; Karasu, Elvan] Bogazici Univ, Dept Comp Engn, TR-34342 Istanbul, Turkiye; [Musaoglu, Ismail Serhat; Mutlu, Hakan] Univ Hlth Sci Sultan Abdulhamid Han Res &amp; Training, Dept Radiol, TR-34668 Istanbul, Turkiye; [Ovut, Ayse Rana; Urhan, Muammer] Univ Hlth Sci Sultan Abdulhamid Han Res &amp; Training, Dept Nucl Med, TR-34668 Istanbul, Turkiye; [Arslanoglu, Nefise Eda] Univ Hlth Sci Sultan Abdulhamid Han Res &amp; Training, Dept Psychol, TR-34668 Istanbul, Turkiye</t>
  </si>
  <si>
    <t>Bogazici University</t>
  </si>
  <si>
    <t>Real-World Multimodal Machine Learning for Risk Enrichment Across the Alzheimer's Disease Spectrum</t>
  </si>
  <si>
    <t>JOURNAL OF CLINICAL MEDICINE</t>
  </si>
  <si>
    <t>Alzheimer's disease; mild cognitive impairment; risk enrichment; real-world data; multimodal machine learning; volumetric MRI; FDG-PET</t>
  </si>
  <si>
    <t>MILD COGNITIVE IMPAIRMENT; POSTERIOR CINGULATE CORTEX; HIPPOCAMPAL VOLUME; CROSS-VALIDATION; PET; PREDICTION; FDG</t>
  </si>
  <si>
    <t>Baytas, Inci/AAU-3840-2020; OZDAG, Mehmet/Q-3247-2016</t>
  </si>
  <si>
    <t>68</t>
  </si>
  <si>
    <t>2077-0383</t>
  </si>
  <si>
    <t>J CLIN MED</t>
  </si>
  <si>
    <t>J. Clin. Med.</t>
  </si>
  <si>
    <t>MAR 16 2026</t>
  </si>
  <si>
    <t>2250</t>
  </si>
  <si>
    <t>10.3390/jcm15062250</t>
  </si>
  <si>
    <t>http://dx.doi.org/10.3390/jcm15062250</t>
  </si>
  <si>
    <t>FR6SY</t>
  </si>
  <si>
    <t>41899174</t>
  </si>
  <si>
    <t>WOS:001725781100001</t>
  </si>
  <si>
    <t>Baharoon, M; Almatar, H; Alduhayan, R; Aldebasi, T; Alahmadi, B; Bokhari, Y; Alawad, M; Almazroa, A; Aljouie, A</t>
  </si>
  <si>
    <t>Study Objectives: This study aimed to develop a multimodal deep learning (MMDL) system called HyMNet, integrating fundus images and cardiometabolic factors (age and sex) to enhance hypertension (HTN) detection. Methods: HyMNet employed RETFound, a model pretrained on 1.6 million retinal images, for the fundus data, in conjunction with a fully connected neural network for age and sex. The two pathways were jointly trained by joining their feature vectors into a fusion network. The system was trained on 5016 retinal images from 1243 individuals provided by the Saudi Ministry of National Guard Health Affairs. The influence of diabetes on HTN detection was also assessed. Results: HyMNet surpassed the unimodal system, achieving an F1 score of 0.771 compared to 0.745 for the unimodal model. For diabetic patients, the F1 score was 0.796, while it was 0.466 for non-diabetic patients. Conclusions: HyMNet exhibited superior performance relative to unimodal approaches, with an F1 score of 0.771 for HyMNet compared to 0.752 for models trained on demographic data alone, underscoring the advantages of MMDL systems in HTN detection. The findings indicate that diabetes significantly impacts HTN prediction, enhancing detection accuracy among diabetic patients. Utilizing MMDL with diverse data sources could improve clinical applicability and generalization.</t>
  </si>
  <si>
    <t>Baharoon, Mohammed; Almatar, Hessa; Alduhayan, Reema; Aldebasi, Tariq; Alahmadi, Badr; Bokhari, Yahya; Alawad, Mohammed; Almazroa, Ahmed; Aljouie, Abdulrhman</t>
  </si>
  <si>
    <t>Almazroa, A; Aljouie, A (corresponding author), King Saud Bin Abdulaziz Univ Hlth Sci KSAU HS, King Abdullah Int Med Res Ctr, AI &amp; Bioinformat Dept, Riyadh 11481, Saudi Arabia.; Aljouie, A (corresponding author), King Saud Bin Abdulaziz Univ Hlth Sci KSAU HS, King Abdullah Int Med Res Ctr, Data Management Dept, Riyadh 11481, Saudi Arabia.; Aljouie, A (corresponding author), King Saud Bin Abdulaziz Univ Hlth Sci KSAU HS, Coll Publ Hlth &amp; Hlth Informat, Riyadh 14815, Saudi Arabia.</t>
  </si>
  <si>
    <t>mohammedsalimab@outlook.com; almatarh@kaimrc.edu.sa; alduhayanr@kaimrc.edu.sa; malawad@sdaia.gov.sa; almazroaa@kaimrc.edu.sa; aljouiea@kaimrc.edu.sa; bokhariy@kaimrc.edu.sa; debasit@ngha.med.sa; ba25dr@gmail.com</t>
  </si>
  <si>
    <t>King Abdullah International Medical Research Center</t>
  </si>
  <si>
    <t>King Abdullah International Medical Research Center (King Abdullah International Medical Research Center (KAIMRC))</t>
  </si>
  <si>
    <t>This work was supported by King Abdullah International Medical Research Center.</t>
  </si>
  <si>
    <t>[Baharoon, Mohammed; Almatar, Hessa; Alduhayan, Reema; Bokhari, Yahya; Almazroa, Ahmed; Aljouie, Abdulrhman] King Saud Bin Abdulaziz Univ Hlth Sci KSAU HS, King Abdullah Int Med Res Ctr, AI &amp; Bioinformat Dept, Riyadh 11481, Saudi Arabia; [Baharoon, Mohammed; Aljouie, Abdulrhman] King Saud Bin Abdulaziz Univ Hlth Sci KSAU HS, King Abdullah Int Med Res Ctr, Data Management Dept, Riyadh 11481, Saudi Arabia; [Aldebasi, Tariq] Minist Natl Guard Hlth Affairs, King Abdulaziz Med City, Ophthalmol Dept, Riyadh 14611, Saudi Arabia; [Alahmadi, Badr] Minist Natl Guard Hlth Affairs, Prince Mohammad Bin Abdulaziz Hosp, Ophthalmol Dept, Al Madinah 42324, Saudi Arabia; [Bokhari, Yahya; Aljouie, Abdulrhman] King Saud Bin Abdulaziz Univ Hlth Sci KSAU HS, Coll Publ Hlth &amp; Hlth Informat, Riyadh 14815, Saudi Arabia; [Alawad, Mohammed] Saudi Data &amp; Artificial Intelligence Author SDAIA, Natl Ctr Artificial Intelligence NCAI, Riyadh 12382, Saudi Arabia</t>
  </si>
  <si>
    <t>King Saud Bin Abdulaziz University for Health Sciences; King Saud Bin Abdulaziz University for Health Sciences; King Saud Bin Abdulaziz University for Health Sciences; Ministry of National Guard - Health Affairs; King Saud Bin Abdulaziz University for Health Sciences; Ministry of National Guard - Health Affairs; King Saud Bin Abdulaziz University for Health Sciences</t>
  </si>
  <si>
    <t>HyMNet: A Multimodal Deep Learning System for Hypertension Prediction Using Fundus Images and Cardiometabolic Risk Factors</t>
  </si>
  <si>
    <t>artificial intelligence; machine learning; computer vision; cardiovascular diseases; hypertension detection; fundus images; multimodal deep learning</t>
  </si>
  <si>
    <t>Aljouie, Abdulrhman/CAJ-5561-2022</t>
  </si>
  <si>
    <t>Alduhayan, Reema/0000-0001-6475-8660; Aljouie, Abdulrhman/0000-0002-5592-2462</t>
  </si>
  <si>
    <t>1080</t>
  </si>
  <si>
    <t>10.3390/bioengineering11111080</t>
  </si>
  <si>
    <t>http://dx.doi.org/10.3390/bioengineering11111080</t>
  </si>
  <si>
    <t>N8N9D</t>
  </si>
  <si>
    <t>39593740</t>
  </si>
  <si>
    <t>WOS:001366845700001</t>
  </si>
  <si>
    <t>Asfaw, D; Jordanov, I; Impey, L; Namburete, A; Lee, RY; Georgieva, A</t>
  </si>
  <si>
    <t>Cardiotocography (CTG) is a widely used technique to monitor fetal heart rate (FHR) during labour and assess the health of the baby. However, visual interpretation of CTG signals is subjective and prone to error. Automated methods that mimic clinical guidelines have been developed, but they failed to improve detection of abnormal traces. This study aims to classify CTGs with and without severe compromise at birth using routinely collected CTGs from 51,449 births at term from the first 20 min of FHR recordings. Three 1D-CNN and LSTM based architectures are compared. We also transform the FHR signal into 2D images using time-frequency representation with a spectrogram and scalogram analysis, and subsequently, the 2D images are analysed using a 2D-CNNs. In the proposed multi-modal architecture, the 2D-CNN and the 1D-CNN-LSTM are connected in parallel. The models are evaluated in terms of partial area under the curve (PAUC) between 0-10% false-positive rate; and sensitivity at 95% specificity. The 1D-CNN-LSTM parallel architecture outperformed the other models, achieving a PAUC of 0.20 and sensitivity of 20% at 95% specificity. Our future work will focus on improving the classification performance by employing a larger dataset, analysing longer FHR traces, and incorporating clinical risk factors.</t>
  </si>
  <si>
    <t>Asfaw, Daniel; Jordanov, Ivan; Impey, Lawrence; Namburete, Ana; Lee, Raymond; Georgieva, Antoniya</t>
  </si>
  <si>
    <t>Asfaw, D (corresponding author), Univ Portsmouth, Sch Comp, Portsmouth PO1 3HE, England.; Asfaw, D (corresponding author), Univ Oxford, Nuffield Dept Womens &amp; Reprod Hlth, Oxford OX1 2JD, England.</t>
  </si>
  <si>
    <t>antoniya.georgieva@wrh.ox.ac.uk; daniel.asfaw@port.ac.uk</t>
  </si>
  <si>
    <t>UK Engineering and Physical Sciences Research Council (EPSRC) [EP/V002511/1]; EPSRC [EP/V002511/1] Funding Source: UKRI</t>
  </si>
  <si>
    <t>UK Engineering and Physical Sciences Research Council (EPSRC) (UK Research &amp; Innovation (UKRI), Engineering &amp; Physical Sciences Research Council (EPSRC)); EPSRC (UK Research &amp; Innovation (UKRI), Engineering &amp; Physical Sciences Research Council (EPSRC))</t>
  </si>
  <si>
    <t>This work was supported by the UK Engineering and Physical Sciences Research Council (EPSRC Grant number EP/V002511/1).</t>
  </si>
  <si>
    <t>[Asfaw, Daniel; Jordanov, Ivan] Univ Portsmouth, Sch Comp, Portsmouth PO1 3HE, England; [Asfaw, Daniel; Impey, Lawrence; Georgieva, Antoniya] Univ Oxford, Nuffield Dept Womens &amp; Reprod Hlth, Oxford OX1 2JD, England; [Namburete, Ana] Univ Oxford, Dept Comp Sci, Oxford OX1 3QG, England; [Lee, Raymond] Univ Portsmouth, Fac Technol, Portsmouth PO1 2UP, England</t>
  </si>
  <si>
    <t>University of Portsmouth; University of Oxford; University of Oxford; University of Portsmouth</t>
  </si>
  <si>
    <t>Multimodal Deep Learning for Predicting Adverse Birth Outcomes Based on Early Labour Data</t>
  </si>
  <si>
    <t>CTG; FHR; deep learning; CNN; LSTM</t>
  </si>
  <si>
    <t>Georgieva, Antoniya/0000-0002-5543-6683; Jordanov, Ivan/0000-0003-3169-5995</t>
  </si>
  <si>
    <t>JUN 2023</t>
  </si>
  <si>
    <t>730</t>
  </si>
  <si>
    <t>10.3390/bioengineering10060730</t>
  </si>
  <si>
    <t>http://dx.doi.org/10.3390/bioengineering10060730</t>
  </si>
  <si>
    <t>K5NL2</t>
  </si>
  <si>
    <t>37370663</t>
  </si>
  <si>
    <t>WOS:001016904800001</t>
  </si>
  <si>
    <t>Wang, TY; Xu, JX; Wang, HX; Miao, JG; Duan, NJ; Zhou, RZ; Wan, GY; Hou, F; Zong, YY; Huang, CC; Yang, JF; Hao, DP</t>
  </si>
  <si>
    <t>Accurate prediction of recurrence risk is essential to devise effective and personalized treatment strategies for patients with soft tissue sarcoma (STS). This study aimed to develop and validate a multimodal deep learning framework that integrates clinical features, preoperative MR images, and hematoxylin and eosin-stained whole slide images (WSIs) to predict recurrence in patients with STS. A total of 323 patients with STS were retrospectively enrolled from two hospitals, serving as development and validation sets, respectively. The ShuffleNetV2 network was utilized to develop patch-level and WSI-level signatures. A convolutional neural network fusing the channel and spatial attention mechanisms was used to develop a radiology signature. The combined model was built by integrating clinical features, radiology signature score, and WSI-level signature score with Cox regression analysis. The combined model demonstrated superior performance in the validation set, achieving a C-index of 0.857 and a time-dependent area under the curve of 0.959. Class activation maps facilitated the monitoring of suspected regions to inform recurrence decisions. The recurrence-free survival times of the low- and high-risk cohorts were statistically different (p &lt; 0.05). The proposed multimodal framework offers satisfactory accuracy for predicting recurrence risk in patients with STS and could guide the choice of treatment modality.</t>
  </si>
  <si>
    <t>Wang, Tongyu; Xu, Jingxu; Wang, Hexiang; Miao, Jianguo; Duan, Naijing; Zhou, Ruizhi; Wan, Guangyao; Hou, Feng; Zong, Yuanyuan; Huang, Chencui; Yang, Jiangfei; Hao, Dapeng</t>
  </si>
  <si>
    <t>Hao, DP (corresponding author), Qingdao Univ, Affiliated Hosp, Dept Radiol, Qingdao, Shandong, Peoples R China.; Yang, JF (corresponding author), Shandong First Med Univ, Shandong Prov Hosp, Dept Radiol, Jinan, Shandong, Peoples R China.</t>
  </si>
  <si>
    <t>sduyjf@163.com; haodp2021@qdu.edu.cn</t>
  </si>
  <si>
    <t>National Natural Science Foundation of China [82172035]</t>
  </si>
  <si>
    <t>This study was financially supported by National Natural Science Foundation of China (No.82472067 and No.82172035). We thank Liwen Bianji (Edanz) (https://www.liwenbianji.cn) for editing the language of a draft of this manuscript.</t>
  </si>
  <si>
    <t>[Wang, Tongyu; Wang, Hexiang; Duan, Naijing; Zhou, Ruizhi; Wan, Guangyao; Hao, Dapeng] Qingdao Univ, Affiliated Hosp, Dept Radiol, Qingdao, Shandong, Peoples R China; [Xu, Jingxu; Huang, Chencui] Hangzhou Deepwise &amp; League PHD Technol Co Ltd, Dept Res Collaborat, R&amp;D Ctr, Hangzhou, Zhejiang, Peoples R China; [Miao, Jianguo] Beihang Univ, Sch Engn Med, Beijing, Peoples R China; [Hou, Feng] Qingdao Univ, Affiliated Hosp, Dept Pathol, Qingdao, Shandong, Peoples R China; [Zong, Yuanyuan] Shandong First Med Univ, Shandong Prov Hosp, Dept Pathol, Jinan, Shandong, Peoples R China; [Yang, Jiangfei] Shandong First Med Univ, Shandong Prov Hosp, Dept Radiol, Jinan, Shandong, Peoples R China</t>
  </si>
  <si>
    <t>Qingdao University; Beihang University; Qingdao University; Shandong First Medical University &amp; Shandong Academy of Medical Sciences; Shandong First Medical University &amp; Shandong Academy of Medical Sciences</t>
  </si>
  <si>
    <t>Multimodal deep learning framework for recurrence risk stratification in soft tissue sarcoma: a multicenter study</t>
  </si>
  <si>
    <t>DIAGNOSIS; PREDICTION; SURVIVAL; CANCER</t>
  </si>
  <si>
    <t>283</t>
  </si>
  <si>
    <t>10.1038/s41698-026-01472-4</t>
  </si>
  <si>
    <t>http://dx.doi.org/10.1038/s41698-026-01472-4</t>
  </si>
  <si>
    <t>LK1EB</t>
  </si>
  <si>
    <t>42115754</t>
  </si>
  <si>
    <t>WOS:001826483700002</t>
  </si>
  <si>
    <t>Suresh, P; Keerthika, P; Kumar, ARN</t>
  </si>
  <si>
    <t>Automated skin lesion detection is essential for early dermatological diagnosis. Most deep learning algorithms employ dermoscopic images and ignore the clinical context of dermatologists. This constraint decreases the robustness and interpretability, particularly in visually ambiguous instances. An explainable multimodal cross attention framework that merges clinical text with dermoscopic images to increase diagnostic accuracy and semantic grounding in automated skin lesion detection. A Text-Guided Cross-Attentive Visual Feature Network multimodal learning architecture (TG-CAVNet) using Bio-ClinicalBERT based clinical text encoding and EfficientNet-B4 visual feature extraction is proposed. The framework uses text-guided channel-wise feature modulation, text-queried cross-attention for semantic-spatial alignment and adaptive multi-stream fusion to merge complementary representations. The model was trained end-to-end using hybrid focal and cross-entropy losses. On a multimodal dermoscopic dataset of 6194 aligned image-text samples, TG-CAVNet outperforms state-of-the-art multimodal baselines with 90.75% accuracy and a macro Jaccard score of 0.82. Ablation investigations are performed that confirmed the separate and synergistic impacts of the components, whereas attention visualizations improved interpretability. Text-guided cross-attentive multimodal learning improves the performance and explainability of automated skin lesion identification. The robust and clinically interpretable decision-support framework TG-CAVNet demonstrates the necessity of integrating semantic clinical context with visual analysis in dermatological AI systems.</t>
  </si>
  <si>
    <t>Suresh, P.; Keerthika, P.; Kumar, A. R. Nitesh</t>
  </si>
  <si>
    <t>Keerthika, P (corresponding author), Vellore Inst Technol, Sch Comp Sci &amp; Engn, Vellore, India.</t>
  </si>
  <si>
    <t>keerthika.p@vit.ac.in</t>
  </si>
  <si>
    <t>Vellore Institute of Technology, Vellore</t>
  </si>
  <si>
    <t>Open access funding provided by Vellore Institute of Technology.</t>
  </si>
  <si>
    <t>[Suresh, P.; Keerthika, P.; Kumar, A. R. Nitesh] Vellore Inst Technol, Sch Comp Sci &amp; Engn, Vellore, India</t>
  </si>
  <si>
    <t>Text guided cross attentive multimodal learning with visual feature modulation for automated skin lesion detection</t>
  </si>
  <si>
    <t>Dermoscopic imaging; Multimodal fusion; Clinical text integration; Visual encoding; Medical imaging</t>
  </si>
  <si>
    <t>APR 6 2026</t>
  </si>
  <si>
    <t>16500</t>
  </si>
  <si>
    <t>10.1038/s41598-026-47271-6</t>
  </si>
  <si>
    <t>http://dx.doi.org/10.1038/s41598-026-47271-6</t>
  </si>
  <si>
    <t>IR8JS</t>
  </si>
  <si>
    <t>41942550</t>
  </si>
  <si>
    <t>WOS:001778819800011</t>
  </si>
  <si>
    <t>Sheikh, MM; Balachandra, M; Narendra, VG; Maiya, AG</t>
  </si>
  <si>
    <t>Early detection of diabetic neuropathy remains a challenge due to reliance on subjective clinical assessments. We propose SoleFusion-Net, an explainable multimodal deep learning framework that integrates plantar pressure images with structured clinical data through an late-fusion dual-branch architecture. The image branch employs convolutional layers to extract biomechanical pressure features, while the tabular branch processes clinical and demographic variables. Learned representations are fused for joint classification. Extensive explainability techniques, including Grad-CAM, SHAP, surrogate decision trees, and prototyped critique analysis, were implemented to enhance transparency and clinician trust. Evaluated on 504 patients stratified into mild, moderate, and severe neuropathy, SoleFusion-Net achieved 83% validation accuracy with AUCs of 0.962, 0.892, and 0.933 across the three classes. Explainability analyses identified vibration perception threshold and monofilament scores as critical predictors, while Grad-Cam highlighted spatially significant plantar regions. SoleFusion-Net showcases the feasibility of adjusting the standard multimodal fusion process and the use of various XAI methods to achieve the goal of diabetic foot syndrome classification. Therefore, this solution ensures a trustworthy help about risk stratification. The framework provides a modular and explainable AI model for integrating multimodal biomedical data, with a structure that is potentially generalizable to other settings pending external validation.</t>
  </si>
  <si>
    <t>Sheikh, Mehewish Musheer; Balachandra, Mamatha; Narendra, V. G.; Maiya, Arun G.</t>
  </si>
  <si>
    <t>Balachandra, M (corresponding author), Manipal Acad Higher Educ, Manipal Inst Technol, Manipal 576104, India.</t>
  </si>
  <si>
    <t>mamtha.bc@manipal.edu</t>
  </si>
  <si>
    <t>[Sheikh, Mehewish Musheer; Balachandra, Mamatha; Narendra, V. G.] Manipal Acad Higher Educ, Manipal Inst Technol, Manipal 576104, India; [Maiya, Arun G.] Manipal Acad Higher Educ, Manipal Coll Hlth Profess, Dept Physiotherapy, Manipal 576104, India</t>
  </si>
  <si>
    <t>Manipal Academy of Higher Education (MAHE); Manipal Academy of Higher Education (MAHE)</t>
  </si>
  <si>
    <t>SoleFusion-Net: an explainable multimodal deep learning framework for diabetic foot syndrome classification in type II diabetes mellitus</t>
  </si>
  <si>
    <t>Diabetic foot syndrome; multimodal deep learning; plantar pressure imaging; neuropathy classification; Explainable Artificial Intelligence</t>
  </si>
  <si>
    <t>AI</t>
  </si>
  <si>
    <t>G, Narendra/D-1589-2017; balachandra, mamatha/B-5105-2017</t>
  </si>
  <si>
    <t>APR 3 2026</t>
  </si>
  <si>
    <t>15973</t>
  </si>
  <si>
    <t>10.1038/s41598-026-42207-6</t>
  </si>
  <si>
    <t>http://dx.doi.org/10.1038/s41598-026-42207-6</t>
  </si>
  <si>
    <t>II9AM</t>
  </si>
  <si>
    <t>41932959</t>
  </si>
  <si>
    <t>WOS:001772754500001</t>
  </si>
  <si>
    <t>Balal, S; Kandakji, L; Leucci, M; Keane, PA; Gore, D; Pontikos, N; Allan, BD</t>
  </si>
  <si>
    <t>Purpose: To develop and validate deep learning models for predicting keratoconus progression risk using multimodal imaging and clinical data, enabling risk-stratified patient monitoring. Design: A retrospective cohort study with external validation. Participants: We analyzed 7396 eyes of 3893 patients (internal dataset) and 963 eyes of 519 patients (external validation dataset) with keratoconus who underwent MS-39 (CSO Italia) anterior-segment OCT (AS-OCT) and Placido topography between October 2020 and June 2024. Methods: Progression was defined using the global consensus criteria requiring changes in multiple parameters above device-specific precision limits. We compared conventional machine learning, unimodal deep learning, and multimodal fusion architectures to predict 2-year progression risk from baseline data. We developed recurrent neural networks to incorporate data from sequential clinic visits. We assessed clinical utility through simulated risk-stratified triage pathways in an external validation cohort. Main Outcome Measures: The area under the receiver operating characteristic curve (AUROC), sensitivity, specificity, and predictive values for keratoconus progression within 2 years were measured. Results: The multimodal model of AS-OCT, Placido, and tabular data yielded the best single-visit prediction (AUROC 0.84, 95% confidence interval [CI]: 0.83-0.85); adding sequential visits via long short-term memory boosted this to 0.93 (95% CI: 0.91-0.96). Fifty-eight percent of patients could be classified as low risk (90% chance of correctly predicting no progression in 2 years) after their baseline clinic visit, rising to 83% with inclusion of data from a second Conclusions: Artificial intelligence models can be used to develop risk-stratified pathways for monitoring keratoconus, reducing unnecessary follow-up for patients at low risk of progression while ensuring optimal resource allocation and timely intervention for those at high risk. Financial Disclosure(s): Proprietary or commercial disclosure may be found in the Footnotes and Disclosures at the end of this article. Ophthalmology Science 2026;6:101208 (c) 2026 The Authors. Published by Elsevier Inc. on behalf of American Academy of Ophthalmology, Inc. This is an open access article under the CC BY license (http://</t>
  </si>
  <si>
    <t>Balal, Shafi; Kandakji, Lynn; Leucci, Marcello; Keane, Pearse A.; Gore, Daniel; Pontikos, Nikolas; Allan, Bruce D.</t>
  </si>
  <si>
    <t>Balal, S (corresponding author), Moorfields Eye Hosp, 162 City Rd, London EC1V 2PD, England.</t>
  </si>
  <si>
    <t>shafi.balal@nhs.net</t>
  </si>
  <si>
    <t>NIHR BRC in Ophthalmology at Moorfields Eye Hospital; UK Research &amp; Innovation Future Leaders Fellowship [MR/T019050/1]; Moorfields Eye Charity with The Rubin Foundation Charitable Trust [GR001753]; Alcon Research Institute Senior Investigator Award</t>
  </si>
  <si>
    <t>NIHR BRC in Ophthalmology at Moorfields Eye Hospital; UK Research &amp; Innovation Future Leaders Fellowship (UK Research &amp; Innovation (UKRI)); Moorfields Eye Charity with The Rubin Foundation Charitable Trust; Alcon Research Institute Senior Investigator Award</t>
  </si>
  <si>
    <t>This study is supported by the European Society of Cataract and Refractive Surgeons Digital Research Award (ref: OCT-KC) , Frost Trust Charity (ref: Balal) , University College London Research Scholarship award (ref: 592328) , Moorfields Eye Charity and National Institute for Health Research AI award (ref: AI_AWARD02488) , and Doctoral Fellowship (ref: NIHR305630) . B.D.A. receives partial salary support for research from the NIHR BRC in Ophthalmology at Moorfields Eye Hospital and the University College London Institute of Ophthalmology (ref: Bruce Allan) . P.A.K. is supported by a UK Research &amp; Innovation Future Leaders Fellowship (MR/T019050/1) , Moorfields Eye Charity with The Rubin Foundation Charitable Trust (GR001753) , and an Alcon Research Institute Senior Investigator Award.r from the NIHR BRC in Ophthalmology at Moorfields Eye Hospital and the University College London Institute of Ophthalmology (ref: Bruce Allan) . P.A.K. is supported by a UK Research &amp; Innovation Future Leaders Fellowship (MR/T019050/1) , Moorfields Eye Charity with The Rubin Foundation Charitable Trust (GR001753) , and an Alcon Research Institute Senior Investigator Award.</t>
  </si>
  <si>
    <t>[Balal, Shafi; Leucci, Marcello; Gore, Daniel; Pontikos, Nikolas; Allan, Bruce D.] Moorfields Eye Hosp NHS Trust, London, England; [Balal, Shafi; Kandakji, Lynn; Keane, Pearse A.; Gore, Daniel; Pontikos, Nikolas; Allan, Bruce D.] UCL, Inst Ophthalmol, London, England; [Keane, Pearse A.; Gore, Daniel; Allan, Bruce D.] Moorfields Eye Hosp NHS Fdn Trust, NIHR Biomed Res Ctr, London, England; [Balal, Shafi] Moorfields Eye Hosp, 162 City Rd, London EC1V 2PD, England</t>
  </si>
  <si>
    <t>University of London; University College London; Moorfields Eye Hospital NHS Foundation Trust; University College London; University of London; University College London; University of London; University College London; Moorfields Eye Hospital NHS Foundation Trust; University of London; University College London; Moorfields Eye Hospital NHS Foundation Trust</t>
  </si>
  <si>
    <t>Automated Triage for New Keratoconus Referrals Using Multimodal Deep Learning</t>
  </si>
  <si>
    <t>Artificial intelligence; Automation; Keratoconus; Triage</t>
  </si>
  <si>
    <t>COLLAGEN CROSS-LINKING; PROGRESSIVE KERATOCONUS; GLOBAL CONSENSUS; IONTOPHORESIS</t>
  </si>
  <si>
    <t>Balal, Shafi/AAT-7690-2020; /AAB-7744-2020; Pontikos, Nikolas/U-3642-2018; Keane, Pearse/AAE-5709-2019</t>
  </si>
  <si>
    <t>101208</t>
  </si>
  <si>
    <t>10.1016/j.xops.2026.101208</t>
  </si>
  <si>
    <t>http://dx.doi.org/10.1016/j.xops.2026.101208</t>
  </si>
  <si>
    <t>IZ5TJ</t>
  </si>
  <si>
    <t>42256004</t>
  </si>
  <si>
    <t>WOS:001784072300001</t>
  </si>
  <si>
    <t>Siva, OV; Anbarasi, MS</t>
  </si>
  <si>
    <t>Osteoporosis is a progressive skeletal disorder characterized by decreased Bone Mineral Density (BMD) and structural deterioration, leading to an increased risk of fractures. Traditional diagnostic methods, such as Dual-Energy X-ray Absorptiometry (DXA) and the Fracture Risk Assessment Tool (FRAX), often fail to detect osteoporosis at an early stage due to their limited sensitivity and accessibility. Recent advancements in Artificial Intelligence (AI), Deep Learning (DL), and Machine Learning (ML) have shown significant potential in improving osteoporosis detection. However, existing models face challenges related to data privacy, explainability, computational complexity, and generalizability across diverse populations. This study introduces Federated Graph-based Multimodal Osteoporosis Diagnosis (FGMOD), a novel AI-driven framework that integrates Federated Learning (FL) and Graph Neural Networks (GNNs) for enhanced osteoporosis risk assessment. Unlike traditional DL models that rely on centralized training, FL ensures privacy-preserving learning across multiple hospitals and institutions. Simultaneously, GNNs model trabecular bone connectivity, offering deeper insights into microarchitectural changes in osteoporotic bones. Multimodal data fusion, incorporating structured clinical data, DXA scans, and biochemical markers, significantly improves prediction accuracy and interpretability. The proposed FGMOD model was validated on a real-world dataset comprising 10 000 patient records, 5000 DXA scans, and biochemical profiles. Comparative evaluation with state-of-the-art AI models demonstrated superior performance, achieving 94.2% accuracy, 93.4% precision, 93.1% recall, and a ROC-AUC score of 0.96. Unlike CNN-based models, which rely heavily on high-resolution images, FGMOD effectively extracts clinically relevant features from graph-based bone connectivity analysis, ensuring robust and interpretable predictions. Furthermore, the use of SHAP-based feature importance analysis provides clinicians with an explainable AI decision-making process, enhancing trust in the model's recommendations. Performance comparisons against CNN, Gradient Boosting, Random Forest, and Transfer Learning models revealed that FGMOD outperformed all baselines, particularly in privacy-aware federated training, osteoporosis risk stratification, and real-time inference on edge AI devices. Additionally, FGMOD reduced inference latency to 45 ms per sample, making it suitable for real-time clinical deployment. FGMOD represents a significant advancement in AI-powered osteoporosis detection, addressing key challenges such as privacy, generalizability, and interpretability. Future research should focus on expanding FL collaborations across global hospitals, integrating wearable sensor data for continuous bone health monitoring, and enhancing GNN-based osteoporosis modeling for faster inference on mobile healthcare platforms. This study paves the way for clinically reliable, privacy-preserving, and scalable AI solutions in osteoporosis risk assessment and early detection.</t>
  </si>
  <si>
    <t>Venkata Siva, O.; Anbarasi, M. S.</t>
  </si>
  <si>
    <t>Siva, OV (corresponding author), Puducherry Technol Univ, Dept Informat Technol, Pondicherry, India.</t>
  </si>
  <si>
    <t>orsuvenkatasiva@gmail.com; anbarasis2812@outlook.com</t>
  </si>
  <si>
    <t>[Venkata Siva, O.; Anbarasi, M. S.] Puducherry Technol Univ, Dept Informat Technol, Pondicherry, India</t>
  </si>
  <si>
    <t>Pondicherry Engineering College</t>
  </si>
  <si>
    <t>A Federated Graph-Based Multimodal AI Framework for Privacy-Preserving and Explainable Osteoporosis Detection</t>
  </si>
  <si>
    <t>INTERNATIONAL JOURNAL ON ARTIFICIAL INTELLIGENCE TOOLS</t>
  </si>
  <si>
    <t>Osteoporosis detection; federated learning; graph neural networks; multimodal AI; bone mineral density; explainable AI; machine learning; deep learning; medical imaging; privacy-preserving AI</t>
  </si>
  <si>
    <t>Anbarasi, M S/AFE-8385-2022</t>
  </si>
  <si>
    <t>WORLD SCIENTIFIC PUBL CO PTE LTD</t>
  </si>
  <si>
    <t>5 TOH TUCK LINK, SINGAPORE 596224, SINGAPORE</t>
  </si>
  <si>
    <t>0218-2130</t>
  </si>
  <si>
    <t>1793-6349</t>
  </si>
  <si>
    <t>INT J ARTIF INTELL T</t>
  </si>
  <si>
    <t>Int. J. Artif. Intell. Tools</t>
  </si>
  <si>
    <t>02N03</t>
  </si>
  <si>
    <t>10.1142/S0218213025500095</t>
  </si>
  <si>
    <t>http://dx.doi.org/10.1142/S0218213025500095</t>
  </si>
  <si>
    <t>6GT4V</t>
  </si>
  <si>
    <t>WOS:001530892600001</t>
  </si>
  <si>
    <t>Hibi, A; Cusimano, MD; Bilbily, A; Krishnan, RG; Tyrrell, PN</t>
  </si>
  <si>
    <t>Computed tomography (CT) is an important imaging modality for guiding prognostication in patients with traumatic brain injury (TBI). However, because of the specialized expertise necessary, timely and dependable TBI prognostication based on CT imaging remains challenging. This study aimed to enhance the efficiency and reliability of TBI prognostication by employing machine learning (ML) techniques on CT images. A retrospective analysis was conducted on the Collaborative European NeuroTrauma Effectiveness Research in TBI (CENTER-TBI) data set (n = 1016). An ML-driven binary classifier was developed to predict favorable or unfavorable outcomes at 6 months post-injury. The prognostic performance was assessed using the area under the curve (AUC) over fivefold cross-validation and compared with conventional models that depend on clinical variables and CT scoring systems. An external validation was performed using the Comparative Indian Neurotrauma Effectiveness Research in Traumatic Brain Injury (CINTER-TBI) data set (n = 348). The developed model achieved superior performance without the necessity for manual CT assessments (AUC = 0.846 [95% CI: 0.843-0.849]) compared with the model based on the clinical and laboratory variables (AUC = 0.817 [95% CI: 0.814-0.820]) and established CT scoring systems requiring manual interpretations (AUC = 0.829 [95% CI: 0.826-0.832] for Marshall and 0.838 [95% CI: 0.835-0.841] for International Mission for Prognosis and Analysis of Clinical Trials in TBI [IMPACT]). The external validation demonstrated the prognostic capacity of the developed model to be significantly better (AUC = 0.859 [95% CI: 0.857-0.862]) than the model using clinical variables (AUC = 0.809 [95% CI: 0.798-0.820]). This study established an ML-based model that provides efficient and reliable TBI prognosis based on CT scans, with potential implications for earlier intervention and improved patient outcomes.</t>
  </si>
  <si>
    <t>Hibi, Atsuhiro; Cusimano, Michael D.; Bilbily, Alexander; Krishnan, Rahul G.; Tyrrell, Pascal N.</t>
  </si>
  <si>
    <t>Tyrrell, PN (corresponding author), Univ Toronto, Dept Med Imaging, 263 McCaul St,4th Floor,Room 409, Toronto, ON M5T 1W7, Canada.</t>
  </si>
  <si>
    <t>pascal.tyrrell@utoronto.ca</t>
  </si>
  <si>
    <t>European Union 7th Frame-work program (EC) [602150]; Hannelore Kohl Stiftung (Germany); Mind (USA); Integra Life Sciences Corporation (USA); Nippon Steel Corporation [509533]</t>
  </si>
  <si>
    <t>European Union 7th Frame-work program (EC); Hannelore Kohl Stiftung (Germany); Mind (USA); Integra Life Sciences Corporation (USA); Nippon Steel Corporation</t>
  </si>
  <si>
    <t>Data used in preparation of this manuscript were obtained in the context of CENTER-TBI, a large collaborative project with the support of the European Union 7th Frame-work program (EC grant 602150). Additional funding was obtained from the Hannelore Kohl Stiftung (Germany), One Mind (USA), and Integra Life Sciences Corporation (USA). None of these funding sources for CENTER-TBI had any role in the writing of the manuscript or the decision to submit it for publication. This work was supported by a research grant from Nippon Steel Corporation (fund number 509533).</t>
  </si>
  <si>
    <t>[Hibi, Atsuhiro; Cusimano, Michael D.; Tyrrell, Pascal N.] Univ Toronto, Inst Med Sci, Toronto, ON, Canada; [Hibi, Atsuhiro; Bilbily, Alexander; Tyrrell, Pascal N.] Univ Toronto, Dept Med Imaging, 263 McCaul St,4th Floor,Room 409, Toronto, ON M5T 1W7, Canada; [Krishnan, Rahul G.] Univ Toronto, Dept Comp Sci, Toronto, ON, Canada; [Krishnan, Rahul G.] Univ Toronto, Dept Lab Med &amp; Pathobiol, Toronto, ON, Canada; [Tyrrell, Pascal N.] Univ Toronto, Dept Stat Sci, Toronto, ON, Canada; [Hibi, Atsuhiro; Cusimano, Michael D.] Unity Hlth Toronto, St Michaels Hosp, Div Neurosurg, Toronto, ON, Canada; [Bilbily, Alexander] Sunnybrook Hlth Sci Ctr, Toronto, ON, Canada</t>
  </si>
  <si>
    <t>University of Toronto; University of Toronto; University of Toronto; University of Toronto; University of Toronto; University of Toronto; Saint Michaels Hospital Toronto; University of Toronto; Sunnybrook Health Science Center; Sunnybrook Research Institute</t>
  </si>
  <si>
    <t>CTR-TBI CINTER-TBI Participants</t>
  </si>
  <si>
    <t>Development of a Multimodal Machine Learning-Based Prognostication Model for Traumatic Brain Injury Using Clinical Data and Computed Tomography Scans: A CENTER-TBI and CINTER-TBI Study</t>
  </si>
  <si>
    <t>JOURNAL OF NEUROTRAUMA</t>
  </si>
  <si>
    <t>computed tomography; machine learning; prognostication; traumatic brain injury; vision transformer</t>
  </si>
  <si>
    <t>HEAD-INJURY; CLASSIFICATION; PREDICTION; OUTCOMES</t>
  </si>
  <si>
    <t>Krishnan, Rahul/AGV-5272-2022; Cusimano, Michael/X-4059-2019; Tyrrell, Pascal/GWC-6317-2022</t>
  </si>
  <si>
    <t>Hibi, Atsuhiro/0000-0002-7558-0682; Tyrrell, Pascal/0000-0003-2277-3824</t>
  </si>
  <si>
    <t>0897-7151</t>
  </si>
  <si>
    <t>1557-9042</t>
  </si>
  <si>
    <t>J NEUROTRAUM</t>
  </si>
  <si>
    <t>J. Neurotrauma</t>
  </si>
  <si>
    <t>JUN 1 2024</t>
  </si>
  <si>
    <t>11-12</t>
  </si>
  <si>
    <t>1323</t>
  </si>
  <si>
    <t>1336</t>
  </si>
  <si>
    <t>10.1089/neu.2023.0446</t>
  </si>
  <si>
    <t>http://dx.doi.org/10.1089/neu.2023.0446</t>
  </si>
  <si>
    <t>Critical Care Medicine; Clinical Neurology; Neurosciences</t>
  </si>
  <si>
    <t>General &amp; Internal Medicine; Neurosciences &amp; Neurology</t>
  </si>
  <si>
    <t>US4N9</t>
  </si>
  <si>
    <t>38279813</t>
  </si>
  <si>
    <t>WOS:001162748600001</t>
  </si>
  <si>
    <t>Suo, M; Ma, CJ; Chen, X; Guan, Y; Wang, XL; Li, ZH</t>
  </si>
  <si>
    <t>Background: Chronic nonspecific low back pain (cNLBP) is a prevalent global health concern. Radiomics enables the extraction of high-dimensional quantitative features from medical images and has shown promise in disease diagnosis, prognostic assessment, and therapeutic response evaluation. To construct and validate an artificial intelligence (AI)-based evaluation model for clinical symptoms in cNLBP patients, leveraging both clinical and radiomics features. The clinical utility of this approach was evaluated in identifying patients at high risk for severe pain. Methods: A total of 148 patients with cNLBP were enrolled and stratified by VAS into mild and severe pain groups. Radiomics features from the paraspinal muscles were extracted from lumbar MRI scans. Multiple AI algorithms were applied to construct evaluation models. Logistic regression was used to construct clinical models, radiomics models, and combined clinical-radiomics models, respectively, to compare the predictive power of different models. Model performance was evaluated by multiple methods. Results: Fat infiltration rate of multifidus muscles as significant predictors of pain intensity. The Bagging decision tree model and random forest model achieved higher area under the ROC curve (AUC) values and F1 scores, respectively, in radiomics models. The combined models integrating radiomics and clinical features further increased AUCs. Conclusion: AI algorithms have a significant advantage over traditional algorithms in improving the performance of predictive models. Integrating radiomics features with clinical variables significantly enhances the predictive performance for pain intensity in cNLBP. Multimodal data integration compensates for the limitations of single-modality models, improving both accuracy and stability. The translational potential of this article: This study facilitates early risk stratification of cNLBP patients in clinical practice, enabling clinicians to prioritize intervention for high-risk individuals and optimize the allocation of medical resources. Moreover, the validated high-performance AI models and the multimodal integration strategy lay a foundation for the development of clinical auxiliary tools. Such tools can be integrated into existing clinical workflows to assist clinicians in accurately identifying patients with severe pain at high risk, thereby supporting early intervention and personalized treatment decision-making.</t>
  </si>
  <si>
    <t>Suo, Moran; Ma, Changjun; Chen, Xin; Guan, Yu; Wang, Xiulin; Li, Zhonghai</t>
  </si>
  <si>
    <t>Li, ZH (corresponding author), Dalian Med Univ, Dept Orthoped, Affiliated Hosp 1, 5 Longbin Rd,Dalian Dev Zone, Dalian, Liaoning, Peoples R China.; Guan, Y (corresponding author), Naval Med Univ, Affiliated Hosp 2, Dept Radiol, 415 Fengyang Rd, Shanghai 200003, Peoples R China.; Wang, XL (corresponding author), Dalian Med Univ, Stem Cell Clin Res Ctr, Affiliated Hosp 1, Shahekou 193,Lianhe Rd, Dalian, Liaoning, Peoples R China.</t>
  </si>
  <si>
    <t>guan.yu8635@163.com; lizhonghaispine@126.com; xiulinwang@dmu.edu.cn</t>
  </si>
  <si>
    <t>Key Tackling Project of the Education Department of Liaoning Province [2024C011]; Dalian Medical Science Research Program [2023DF009]; Medical-Industrial Joint Innovation Funding Project of the First Hospital of Dalian Medical University and Dalian Institute of Chemical Physics [DMU-1DICP UN202311]</t>
  </si>
  <si>
    <t>Key Tackling Project of the Education Department of Liaoning Province; Dalian Medical Science Research Program; Medical-Industrial Joint Innovation Funding Project of the First Hospital of Dalian Medical University and Dalian Institute of Chemical Physics</t>
  </si>
  <si>
    <t>This study was supported by the Key Tackling Project of the Education Department of Liaoning Province (2024C011), the Dalian Medical Science Research Program (2023DF009), and the Medical-Industrial Joint Innovation Funding Project of the First Hospital of Dalian Medical University and Dalian Institute of Chemical Physics (DMU-1&amp;DICP UN202311). The funders had no role in the study design, data collection and analysis, decision to publish, or preparation of the manuscript.</t>
  </si>
  <si>
    <t>[Suo, Moran; Chen, Xin; Li, Zhonghai] Dalian Med Univ, Dept Orthoped, Affiliated Hosp 1, 5 Longbin Rd,Dalian Dev Zone, Dalian, Liaoning, Peoples R China; [Suo, Moran; Chen, Xin; Li, Zhonghai] Key Lab Mol Mech Repair &amp; Remodeling Orthoped Dis, Dalian, Liaoning, Peoples R China; [Ma, Changjun] Dalian Univ Technol, Fac Med, Sch Biomed Engn, Dalian, Peoples R China; [Ma, Changjun; Wang, Xiulin] Dalian Med Univ, Stem Cell Clin Res Ctr, Natl Joint Engn Lab, Regenerat Med,Affiliated Hosp 1, Dalian, Liaoning, Peoples R China; [Guan, Yu] Naval Med Univ, Affiliated Hosp 2, Dept Radiol, 415 Fengyang Rd, Shanghai 200003, Peoples R China; [Wang, Xiulin] Dalian Innovat Inst Stem Cell &amp; Precis Med, Dalian 116085, Peoples R China</t>
  </si>
  <si>
    <t>Dalian Medical University; Dalian University of Technology; Dalian Medical University; Naval Medical University</t>
  </si>
  <si>
    <t>A novel multimodal AI-based radiomics approach for precision assessment of pain intensity in chronic nonspecific low back pain</t>
  </si>
  <si>
    <t>JOURNAL OF ORTHOPAEDIC TRANSLATION</t>
  </si>
  <si>
    <t>Artificial intelligence; Chronic nonspecific low back pain; Multimodal data integration; Paraspinal muscles; Predictive model; Radiomic</t>
  </si>
  <si>
    <t>LUMBAR PARASPINAL MUSCLES; IMAGES; CHEMOTHERAPY; INFORMATION; PREDICTION; OUTCOMES; WOMEN; MODEL; AGE</t>
  </si>
  <si>
    <t>Li, Zhonghai/M-1060-2019</t>
  </si>
  <si>
    <t>Editorial Office Journal Orthopaedic Translation</t>
  </si>
  <si>
    <t>Shatin</t>
  </si>
  <si>
    <t>Room 74029, 5/F, Lui Che Woo Clinical Sciences Building, Prince of Wales Hospital, Shatin, Hong Kong, PEOPLES R CHINA</t>
  </si>
  <si>
    <t>2214-031X</t>
  </si>
  <si>
    <t>J ORTHOP TRANSL</t>
  </si>
  <si>
    <t>J. ORTHOP. TRANSL.</t>
  </si>
  <si>
    <t>101062</t>
  </si>
  <si>
    <t>10.1016/j.jot.2026.101062</t>
  </si>
  <si>
    <t>http://dx.doi.org/10.1016/j.jot.2026.101062</t>
  </si>
  <si>
    <t>Orthopedics</t>
  </si>
  <si>
    <t>EO3MY</t>
  </si>
  <si>
    <t>41800231</t>
  </si>
  <si>
    <t>WOS:001705855800001</t>
  </si>
  <si>
    <t>Volinsky-Fremond, S; Horeweg, N; Andani, S; Wolf, JB; Lafarge, MW; de Kroon, CD; Ortoft, G; Hogdall, E; Dijkstra, J; Jobsen, JJ; Lutgens, LCHW; Powell, ME; Mileshkin, LR; Mackay, H; Leary, A; Katsaros, D; Nijman, HW; de Boer, SM; Nout, RA; de Bruyn, M; Church, D; Smit, VTHBM; Creutzberg, CL; Koelzer, VH; Bosse, T</t>
  </si>
  <si>
    <t>Predicting distant recurrence of endometrial cancer (EC) is crucial for personalized adjuvant treatment. The current gold standard of combined pathological and molecular profiling is costly, hampering implementation. Here we developed HECTOR (histopathology-based endometrial cancer tailored outcome risk), a multimodal deep learning prognostic model using hematoxylin and eosin-stained, whole-slide images and tumor stage as input, on 2,072 patients from eight EC cohorts including the PORTEC-1/-2/-3 randomized trials. HECTOR demonstrated C-indices in internal (n = 353) and two external (n = 160 and n = 151) test sets of 0.789, 0.828 and 0.815, respectively, outperforming the current gold standard, and identified patients with markedly different outcomes (10-year distant recurrence-free probabilities of 97.0%, 77.7% and 58.1% for HECTOR low-, intermediate- and high-risk groups, respectively, by Kaplan-Meier analysis). HECTOR also predicted adjuvant chemotherapy benefit better than current methods. Morphological and genomic feature extraction identified correlates of HECTOR risk groups, some with therapeutic potential. HECTOR improves on the current gold standard and may help delivery of personalized treatment in EC.A multimodal deep learning prognostic model based on histopathology outperforms current gold standards for identifying patients with endometrial cancer with different outcomes, in multiple external validation cohorts.</t>
  </si>
  <si>
    <t>Volinsky-Fremond, Sarah; Horeweg, Nanda; Andani, Sonali; Wolf, Jurriaan Barkey; Lafarge, Maxime W.; de Kroon, Cor D.; Ortoft, Gitte; Hogdall, Estrid; Dijkstra, Jouke; Jobsen, Jan J.; Lutgens, Ludy C. H. W.; Powell, Melanie E.; Mileshkin, Linda R.; Mackay, Helen; Leary, Alexandra; Katsaros, Dionyssios; Nijman, Hans W.; de Boer, Stephanie M.; Nout, Remi A.; de Bruyn, Marco; Church, David; Smit, Vincent T. H. B. M.; Creutzberg, Carien L.; Koelzer, Viktor H.; Bosse, Tjalling</t>
  </si>
  <si>
    <t>Bosse, T (corresponding author), Leiden Univ, Med Ctr, Dept Pathol, Leiden, Netherlands.</t>
  </si>
  <si>
    <t>t.bosse@lumc.nl</t>
  </si>
  <si>
    <t>This work was supported by a translational research project grant from the Hanarth Foundation (details below) and the Swiss Federal Institutes of Technology (strategic focus area of personalized health and related technologies; 2021-367) and a grant from t; Hanarth Foundation [2021-367]; Swiss Federal Institutes of Technology (strategic focus area of personalized health and related technologies) [F-87701-41-01]; Promedica Foundation; Dutch Cancer Society (DCS) [RTX 8000 GPUs]; TransPORTEC Research Consortium</t>
  </si>
  <si>
    <t>This work was supported by a translational research project grant from the Hanarth Foundation (details below) and the Swiss Federal Institutes of Technology (strategic focus area of personalized health and related technologies; 2021-367) and a grant from t; Hanarth Foundation (ACEV Foundation); Swiss Federal Institutes of Technology (strategic focus area of personalized health and related technologies); Promedica Foundation; Dutch Cancer Society (DCS) (KWF Kankerbestrijding); TransPORTEC Research Consortium</t>
  </si>
  <si>
    <t>This work was supported by a translational research project grant from the Hanarth Foundation and the Swiss Federal Institutes of Technology (strategic focus area of personalized health and related technologies; grant no. 2021-367) and a grant from the Promedica Foundation (no. F-87701-41-01) during the conduct of the study. The PORTEC-1, PORTEC-2 and PORTEC-3 trials were funded by grants from the Dutch Cancer Society (DCS; grant nos. CKTO 90-01, CKTO 2001-04 and CKTO 2006-04, respectively). We first and foremost thank the participants in these studies and those who donated a tumor sample for translational research. We are grateful to the international and local investigators and the data management teams who recruited and followed the women who participated in these studies, and to the many pathologists who collected samples for the PORTEC-1, PORTEC-2 and PORTEC-3 randomized trial biobanks, as well as the TransPORTEC Research Consortium for the establishment of the TransPORTEC study. We thank the investigators of the prospective MST cohort and G.&amp; Oslash;. and E.H. and investigators of the Danish cohort. We are indebted to T. Rutten and N. ter Haar, LUMC, for excellent technical support, slide collection and scanning. We thank L. Vermij, A. Leon-Castillo and E. Stelloo for the contribution to molecularly classifying the samples. We thank V. S. Hadnagy, University Hospital Zurich, for contributing to the annotation of the EC image dataset used to develop the mitosis detector for the present study. We also thank the Light Microscopy team of the Cell and Chemical Biology Department, LUMC, for the technical support and use of the 3DHISTECH P250 scanner, and the Netherlands Cancer Institute for use of their 3DHISTECH P1000 scanner. We acknowledge and thank the SHARK team, the computational cluster of the LUMC, for their technical support and the installation of the Nvidia RTX 8000 GPUs. We also thank K. Yost for her work and support with the figures. The views expressed are those of the authors and not necessarily those of the NHS, the NIHR or the Department of Health.</t>
  </si>
  <si>
    <t>[Volinsky-Fremond, Sarah; Wolf, Jurriaan Barkey; Smit, Vincent T. H. B. M.; Bosse, Tjalling] Leiden Univ, Med Ctr, Dept Pathol, Leiden, Netherlands; [Horeweg, Nanda; de Boer, Stephanie M.; Creutzberg, Carien L.] Leiden Univ, Med Ctr, Dept Radiat Oncol, Leiden, Netherlands; [Andani, Sonali] Dept Comp Sci, ETH Zurich, Zurich, Switzerland; [Andani, Sonali; Lafarge, Maxime W.; Koelzer, Viktor H.] Univ Hosp, Univ Zurich, Dept Pathol &amp; Mol Pathol, Zurich, Switzerland; [Andani, Sonali] Swiss Inst Bioinformat, Lausanne, Switzerland; [de Kroon, Cor D.] Leiden Univ, Med Ctr, Dept Gynecol &amp; Obstet, Leiden, Netherlands; [Ortoft, Gitte] Copenhagen Univ Hosp, Dept Gynecol, Rigshosp, Copenhagen, Denmark; [Hogdall, Estrid] Herlev Univ Hosp, Dept Pathol, Herlev, Denmark; [Dijkstra, Jouke] Leiden Univ, Med Ctr, Dept Radiol, Leiden, Netherlands; [Jobsen, Jan J.] Dept Radiat Oncol, Med Spectrum Twente, Enschede, Netherlands; [Lutgens, Ludy C. H. W.] Maastricht Radiat Oncol, MAASTRO, Maastricht, Netherlands; [Powell, Melanie E.] Dept Clin Oncol, Barts Hlth NHS Trust, London, England; [Mileshkin, Linda R.] Peter MacCallum Canc Ctr, Dept Med Oncol, Melbourne, Vic, Australia; [Mackay, Helen] Sunnybrook Hlth Sci Ctr, Odette Canc Ctr, Toronto, ON, Canada; [Leary, Alexandra] Gustave Roussy Inst, Dept Med Oncol, Villejuif, France; [Katsaros, Dionyssios] Univ Turin, Citta Salute &amp; S Anna Hosp, Dept Surg Sci, Gynecol Oncol, Turin, Italy; [Nijman, Hans W.; de Bruyn, Marco] Univ Med Ctr Groningen, Univ Groningen, Dept Obstet &amp; Gynecol, Groningen, Netherlands; [Nout, Remi A.] Univ Med Ctr Rotterdam, Erasmus MC, Canc Inst, Rotterdam, Netherlands; [Church, David] Univ Oxford, Wellcome Ctr Human Genet, Oxford, England; [Church, David] Oxford Univ Hosp NHS Fdn Trust, Oxford NIHR Comprehens Biomed Res Ctr, Oxford, England; [Koelzer, Viktor H.] Univ Hosp Basel, Inst Med Genet &amp; Pathol, Basel, Switzerland</t>
  </si>
  <si>
    <t>Leiden University; Leiden University - Excl LUMC; Leiden University Medical Center (LUMC); Leiden University - Excl LUMC; Leiden University; Leiden University Medical Center (LUMC); Swiss Federal Institutes of Technology Domain; ETH Zurich; University of Zurich; University Zurich Hospital; Swiss Institute of Bioinformatics; Leiden University; Leiden University - Excl LUMC; Leiden University Medical Center (LUMC); University of Copenhagen; Rigshospitalet; Copenhagen University Hospital; University of Copenhagen; Herlev &amp; Gentofte Hospital; Leiden University; Leiden University - Excl LUMC; Leiden University Medical Center (LUMC); Medical Spectrum Twente; Maastricht University; Barts Health NHS Trust; Peter Maccallum Cancer Center; University of Toronto; Sunnybrook Health Science Center; Sunnybrook Research Institute; UNICANCER; Gustave Roussy; University of Turin; University of Groningen; Erasmus University Rotterdam; Erasmus MC; Erasmus MC Cancer Institute; University of Oxford; Wellcome Centre for Human Genetics; Oxford University Hospitals NHS Foundation Trust; University of Basel</t>
  </si>
  <si>
    <t>Prediction of recurrence risk in endometrial cancer with multimodal deep learning</t>
  </si>
  <si>
    <t>NATURE MEDICINE</t>
  </si>
  <si>
    <t>WHOLE-SLIDE IMAGES; RADIOTHERAPY; CLASSIFICATION; CARCINOMA; PATHOLOGY</t>
  </si>
  <si>
    <t>Dijkstra, Jouke/C-2917-2012; Horeweg, Nanda/ABF-4520-2020; Nout, Remi/PCG-8713-2025; Bosse, Tjalling/AFX-6970-2022; de Boer, Stephanie/AAO-3419-2021; Creutzberg, Carien/E-2253-2018</t>
  </si>
  <si>
    <t>de Bruyn, Marco/0000-0001-9819-9131; Lafarge, Maxime/0000-0001-9235-783X; Volinsky, Sarah/0000-0002-8195-5735; Horeweg, Nanda/0000-0002-8581-4753; Barkey Wolf, Jurriaan/0000-0002-7811-0280</t>
  </si>
  <si>
    <t>100</t>
  </si>
  <si>
    <t>1078-8956</t>
  </si>
  <si>
    <t>1546-170X</t>
  </si>
  <si>
    <t>NAT MED</t>
  </si>
  <si>
    <t>Nat. Med.</t>
  </si>
  <si>
    <t>JUL 2024</t>
  </si>
  <si>
    <t>1962</t>
  </si>
  <si>
    <t>1973</t>
  </si>
  <si>
    <t>10.1038/s41591-024-02993-w</t>
  </si>
  <si>
    <t>http://dx.doi.org/10.1038/s41591-024-02993-w</t>
  </si>
  <si>
    <t>Biochemistry &amp; Molecular Biology; Cell Biology; Medicine, Research &amp; Experimental</t>
  </si>
  <si>
    <t>Biochemistry &amp; Molecular Biology; Cell Biology; Research &amp; Experimental Medicine</t>
  </si>
  <si>
    <t>A6S1E</t>
  </si>
  <si>
    <t>38789645</t>
  </si>
  <si>
    <t>WOS:001236311700003</t>
  </si>
  <si>
    <t>Chang, BW; Geng, Z; Mei, JM; Wang, ZY; Chen, P; Jiang, YG; Niu, CS</t>
  </si>
  <si>
    <t>Parkinson's Disease (PD) is a progressive neurodegenerative disorder with substantial impact on patients' quality of life. Subthalamic nucleus deep brain stimulation (STN-DBS) is an effective treatment for advanced PD, but patient responses vary, necessitating predictive models for personalized care. Recent advancements in medical imaging and machine learning offer opportunities to enhance predictive accuracy, particularly through deep learning and multi-instance learning (MIL) techniques. This retrospective study included 127 PD patients undergoing STN-DBS. Medical records and imaging data were collected, and patients were categorized based on treatment outcomes. Advanced segmentation models were trained for automated region of interest (ROI) delineation. A novel 2.5D deep learning approach incorporating multi-slice representation was developed to extract detailed ROI features. Multi-instance learning fusion techniques integrated predictions across multiple slices, combining radiomics and deep learning features to enhance model performance. Various machine learning algorithms were evaluated, and model robustness was assessed using cross-validation and hyperparameter optimization. The MIL model achieved an area under the curve (AUC) of 0.846 for predicting STN-DBS outcomes, surpassing the radiomics model's AUC of 0.825. Integration of MIL and radiomics features in the DLRad model further improved discriminative ability to an AUC of 0.871. Calibration tests showed good model reliability, and decision curve analysis demonstrated clinical utility, affirming the model's predictive advantage. This study demonstrates the efficacy of integrating MIL, radiomics, and deep learning techniques to predict STN-DBS outcomes in PD patients. The multimodal fusion approach enhances predictive accuracy, supporting personalized treatment planning and advancing patient care.</t>
  </si>
  <si>
    <t>Chang, Bowen; Geng, Zhi; Mei, Jiaming; Wang, Zhengyu; Chen, Peng; Jiang, Yuge; Niu, Chaoshi</t>
  </si>
  <si>
    <t>Niu, CS (corresponding author), Univ Sci &amp; Technol China, USTC, Affiliated Hosp 1, Dept Neurosurg,Div Life Sci &amp; Med, Hefei, Anhui, Peoples R China.; Niu, CS (corresponding author), Anhui Prov Key Lab Brain Funct &amp; Brain Dis, Hefei, Anhui, Peoples R China.; Jiang, YG (corresponding author), Anhui Univ Chinese Med, Key Lab Xinan Med, Anhui Prov Key Lab R&amp;D Chinese Med, Minist Educ, Hefei, Anhui, Peoples R China.</t>
  </si>
  <si>
    <t>niuchaoshi@ustc.edu.cn; jyg@ahtcm.edu.cn</t>
  </si>
  <si>
    <t>Joint Fund for Medical Arti fi cial In-telligence [MAI2023Q023]; Excellent Scienti fi c research and inno-vation Team Project in Anhui Province [2023AH010080]</t>
  </si>
  <si>
    <t>Joint Fund for Medical Arti fi cial In-telligence; Excellent Scienti fi c research and inno-vation Team Project in Anhui Province</t>
  </si>
  <si>
    <t>This paper is supported by the Joint Fund for Medical Arti fi cial In-telligence (No.: MAI2023Q023) , Excellent Scienti fi c research and inno-vation Team Project in Anhui Province (2023AH010080) .</t>
  </si>
  <si>
    <t>[Chang, Bowen; Mei, Jiaming; Wang, Zhengyu; Chen, Peng; Niu, Chaoshi] Univ Sci &amp; Technol China, USTC, Affiliated Hosp 1, Dept Neurosurg,Div Life Sci &amp; Med, Hefei, Anhui, Peoples R China; [Chang, Bowen; Mei, Jiaming; Wang, Zhengyu; Chen, Peng; Niu, Chaoshi] Anhui Prov Key Lab Brain Funct &amp; Brain Dis, Hefei, Anhui, Peoples R China; [Geng, Zhi] Anhui Med Univ, Affiliated Hosp 1, Dept Neurol, Hefei, Anhui, Peoples R China; [Jiang, Yuge] Anhui Univ Chinese Med, Key Lab Xinan Med, Anhui Prov Key Lab R&amp;D Chinese Med, Minist Educ, Hefei, Anhui, Peoples R China</t>
  </si>
  <si>
    <t>Chinese Academy of Sciences; University of Science &amp; Technology of China, CAS; Anhui Medical University; Anhui University of Chinese Medicine</t>
  </si>
  <si>
    <t>Application of multimodal deep learning and multi-instance learning fusion techniques in predicting STN-DBS outcomes for Parkinson's disease patients</t>
  </si>
  <si>
    <t>NEUROTHERAPEUTICS</t>
  </si>
  <si>
    <t>Parkinson's disease; Deep brain stimulation; Deep learning; Multi-instance; Prediction model</t>
  </si>
  <si>
    <t>BRAIN-STIMULATION; CONNECTIVITY</t>
  </si>
  <si>
    <t>Jiang, Yuge/ACE-3912-2022; Chang, Bowen/AAM-2763-2021</t>
  </si>
  <si>
    <t>1933-7213</t>
  </si>
  <si>
    <t>1878-7479</t>
  </si>
  <si>
    <t>Neurotherapeutics</t>
  </si>
  <si>
    <t>e00471</t>
  </si>
  <si>
    <t>10.1016/j.neurot.2024.e00471</t>
  </si>
  <si>
    <t>http://dx.doi.org/10.1016/j.neurot.2024.e00471</t>
  </si>
  <si>
    <t>Clinical Neurology; Neurosciences; Pharmacology &amp; Pharmacy</t>
  </si>
  <si>
    <t>Neurosciences &amp; Neurology; Pharmacology &amp; Pharmacy</t>
  </si>
  <si>
    <t>R3R5Y</t>
  </si>
  <si>
    <t>39419638</t>
  </si>
  <si>
    <t>WOS:001390663200001</t>
  </si>
  <si>
    <t>Robinson, B; Reuther, W; Leggio, O; Cediel, EG; Jeyabose, A; Kazemi, MH; Boerwinkle, VL</t>
  </si>
  <si>
    <t>To automate the classification of functional brain networks in epilepsy patients using resting-state functional magnetic resonance imaging (rs-fMRI). The study introduces a deep learning framework that leverages spatial and temporal features to classify Independent Component Analysis (ICA)-derived networks into 11 functionally distinct classes, including seizure onset zone (SoZ), resting-state networks (RSNs), and artifact/noise. A hybrid deep learning architecture was developed combining a 3D Convolutional Neural Network (3D-CNN) to extract spatial features (SF) and a Long Short-Term Memory (LSTM) network to capture temporal dynamics from time-domain (TS) and frequency-domain (FS) signals. These multi-domain features were concatenated and classified into 11 distinct ICA component types. An ablation study assessed the individual and combined contributions of spatial, temporal, and spectral features. Additionally, expert neurologists independently rated four representative cases to qualitatively validate the model's interpretability and clinical relevance. The baseline 3D CNN (SF) model achieved an overall accuracy of 69% with a sensitivity of 0.52 and a ROC AUC of 0.76. Incorporating frequency-domain signals (SF + FS) enhanced sensitivity to 0.54 and improved the ROC AUC to 0.78 while maintaining a similar accuracy. Combining both time-domain and frequency-domain signals (SF + TS + FS) yielded the highest accuracy at 70%. At the class level, the Noise class consistently demonstrated robust performance (up to 0.94), whereas the temporal lobe network class Temporal class exhibited lower scores (0.14-0.24) across all configurations. Our results demonstrate that this data-driven framework can effectively automate the classification of rs-fMRI-derived functional brain networks including SoZ thereby reducing subjectivity and workload in clinical review. The inclusion of spatial, temporal, and spectral information enables a richer and more nuanced classification that supports downstream applications in epilepsy surgical planning.</t>
  </si>
  <si>
    <t>Robinson, Belfin; Reuther, William; Leggio, Olivia; Cediel, Emilio G.; Jeyabose, Andrew; Kazemi, Meitra H.; Boerwinkle, Varina L.</t>
  </si>
  <si>
    <t>Boerwinkle, VL (corresponding author), Univ North Carolina Chapel Hill, Dept Neurol, Clin Resting State fMRI Serv, Chapel Hill, NC 27599 USA.</t>
  </si>
  <si>
    <t>varina_boerwinkle@med.unc.edu</t>
  </si>
  <si>
    <t>[Robinson, Belfin; Reuther, William; Leggio, Olivia; Cediel, Emilio G.; Jeyabose, Andrew; Kazemi, Meitra H.; Boerwinkle, Varina L.] Univ North Carolina Chapel Hill, Dept Neurol, Clin Resting State fMRI Serv, Chapel Hill, NC 27599 USA</t>
  </si>
  <si>
    <t>University of North Carolina; University of North Carolina Chapel Hill; University of North Carolina School of Medicine</t>
  </si>
  <si>
    <t>A multimodal deep learning framework for functional brain network classification in rs-fMRI</t>
  </si>
  <si>
    <t>COGNITIVE NEURODYNAMICS</t>
  </si>
  <si>
    <t>Magnetic resonance imaging; Neural networks; Connectome; Functional connectivity; Seizure onset zone; Brain mapping; Computer-Assisted diagnosis</t>
  </si>
  <si>
    <t>Jeyabose, Andrew/ABC-1878-2020; Robinson, Belfin/HMD-3687-2023; Boerwinkle, Varina/AAS-8638-2020</t>
  </si>
  <si>
    <t>, Meitra H Kazemi/0009-0006-6794-0840; Jeyabose Sundar, Andrew/0000-0003-3592-6543</t>
  </si>
  <si>
    <t>1871-4080</t>
  </si>
  <si>
    <t>1871-4099</t>
  </si>
  <si>
    <t>COGN NEURODYNAMICS</t>
  </si>
  <si>
    <t>Cogn. Neurodynamics</t>
  </si>
  <si>
    <t>NOV 8 2025</t>
  </si>
  <si>
    <t>10.1007/s11571-025-10369-0</t>
  </si>
  <si>
    <t>http://dx.doi.org/10.1007/s11571-025-10369-0</t>
  </si>
  <si>
    <t>9MB5X</t>
  </si>
  <si>
    <t>41220406</t>
  </si>
  <si>
    <t>WOS:001609597200002</t>
  </si>
  <si>
    <t>Cheng, Y; Cao, ZY; Huang, J; Xu, F; Yin, ZG; Gong, ZJ; Ye, JH</t>
  </si>
  <si>
    <t>Accurate differentiation between benign and malignant parotid tumors is imperative for patient prognosis. However, due to the high degree of heterogeneity of parotid tumors and the limited availability of imaging data, preoperative diagnosis remains a significant challenge. To address this issue, the present study proposes a multimodal deep learning framework based on small-sample learning. This framework integrates multi-sequence MRI information and incorporates a multi-scale spatial in situations where samples are limited. The model was systematically evaluated using a retrospectively collected cohort of 198 patients with histopathologically confirmed primary parotid gland tumors (107 benign, 91 malignant) who underwent complete preoperative MRI-including T1-weighted, T2-weighted, and diffusionweighted imaging-at our institution, with no prior treatment for the parotid lesion. The cohort was split at the patient level into training (70 degrees%o), validation (15 degrees%o), and test (15 degrees%o) sets using stratified random sampling to preserve the benign-to-malignant ratio, ensuring mutually exclusive subsets and preventing data leakage. The model achieved an area under the curve (AUC) of 0.9822. This finding underscores the system's capacity to differentiate between benign and malignant tumors. Moreover, the model exhibited substantial advantages in terms of diagnostic accuracy when compared to experienced radiologists, underscoring its potential application in preoperative benignmalignant differentiation and clinical decision support for parotid tumors.</t>
  </si>
  <si>
    <t>Cheng, Yang; Cao, Zhengyao; Huang, Jia; Xu, Fan; Yin, Zhiguo; Gong, Zhongjian; Ye, Jinhai</t>
  </si>
  <si>
    <t>Ye, JH (corresponding author), Fudan Univ, Zhongshan Hosp, Dept Oral &amp; Maxillofacial Surg, Shanghai, Peoples R China.</t>
  </si>
  <si>
    <t>yejinhai@fudan.edu.cn</t>
  </si>
  <si>
    <t>National Natural Science Foundation of China [82473200]; Key Medical Research Project of Jiangsu Provincial Health Commission [K2023061]; Project of Jiangsu Provincial Health Commission on elderly health [KLM2023019]</t>
  </si>
  <si>
    <t>National Natural Science Foundation of China (National Natural Science Foundation of China (NSFC)); Key Medical Research Project of Jiangsu Provincial Health Commission; Project of Jiangsu Provincial Health Commission on elderly health</t>
  </si>
  <si>
    <t>This research was funded by National Natural Science Foundation of China (No.82473200) , the Key Medical Research Project of Jiangsu Provincial Health Commission (No.K2023061) and the project of Jiangsu Provincial Health Commission on elderly health (KLM2023019) to YJH</t>
  </si>
  <si>
    <t>[Cheng, Yang; Cao, Zhengyao; Huang, Jia; Xu, Fan; Yin, Zhiguo; Gong, Zhongjian] Nanjing Med Univ, Affiliated Wuxi Peoples Hosp, Stomatol Dept, Nanjing, Peoples R China; [Ye, Jinhai] Fudan Univ, Zhongshan Hosp, Dept Oral &amp; Maxillofacial Surg, Shanghai, Peoples R China</t>
  </si>
  <si>
    <t>Nanjing Medical University; Fudan University</t>
  </si>
  <si>
    <t>A Few-shot Multimodal Deep Learning Framework For Precision Diagnosis Of Parotid Gland</t>
  </si>
  <si>
    <t>JOVE-JOURNAL OF VISUALIZED EXPERIMENTS</t>
  </si>
  <si>
    <t>TUMORS</t>
  </si>
  <si>
    <t>JOURNAL OF VISUALIZED EXPERIMENTS</t>
  </si>
  <si>
    <t>1 ALEWIFE CENTER, STE 200, CAMBRIDGE, MA 02140 USA</t>
  </si>
  <si>
    <t>1940-087X</t>
  </si>
  <si>
    <t>JOVE-J VIS EXP</t>
  </si>
  <si>
    <t>J. Vis. Exp.</t>
  </si>
  <si>
    <t>E70231</t>
  </si>
  <si>
    <t>10.3791/70231</t>
  </si>
  <si>
    <t>http://dx.doi.org/10.3791/70231</t>
  </si>
  <si>
    <t>II3GY</t>
  </si>
  <si>
    <t>42184237</t>
  </si>
  <si>
    <t>WOS:001772365700029</t>
  </si>
  <si>
    <t>Liu, C; Luo, YW; Chen, TZ; You, J; Wang, JP</t>
  </si>
  <si>
    <t>Background Gynecological diseases, such as polycystic ovary syndrome (PCOS) and endometriosis, are prevalent global health concerns. Conventional diagnostics often rely on invasive procedures or costly imaging, limiting accessibility in resource-constrained settings. This study proposes TongueNet-GYN, a novel, non-invasive screening framework that leverages tongue image analysis integrated with modern AI.Methods We compiled a dataset of 3,167 tongue images. To address class imbalance, a hybrid strategy combining Borderline-SMOTE and clinically constrained data augmentation was employed. The framework integrates structured clinical priors with deep semantic features extracted via an enhanced Attention-CLIP model. Additionally, quantified morphological features were incorporated to mirror clinical diagnostic logic.Results TongueNet-GYN was evaluated using a robust framework comprising 5-fold cross-validation on a discovery set (85%) and subsequent validation on an independent held-out test set (15%). The model achieved a high diagnostic Accuracy of 90.14% and an AUC of 89.74% on the unseen test data. Furthermore, the integration of patient age was identified as a critical factor, yielding measurable improvements in both diagnostic accuracy and framework robustnessConclusion These results demonstrate that TongueNet-GYN provides a precise, efficient, and scalable digital health solution, offering potential for improving early screening and health equity in women's chronic disease management.</t>
  </si>
  <si>
    <t>Liu, Chang; Luo, Yuwei; Chen, Tianzi; You, Jie; Wang, Jinping</t>
  </si>
  <si>
    <t>Wang, JP (corresponding author), Jiangsu Kunshan Hosp Integrated Tradit Chinese &amp; W, Dept Tradit Chinese Med, Kunshan, Peoples R China.</t>
  </si>
  <si>
    <t>wangjinpingkszxy@163.com</t>
  </si>
  <si>
    <t>Natural Science Foundation of Jiangxi Province</t>
  </si>
  <si>
    <t>Natural Science Foundation of Jiangxi Province (Natural Science Foundation of Jiangxi Province)</t>
  </si>
  <si>
    <t>The author(s) declared that financial support was received for this work and/or its publication. This work was supported in part by the Natural Science Foundation of Jiangxi Province under grant number 20242BAB20068, and in part by the Early-Career Young Scientists and Technologists Project of Jiangxi Province under Grant 20244BCE52168.</t>
  </si>
  <si>
    <t>[Liu, Chang] Technol &amp; Higher Educ Inst Hong Kong, Dept Hospitality &amp; Business Management, Hong Kong, Peoples R China; [Luo, Yuwei] Great Bay Univ, Sch Adv Engn, Dongguan, Peoples R China; [Chen, Tianzi] Basic Med Sch Naval Med Univ, Naval Med Univ, Shanghai, Peoples R China; [You, Jie] East China JiaoTong Univ, Dept Informat &amp; Software Engn, Nanchang, Peoples R China; [Wang, Jinping] Jiangsu Kunshan Hosp Integrated Tradit Chinese &amp; W, Dept Tradit Chinese Med, Kunshan, Peoples R China</t>
  </si>
  <si>
    <t>Technological &amp; Higher Education Institute of Hong Kong; Great Bay University; Naval Medical University; East China Jiaotong University</t>
  </si>
  <si>
    <t>TongueNet-GYN: a multimodal deep learning framework for non-invasive gynecological disease screening in digital public health</t>
  </si>
  <si>
    <t>chronic disease management; gynecological diseases; health equity; multimodal fusion; non-invasive screening</t>
  </si>
  <si>
    <t>1854215</t>
  </si>
  <si>
    <t>10.3389/fpubh.2026.1854215</t>
  </si>
  <si>
    <t>http://dx.doi.org/10.3389/fpubh.2026.1854215</t>
  </si>
  <si>
    <t>KQ3KC</t>
  </si>
  <si>
    <t>42415771</t>
  </si>
  <si>
    <t>WOS:001813076600001</t>
  </si>
  <si>
    <t>Bu-Dager, V; Bryce, JA; Ahmed, I; Al-Ali, H; Cirstea, S</t>
  </si>
  <si>
    <t>Accurate detection of rare-cell populations, such as circulating tumor cells (CTCs), is essential for early cancer diagnosis and personalized treatment. Imaging flow cytometry (IFC) enables high-throughput, single-cell imaging, but remains limited by operator-intensive analysis and challenges in sensitivity, scalability, and interpretability. We introduce attention-augmented image-only and multimodal convolutional neural network (CNN) architectures together with a streamlined preprocessing pipeline (multi-stage quality control, cropping, resizing, scaling, and channel stacking) that improve feature extraction and deliver robust, high-accuracy rare-cell detection in IFC. Beyond standard metrics, we evaluate models with synthetic spike-in simulations to mimic clinical class imbalance and use Gradient-weighted Class Activation Mapping (Grad-CAM) to visualize decision-relevant regions. Experimental results show that multimodal architectures-fusing image embeddings with biologically meaningful metadata-generalize effectively to noisy, heterogeneous data and outperform conventional CNNs, achieving higher detection accuracy with fewer false positives while remaining computationally efficient. In particular, the attention-augmented multimodal model with aspect ratio and nuclear intensity (AttMM-2F) maintains high single-cell PC-3 recall ( approximate to 0.95 ) while keeping false positives low ( approximate to 1.6 per 5,000 peripheral blood lymphocytes (PBLs)) at a practical threshold. Notably, whereas many IFC phenotyping pipelines rely on additional biomarker channels, AttMM-2F achieves robust phenotyping using only brightfield and nuclear (DRAQ5, a DNA-binding nuclear stain) channels, avoiding additional immunostains and their associated time and reagent costs. Overall, the framework is interpretable and scalable, and we evaluate it with deployment-oriented protocols (threshold selection under rare-event prevalence and robustness stress tests). External multi-site and patient-derived validation remains a necessary next step before clinical deployment.</t>
  </si>
  <si>
    <t>Bu-Dager, Viktoriya; Bryce, Jessica A.; Ahmed, Imran; Al-Ali, Hussein; Cirstea, Silvia</t>
  </si>
  <si>
    <t>Al-Ali, H (corresponding author), Anglia Ruskin Univ, Sch Life Sci, Cambridge CB1 1PT, England.</t>
  </si>
  <si>
    <t>hussein.al-ali@aru.ac.uk</t>
  </si>
  <si>
    <t>Faculty of Science and Engineering, Anglia Ruskin University, Cambridge, U.K [10.13039/100012371]</t>
  </si>
  <si>
    <t>Faculty of Science and Engineering, Anglia Ruskin University, Cambridge, U.K</t>
  </si>
  <si>
    <t>[Bu-Dager, Viktoriya; Ahmed, Imran; Cirstea, Silvia] Anglia Ruskin Univ, Sch Comp &amp; Informat Sci, Cambridge CB1 1PT, England; [Bryce, Jessica A.; Al-Ali, Hussein] Anglia Ruskin Univ, Sch Life Sci, Cambridge CB1 1PT, England</t>
  </si>
  <si>
    <t>Anglia Ruskin University; Anglia Ruskin University</t>
  </si>
  <si>
    <t>AttMM: Attention-Augmented Multimodal Deep Learning Architecture for Quantitative Phenotyping of Prostate Cancer Cells in Imaging Flow Cytometry</t>
  </si>
  <si>
    <t>Filtering; Filters; MIMICs; Millimeter wave integrated circuits; Monolithic integrated circuits; Communication systems; Protocols; Pixel; Radio access networks; Regional area networks; Artificial intelligence (AI); multimodal deep learning; imaging flow cytometry (IFC); prostate cancer (PCa); cancer diagnostics</t>
  </si>
  <si>
    <t>Cirstea, Silvia/AAM-4516-2020</t>
  </si>
  <si>
    <t>Bu-Dager, Viktoriya/0009-0009-1500-4219</t>
  </si>
  <si>
    <t>55422</t>
  </si>
  <si>
    <t>55438</t>
  </si>
  <si>
    <t>10.1109/ACCESS.2026.3680427</t>
  </si>
  <si>
    <t>http://dx.doi.org/10.1109/ACCESS.2026.3680427</t>
  </si>
  <si>
    <t>GN8RD</t>
  </si>
  <si>
    <t>WOS:001740841500045</t>
  </si>
  <si>
    <t>Hu, XX; Yang, JY; Li, YP; Gong, YX; Ni, HF; Wei, Q; Yang, MY; Zhang, Y; Huang, J; Ma, C; Wei, BZ; Yu, KJ; Xu, JY; Xia, SY; Tang, TT; Chen, PS</t>
  </si>
  <si>
    <t>ObjectivesRenal biopsy is the gold standard for the diagnosis of glomerular diseases including membranous nephropathy (MN), however, it faces challenges in accuracy, objectivity, and reproducibility of tissue evaluation. This study aims to develop a multimodal pathological diagnosis system to assist pathologists in diagnosing MN in morphology.MethodsUsing PASM-stained, immunofluorescence, and electron microscopy images from MN patients, we built three deep-learning models to detect lesions. The outputs of these models were combined to provide a comprehensive pathological diagnosis. Our system was compared with pathologists, validated on external test sets, and detected in 138 patients with various kidney diseases.ResultsConsidering PASM-stained images, our model had a classification accuracy of 91.74%, a recall of 81.97%, and an F1 score of 86.58% for spike identification. For immunofluorescence images, our model had an accuracy rate of 98.97%, a recall rate of 99.65%, and an F1 score of 99.31% for MN classification. Regarding the segmentation of electron-dense deposits, the segmentation model had a Dice coefficient of 85.66% and an IoU of 75.93%. Our model presented superior performance to that of pathologists in fluorescence image classification and segmentation of deposits, achieved high accuracy in spike identification and fluorescence image classification in external test sets, and could be targeted to diagnose MN in a wide range of glomerular diseases.ConclusionsThis multimodal pathological diagnosis system can not only assist pathologists in diagnosing MN rapidly and accurately but also lays the foundation to develop diagnostic models for other glomerular diseases.</t>
  </si>
  <si>
    <t>Hu, Xiuxiu; Yang, Jinyue; Li, Yiping; Gong, Yuxiang; Ni, Haifeng; Wei, Qing; Yang, Minyu; Zhang, Yu; Huang, Jing; Ma, Cao; Wei, Bizhen; Yu, Kaijie; Xu, Jiayun; Xia, Siyu; Tang, Taotao; Chen, Pingsheng</t>
  </si>
  <si>
    <t>Chen, PS (corresponding author), Southeast Univ, Sch Med, Dept Pathol, Nanjing 210009, Jiangsu, Peoples R China.; Chen, PS (corresponding author), Southeast Univ, Zhong Da Hosp, Sch Med, Dept Nephrol, Nanjing 210009, Jiangsu, Peoples R China.</t>
  </si>
  <si>
    <t>101006254@seu.edu.cn</t>
  </si>
  <si>
    <t>Postgraduate Research &amp; Practice Innovation Program of Jiangsu Province; Institute of Nephrology, Southeast University; Department of Nephrology of the First Affiliated Hospital of Henan University of Science and Technology</t>
  </si>
  <si>
    <t>Postgraduate Research &amp; Practice Innovation Program of Jiangsu Province (Postgraduate Research &amp; Practice Innovation Program of Jiangsu Province); Institute of Nephrology, Southeast University; Department of Nephrology of the First Affiliated Hospital of Henan University of Science and Technology</t>
  </si>
  <si>
    <t>We thank the Institute of Nephrology, Southeast University for support in renal biopsy image data. We thank the Department of Nephrology of the First Affiliated Hospital of Henan University of Science and Technology for providing external data.</t>
  </si>
  <si>
    <t>[Hu, Xiuxiu; Li, Yiping; Zhang, Yu; Ma, Cao; Wei, Bizhen; Yu, Kaijie; Tang, Taotao; Chen, Pingsheng] Southeast Univ, Sch Med, Dept Pathol, Nanjing 210009, Jiangsu, Peoples R China; [Yang, Jinyue; Xia, Siyu] Southeast Univ, Sch Automat, Nanjing, Peoples R China; [Gong, Yuxiang; Ni, Haifeng; Wei, Qing; Yang, Minyu; Tang, Taotao; Chen, Pingsheng] Southeast Univ, Zhongda Hosp, Dept Nephrol, Nanjing, Peoples R China; [Huang, Jing] Southeast Univ, Zhongda Hosp, Dept Resp &amp; Crit Care Med, Nanjing, Peoples R China; [Xu, Jiayun] Henan Univ Sci &amp; Technol, Affiliated Hosp 1, Dept Nephrol, Luoyang, Peoples R China</t>
  </si>
  <si>
    <t>Southeast University - China; Southeast University - China; Southeast University - China; Southeast University - China; Henan University of Science &amp; Technology</t>
  </si>
  <si>
    <t>Multimodal deep learning improving the accuracy of pathological diagnoses for membranous nephropathy</t>
  </si>
  <si>
    <t>RENAL FAILURE</t>
  </si>
  <si>
    <t>Membranous nephropathy; renal biopsy; multimodal pathological diagnosis; artificial intelligence; deep learning</t>
  </si>
  <si>
    <t>Xia, Siyu/AAB-6524-2020</t>
  </si>
  <si>
    <t>0886-022X</t>
  </si>
  <si>
    <t>1525-6049</t>
  </si>
  <si>
    <t>Ren. Fail.</t>
  </si>
  <si>
    <t>2528106</t>
  </si>
  <si>
    <t>10.1080/0886022X.2025.2528106</t>
  </si>
  <si>
    <t>http://dx.doi.org/10.1080/0886022X.2025.2528106</t>
  </si>
  <si>
    <t>Urology &amp; Nephrology</t>
  </si>
  <si>
    <t>4WH1M</t>
  </si>
  <si>
    <t>40659521</t>
  </si>
  <si>
    <t>WOS:001528187700001</t>
  </si>
  <si>
    <t>gold; Green Submitted; Green Accepted</t>
  </si>
  <si>
    <t>Wang, ZJ; Liu, X; Han, KT; Lei, LX; Shi, CJ; Liu, W; Guo, QJ</t>
  </si>
  <si>
    <t>Objective Immunotherapy has emerged as a promising treatment for advanced non-small cell lung cancer (NSCLC), but accurately predicting which patients will benefit from it remains a major clinical challenge. To address this, we aim to develop a novel multimodal method, DeepAFM, that integrates histopathology, genomic features, and clinical information to predict patient responses to anti-PD-(L)1 immunotherapy.Materials and Methods A total of 93 patients with advanced NSCLC were included in this study. Histopathological whole-slide images were processed using a self-supervised VQVAE2 for representation learning. PCA and K-means clustering were then applied for dimensionality reduction and feature grouping. Key regions of interest were visualized through permutation importance evaluation and color-coding techniques. The extracted histopathological features, along with genomic alterations and clinical variables, were integrated into the DeepAFM multimodal prediction model.Results The DeepAFM achieved a high predictive performance with an area under the curve (AUC) of 0.77 (95% confidence interval: 0.69-1.00). Attention-based heatmaps revealed that the model could identify critical pathological patterns, genomic mutations, and clinical indicators associated with patient responses to immunotherapy.Discussion The integration of multimodal data enabled the model to capture complex interactions among pathology, genomics, and clinical characteristics, enhancing the interpretability and predictive power of immunotherapy response prediction. The visualization techniques facilitated the identification of biologically meaningful features and potential biomarkers.Conclusion This study demonstrates the effectiveness of the DeepAFM in predicting responses to immunotherapy in advanced NSCLC. The approach not only improves prediction accuracy but also provides valuable insights for personalized treatment strategies and biomarker discovery.</t>
  </si>
  <si>
    <t>Wang, Zijun; Liu, Xi; Han, Kaitai; Lei, Lixin; Shi, Chaojing; Liu, Wu; Guo, Qianjin</t>
  </si>
  <si>
    <t>Liu, X; Guo, QJ (corresponding author), Beijing Inst Petrochem Technol, Acad Artificial Intelligence, 19 Qingyuan North Rd, Beijing 102617, Peoples R China.</t>
  </si>
  <si>
    <t>2021520216@bipt.edu.cn; guoqj@iccas.ac.cn</t>
  </si>
  <si>
    <t>National Natural Science Foundation of China [52361145714, 21673252]; Beijing Municipal Education Commission [2019821001]; Climbing Program Foundation of Beijing Institute of Petrochemical Technology [BIPTAAI-2021007]; ZhiYuan Fund Key Project of Beijing Institute of Petrochemical Technology [2024003]</t>
  </si>
  <si>
    <t>National Natural Science Foundation of China (National Natural Science Foundation of China (NSFC)); Beijing Municipal Education Commission (Beijing Municipal Commission of Education); Climbing Program Foundation of Beijing Institute of Petrochemical Technology; ZhiYuan Fund Key Project of Beijing Institute of Petrochemical Technology</t>
  </si>
  <si>
    <t>This work was supported by the National Natural Science Foundation of China (grant numbers 52361145714 and 21673252), the Beijing Municipal Education Commission (grant number 2019821001), the Climbing Program Foundation of Beijing Institute of Petrochemical Technology (grant number BIPTAAI-2021007), and the ZhiYuan Fund Key Project of Beijing Institute of Petrochemical Technology (grant number 2024003).</t>
  </si>
  <si>
    <t>[Wang, Zijun; Liu, Xi; Han, Kaitai; Lei, Lixin; Shi, Chaojing; Liu, Wu; Guo, Qianjin] Beijing Inst Petrochem Technol, Acad Artificial Intelligence, 19 Qingyuan North Rd, Beijing 102617, Peoples R China</t>
  </si>
  <si>
    <t>Multimodal deep learning for immunotherapy response prediction and biomarker discovery in non-small cell lung cancer</t>
  </si>
  <si>
    <t>non-small cell lung cancer (NSCLC); immunotherapy; response prediction; biomarker discovery; multimodal deep learning</t>
  </si>
  <si>
    <t>NIVOLUMAB; PEMBROLIZUMAB; IPILIMUMAB; CARCINOMA; EFFICACY</t>
  </si>
  <si>
    <t>Wang, Zijun/LHA-4084-2024</t>
  </si>
  <si>
    <t>guo, qianjin/0000-0002-8895-7899</t>
  </si>
  <si>
    <t>1641</t>
  </si>
  <si>
    <t>1653</t>
  </si>
  <si>
    <t>10.1093/jamia/ocaf142</t>
  </si>
  <si>
    <t>http://dx.doi.org/10.1093/jamia/ocaf142</t>
  </si>
  <si>
    <t>9YT8O</t>
  </si>
  <si>
    <t>40901703</t>
  </si>
  <si>
    <t>WOS:001562421100001</t>
  </si>
  <si>
    <t>Prajna, NV; Assaf, J; Acharya, NR; Rose-Nussbaumer, J; Lietman, TM; Campbell, JP; Keenan, JD; Song, XB; Redd, TK</t>
  </si>
  <si>
    <t>Objective: This study develops and evaluates multimodal machine learning models for differentiating bacterial and fungal keratitis using a prospective representative dataset from South India. Design: Machine learning classifier training and validation study. Participants: Five hundred ninety-nine subjects diagnosed with acute infectious keratitis at Aravind Eye Hospital in Madurai, India. Methods: We developed and compared 3 prediction models to distinguish bacterial and fungal keratitis using a prospective, consecutively-collected, representative dataset gathered over a full calendar year (the MADURAI dataset). These models included a clinical data model, a computer vision model using the EfficientNet architecture, and a multimodal model combining both imaging and clinical data. We partitioned the MADURAI dataset into 70% train/validation and 30% test sets. Model training was performed with fivefold cross-validation. We also compared the performance of the MADURAI-trained computer vision model against a model with identical architecture but trained on a preexisting dataset collated from multiple prior bacterial and fungal keratitis randomized clinical trials (RCTs) (the RCT-trained computer vision model). Main Outcome Measures: The primary evaluation metric was the area under the precision-recall curve (AUPRC). Secondary metrics included area under the receiver operating characteristic curve (AUROC), accuracy, and F1 score. Results: The MADURAI-trained computer vision model outperformed the clinical data model and the RCT-trained computer vision model on the hold-out test set, with an AUPRC 0.94 (95% confidence interval: 0.92-0.96), AUROC 0.81 (0.76-0.85), accuracy 77%, and F1 score 0.85. The multimodal model did not substantially improve performance compared with the computer vision model. Conclusions: The best-performing machine learning classifier for infectious keratitis was a computer vision model trained using the MADURAI dataset. These findings suggest that image-based deep learning could significantly enhance diagnostic capabilities for infectious keratitis and emphasize the importance of using prospective, consecutively-collected, representative data for machine learning model training and evaluation.</t>
  </si>
  <si>
    <t>Prajna, N. V.; Assaf, Jad; Acharya, Nisha R.; Rose-Nussbaumer, Jennifer; Lietman, Thomas M.; Campbell, J. Peter; Keenan, Jeremy D.; Song, Xubo; Redd, Travis K.</t>
  </si>
  <si>
    <t>Redd, TK (corresponding author), Oregon Hlth &amp; Sci Univ, Casey Eye Inst, 515 SW Campus Dr, Portland, OR 97239 USA.</t>
  </si>
  <si>
    <t>redd@ohsu.edu</t>
  </si>
  <si>
    <t>National Eye Institute [P30 EY010572, K23 EY032639]; Research to Prevent Blindness; Collins Medical Trust</t>
  </si>
  <si>
    <t>National Eye Institute (United States Department of Health &amp; Human Services, National Institutes of Health (NIH) - USA, NIH National Eye Institute (NEI)); Research to Prevent Blindness (Research to Prevent Blindness (RPB)); Collins Medical Trust</t>
  </si>
  <si>
    <t>Supported by the National Eye Institute (P30 EY010572, K23 EY032639) , Research to Prevent Blindness (Tom Wertheimer Career Development Award in Data Science and unrestricted departmental funding) , Collins Medical Trust, and the Malcolm M. Marquis, MD Endowed Fund for Innovation. The sponsor or funding organizations had no role in the design or conduct of this research.</t>
  </si>
  <si>
    <t>[Prajna, N. V.] Aravind Eye Hosp, Madurai, India; [Assaf, Jad; Campbell, J. Peter; Song, Xubo; Redd, Travis K.] Oregon Hlth &amp; Sci Univ, Casey Eye Inst, 515 SW Campus Dr, Portland, OR 97239 USA; [Acharya, Nisha R.; Lietman, Thomas M.; Keenan, Jeremy D.] Univ Calif San Francisco, Francis I Proctor Fdn, San Francisco, CA USA; [Rose-Nussbaumer, Jennifer] Stanford Univ, Byers Eye Inst, Palo Alto, CA USA</t>
  </si>
  <si>
    <t>Oregon Health &amp; Science University; University of California System; University of California San Francisco; UCSF Medical Center; Stanford University</t>
  </si>
  <si>
    <t>Multimodal Deep Learning for Differentiating Bacterial and Fungal Keratitis Using Prospective Representative Data</t>
  </si>
  <si>
    <t>Artificial intelligence; Infectious keratitis; Multimodal deep learning</t>
  </si>
  <si>
    <t>ULCERATIVE KERATITIS; MICROBIAL KERATITIS; CORNEAL-ULCERS; SOUTH-INDIA; TRENDS; BLINDNESS</t>
  </si>
  <si>
    <t>Keenan, Jeremy/AAO-5882-2020; Assaf, Jad F/NTQ-7285-2025</t>
  </si>
  <si>
    <t>Redd, Travis/0000-0001-9859-0317; Namperumalsamy, Venkatesh Prajna/0000-0003-2019-4044; Rose-Nussbaumer, Jennifer/0000-0002-4905-2528; Keenan, Jeremy/0000-0002-7118-1457; Assaf, Jad F/0000-0003-4963-7339</t>
  </si>
  <si>
    <t>MAR-APR 2025</t>
  </si>
  <si>
    <t>100665</t>
  </si>
  <si>
    <t>10.1016/j.xops.2024.100665</t>
  </si>
  <si>
    <t>http://dx.doi.org/10.1016/j.xops.2024.100665</t>
  </si>
  <si>
    <t>S8O9H</t>
  </si>
  <si>
    <t>39866343</t>
  </si>
  <si>
    <t>WOS:001400759300001</t>
  </si>
  <si>
    <t>Uttarwar, M; Khandare, J; Shivamurthy, PM; Satpute, A; Panwar, M; Kothavade, H; Ramesh, A; Iyer, S; Shafi, G</t>
  </si>
  <si>
    <t>Background: With extensive research and development in the past decade, the affordability of Poly (ADP-ribose) polymerase (PARP) inhibitor therapy has drastically improved. Homologous recombination deficiency (HRD), a key biomarker, has been identified as an important guiding factor for PARP inhibitor therapeutic decisions in breast and ovarian cancer. However, identification of patients who will respond to Poly (ADP-ribose) polymerase (PARP) inhibitor therapy is challenging due to the lack of a unifying morphological phenotype. Current HRD testing via next-generation sequencing (NGS) is tissue-dependent, has high failure rates, misses relevant HRD genes, and involves longer turn-around times. Methods: To overcome these limitations, we developed a multimodal AI model, TRINITY, combining imaging, image-based transcriptome data, and clinico-molecular data, to examine whole-slide images (WSIs) obtained from hematoxylin and eosin (H&amp;E)-stained samples to non-invasively predict HRD status. Results: The TRINITY model, tested on 316 TCGA breast and OV samples, presented a sensitivity of 0.77 and 0.91, NPV of 0.94 and 0.86, PPV of 0.63 and 0.58, specificity of 0.89 and 0.47, and AUC-ROC of 0.91 and 0.72, respectively. The model also yielded a similar outcome in a blind study of 74 samples, with a sensitivity of 81.2, NPV of 0.85, PPV of 0.77, specificity of 0.81, and high AUC-ROC value of 0.89, showing its promising preliminary evidence of predicting HRD status on external cohorts. Conclusions: These findings demonstrate TRINITY's potential as a rapid, cost-effective, and tissue-sparing alternative to conventional NGS testing. While promising, further validation is needed to establish its generalizability across broader cancer types.</t>
  </si>
  <si>
    <t>Uttarwar, Mohan; Khandare, Jayant; Shivamurthy, P. M.; Satpute, Aditya; Panwar, Mohit; Kothavade, Hrishita; Ramesh, Aarthi; Iyer, Sandhya; Shafi, Gowhar</t>
  </si>
  <si>
    <t>Uttarwar, M (corresponding author), Dr Vishwanath Karad MIT World Peace Univ, Sch Consciousness, Pune 411038, India.; Uttarwar, M; Shafi, G (corresponding author), 1Cell AI, 209 B,GO Sq,Aundh Hinjewadi Rd Wakad, Pune 411057, India.; Uttarwar, M; Shafi, G (corresponding author), 1Cell AI, 320,Hutch Dr, Foster City, CA 94404 USA.</t>
  </si>
  <si>
    <t>jayant@actorius.co.in; gowhar@1cell.ai; hrishita.kothavade@1cell.ai; mohan@1cell.ai</t>
  </si>
  <si>
    <t>[Uttarwar, Mohan; Khandare, Jayant] Dr Vishwanath Karad MIT World Peace Univ, Sch Consciousness, Pune 411038, India; [Uttarwar, Mohan; Shivamurthy, P. M.; Satpute, Aditya; Panwar, Mohit; Kothavade, Hrishita; Ramesh, Aarthi; Iyer, Sandhya; Shafi, Gowhar] 1Cell AI, 209 B,GO Sq,Aundh Hinjewadi Rd Wakad, Pune 411057, India; [Uttarwar, Mohan; Shafi, Gowhar] 1Cell AI, 320,Hutch Dr, Foster City, CA 94404 USA</t>
  </si>
  <si>
    <t>Dr. Vishwanath Karad MIT World Peace University</t>
  </si>
  <si>
    <t>A Clinically Translatable Multimodal Deep Learning Model for HRD Detection from Histopathology Images</t>
  </si>
  <si>
    <t>artificial intelligence; HRD; transformers; embeddings; TRINITY; transcriptomics; clinico-molecular; PARPi</t>
  </si>
  <si>
    <t>HOMOLOGOUS RECOMBINATION DEFICIENCY; PARP INHIBITOR RESISTANCE</t>
  </si>
  <si>
    <t>Shafi, Gowhar/F-4270-2011</t>
  </si>
  <si>
    <t>JAN 21 2026</t>
  </si>
  <si>
    <t>356</t>
  </si>
  <si>
    <t>10.3390/diagnostics16020356</t>
  </si>
  <si>
    <t>http://dx.doi.org/10.3390/diagnostics16020356</t>
  </si>
  <si>
    <t>CP6HM</t>
  </si>
  <si>
    <t>41594331</t>
  </si>
  <si>
    <t>WOS:001671422100001</t>
  </si>
  <si>
    <t>Kihara, Y; Montesano, G; Chen, AD; Amerasinghe, N; Dimitriou, C; Jacob, A; Chabi, A; Crabb, DP; Lee, AY</t>
  </si>
  <si>
    <t>Purpose: To develop and validate a deep learning (DL) system for predicting each point on visual fields (VFs) from disc and OCT imaging and derive a structure -function mapping.Design: Retrospective, cross-sectional database study.Participants: A total of 6437 patients undergoing routine care for glaucoma in 3 clinical sites in the United Kingdom.Methods: OCT and infrared reflectance (IR) optic disc imaging were paired with the closest VF within 7 days. EfficientNet B2 was used to train 2 single-modality DL models to predict each of the 52 sensitivity points on the 24-2 VF pattern. A policy DL model was designed and trained to fuse the 2 model predictions.Main Outcome Measures: Pointwise mean absolute error (PMAE). Results: A total of 5078 imaging scans to VF pairs were used as a held-out test set to measure the final performance. The improvement in PMAE with the policy model was 0.485 (0.438, 0.533) decibels (dB) compared with the IR image of the disc alone and 0.060 (0.047, 0.073) dB with to the OCT alone. The improvement with the policy fusion model was statistically significant (P &lt; 0.0001). Occlusion masking shows that the DL models learned the correct structure -function mapping in a data-driven, feature agnostic fashion.Conclusions: The multimodal, policy DL model performed the best; it provided explainable maps of its confidence in fusing data from single modalities and provides a pathway for probing the structure -function relationship in glaucoma. Ophthalmology 2022;129:781-791 (c) 2022 by the American Academy of Ophthalmology</t>
  </si>
  <si>
    <t>Kihara, Yuka; Montesano, Giovanni; Chen, Andrew; Amerasinghe, Nishani; Dimitriou, Chrysostomos; Jacob, Aby; Chabi, Almira; Crabb, David P.; Lee, Aaron Y.</t>
  </si>
  <si>
    <t>Lee, AY (corresponding author), Univ Washington, Dept Ophthalmol, 325 Ninth Ave,Box 359608, Seattle, WA 98104 USA.</t>
  </si>
  <si>
    <t>aaronylee@gmail.com</t>
  </si>
  <si>
    <t>Santen Inc (Emeryville, California); National Eye Institute [K23EY029246] Funding Source: NIH RePORTER; National Institute on Aging [U19AG066567] Funding Source: NIH RePORTER</t>
  </si>
  <si>
    <t>Santen Inc (Emeryville, California); National Eye Institute (United States Department of Health &amp; Human Services, National Institutes of Health (NIH) - USA, NIH National Eye Institute (NEI)); National Institute on Aging (United States Department of Health &amp; Human Services, National Institutes of Health (NIH) - USA, NIH National Institute on Aging (NIA))</t>
  </si>
  <si>
    <t>The authors thank John Holdsworth, David Austin, Christian Martin, and Nick Kirby from Medisoft for their help in organizing the data and building the infrastructure to support this work. We also thank Linda McInerney from Hinchingbrooke Hospital (North West Anglia NHS Foundation Trust, United Kingdom). Support with manuscript editing and formatting was provided by Katie Alexander, PhD (Helios Medical Communications, Alderley Park, Cheshire, United Kingdom), which was funded by Santen Inc (Emeryville, California) .</t>
  </si>
  <si>
    <t>[Kihara, Yuka; Chen, Andrew; Lee, Aaron Y.] Univ Washington, Dept Ophthalmol, Seattle, WA USA; [Montesano, Giovanni; Crabb, David P.] City Univ London, Optometry &amp; Visual Sci, London, England; [Montesano, Giovanni] Moorfields Eye Hosp NHS Fdn Trust, UCL Inst Ophthalmol, NIHR Biomed Res Ctr, London, England; [Amerasinghe, Nishani; Jacob, Aby] Univ Hosp Southampton NHS Fdn Trust, Southampton, England; [Dimitriou, Chrysostomos] East Suffolk &amp; North Essex NHS Fdn Trust, Colchester Hosp, Colchester, England; [Chabi, Almira] Santen, Emeryville, CA USA; [Lee, Aaron Y.] Univ Washington, Dept Ophthalmol, 325 Ninth Ave,Box 359608, Seattle, WA 98104 USA</t>
  </si>
  <si>
    <t>University of Washington; University of Washington Seattle; City St Georges, University of London; University of London; University College London; Moorfields Eye Hospital NHS Foundation Trust; University of Southampton; University Hospital Southampton NHS Foundation Trust; University of Washington; University of Washington Seattle</t>
  </si>
  <si>
    <t>Policy-Driven, Multimodal Deep Learning for Predicting Visual Fields from the Optic Disc and OCT Imaging</t>
  </si>
  <si>
    <t>OPHTHALMOLOGY</t>
  </si>
  <si>
    <t>Artificial intelligence; Deep learning; Glaucoma; OCT; Perimetry; Structure-function; Visual field</t>
  </si>
  <si>
    <t>NERVE-FIBER LAYER; BUNDLE TRAJECTORIES; FULL THRESHOLD; GLAUCOMA; VARIABILITY; MODEL; PERIMETRY; HEAD</t>
  </si>
  <si>
    <t>Lee, Aaron/AAT-2839-2020; Montesano, Giovanni/AAS-9356-2020; Chen, Andrew/AAT-6318-2021</t>
  </si>
  <si>
    <t>Jacob, Aby/0000-0002-7655-0469; Lee, Aaron/0000-0002-7452-1648; Montesano, Giovanni/0000-0002-9148-2804; Chen, Andrew/0000-0002-6688-7674; Kihara, Yuka/0000-0002-3902-7222; Dimitriou, Chrysostomos/0000-0002-1836-772X; Chabi, Almira/0009-0006-2714-8592</t>
  </si>
  <si>
    <t>0161-6420</t>
  </si>
  <si>
    <t>1549-4713</t>
  </si>
  <si>
    <t>JUL 2022</t>
  </si>
  <si>
    <t>129</t>
  </si>
  <si>
    <t>781</t>
  </si>
  <si>
    <t>791</t>
  </si>
  <si>
    <t>10.1016/j.ophtha.2022.02.017</t>
  </si>
  <si>
    <t>http://dx.doi.org/10.1016/j.ophtha.2022.02.017</t>
  </si>
  <si>
    <t>6H9MM</t>
  </si>
  <si>
    <t>35202616</t>
  </si>
  <si>
    <t>WOS:000885754600012</t>
  </si>
  <si>
    <t>Liu, Y; Xu, XY; Zhang, JY; Wang, H; Shen, A; Song, XF; Xu, XF; Fu, Y</t>
  </si>
  <si>
    <t>Diabetic macular edema (DME) is a leading cause of vision loss, and predicting patients' response to anti-vascular endothelial growth factor (anti-VEGF) therapy remains a clinical challenge. In this study, we developed an interpretable deep learning model for treatment prediction and biomarker analysis. We retrospectively analyzed 402 eyes from 371 patients with DME. The proposed DME-Receptance Weighted Key Value (RWKV) integrates optical coherence tomography (OCT) and ultra-widefield (UWF) imaging using Causal Attention Learning (CAL), curriculum learning, and global completion (GC) loss to enhance microlesion detection and structural consistency. The model achieved a Dice coefficient of 71.91 +/- 8.50% for OCT biomarker segmentation and an AUC of 84.36% for predicting anti-VEGF response, outperforming state-of-the-art methods. By mimicking clinical reasoning with multimodal integration, DME-RWKV demonstrated strong interpretability and robustness, providing a promising AI framework for precise and explainable prediction of anti-VEGF treatment outcomes in DME.</t>
  </si>
  <si>
    <t>Liu, Yan; Xu, Xieyang; Zhang, Jiaying; Wang, Hui; Shen, Ao; Song, Xuefei; Xu, Xiaofang; Fu, Yao</t>
  </si>
  <si>
    <t>Xu, XF; Fu, Y (corresponding author), Shanghai Jiao Tong Univ, Peoples Hosp 9, Sch Med, Dept Ophthalmol, Shanghai 200011, Peoples R China.; Xu, XF; Fu, Y (corresponding author), Shanghai Key Lab Orbital Dis &amp; Ocular Oncol, Shanghai 200011, Peoples R China.</t>
  </si>
  <si>
    <t>fuyao@sjtu.edu.cn; songxuefei@shsmu.edu.cn; xuxu0139@hotmail.com; liuyan1207@126.com</t>
  </si>
  <si>
    <t>Bethune Charitable Foundation [BCF-KH-YK-20221123-09]; National Key Research and Development Program of China [2023YFC2506100]</t>
  </si>
  <si>
    <t>Bethune Charitable Foundation; National Key Research and Development Program of China (National Key Research &amp; Development Program of China)</t>
  </si>
  <si>
    <t>This research was funded by the National Key Research and Development Program of China (Grant number 2023YFC2506100) and the Bethune Charitable Foundation (Grant number BCF-KH-YK-20221123-09).</t>
  </si>
  <si>
    <t>[Liu, Yan; Xu, Xieyang; Zhang, Jiaying; Wang, Hui; Song, Xuefei; Xu, Xiaofang; Fu, Yao] Shanghai Jiao Tong Univ, Peoples Hosp 9, Sch Med, Dept Ophthalmol, Shanghai 200011, Peoples R China; [Liu, Yan; Xu, Xieyang; Zhang, Jiaying; Wang, Hui; Song, Xuefei; Xu, Xiaofang; Fu, Yao] Shanghai Key Lab Orbital Dis &amp; Ocular Oncol, Shanghai 200011, Peoples R China; [Shen, Ao] Hohai Univ, Coll Informat Sci &amp; Engn, Changzhou 213200, Peoples R China</t>
  </si>
  <si>
    <t>Shanghai Jiao Tong University; Hohai University</t>
  </si>
  <si>
    <t>DME-RWKV: An Interpretable Multimodal Deep Learning Framework for Predicting Anti-VEGF Response in Diabetic Macular Edema</t>
  </si>
  <si>
    <t>diabetic macular edema; epiretinal membrane; optical coherence tomography; ultra-widefield imaging; causal attention; curriculum learning; multimodal deep learning</t>
  </si>
  <si>
    <t>Ao, Shen/HJG-5274-2022</t>
  </si>
  <si>
    <t>DEC 24 2025</t>
  </si>
  <si>
    <t>10.3390/bioengineering13010012</t>
  </si>
  <si>
    <t>http://dx.doi.org/10.3390/bioengineering13010012</t>
  </si>
  <si>
    <t>CO6DZ</t>
  </si>
  <si>
    <t>41595944</t>
  </si>
  <si>
    <t>WOS:001670736900001</t>
  </si>
  <si>
    <t>Kim, JM; Jung, HYJ; Kwon, HE; Ko, YM; Jung, JH; Shin, S; Kim, YH; Kim, YH; Jun, TJ; Kwon, H</t>
  </si>
  <si>
    <t>Background: Accurately predicting post-transplant renal function is essential for optimizing donor-recipient matching and improving long-term outcomes in kidney transplantation (KT). Traditional models using only structured clinical data often fail to account for complex biological and anatomical factors. This study aimed to develop and validate a multimodal deep learning model that integrates computed tomography (CT) imaging, radiology report text, and structured clinical variables to predict 1-year estimated glomerular filtration rate (eGFR) in living donor kidney transplantation (LDKT) recipients. Materials and Methods: A retrospective cohort of 1,937 LDKT recipients was selected from 3772 KT cases. Exclusions included deceased donor KT, immunologic high-risk recipients (n = 304), missing CT imaging, early graft complications, and anatomical abnormalities. eGFR at 1 year post-transplant was classified into four categories: &gt;90, 75-90, 60-75, and 45-60 mL/min/1.73 m(2). Radiology reports were embedded using BioBERT, while CT videos were encoded using a CLIP-based visual extractor. These were fused with structured clinical features and input into ensemble classifiers including XGBoost. Model performance was evaluated using cross-validation and SHapley Additive exPlanations (SHAP) analysis. Results: The full multimodal model achieved a macro F1 score of 0.675, micro F1 score of 0.704, and weighted F1 score of 0.698 - substantially outperforming the clinical-only model (macro F1 = 0.292). CT imaging contributed more than text data (clinical + CT macro F1 = 0.651; clinical + text = 0.486). The model showed highest accuracy in the &gt;90 (F1 = 0.7773) and 60-75 (F1 = 0.7303) categories. SHAP analysis identified donor age, BMI, and donor sex as key predictors. Dimensionality reduction confirmed internal feature validity. Conclusion: Multimodal deep learning integrating clinical, imaging, and textual data enhances prediction of post-transplant renal function. This framework offers a robust and interpretable approach for individualized risk stratification in LDKT, supporting precision medicine in transplantation.</t>
  </si>
  <si>
    <t>Kim, Jin-Myung; Jung, Hyoje; Kwon, Hye Eun; Ko, Youngmin; Jung, Joo Hee; Shin, Sung; Kim, Young Hoon; Kim, Young-Hak; Jun, Tae Joon; Kwon, Hyunwook</t>
  </si>
  <si>
    <t>Kwon, H (corresponding author), Univ Ulsan, Asan Med Ctr, Dept Surg, Div Kidney &amp; Pancreas Transplantat,Coll Med, 88 Olymp Ro 43 Gil, Seoul 05505, South Korea.; Jun, TJ (corresponding author), Asan Inst Life Sci, Big Data Res Ctr, Asan Med Ctr, 88 Olymp Ro 43 Gil, Seoul 05505, South Korea.</t>
  </si>
  <si>
    <t>taejoon@amc.seoul.kr; hwkwon@amc.seoul.kr</t>
  </si>
  <si>
    <t>Korea Health Industry Development Institute (KHIDI) - Ministry of Health and Welfare, Republic of Korea [HR21C0198]; KHIDI under the Ministry of Health and Welfare, Republic of Korea [RS-2025-02263683]</t>
  </si>
  <si>
    <t>Korea Health Industry Development Institute (KHIDI) - Ministry of Health and Welfare, Republic of Korea; KHIDI under the Ministry of Health and Welfare, Republic of Korea</t>
  </si>
  <si>
    <t>This work was supported by the Korea Health Technology R&amp;D Project through the Korea Health Industry Development Institute (KHIDI), funded by the Ministry of Health and Welfare, Republic of Korea [Grant No. HR21C0198]. Additional support was provided by the KHIDI under the Ministry of Health and Welfare, Republic of Korea [Grant No. RS-2025-02263683]. The funders had no role in the study design, data collection, data analysis and interpretation, or in the preparation of the manuscript.</t>
  </si>
  <si>
    <t>[Jung, Hyoje; Shin, Sung; Kim, Young Hoon; Kim, Young-Hak; Kwon, Hyunwook] Univ Ulsan, Asan Med Ctr, Dept Surg, Div Kidney &amp; Pancreas Transplantat,Coll Med, 88 Olymp Ro 43 Gil, Seoul 05505, South Korea; [Kwon, Hye Eun] Asan Med Ctr, Dept Informat Med, Seoul, South Korea; [Jun, Tae Joon] Univ Ulsan, Asan Med Ctr, Dept Internal Med, Div Cardiol,Coll Med, Seoul, South Korea; [Kwon, Hyunwook] Univ Ulsan, Asan Med Ctr, Dept Med Informat &amp; Stat, Coll Med, Seoul, South Korea</t>
  </si>
  <si>
    <t>University of Ulsan; Asan Medical Center; University of Ulsan; Asan Medical Center; University of Ulsan; Asan Medical Center</t>
  </si>
  <si>
    <t>Multimodal deep learning integration for predicting renal function outcomes in living donor kidney transplantation: a retrospective cohort study</t>
  </si>
  <si>
    <t>INTERNATIONAL JOURNAL OF SURGERY</t>
  </si>
  <si>
    <t>kidney transplant; machine learning; multimodal deep learning; post-transplant outcome prediction; prognosis</t>
  </si>
  <si>
    <t>DELAYED GRAFT FUNCTION; MODEL; SURVIVAL; DIALYSIS</t>
  </si>
  <si>
    <t>1743-9191</t>
  </si>
  <si>
    <t>1743-9159</t>
  </si>
  <si>
    <t>INT J SURG</t>
  </si>
  <si>
    <t>Int. J. Surg.</t>
  </si>
  <si>
    <t>1153</t>
  </si>
  <si>
    <t>1163</t>
  </si>
  <si>
    <t>10.1097/JS9.0000000000003494</t>
  </si>
  <si>
    <t>http://dx.doi.org/10.1097/JS9.0000000000003494</t>
  </si>
  <si>
    <t>DC9PK</t>
  </si>
  <si>
    <t>40961229</t>
  </si>
  <si>
    <t>WOS:001680465700026</t>
  </si>
  <si>
    <t>Ma, CY; Feng, B; Lei, Y; Yu, ZL; Liu, Y; Cui, J; Li, RG; Huang, XF; Wu, BM; Luo, ZX; Cui, EM</t>
  </si>
  <si>
    <t>ccRCC is an aggressive, heterogeneous tumor with a poor prognosis. Prognostic assessments need multi-modal data. Radiological images have limits, while pathological images offer micro-level details. Integrating these for ccRCC outcome prediction is important. Our study aimed to develop and validate a DL fusion model using multiphase CT images and WSI for postoperative risk stratification in ccRCC patients. This retrospective study included 274 ccRCC patients who underwent multiphase CT scans (Jan 2008-Mar 2021), with diagnoses confirmed by histopathology post-surgery. The patient cohort was divided into a training cohort of 164 patients for model development and a test cohort of 110 patients for model validation. The primary outcome was local recurrence or metastasis versus non-recurrence (NR) with a minimum follow-up of 3 years. DL models based on multiphase CT images and histopathological WSIs were developed and validated. Performance comparisons among models were made through accuracy (ACC) and receiver operating characteristic (ROC) curve analyses, with integrated discrimination improvement (IDI) analysis and the DeLong test assessing diagnostic performance. Decision curve analysis (DCA) evaluated clinical utility, and Kaplan-Meier analysis assessed variable-survival correlations. The CT and Pathology Mutual Guidance Fusion Diagnostic Network (CPNet) exhibited superior performance in predicting postoperative disease-free survival (DFS) in ccRCC patients. Among the models, the PCP-Pathology Fuse model achieved the highest AUC of 0.8363 and accuracy of 75.45%, outperforming the CMP-Pathology Fuse (AUC 0.7965, ACC 69.09%) and NP-Pathology Fuse (AUC 0.798, ACC 69.09%) models. Its performance was comparable to the Three-phase-Pathology Fuse model (AUC 0.8341, ACC 70.00%, P &gt; 0.05). IDI and DCA confirmed significant net benefits (0.01-0.95) for the PCP-based model. The PCP-based CPNet model shows promise for predicting postoperative DFS in ccRCC patients, with performance comparable to three-phase CT-pathology models. It may serve as a potential bioimaging prognostic marker, pending external validation to support clinical integration.</t>
  </si>
  <si>
    <t>Ma, Changyi; Feng, Bao; Lei, Yan; Yu, Zhaole; Liu, Yu; Cui, Jin; Li, Rong-gang; Huang, Xiufang; Wu, Baiming; Luo, Zhixin; Cui, Enming</t>
  </si>
  <si>
    <t>Cui, EM (corresponding author), Jiangmen Cent Hosp, Dept Radiol, 23 Beijie Haibang St, Jiangmen, Peoples R China.; Cui, EM (corresponding author), Jiangmen Key Lab Artificial Intelligence Med Image, 23 Beijie Haibang St, Jiangmen, Peoples R China.; Cui, EM (corresponding author), Guangdong Med Univ, 2 Wenming East Rd, Zhanjiang, Peoples R China.</t>
  </si>
  <si>
    <t>cem2008@163.com</t>
  </si>
  <si>
    <t>Guangdong Basic and Applied Basic Research Foundation [2021A1515220080]; Jiangmen Science and Technology Plan Program [2024YL01033]</t>
  </si>
  <si>
    <t>Guangdong Basic and Applied Basic Research Foundation (Guangdong Basic and Applied Basic Research Foundation); Jiangmen Science and Technology Plan Program</t>
  </si>
  <si>
    <t>This study has received fundings by Guangdong Basic and Applied Basic Research Foundation (Grant Number: 2021A1515220080) and Jiangmen Science and Technology Plan Program (Grant Number: 2024YL01033).</t>
  </si>
  <si>
    <t>[Ma, Changyi; Lei, Yan; Cui, Jin; Wu, Baiming; Luo, Zhixin; Cui, Enming] Jiangmen Cent Hosp, Dept Radiol, 23 Beijie Haibang St, Jiangmen, Peoples R China; [Feng, Bao; Yu, Zhaole; Liu, Yu] Guilin Univ Aerosp Technol, Sch Elect Informat &amp; Automat, 2 Jinji Rd, Guilin, Peoples R China; [Feng, Bao; Cui, Enming] Jiangmen Key Lab Artificial Intelligence Med Image, 23 Beijie Haibang St, Jiangmen, Peoples R China; [Li, Rong-gang; Huang, Xiufang] Jiangmen Cent Hosp, Dept Pathol, 23 Beijie Haibang St, Jiangmen, Peoples R China; [Wu, Baiming; Luo, Zhixin; Cui, Enming] Guangdong Med Univ, 2 Wenming East Rd, Zhanjiang, Peoples R China</t>
  </si>
  <si>
    <t>Guilin University of Aerospace Technology; Guangdong Medical University</t>
  </si>
  <si>
    <t>Multimodal deep learning framework integrating multiphase CT and histopathological whole slide imaging for predicting recurrence in ccRCC</t>
  </si>
  <si>
    <t>Renal cell carcinoma; Prognosis; X-ray computed tomography; Pathology; Artificial intelligence</t>
  </si>
  <si>
    <t>RENAL-CELL CARCINOMA; EFFICIENCY; RADIOMICS</t>
  </si>
  <si>
    <t>Luo, Zhixin/KBB-4122-2024; Li, Ronggang/HPD-8995-2023; Cui, Enming/K-1545-2019</t>
  </si>
  <si>
    <t>NOV 21 2025</t>
  </si>
  <si>
    <t>41284</t>
  </si>
  <si>
    <t>10.1038/s41598-025-25109-x</t>
  </si>
  <si>
    <t>http://dx.doi.org/10.1038/s41598-025-25109-x</t>
  </si>
  <si>
    <t>C8725</t>
  </si>
  <si>
    <t>41271870</t>
  </si>
  <si>
    <t>WOS:001620963600002</t>
  </si>
  <si>
    <t>Lan, ZH; Liu, Y; Tang, L; Zhang, XL; Zheng, JK; Gu, LJ; Deng, LL; Chen, YF; Yan, SY; Peng, YJ; Yu, XR</t>
  </si>
  <si>
    <t>Objective: To develop and validate a multimodal deep learning model based on a CT perfusion (CTP)-defined infarct core for predicting parenchymal hematoma type 2 (PH2) after endovascular therapy (EVT) in patients with acute ischemic stroke (AIS). Materials and Methods: In this dual-center retrospective study, 487 patients with anterior-circulation large-vessel-occlusion AIS who underwent EVT were included, with 219 assigned to the training cohort and 268 to an independent external validation cohort. The infarct core was defined using CTP and transferred to non-contrast CT (NCCT) to generate three-dimensional image patches. A score-based baseline model (Model.Score) was constructed using logistic regression with ASPECTS as the predictor. A pure imaging model based on a 3D DenseNet architecture (Model.Core) was developed using NCCT images and infarct-core masks as dual-channel inputs. In addition, a conventional clinical-imaging model (Model.Clinical-Imaging) was constructed using logistic regression based on ASPECTS and baseline clinical variables. A multimodal fusion model (Model.Fusion) was subsequently developed by integrating infarct-core imaging features with baseline clinical variables and dual-phase CT angiography (CTA)-derived scores. Model performance was assessed using the area under the receiver operating characteristic curve (AUC), calibration analysis, decision curve analysis, and statistical comparison with DeLong, net reclassification improvement, and integrated discrimination improvement tests. Model interpretability was evaluated using gradient-weighted class activation mapping and permutation importance analysis. Results: Model.Fusion achieved the best predictive performance, with AUCs of 0.906 in the training cohort and 0.845 in the external validation cohort, exceeding those of the score-based model, the conventional clinical-imaging model, and Model.Core. The fusion model also showed better calibration and greater clinical net benefit. Interpretability analyses demonstrated predominant model attention to low-density regions within the infarct core, while dual-phase CTA-derived variables and baseline NIHSS score were identified as major predictors. Conclusion: CTP-defined infarct core-based deep learning enables effective prediction of PH2 after EVT in AIS. Integration of imaging, clinical, and dual-phase CTA features further improves predictive performance and may facilitate individualized risk stratification before treatment.</t>
  </si>
  <si>
    <t>Lan, Zhihong; Liu, Yu; Tang, Long; Zhang, Xiaoling; Zheng, Jiakai; Gu, Lingjing; Deng, Linlin; Chen, Yafang; Yan, Shuyue; Peng, Yongjun; Yu, Xiangrong</t>
  </si>
  <si>
    <t>Yu, XR (corresponding author), 79 Kangning Rd, Zhuhai 519000, Guangdong, Peoples R China.</t>
  </si>
  <si>
    <t>yxr00125040@126.com</t>
  </si>
  <si>
    <t>[Lan, Zhihong; Liu, Yu; Tang, Long; Zhang, Xiaoling; Gu, Lingjing; Deng, Linlin; Chen, Yafang; Yan, Shuyue; Peng, Yongjun; Yu, Xiangrong] Jinan Univ, Zhuhai Peoples Hosp, Zhuhai Clin Med Coll, Dept Radiol, Zhuhai, Peoples R China; [Zheng, Jiakai] Sun Yat Sen Univ, Mem Hosp, Shenshan Med Ctr, Dept Radiol, Shanwei, Peoples R China</t>
  </si>
  <si>
    <t>Jinan University; Sun Yat Sen University</t>
  </si>
  <si>
    <t>Multimodal deep learning model based on CT perfusion-defined infarct core for predicting parenchymal hematoma type 2 after endovascular therapy in acute ischemic stroke</t>
  </si>
  <si>
    <t>Acute ischemic stroke; Hemorrhagic transformation; Deep learning; Infarction; Prognosis</t>
  </si>
  <si>
    <t>NOV 2026</t>
  </si>
  <si>
    <t>204</t>
  </si>
  <si>
    <t>113070</t>
  </si>
  <si>
    <t>10.1016/j.ejrad.2026.113070</t>
  </si>
  <si>
    <t>http://dx.doi.org/10.1016/j.ejrad.2026.113070</t>
  </si>
  <si>
    <t>LL5EY</t>
  </si>
  <si>
    <t>42468315</t>
  </si>
  <si>
    <t>WOS:001827433700001</t>
  </si>
  <si>
    <t>Liang, PP; Zadeh, A; Morency, LP</t>
  </si>
  <si>
    <t>Multimodal machine learning is a vibrant multi-disciplinary research field that aims to design computer agents with intelligent capabilities such as understanding, reasoning, and learning through integrating multiple communicative modalities, including linguistic, acoustic, visual, tactile, and physiological messages. With the recent interest in video understanding, embodied autonomous agents, text-to-image generation, and multisensor fusion in application domains such as healthcare and robotics, multimodal machine learning has brought unique computational and theoretical challenges to the machine learning community given the heterogeneity of data sources and the interconnections often found between modalities. However, the breadth of progress in multimodal research has made it difficult to identify the common themes and open questions in the field. By synthesizing a broad range of application domains and theoretical frameworks from both historical and recent perspectives, this article is designed to provide an overview of the computational and theoretical foundations of multimodal machine learning. We start by defining three key principles ofmodality heterogeneity, connections, and interactions that have driven subsequent innovations, and propose a taxonomy of six core technical challenges: representation, alignment, reasoning, generation, transference, and quantification covering historical and recent trends. Recent technical achievements will be presented through the lens of this taxonomy, allowing researchers to understand the similarities and differences across new approaches. We end by motivating several open problems for future research as identified by our taxonomy.</t>
  </si>
  <si>
    <t>Liang, Paul Pu; Zadeh, Amir; Morency, Louis-Philippe</t>
  </si>
  <si>
    <t>Liang, PP (corresponding author), Carnegie Mellon Univ, Pittsburgh, PA 15213 USA.</t>
  </si>
  <si>
    <t>morency@cs.cmu.edu; pliang@cs.cmu.edu; abagherz@cs.cmu.edu</t>
  </si>
  <si>
    <t>[Liang, Paul Pu; Zadeh, Amir; Morency, Louis-Philippe] Carnegie Mellon Univ, Pittsburgh, PA 15213 USA</t>
  </si>
  <si>
    <t>Carnegie Mellon University</t>
  </si>
  <si>
    <t>Foundations and Trends in Multimodal Machine Learning: Principles, Challenges, and Open Questions</t>
  </si>
  <si>
    <t>ACM COMPUTING SURVEYS</t>
  </si>
  <si>
    <t>Multimodal machine learning; representation learning; data heterogeneity; feature interactions; language and vision; multimedia</t>
  </si>
  <si>
    <t>FUSION; LANGUAGE; NETWORK; VISION; INTEGRATION; FEATURES; EMOTION; WEB</t>
  </si>
  <si>
    <t>Morency, Louis-Philippe/B-2006-2008; Liang, Paul/AAL-4346-2020</t>
  </si>
  <si>
    <t>418</t>
  </si>
  <si>
    <t>234</t>
  </si>
  <si>
    <t>250</t>
  </si>
  <si>
    <t>ASSOC COMPUTING MACHINERY</t>
  </si>
  <si>
    <t>1601 Broadway, 10th Floor, NEW YORK, NY USA</t>
  </si>
  <si>
    <t>0360-0300</t>
  </si>
  <si>
    <t>1557-7341</t>
  </si>
  <si>
    <t>ACM COMPUT SURV</t>
  </si>
  <si>
    <t>ACM Comput. Surv.</t>
  </si>
  <si>
    <t>10.1145/3656580</t>
  </si>
  <si>
    <t>http://dx.doi.org/10.1145/3656580</t>
  </si>
  <si>
    <t>XY9V4</t>
  </si>
  <si>
    <t>WOS:001265367400022</t>
  </si>
  <si>
    <t>Zheng, XYP; Zhao, PP; Wang, N; Wang, XY; Dong, ZY; Gu, CH; Sun, Y; Gu, XR; Zhou, XY</t>
  </si>
  <si>
    <t>Background: Post-stroke cognitive impairment (PSCI) is a major vascular contributor to dementia, significantly impacting long-term recovery and quality of life. Developing accurate prediction models are essential for early identification and timely intervention in high-risk individuals. Objective: To develop and validate a stacking-based multimodal machine learning model integrating clinical, demographic, and neuroimaging features for early PSCI prediction in acute ischemic stroke (AIS) patients. Methods: In this retrospective cohort study, 1070 AIS patients admitted to Lianyungang First People's Hospital from January 2020 to August 2023 were included. Demographic, clinical, and neuroimaging data were collected, and cognitive function was assessed 3-6 months post-stroke. PSCI was defined as a z-score &lt;= -2.0 in at least one of four cognitive domains. A stacking ensemble model was developed, combining six base algorithms: XGBoost, Gradient Boosting Decision Trees, CatBoost, Support Vector Machine, Logistic Regression, and LightGBM. The final prediction was generated by a meta-model trained on base model outputs. Results: Of the 1070 patients (mean age 67.4 +/- 9.3 years, 61.5% male), 37.2% developed PSCI. The stacking model achieved 98.13% accuracy, 0.9972 AUC, and 0.9744 F1-score in internal validation. External validation showed 81.00% accuracy, 0.9049 AUC, and 0.8780 recall. Key predictors of PSCI included infarct volume, cortical lesions, medial temporal lobe atrophy, and baseline NIHSS score. Conclusions: This stacking-based multimodal machine learning model demonstrates robust predictive performance for PSCI risk in AIS patients, serving as a reliable tool for early detection that may inform personalized intervention strategies to prevent progression to post-stroke dementia.</t>
  </si>
  <si>
    <t>Zheng, Xingyongpei; Zhao, Panpan; Wang, Na; Wang, Xinyu; Dong, Ziyi; Gu, Caihong; Sun, Yong; Gu, Xinru; Zhou, Xinyu</t>
  </si>
  <si>
    <t>Gu, XR; Zhou, XY (corresponding author), Xuzhou Med Univ, Dept Neurol, Affiliated Lianyungang Hosp, 6 Zhenhua East Rd, Lianyungang 222000, Peoples R China.; Sun, Y (corresponding author), Xuzhou Med Univ, Affiliated Lianyungang Hosp, Dept Neurosurg, 6 Zhenhua East Rd, Lianyungang 222000, Peoples R China.</t>
  </si>
  <si>
    <t>xinrugu0828@163.com; lygsuny@163.com; zhouxy0712@126.com</t>
  </si>
  <si>
    <t>the Science and Technology Bureau of Lianyungang [SF2426]</t>
  </si>
  <si>
    <t>the Science and Technology Bureau of Lianyungang</t>
  </si>
  <si>
    <t>The authors disclosed receipt of the following financial support for the research, authorship, and/or publication of this article: This work was supported by the Science and Technology Bureau of Lianyungang, Jiangsu Province, China (Project No. SF2426), High-level Project Cultivation Program of Lianyungang Medical Education Innovation Research Center, Nanjing Medical University (Project No. LYGYB09 and LYGYB20), Natural Science Foundation of the Jiangsu Higher Education Institutions of China Programme (Project No. 25KJB360002), and Zhongda Hospital Affiliated to Southeast University, Jiangsu Province High-Level Hospital Pairing Assistance Construction Funds (zdlyg13).</t>
  </si>
  <si>
    <t>[Zheng, Xingyongpei; Wang, Na; Dong, Ziyi; Gu, Xinru; Zhou, Xinyu] Xuzhou Med Univ, Dept Neurol, Affiliated Lianyungang Hosp, 6 Zhenhua East Rd, Lianyungang 222000, Peoples R China; [Zhao, Panpan] Xuzhou Med Univ, Affiliated Lianyungang Hosp, Inst Neurosci, Dept Neurosurg, Lianyungang, Peoples R China; [Wang, Xinyu; Zhou, Xinyu] Nanjing Med Univ, Lianyungang Clin Coll, Dept Neurol, Lianyungang, Peoples R China; [Gu, Caihong] Nanjing Med Univ, Affiliated Hosp 1, Kangda Coll, Dept Crit Care Med, Lianyungang, Peoples R China; [Sun, Yong] Xuzhou Med Univ, Affiliated Lianyungang Hosp, Dept Neurosurg, 6 Zhenhua East Rd, Lianyungang 222000, Peoples R China; [Gu, Xinru; Zhou, Xinyu] Nanjing Med Univ, Affiliated Hosp 1, Kangda Coll, Dept Neurol, Lianyungang, Peoples R China; [Gu, Xinru; Zhou, Xinyu] Nanjing Med Univ, Lianyungang Med Educ Innovat &amp; Res Ctr, Dept Neurol, Lianyungang, Peoples R China</t>
  </si>
  <si>
    <t>Xuzhou Medical University; Xuzhou Medical University; Nanjing Medical University; Nanjing Medical University; Xuzhou Medical University; Nanjing Medical University; Nanjing Medical University</t>
  </si>
  <si>
    <t>Multimodal machine learning for early risk stratification of post-stroke cognitive impairment</t>
  </si>
  <si>
    <t>JOURNAL OF ALZHEIMERS DISEASE</t>
  </si>
  <si>
    <t>Alzheimer's disease; machine learning; magnetic resonance imaging; post-stroke cognitive impairment; predictors; vascular dementia</t>
  </si>
  <si>
    <t>STROKE-CANADIAN STROKE; NATIONAL INSTITUTE; HARMONIZATION STANDARDS; NEUROLOGICAL DISORDERS; GUIDELINES; DIAGNOSIS; DEMENTIA; DISEASE; CARE</t>
  </si>
  <si>
    <t>Wang, Na/0009-0007-4274-7726</t>
  </si>
  <si>
    <t>1387-2877</t>
  </si>
  <si>
    <t>1875-8908</t>
  </si>
  <si>
    <t>J ALZHEIMERS DIS</t>
  </si>
  <si>
    <t>J. Alzheimers Dis.</t>
  </si>
  <si>
    <t>899</t>
  </si>
  <si>
    <t>910</t>
  </si>
  <si>
    <t>10.1177/13872877261454538</t>
  </si>
  <si>
    <t>http://dx.doi.org/10.1177/13872877261454538</t>
  </si>
  <si>
    <t>KO2GB</t>
  </si>
  <si>
    <t>42216673</t>
  </si>
  <si>
    <t>WOS:001779289700001</t>
  </si>
  <si>
    <t>Rahman, S; Rahman, MM; Bhatt, S; Sundararajan, R; Faezipour, M</t>
  </si>
  <si>
    <t>Alzheimer's disease (AD) is the most prevalent form of dementia. This disease significantly impacts cognitive functions and daily activities. Early and accurate diagnosis of AD, including the preliminary stage of mild cognitive impairment (MCI), is critical for effective patient care and treatment development. Although advancements in deep learning (DL) and machine learning (ML) models improve diagnostic precision, the lack of large datasets limits further enhancements, necessitating the use of complementary data. Existing convolutional neural networks (CNNs) effectively process visual features but struggle to fuse multimodal data effectively for AD diagnosis. To address these challenges, we propose NeuroNet-AD, a novel multimodal CNN framework designed to enhance AD classifcation accuracy. NeuroNet-AD integrates Magnetic Resonance Imaging (MRI) images with clinical text-based metadata, including psychological test scores, demographic information, and genetic biomarkers. In NeuroNet-AD, we incorporate Convolutional Block Attention Modules (CBAMs) within the ResNet-18 backbone, enabling the model to focus on the most informative spatial and channel-wise features. We introduce an attention computation and multimodal fusion module, named Meta Guided Cross Attention (MGCA), which facilitates effective cross-modal alignment between images and meta-features through a multi-head attention mechanism. Additionally, we employ an ensemble-based feature selection strategy to identify the most discriminative features from the textual data, improving model generalization and performance. We evaluate NeuroNet-AD on the Alzheimer's Disease Neuroimaging Initiative (ADNI1) dataset using subject-level 5-fold cross-validation and a held-out test set to ensure robustness. NeuroNet-AD achieved 98.68% accuracy in multiclass classification of normal control (NC), MCI, and AD and 99.13% accuracy in the binary setting (NC vs. AD) on the ADNI dataset, outperforming state-of-the-art models. External validation on the OASIS-3 dataset further confirmed the model's generalization ability, achieving 94.10% accuracy in the multiclass setting and 98.67% accuracy in the binary setting, despite variations in demographics and acquisition protocols. Further extensive evaluation studies demonstrate the effectiveness of each component of NeuroNet-AD in improving the performance.</t>
  </si>
  <si>
    <t>Rahman, Saeka; Rahman, Md Motiur; Bhatt, Smriti; Sundararajan, Raji; Faezipour, Miad</t>
  </si>
  <si>
    <t>Sundararajan, R; Faezipour, M (corresponding author), Purdue Univ, Sch Engn Technol Elect &amp; Comp Engn Technol, W Lafayette, IN 47907 USA.</t>
  </si>
  <si>
    <t>rahma122@purdue.edu; rahma112@purdue.edu; raji@purdue.edu; mfaezipo@purdue.edu; bhatt32@purdue.edu</t>
  </si>
  <si>
    <t>[Rahman, Saeka; Rahman, Md Motiur; Sundararajan, Raji; Faezipour, Miad] Purdue Univ, Sch Engn Technol Elect &amp; Comp Engn Technol, W Lafayette, IN 47907 USA; [Bhatt, Smriti] Purdue Univ, Sch Appl &amp; Creat Comp, W Lafayette, IN 47907 USA</t>
  </si>
  <si>
    <t>Purdue University System; Purdue University; Purdue University System; Purdue University</t>
  </si>
  <si>
    <t>NeuroNet-AD: A Multimodal Deep Learning Framework for Multiclass Alzheimer's Disease Diagnosis</t>
  </si>
  <si>
    <t>Alzheimer's disease diagnosis; multimodal fusion; deep learning; CBAM; MGCA</t>
  </si>
  <si>
    <t>/I-5962-2019; Faezipour, Miad/ABF-1909-2021; Rahman, Saeka/LKK-3655-2024</t>
  </si>
  <si>
    <t>Faezipour, Miad/0000-0003-2684-0887; Rahman, Saeka/0009-0009-7894-4849</t>
  </si>
  <si>
    <t>60</t>
  </si>
  <si>
    <t>OCT 15 2025</t>
  </si>
  <si>
    <t>1107</t>
  </si>
  <si>
    <t>10.3390/bioengineering12101107</t>
  </si>
  <si>
    <t>http://dx.doi.org/10.3390/bioengineering12101107</t>
  </si>
  <si>
    <t>9AO9I</t>
  </si>
  <si>
    <t>41155106</t>
  </si>
  <si>
    <t>WOS:001601774900001</t>
  </si>
  <si>
    <t>Bao, N; Zhang, JX; Li, ZK; Wei, SY; Zhang, JZ; Greenwald, SE; Onofrey, JA; Lu, YH; Xu, LS</t>
  </si>
  <si>
    <t>In bone cancer imaging, positron emission tomography (PET) is ideal for the diagnosis and staging of bone cancers due to its high sensitivity to malignant tumors. The diagnosis of bone cancer requires tumor analysis and localization, where accurate and automated wholebody bone segmentation (WBBS) is often needed. Current WBBS for PET imaging is based on paired Computed Tomography (CT) images. However, mismatches between CT and PET images often occur due to patient motion, which leads to erroneous bone segmentation and thus, to inaccurate tumor analysis. Furthermore, there are some instances where CT images are unavailable for WBBS. In this work, we propose a novel multimodal fusion network (MMF-Net) for WBBS of PET images, without the need for CT images. Specifically, the tracer activity (lambda-MLAA), attenuation map (mu-MLAA), and synthetic attenuation map (mu-DL) images are introduced into the training data. We first design a multi-encoder structure employed to fully learn modalityspecific encoding representations of the three PET modality images through independent encoding branches. Then, we propose a multimodal fusion module in the decoder to further integrate the complementary information across the three modalities. Additionally, we introduce revised convolution units, SE (Squeeze-and-Excitation) Normalization and deep supervision to improve segmentation performance. Extensive comparisons and ablation experiments, using 130 whole-body PET image datasets, show promising results. We conclude that the proposed method can achieve WBBS with moderate to high accuracy using PET information only, which potentially can be used to overcome the current limitations of CT-based approaches, while minimizing exposure to ionizing radiation.</t>
  </si>
  <si>
    <t>Bao, Nan; Zhang, Jiaxin; Li, Zhikun; Wei, Shiyu; Zhang, Jiazhen; Greenwald, Stephen E.; Onofrey, John A.; Lu, Yihuan; Xu, Lisheng</t>
  </si>
  <si>
    <t>Xu, LS (corresponding author), Northeastern Univ, Coll Med &amp; Biol Informat Engn, Shenyang 110167, Peoples R China.</t>
  </si>
  <si>
    <t>baonan@bmie.neu.edu.cn; s.e.greenwald@qmul.ac.uk; xuls@bmie.neu.edu.cn; john.onofrey@yale.edu; yihuan.lu@united-imaging.com; zhang_jiaxin4@dahuatech.com; 2826409254@qq.com; 363146846@qq.com; jiazhen.zhang@yale.edu</t>
  </si>
  <si>
    <t>National Natural Science Foundation of China [62273082]</t>
  </si>
  <si>
    <t>This work was supported by the National Natural Science Foundation of China under Grant 62273082.</t>
  </si>
  <si>
    <t>[Bao, Nan; Li, Zhikun; Xu, Lisheng] Northeastern Univ, Coll Med &amp; Biol Informat Engn, Shenyang 110167, Peoples R China; [Zhang, Jiaxin] Dahua Technol Co Ltd, Image Algorithm Dept, Hangzhou 310053, Peoples R China; [Wei, Shiyu] Liaoning Med Device Test Inst, Med Imaging &amp; Software Dept, Shenyang 110179, Peoples R China; [Zhang, Jiazhen] Yale Univ, Dept Biomed Engn, New Haven, CT 06512 USA; [Greenwald, Stephen E.] Queen Mary Univ London, Blizard Inst, Barts &amp; London Sch Med &amp; Dent, London E1 4NS, England; [Onofrey, John A.] Yale Univ, Dept Biomed Engn, Dept Radiol &amp; Biomed Imaging, New Haven, CT 06512 USA; [Lu, Yihuan] United Imaging Healthcare, Shanghai 201807, Peoples R China</t>
  </si>
  <si>
    <t>Northeastern University - China; Yale University; University of London; Queen Mary University London; Yale University</t>
  </si>
  <si>
    <t>CT-Less Whole-Body Bone Segmentation of PET Images Using a Multimodal Deep Learning Network</t>
  </si>
  <si>
    <t>Image segmentation; Computed tomography; Bones; Tumors; Cancer; Attenuation; Accuracy; Positron emission tomography; Image coding; Electronic mail; CT-less; deep learning; multimodal feature fusion; PET; whole-body bone segmentation</t>
  </si>
  <si>
    <t>FDG-PET; TUMORS; RECONSTRUCTION; ATTENUATION; FUSION</t>
  </si>
  <si>
    <t>Greenwald, Stephen/C-6928-2012; Onofrey, John/T-9841-2019</t>
  </si>
  <si>
    <t>Greenwald, Stephen/0000-0002-8471-7070; Onofrey, John/0000-0002-9432-0448; XU, Lisheng/0000-0001-8360-3605</t>
  </si>
  <si>
    <t>1151</t>
  </si>
  <si>
    <t>10.1109/JBHI.2024.3501386</t>
  </si>
  <si>
    <t>http://dx.doi.org/10.1109/JBHI.2024.3501386</t>
  </si>
  <si>
    <t>X8R2X</t>
  </si>
  <si>
    <t>40030243</t>
  </si>
  <si>
    <t>WOS:001427944500003</t>
  </si>
  <si>
    <t>Tang, J; Yin, X; Lai, JY; Luo, KY; Wu, DD</t>
  </si>
  <si>
    <t>Background: Osteoporosis is a bone disease characterized by reduced bone mineral density and mass, which increase the risk of fragility fractures in patients. Artificial intelligence can mine imaging features specific to different bone densities, shapes, and structures and fuse other multimodal features for synergistic diagnosis to improve prediction accuracy. Objective: This study aims to develop a multimodal model that fuses chest X-rays and clinical parameters for opportunistic screening of osteoporosis and to compare and analyze the experimental results with existing methods. Methods: We used multimodal data, including chest X-ray images and clinical data, from a total of 1780 patients at Chongqing Daping Hospital from January 2019 to August 2024. We adopted a probability fusion strategy to construct a multimodal model. In our model, we used a convolutional neural network as the backbone network for image processing and fine-tuned it using a transfer learning technique to suit the specific task of this study. In addition, we introduced a gradient-based wavelet feature extraction method. We combined it with an attention mechanism to assist in feature fusion, which enhanced the model's focus on key regions of the image and further improved its ability to extract image features. Results: The multimodal model proposed in this paper outperforms the traditional methods in the 4 evaluation metrics of area under the curve value, accuracy, sensitivity, and specificity. Compared with using only the X-ray image model, the multimodal model improved the area under the curve value significantly from 0.951 to 0.975 (P=.004), the accuracy from 89.32% to 92.36% (P=.045), the sensitivity from 89.82% to 91.23% (P=.03), and the specificity from 88.64% to 93.92% (P=.008). Conclusions: While the multimodal model that fuses chest X-ray images and clinical data demonstrated superior performance compared to unimodal models and traditional methods, this study has several limitations. The dataset size may not be sufficient to capture the full diversity of the population. The retrospective nature of the study may introduce selection bias, and the lack of external validation limits the generalizability of the findings. Future studies should address these limitations by incorporating larger, more diverse datasets and conducting rigorous external validation to further establish the model's clinical use.</t>
  </si>
  <si>
    <t>Tang, Jun; Yin, Xiang; Lai, Jiangyuan; Luo, Keyu; Wu, Dongdong</t>
  </si>
  <si>
    <t>Wu, DD (corresponding author), Army Med Univ, Daping Hosp, Dept Informat, 10 Daping Changjiang Branch Rd, Chongqing, Peoples R China.</t>
  </si>
  <si>
    <t>604269346@qq.com</t>
  </si>
  <si>
    <t>National Natural Science Foundation of China [72374206]; Artificial Intelligence Medical Research Project of Daping Hospital in Chongqing, China [ZXAIYB015]; Basic Research Project of Daping Hospital in Chongqing, China [ZXJCYJ202414]</t>
  </si>
  <si>
    <t>National Natural Science Foundation of China (National Natural Science Foundation of China (NSFC)); Artificial Intelligence Medical Research Project of Daping Hospital in Chongqing, China; Basic Research Project of Daping Hospital in Chongqing, China</t>
  </si>
  <si>
    <t>This work was supported by the National Natural Science Foundation of China (72374206) ; the Artificial Intelligence Medical Research Project of Daping Hospital in Chongqing, China (ZXAIYB015) ; and the Basic Research Project of Daping Hospital in Chongqing, China (ZXJCYJ202414) .</t>
  </si>
  <si>
    <t>[Tang, Jun; Wu, Dongdong] Army Med Univ, Daping Hosp, Dept Informat, 10 Daping Changjiang Branch Rd, Chongqing, Peoples R China; [Yin, Xiang; Luo, Keyu] Army Med Univ, Daping Hosp, Dept Orthoped, Chongqing, Peoples R China; [Lai, Jiangyuan] Army Med Univ, Sch Basic Med, Dept Traumat Surg, Chongqing, Peoples R China</t>
  </si>
  <si>
    <t>Army Medical University; Army Medical University; Army Medical University</t>
  </si>
  <si>
    <t>Fusion of X-Ray Images and Clinical Data for a Multimodal Deep Learning Prediction Model of Osteoporosis: Algorithm Development and Validation Study</t>
  </si>
  <si>
    <t>osteoporosis; chest X-ray; convolutional neural network; multimodal; attention mechanism; wavelet transform; soft attention</t>
  </si>
  <si>
    <t>Wu, Dongdong/QOA-9280-2026</t>
  </si>
  <si>
    <t>lai, jiangyuan/0009-0009-0157-7657; Wu, Dongdong/0000-0001-7826-5963</t>
  </si>
  <si>
    <t>e70738</t>
  </si>
  <si>
    <t>10.2196/70738</t>
  </si>
  <si>
    <t>http://dx.doi.org/10.2196/70738</t>
  </si>
  <si>
    <t>7TA0V</t>
  </si>
  <si>
    <t>40966528</t>
  </si>
  <si>
    <t>WOS:001578958700001</t>
  </si>
  <si>
    <t>Zhao, KK; Sun, QX; Kang, DH; Yu, T; Han, WZ; Yao, R; Agrawal, R; Ying, GS; Grzybowski, A; Jin, K</t>
  </si>
  <si>
    <t>Multimodal ophthalmic diagnosis requires integrating fundus photography, B-scan ultrasonography, and medical evidence, yet most artificial intelligence (AI) systems remain single-task or weakly grounded. AgentEYE is an auditable multimodal agent that routes ocular images to specialized fundus and B-scan tools, retrieves guideline/web evidence, and synthesizes evidence-grounded reports. In a 302-case internal benchmark, AgentEYE shows higher diagnostic correctness and completeness than large language model (LLM)only baselines and an ablation without specialized imaging tools; performance remains similar to the no-retrieval ablation, indicating that retrieval mainly supports evidence grounding and citation auditability. Blinded evaluation of 200 cases by three ophthalmologists confirms improved diagnostic correctness, completeness, safety, and citation grounding versus an LLM-only self-citation baseline. External analyses show distribution-dependent performance. These findings support AgentEYE as a traceable decision-support prototype requiring prospective multicenter validation.</t>
  </si>
  <si>
    <t>Zhao, Kaikai; Sun, Qixuan; Kang, Daohuan; Yu, Tao; Han, Wenzheng; Yao, Rui; Agrawal, Rupesh; Ying, Gui-shuang; Grzybowski, Andrzej; Jin, Kai</t>
  </si>
  <si>
    <t>Jin, K (corresponding author), Zhejiang Univ, Affiliated Hosp 2, Eye Ctr, Sch Med, Hangzhou, Peoples R China.; Jin, K (corresponding author), Zhejiang Prov Engn Inst Eye Dis, Zhejiang Prov Clin Res Ctr Eye Dis, Zhejiang Prov Key Lab Ophthalmol, Hangzhou, Peoples R China.</t>
  </si>
  <si>
    <t>jinkai@zju.edu.cn</t>
  </si>
  <si>
    <t>National Natural Science Foundation of China [82201195]</t>
  </si>
  <si>
    <t>This study was supported by the National Natural Science Foundation of China (82201195).</t>
  </si>
  <si>
    <t>[Zhao, Kaikai; Yu, Tao; Jin, Kai] Zhejiang Univ, Affiliated Hosp 2, Eye Ctr, Sch Med, Hangzhou, Peoples R China; [Zhao, Kaikai; Yu, Tao; Jin, Kai] Zhejiang Prov Engn Inst Eye Dis, Zhejiang Prov Clin Res Ctr Eye Dis, Zhejiang Prov Key Lab Ophthalmol, Hangzhou, Peoples R China; [Zhao, Kaikai; Yao, Rui] China Univ Min &amp; Technol, Sch Comp Sci &amp; Technol, Sch Artificial Intelligence, Xuzhou, Peoples R China; [Sun, Qixuan] Zhejiang Univ, Dept Biomed Engn, Hangzhou, Peoples R China; [Kang, Daohuan] Zhejiang Univ, Childrens Hosp, Natl Clin Res Ctr Children &amp; AdolescentsHealth &amp; D, Dept Ophthalmol,Sch Med, Hangzhou, Zhejiang, Peoples R China; [Han, Wenzheng] Wannan Med Coll, Affiliated Hosp 1, Wuhu, Anhui, Peoples R China; [Agrawal, Rupesh] Tan Tock Seng Hosp, Natl Healthcare Grp Eye Inst, Singapore, Singapore; [Agrawal, Rupesh] Nanyang Technol Univ, Lee Kong Chian Sch Med, Singapore, Singapore; [Agrawal, Rupesh] Singapore Eye Res Inst, Singapore, Singapore; [Agrawal, Rupesh] Duke NUS Med Sch, Singapore, Singapore; [Agrawal, Rupesh] Natl Univ Singapore, Yong Loo Lin Sch Med, Singapore, Singapore; [Ying, Gui-shuang] Univ Penn, Ctr Prevent Ophthalmol &amp; Biostat, Perelman Sch Med, Dept Ophthalmol, Philadelphia, PA USA; [Grzybowski, Andrzej] Fdn Ophthalmol Dev, Inst Res Ophthalmol, Poznan, Poland; [Grzybowski, Andrzej] Univ Warmia &amp; Mazury, Dept Ophthalmol, Olsztyn, Poland</t>
  </si>
  <si>
    <t>Zhejiang University; China University of Mining &amp; Technology; Zhejiang University; Zhejiang University; Wannan Medical University; Tan Tock Seng Hospital; Nanyang Technological University; National University of Singapore; Singapore National Eye Center; National University of Singapore; National University of Singapore; University of Pennsylvania; Pennsylvania Medicine; University of Warmia &amp; Mazury</t>
  </si>
  <si>
    <t>An autonomous multimodal AI agent for evidence-grounded ophthalmic diagnosis</t>
  </si>
  <si>
    <t>CELL REPORTS MEDICINE</t>
  </si>
  <si>
    <t>GLAUCOMATOUS OPTIC NEUROPATHY; INTELLIGENCE; INTEGRATION; VALIDATION</t>
  </si>
  <si>
    <t>2666-3791</t>
  </si>
  <si>
    <t>CELL REP MED</t>
  </si>
  <si>
    <t>Cell Rep. Med.</t>
  </si>
  <si>
    <t>AUG 18 2026</t>
  </si>
  <si>
    <t>102969</t>
  </si>
  <si>
    <t>10.1016/j.xcrm.2026.102969</t>
  </si>
  <si>
    <t>http://dx.doi.org/10.1016/j.xcrm.2026.102969</t>
  </si>
  <si>
    <t>Cell Biology; Medicine, Research &amp; Experimental</t>
  </si>
  <si>
    <t>Cell Biology; Research &amp; Experimental Medicine</t>
  </si>
  <si>
    <t>MY5DR</t>
  </si>
  <si>
    <t>42556343</t>
  </si>
  <si>
    <t>WOS:001853913400001</t>
  </si>
  <si>
    <t>Ding, HT; Mandapati, A; Hamel, AP; Karjadi, C; Ang, TFA; Xia, WM; Au, R; Lin, HH</t>
  </si>
  <si>
    <t>Background: Early prediction of dementia risk is crucial for effective interventions. Given the known etiologic heterogeneity, machine learning methods leveraging multimodal data, such as clinical manifestations, neuroimaging biomarkers, and well-documented risk factors, could predict dementia more accurately than single modal data.Objective: This study aims to develop machine learning models that capitalize on neuropsychological (NP) tests, magnetic resonance imaging (MRI) measures, and clinical risk factors for 10-year dementia prediction.Methods: This study included participants from the Framingham Heart Study, and various data modalities such as NP tests, MRI measures, and demographic variables were collected. CatBoost was used with Optuna hyperparameter optimization to create prediction models for 10-year dementia risk using different combinations of data modalities. The contribution of each modality and feature for the prediction task was also quantified using Shapley values.Results: This study included 1,031 participants with normal cognitive status at baseline (age 75 +/- 5 years, 55.3% women), of whom 205 were diagnosed with dementia during the 10-year follow-up. The model built on three modalities demonstrated the best dementia prediction performance (AUC 0.90 +/- 0.01) compared to single modality models (AUC range: 0.82-0.84). MRI measures contributed most to dementia prediction (mean absolute Shapley value: 3.19), suggesting the necessity of multimodal inputs.Conclusions: This study shows that a multimodal machine learning framework had a superior performance for 10-year dementia risk prediction. The model can be used to increase vigilance for cognitive deterioration and select high-risk individuals for early intervention and risk management.</t>
  </si>
  <si>
    <t>Ding, Huitong; Mandapati, Amiya; Hamel, Alexander P.; Karjadi, Cody; Ang, Ting F. A.; Xia, Weiming; Au, Rhoda; Lin, Honghuang</t>
  </si>
  <si>
    <t>Lin, HH (corresponding author), Univ Massachusetts, Chan Med Sch, Dept Med, 55 Lake Ave North,S6-755, Worcester, MA 01655 USA.</t>
  </si>
  <si>
    <t>Honghuang.Lin@umassmed.edu</t>
  </si>
  <si>
    <t>National Heart, Lung, and Blood Institute [N01-HC-25195]; National Institute on Aging [AG-008122, AG-16495, AG-062109, AG-049810, AG-068753, AG054156, U01AG068221]; National Institute of Neurological Disorders and Stroke [NS017950]; Alzheimer's Association [AARG-NTF-20-643020]; American Heart Association [20SFRN35360180]; Defense Advanced Research Projects Agency [FA8750-16-C-0299]; Pfizer, Inc.; American Heart Association (AHA) [20SFRN35360180] Funding Source: American Heart Association (AHA); National Institute on Aging [U01AG068221] Funding Source: NIH RePORTER</t>
  </si>
  <si>
    <t>National Heart, Lung, and Blood Institute (United States Department of Health &amp; Human Services, National Institutes of Health (NIH) - USA, NIH National Heart Lung &amp; Blood Institute (NHLBI)); National Institute on Aging (United States Department of Health &amp; Human Services, National Institutes of Health (NIH) - USA, NIH National Institute on Aging (NIA)); National Institute of Neurological Disorders and Stroke (United States Department of Health &amp; Human Services, National Institutes of Health (NIH) - USA, NIH National Institute of Neurological Disorders &amp; Stroke (NINDS)); Alzheimer's Association (Alzheimer's Association); American Heart Association (American Heart Association); Defense Advanced Research Projects Agency (United States Department of Defense, Defense Advanced Research Projects Agency (DARPA)); Pfizer, Inc. (Pfizer); American Heart Association (AHA); National Institute on Aging (United States Department of Health &amp; Human Services, National Institutes of Health (NIH) - USA, NIH National Institute on Aging (NIA))</t>
  </si>
  <si>
    <t>This work was supported by the National Heart, Lung, and Blood Institute contract (N01-HC-25195) and by grants from the National Institute on Aging AG-008122, AG-16495, AG-062109, AG-049810, AG-068753, AG054156, U01AG068221 and from the National Institute of Neurological Disorders and Stroke, NS017950, and from the Alzheimer's Association (grant AARG-NTF-20-643020), and the American Heart Association (20SFRN35360180). It was also supported by Defense Advanced Research Projects Agency contract (FA8750-16-C-0299); Pfizer, Inc. The views expressed in this manuscript are those of the authors and do not necessarily represent the views of the National Institutes of Health or the US Department of Health and Human Services or the US Department of Veterans Affairs. The funding agencies had no role in study design, data collection and analysis, decision to publish, or preparation of the manuscript.</t>
  </si>
  <si>
    <t>[Ding, Huitong; Karjadi, Cody; Ang, Ting F. A.; Au, Rhoda] Boston Univ, Dept Anat &amp; Neurobiol, Chobanian &amp; Avedisian Sch Med, Boston, MA USA; [Ding, Huitong; Karjadi, Cody; Ang, Ting F. A.; Au, Rhoda] Boston Univ, Framingham Heart Study, Sch Med, Boston, MA USA; [Mandapati, Amiya] Brown Univ, Dept Religious Studies, Providence, RI USA; [Mandapati, Amiya] Brown Univ, Warren Alpert Med Sch, Providence, RI USA; [Hamel, Alexander P.; Lin, Honghuang] Univ Massachusetts, Dept Med, Chan Med Sch, Worcester, MA USA; [Ang, Ting F. A.; Au, Rhoda] Boston Univ, Dept Epidemiol, Sch Publ Hlth, Boston, MA USA; [Ang, Ting F. A.; Au, Rhoda] Boston Univ, Chobanian &amp; Avedisian Sch Med, Slone Epidemiol Ctr, Boston, MA USA; [Xia, Weiming] VA Bedford Healthcare Syst, Geriatr Res Educ &amp; Clin Ctr, Bedford, MA USA; [Xia, Weiming] Boston Univ, Dept Pharmacol &amp; Expt Therapeut, Chobanian &amp; Avedisian Sch Med, Boston, MA USA; [Xia, Weiming] Univ Massachusetts Lowell, Kennedy Coll Sci, Dept Biol Sci, Lowell, MA USA; [Au, Rhoda] Boston Univ, Dept Neurol, Chobanian &amp; Avedisian Sch Med, Boston, MA USA</t>
  </si>
  <si>
    <t>Boston University; Boston University; Framingham Heart Study; Brown University; Brown University; University of Massachusetts System; UMass Chan Medical School; University of Massachusetts Worcester; Boston University; Boston University; Geriatric Research Education &amp; Clinical Center; Boston University; University of Massachusetts System; University of Massachusetts Lowell; Boston University</t>
  </si>
  <si>
    <t>Multimodal Machine Learning for 10-Year Dementia Risk Prediction: The Framingham Heart Study</t>
  </si>
  <si>
    <t>Alzheimer's disease; dementia risk prediction; machine learning; magnetic resonance imaging; multimodal data; neuropsychological test</t>
  </si>
  <si>
    <t>ALZHEIMERS-DISEASE; HIPPOCAMPAL SEGMENTATION; MAGNETIC-RESONANCE; COGNITIVE FUNCTION; PERFORMANCE; STROKE; VOLUME; ONSET</t>
  </si>
  <si>
    <t>xia, weiming/E-5465-2016; Lin, Honghuang/A-3269-2019</t>
  </si>
  <si>
    <t>Karjadi, Cody/0000-0001-9199-8723; Ding, Huitong/0000-0001-6495-3087; Alviana, Ribka Agnes/0009-0007-4933-6778; Hamel, Alexander/0000-0002-5855-6912</t>
  </si>
  <si>
    <t>10.3233/JAD-230496</t>
  </si>
  <si>
    <t>http://dx.doi.org/10.3233/JAD-230496</t>
  </si>
  <si>
    <t>W5VV5</t>
  </si>
  <si>
    <t>37742648</t>
  </si>
  <si>
    <t>WOS:001092311300024</t>
  </si>
  <si>
    <t>Gao, F; Tang, YL</t>
  </si>
  <si>
    <t>In orthodontics and maxillofacial surgery, accurate cephalometric analysis and treatment outcome prediction are critical for clinical decision-making. Traditional approaches rely on manual landmark identification, which is time-consuming and subject to inter-observer variability, while existing automated methods typically utilize single imaging modalities with limited accuracy. This paper presents DeepFuse, a novel multi-modal deep learning framework that integrates information from lateral cephalograms, CBCT volumes, and digital dental models to simultaneously perform landmark detection and treatment outcome prediction. The framework employs modality-specific encoders, an attention-guided fusion mechanism, and dual-task decoders to leverage complementary information across imaging techniques. Extensive experiments on three clinical datasets demonstrate that DeepFuse achieves a mean radial error of 1.21 mm for landmark detection, representing a 13% improvement over state-of-the-art methods, with a clinical acceptability rate of 92.4% at the 2 mm threshold. For treatment outcome prediction, the framework attains an overall accuracy of 85.6%, significantly outperforming both conventional prediction models and experienced clinicians. The proposed approach enhances diagnostic precision and treatment planning while providing interpretable visualization of decision factors, demonstrating significant potential for clinical integration in orthodontic and maxillofacial practice.</t>
  </si>
  <si>
    <t>Gao, Fei; Tang, Yulong</t>
  </si>
  <si>
    <t>Tang, YL (corresponding author), Gen Hosp PLA Northern Theater Command, Dept Stomatol, Shenyang 110002, Liaoning, Peoples R China.</t>
  </si>
  <si>
    <t>bzkq0615@163.com; ddgaofei@163.com</t>
  </si>
  <si>
    <t>[Gao, Fei; Tang, Yulong] Gen Hosp PLA Northern Theater Command, Dept Stomatol, Shenyang 110002, Liaoning, Peoples R China</t>
  </si>
  <si>
    <t>RETRACTED: Multimodal deep learning for cephalometric landmark detection and treatment prediction (Retracted article. See vol. 16, 2026)</t>
  </si>
  <si>
    <t>RETRACTED: SCIENTIFIC REPORTS</t>
  </si>
  <si>
    <t>Article; Retracted Publication</t>
  </si>
  <si>
    <t>Cephalometric analysis; Multi-modal deep learning; Landmark detection; Treatment outcome prediction; Attention mechanism; Orthodontics</t>
  </si>
  <si>
    <t>ACTIVE SHAPE MODELS; IDENTIFICATION; NETWORK; REPRODUCIBILITY; ORTHODONTICS; RELIABILITY; FUSION</t>
  </si>
  <si>
    <t>Tang, Yu-Long/HNQ-8417-2023</t>
  </si>
  <si>
    <t>RETRACTED: SCI REP-UK</t>
  </si>
  <si>
    <t>RETRACTED: Sci Rep</t>
  </si>
  <si>
    <t>JUL 12 2025</t>
  </si>
  <si>
    <t>25205</t>
  </si>
  <si>
    <t>10.1038/s41598-025-06229-w</t>
  </si>
  <si>
    <t>http://dx.doi.org/10.1038/s41598-025-06229-w</t>
  </si>
  <si>
    <t>6HK6B</t>
  </si>
  <si>
    <t>40651957</t>
  </si>
  <si>
    <t>WOS:001553426400042</t>
  </si>
  <si>
    <t>Shen, PC; Yang, ZY; Sun, JJ; Wang, Y; Qiu, C; Wang, YR; Ren, YY; Liu, S; Cai, W; Lu, H; Yao, SQ</t>
  </si>
  <si>
    <t>Preoperative prediction of lateral lymph node metastasis is clinically crucial for guiding surgical strategy and prognosis assessment, yet precise prediction methods are lacking. We therefore develop Lateral Lymph Node Metastasis Network (LLNM-Net), a bidirectional-attention deep-learning model that fuses multimodal data (preoperative ultrasound images, radiology reports, pathological findings, and demographics) from 29,615 patients and 9836 surgical cases across seven centers. Integrating nodule morphology and position with clinical text, LLNM-Net achieves an Area Under the Curve (AUC) of 0.944 and 84.7% accuracy in multicenter testing, outperforming human experts (64.3% accuracy) and surpassing previous models by 7.4%. Here we show tumors within 0.25 cm of the thyroid capsule carry &gt;72% metastasis risk, with middle and upper lobes as high-risk regions. Leveraging location, shape, echogenicity, margins, demographics, and clinician inputs, LLNM-Net further attains an AUC of 0.983 for identifying high-risk patients. The model is thus a promising for tool for preoperative screening and risk stratification.</t>
  </si>
  <si>
    <t>Shen, Pengcheng; Yang, Zheyu; Sun, Jingjing; Wang, Yun; Qiu, Cheng; Wang, Yirou; Ren, Yongyong; Liu, Sheng; Cai, Wei; Lu, Hui; Yao, Siqiong</t>
  </si>
  <si>
    <t>Lu, H; Yao, SQ (corresponding author), Shanghai Jiao Tong Univ, Sch Life Sci &amp; Biotechnol, Dept Bioinformat &amp; Biostat, Shanghai, Peoples R China.; Cai, W (corresponding author), Shanghai Jiao Tong Univ, Sch Med, Ruijin Hosp, Dept Gen Surg, Shanghai, Peoples R China.; Lu, H; Yao, SQ (corresponding author), Shanghai Jiao Tong Univ, SJTU Yale Joint Ctr Biostat &amp; Data Sci, Tech Ctr Digital Med, Natl Ctr Translat Med, Shanghai 200240, Peoples R China.; Liu, S (corresponding author), Tongji Univ, Shanghai Peoples Hosp 4, Sch Med, Dept Thyroid &amp; Breast Surg, Shanghai, Peoples R China.; Lu, H (corresponding author), Shanghai Acad Expt Med, Inst Bioinformat, Shanghai, Peoples R China.</t>
  </si>
  <si>
    <t>caiwei@shsmu.edu.cn; huilu@sjtu.edu.cn; yaosiqiong@sjtu.edu.cn; tocter@msn.com</t>
  </si>
  <si>
    <t>the National Natural Science Foundation of China (grant No. 62406191); Shanghai Municipal Education Commission (No.2024AIYB010); the Fundamental Research Funds for the Central Universities (YG2025LC03); the Startup for Young Faculty (SFYF) at SJTU(24X01050 [82403192]; National Natural Science Foundation of China [2024AIYB010]; Shanghai Municipal Education Commission [YG2025LC03]; Fundamental Research Funds for the Central Universities [YG2024QNA02]; Interdisciplinary Program of Shanghai Jiao Tong University [SACA-CY23C07, 24x010500175]; Shanghai Anticancer Association [23JS140080023JS1400700]; Science and Technology Commission of Shanghai Municipality (STCSM) [20210106]; SJTU Transmed Awards Research (STAR); Neil Shen's SJTU Medical Research Fund</t>
  </si>
  <si>
    <t>the National Natural Science Foundation of China (grant No. 62406191); Shanghai Municipal Education Commission (No.2024AIYB010); the Fundamental Research Funds for the Central Universities (YG2025LC03); the Startup for Young Faculty (SFYF) at SJTU(24X01050; National Natural Science Foundation of China (National Natural Science Foundation of China (NSFC)); Shanghai Municipal Education Commission (Shanghai Municipal Education Commission (SHMEC)); Fundamental Research Funds for the Central Universities (Fundamental Research Funds for the Central Universities); Interdisciplinary Program of Shanghai Jiao Tong University; Shanghai Anticancer Association; Science and Technology Commission of Shanghai Municipality (STCSM) (Science &amp; Technology Commission of Shanghai Municipality (STCSM)); SJTU Transmed Awards Research (STAR); Neil Shen's SJTU Medical Research Fund</t>
  </si>
  <si>
    <t>Funding. This work was partially supported by the National Natural Science Foundation of China (grant No. 62406191), Shanghai Municipal Education Commission (No.2024AIYB010), the Fundamental Research Funds for the Central Universities (YG2025LC03), the Interdisciplinary Program of Shanghai Jiao Tong University (YG2024QNA02), the National Natural Science Foundation of China (82403192) and the Shanghai Anticancer Association (SACA-CY23C07), the Startup for Young Faculty (SFYF) at SJTU(24x010500175), the Science and Technology Commission of Shanghai Municipality (STCSM) (Grant No. 23JS1400800&amp;23JS1400700), SJTU Transmed Awards Research (STAR) Grant No. 20210106 (HL) and Neil Shen's SJTU Medical Research Fund. The content of this article does not reflect the view of the funding sources.</t>
  </si>
  <si>
    <t>[Shen, Pengcheng; Ren, Yongyong; Lu, Hui; Yao, Siqiong] Shanghai Jiao Tong Univ, Sch Life Sci &amp; Biotechnol, Dept Bioinformat &amp; Biostat, Shanghai, Peoples R China; [Yang, Zheyu; Cai, Wei] Shanghai Jiao Tong Univ, Sch Med, Ruijin Hosp, Dept Gen Surg, Shanghai, Peoples R China; [Sun, Jingjing] Tongji Univ, Shanghai Peoples Hosp 4, Sch Med, Dept Ultrasound, Shanghai, Peoples R China; [Wang, Yun] XuZhou Cent Hosp, Hepatobiliary Pancreat Ctr, Xuzhou, Jiangsu, Peoples R China; [Qiu, Cheng] Nantong Univ, Med Coll, Nantong, Jiangsu, Peoples R China; [Wang, Yirou] Shanghai Jiao Tong Univ, Shanghai Childrens Med Ctr, Sch Med, Dept Endocrinol &amp; Metab, Shanghai, Peoples R China; [Ren, Yongyong; Lu, Hui; Yao, Siqiong] Shanghai Jiao Tong Univ, SJTU Yale Joint Ctr Biostat &amp; Data Sci, Tech Ctr Digital Med, Natl Ctr Translat Med, Shanghai 200240, Peoples R China; [Liu, Sheng] Tongji Univ, Shanghai Peoples Hosp 4, Sch Med, Dept Thyroid &amp; Breast Surg, Shanghai, Peoples R China; [Lu, Hui] Shanghai Acad Expt Med, Inst Bioinformat, Shanghai, Peoples R China</t>
  </si>
  <si>
    <t>Shanghai Jiao Tong University; Shanghai Jiao Tong University; Tongji University; Southeast University - China; Nantong University; Shanghai Jiao Tong University; Shanghai Jiao Tong University; Tongji University</t>
  </si>
  <si>
    <t>Explainable multimodal deep learning for predicting thyroid cancer lateral lymph node metastasis using ultrasound imaging</t>
  </si>
  <si>
    <t>SKIP METASTASIS; PAPILLARY; CARCINOMA; NODULES; SURVIVAL; PROGNOSIS; FEATURES; DISEASE; NUMBER; MODEL</t>
  </si>
  <si>
    <t>shen, pengcheng/JXW-8899-2024; Qiu, chenglong/HMW-0221-2023; wang, yirou/JPK-7457-2023; yao, siqiong/PTF-7716-2026; Yang, Zheyu/GRR-2329-2022; Lu, Hui/K-3264-2019</t>
  </si>
  <si>
    <t>Cai, Wei/0000-0002-4765-3370; Lu, Hui/0000-0001-8347-0830</t>
  </si>
  <si>
    <t>AUG 1 2025</t>
  </si>
  <si>
    <t>7052</t>
  </si>
  <si>
    <t>10.1038/s41467-025-62042-z</t>
  </si>
  <si>
    <t>http://dx.doi.org/10.1038/s41467-025-62042-z</t>
  </si>
  <si>
    <t>5RN9S</t>
  </si>
  <si>
    <t>40750786</t>
  </si>
  <si>
    <t>WOS:001542634900032</t>
  </si>
  <si>
    <t>Tang, XF; Zhang, HY; Mao, RS; Zhang, YF; Jiang, XH; Lin, M; Xiong, L; Chen, HL; Li, L; Wang, K; Zhou, JH</t>
  </si>
  <si>
    <t>Rationale and Objectives: Deep learning can enhance the performance of multimodal image analysis, which is known for its noninvasive attributes and complementary efficacy, in predicting axillary lymph node (ALN) metastasis. Therefore, we established a multimodal deep learning model incorporating ultrasound (US) and magnetic resonance imaging (MRI) images to predict ALN metastasis in patients with breast cancer. Materials and Methods: A retrospective cohort of patients with histologically confirmed breast cancer from two hospitals composed of the primary cohort (n = 465) and the external validation cohort (n = 123). All patients had undergone both preoperative US and MRI scans. After data preprocessing, three convolutional neural network models were used to analyze the US and MRI images, respectively. After integrating the US and MRI deep learning prediction results (DLUS and DLMRI, respectively), a multimodal deep learning (DLMRI+US +Clinical parameter) model was constructed. The predictive ability of the proposed model was compared to that of the DLUS, DLMRI, combined bimodal (DLMRI+US), and clinical parameter models. Evaluation was performed using the area under the receiver operating characteristic curves (AUCs) and decision curves. Results: A total of 588 patients with breast cancer participated in this study. The DLMRI+US+Clinical parameter model outperformed the alternative models, achieving the highest AUCs of 0.819 (95% confidence interval [CI] 0.734-0.903) and 0.809 (95% CI 0.723-0.895) on the internal and external validation sets, respectively. The decision curve analysis confirmed its clinical usefulness. Conclusion: The DLMRI+US+Clinical parameter model demonstrates the feasibility and reliability of its performance for ALN metastasis prediction in patients with breast cancer. (c) 2024 The Association of University Radiologists. Published by Elsevier Inc. All rights are reserved, including those for text and data mining, AI training, and similar technologies.</t>
  </si>
  <si>
    <t>Tang, Xiaofeng; Zhang, Haoyan; Mao, Rushuang; Zhang, Yafang; Jiang, Xinhua; Lin, Min; Xiong, Lang; Chen, Haolin; Li, Li; Wang, Kun; Zhou, Jianhua</t>
  </si>
  <si>
    <t>Zhou, JH (corresponding author), Sun Yat Sen Univ, Collaborat Innovat Ctr Canc Med, Dept Ultrasound, State Key Lab Oncol South China,Canc Ctr, Guangzhou, Peoples R China.</t>
  </si>
  <si>
    <t>zhoujh@sysucc.org.cn</t>
  </si>
  <si>
    <t>National Key Research and Development Program of China [2023YFF1204600, 2022YFC2407405]; National Natural Science Foundation of China [92159305, 92259303, 82272029]; Beijing Science Fund for Distinguished Young Scholars [JQ22013]; Excellent Member Project of the Youth Innovation Promotion Association CAS [2016124]; Natural Science Foundation of Guangdong Province [2023A1515011564]</t>
  </si>
  <si>
    <t>National Key Research and Development Program of China (National Key Research &amp; Development Program of China); National Natural Science Foundation of China (National Natural Science Foundation of China (NSFC)); Beijing Science Fund for Distinguished Young Scholars; Excellent Member Project of the Youth Innovation Promotion Association CAS; Natural Science Foundation of Guangdong Province (National Natural Science Foundation of Guangdong Province)</t>
  </si>
  <si>
    <t>This work was supported by the National Key Research and Development Program of China (grant nos. 2023YFF1204600 and 2022YFC2407405 to Kun Wang) , the National Natural Science Foundation of China (grant nos. 92159305, 92259303, and 82272029 to Kun Wang) , the Beijing Science Fund for Distinguished Young Scholars (grant no. JQ22013 to Kun Wang) , and the Excellent Member Project of the Youth Innovation Promotion Association CAS (grant no. 2016124 to Kun Wang) ; and Natural Science Foundation of Guangdong Province (grant no. 2023A1515011564 to Jianhua Zhou) .</t>
  </si>
  <si>
    <t>[Tang, Xiaofeng; Mao, Rushuang; Zhang, Yafang; Lin, Min; Zhou, Jianhua] Sun Yat Sen Univ, Collaborat Innovat Ctr Canc Med, Dept Ultrasound, State Key Lab Oncol South China,Canc Ctr, Guangzhou, Peoples R China; [Zhang, Haoyan; Wang, Kun] Chinese Acad Sci, Inst Automat, CAS Key Lab Mol Imaging, Beijing, Peoples R China; [Zhang, Haoyan; Wang, Kun] Univ Chinese Acad Sci, Sch Artificial Intelligence, Beijing, Peoples R China; [Jiang, Xinhua; Li, Li] Sun Yat Sen Univ, Collaborat Innovat Ctr Canc Med, State Key Lab Oncol South China, Dept Med Imaging,Canc Ctr, Guangzhou, Guangdong, Peoples R China; [Xiong, Lang] Gannan Med Univ, Affiliated Hosp 1, Dept Med Imaging, Ganzhou, Jiangxi, Peoples R China; [Chen, Haolin] Sun Yat Sen Univ, Collaborat Innovat Ctr Canc Med, Dept Radiat Oncol, State Key Lab Oncol South China,Canc Ctr, Guangzhou, Guangdong, Peoples R China</t>
  </si>
  <si>
    <t>Sun Yat Sen University; State Key Lab Oncology South China; Chinese Academy of Sciences; Institute of Automation, CAS; Chinese Academy of Sciences; University of Chinese Academy of Sciences, CAS; State Key Lab Oncology South China; Sun Yat Sen University; Gannan Medical University; Sun Yat Sen University; State Key Lab Oncology South China</t>
  </si>
  <si>
    <t>Preoperative Prediction of Axillary Lymph Node Metastasis in Patients With Breast Cancer Through Multimodal Deep Learning Based on Ultrasound and Magnetic Resonance Imaging Images</t>
  </si>
  <si>
    <t>Breast cancer; Lymph node metastasis; Multimodal; Ultrasound; Magnetic resonance imaging; Deep learning.</t>
  </si>
  <si>
    <t>VALIDATION; BIOPSY; MRI; DISEASE</t>
  </si>
  <si>
    <t>zhang, yafang/HGC-9954-2022; Mao, Rushuang/MSY-3653-2025</t>
  </si>
  <si>
    <t>10.1016/j.acra.2024.07.029</t>
  </si>
  <si>
    <t>http://dx.doi.org/10.1016/j.acra.2024.07.029</t>
  </si>
  <si>
    <t>W1N4W</t>
  </si>
  <si>
    <t>39107188</t>
  </si>
  <si>
    <t>WOS:001416327200001</t>
  </si>
  <si>
    <t>Crema, C; Boccali, A; Martinelli, A; De Francesco, S; Meloni, S; Baronio, CM; Gasparotti, R; Pedrini, L; Lanfredi, M; Pievani, M; Carcione, A; Nicolò, G; Semerari, A; Archetti, D; Redolfi, A; Rossi, R</t>
  </si>
  <si>
    <t>Borderline Personality Disorder (BPD) is a severe mental disorder marked by emotional dysregulation. Estimates show that 73% of patients with BPD will have, on average, three suicide attempts in their lifetime, with up to 10% of cases resulting in death. Reliable tools to identify risk factors associated with suicide are lacking. Artificial Intelligence (AI) could fill this gap, supporting the development of effective intervention strategies. This pilot study provides preliminary evidence that a multimodal signature could differentiate suicide attempts in individuals with BPD, paving the way to prospective cohort validation and clinical applications. We developed DRAMA-BPD (Detecting Retrospective suicide Attempts with Machine learning Approaches in Borderline Personality Disorder), an explainable, multimodal, Machine Learning (ML) model based on an ensemble classifier of lifetime suicide attempters among people with BPD. DRAMA-BPD was trained on the sociodemographic, clinical, and MRI data of 104 individuals with BPD recruited from two cohorts. Processing techniques adopted included feature extraction. SHapley Additive exPlanations (SHAP) was used to assess model interpretability. DRAMA-BPD achieved a balanced accuracy of 0.68, sensitivity of 0.58, specificity of 0.77, and AUC of 0.68. SHAP analysis identified cortical volumes and thickness from T1-weighted images and Symptoms Checklist 90 Revised (SCL-90-R) as the main contributors to classification.</t>
  </si>
  <si>
    <t>Crema, Claudio; Boccali, Alberto; Martinelli, Alessandra; De Francesco, Silvia; Meloni, Serena; Baronio, Cesare M.; Gasparotti, Roberto; Pedrini, Laura; Lanfredi, Mariangela; Pievani, Michela; Carcione, Antonino; Nicolo, Giuseppe; Semerari, Antonino; Archetti, Damiano; Redolfi, Alberto; Rossi, Roberta</t>
  </si>
  <si>
    <t>Crema, C (corresponding author), IRCCS Ist Ctr San Giovanni Dio Fatebenefratelli, Lab Neuroinformat, Brescia, Italy.</t>
  </si>
  <si>
    <t>ccrema@fatebenefratelli.eu</t>
  </si>
  <si>
    <t>Ministero della Salute</t>
  </si>
  <si>
    <t>Ministero della Salute (Ministry of Health, Italy)</t>
  </si>
  <si>
    <t>This work was supported by Ricerca Corrente of the Italian Ministry of Health for Research of Centro San Giovanni di Dio Fatebenefratelli Institute as part of the project entitled "Utilizzo di strumenti di Intelligenza Artificiale (AI) per l'analisi dei disturbi psichici".</t>
  </si>
  <si>
    <t>[Crema, Claudio; Boccali, Alberto; De Francesco, Silvia; Baronio, Cesare M.; Archetti, Damiano; Redolfi, Alberto] IRCCS Ist Ctr San Giovanni Dio Fatebenefratelli, Lab Neuroinformat, Brescia, Italy; [Martinelli, Alessandra] IRCCS Ist Ctr San Giovanni Dio Fatebenefratelli, Unit Epidemiol Psychiat &amp; Digital Mental Hlth, Brescia, Italy; [Meloni, Serena; Pedrini, Laura; Lanfredi, Mariangela; Rossi, Roberta] IRCCS Ist Ctr San Giovanni Dio Fatebenefratelli, Unit Psychiat, Brescia, Italy; [Gasparotti, Roberto] Univ Brescia, Dept Med &amp; Surg Specialties, Neuroradiol Unit, I-25123 Brescia, Italy; [Pievani, Michela] IRCCS Ist Ctr San Giovanni Dio Fatebenefratelli, Lab Alzheimers Neuroimaging &amp; Epidemiol, Brescia, Italy; [Carcione, Antonino] Guglielmo Marconi Univ, Dept Human Sci, Rome, Italy; [Carcione, Antonino; Nicolo, Giuseppe; Semerari, Antonino] Italian Sch Cognit Psychotherapy SICC, Ctr Cognit Psychotherapy 3, Rome, Italy</t>
  </si>
  <si>
    <t>IRCCS Fatebenefratelli; IRCCS Fatebenefratelli; IRCCS Fatebenefratelli; University of Brescia; IRCCS Fatebenefratelli; Guglielmo Marconi University</t>
  </si>
  <si>
    <t>An explainable multimodal artificial intelligence model for classifying suicide attempters with borderline personality disorder: a pilot study</t>
  </si>
  <si>
    <t>Suicide attempt; Borderline personality disorder; Artificial intelligence; Machine learning; Explainable classifier; MRI</t>
  </si>
  <si>
    <t>WHITE-MATTER HYPERINTENSITIES; STRUCTURAL BRAIN ABNORMALITIES; RISK-FACTORS; BIPOLAR; SEGMENTATION; METAANALYSIS; BEHAVIOR; PREVALENCE; PREDICTION; AMYGDALA</t>
  </si>
  <si>
    <t>Gasparotti, Roberto/K-5165-2018; /ABD-8973-2020; /M-3345-2016; /A-8522-2010; Pievani, Michela/C-6021-2011; /J-7275-2016; Redolfi, Alberto/J-7675-2016; De Francesco, Silvia/ABD-5005-2020; Archetti, Damiano/H-7429-2018</t>
  </si>
  <si>
    <t>Boccali, Alberto/0009-0008-5852-783X</t>
  </si>
  <si>
    <t>97</t>
  </si>
  <si>
    <t>DEC 19 2025</t>
  </si>
  <si>
    <t>1902</t>
  </si>
  <si>
    <t>10.1038/s41598-025-31550-9</t>
  </si>
  <si>
    <t>http://dx.doi.org/10.1038/s41598-025-31550-9</t>
  </si>
  <si>
    <t>CB1UB</t>
  </si>
  <si>
    <t>41413162</t>
  </si>
  <si>
    <t>WOS:001661607700001</t>
  </si>
  <si>
    <t>Roest, C; Yakar, D; Sitar, DIR; Bosma, JS; Rouw, DB; Fransen, SJ; Huisman, H; Kwee, TC</t>
  </si>
  <si>
    <t>Objectives: Deep learning (DL) studies for the detection of clinically significant prostate cancer (csPCa) on magnetic resonance imaging (MRI) often overlook potentially relevant clinical parameters such as prostate-specific antigen, prostate volume, and age. This study explored the integration of clinical parameters and MRI-based DL to enhance diagnostic accuracy for csPCa on MRI. Materials and Methods: We retrospectively analyzed 932 biparametric prostate MRI examinations performed for suspected csPCa (ISUP &gt;= 2) at 2 institutions. Each MRI scan was automatically analyzed by a previously developed DL model to detect and segment csPCa lesions. Three sets of features were extracted: DL lesion suspicion levels, clinical parameters (prostate-specific antigen, prostate volume, age), and MRI-based lesion volumes for all DL-detected lesions. Six multimodal artificial intelligence (AI) classifiers were trained for each combination of feature sets, employing both early (feature-level) and late (decision-level) information fusion methods. The diagnostic performance of each model was tested internally on 20% of center 1 data and externally on center 2 data (n = 529). Receiver operating characteristic comparisons determined the optimal feature combination and information fusion method and assessed the benefit of multimodal versus unimodal analysis. The optimal model performance was compared with a radiologist using PI-RADS. Results: Internally, the multimodal AI integrating DL suspicion levels with clinical features via early fusion achieved the highest performance. Externally, it surpassed baselines using clinical parameters (0.77 vs 0.67 area under the curve [AUC], P &lt; 0.001) and DL suspicion levels alone (AUC: 0.77 vs 0.70, P = 0.006). Early fusion outperformed late fusion in external data (0.77 vs 0.73 AUC, P = 0.005). No significant performance gaps were observed between multimodal AI and radiologist assessments (internal: 0.87 vs 0.88 AUC; external: 0.77 vs 0.75 AUC, both P &gt; 0.05). Conclusions: Multimodal AI (combining DL suspicion levels and clinical parameters) outperforms clinical and MRI-only AI for csPCa detection. Early information fusion enhanced AI robustness in our multicenter setting. Incorporating lesion volumes did not enhance diagnostic efficacy.</t>
  </si>
  <si>
    <t>Roest, Christian; Yakar, Derya; Sitar, Dorjan Ivan Rener; Bosma, Joeran S.; Rouw, Dennis B.; Fransen, Stefan Johannes; Huisman, Henkjan; Kwee, Thomas C.</t>
  </si>
  <si>
    <t>Roest, C (corresponding author), Univ Med Ctr Groningen, Med Imaging Ctr, Dept Radiol, Hanzepl 1, NL-9713 GZ Groningen, Netherlands.</t>
  </si>
  <si>
    <t>d.b.rouw@mzh.nl; d.yakar@umcg.nl; d.i.rener.sitar@umcg.nl; t.c.kwee@umcg.nl; joeran.bosma@radboudumc.nl; henkjan.huisman@radboudumc.nl; c.roest@umcg.nl; s.j.fransen@umcg.nl</t>
  </si>
  <si>
    <t>[Roest, Christian; Yakar, Derya; Sitar, Dorjan Ivan Rener; Fransen, Stefan Johannes; Kwee, Thomas C.] Univ Med Ctr Groningen, Med Imaging Ctr, Dept Radiol, Hanzepl 1, NL-9713 GZ Groningen, Netherlands; [Yakar, Derya] Netherlands Canc Ctr Antoni van Leeuwenhoek, Dept Radiol, Amsterdam, Netherlands; [Bosma, Joeran S.; Huisman, Henkjan] Radboud Univ Nijmegen Med Ctr, Dept Radiol, Nijmegen, Netherlands; [Rouw, Dennis B.] Martini Ziekenhuis Groningen, Dept Radiol, Groningen, Netherlands</t>
  </si>
  <si>
    <t>University of Groningen; Radboud University Nijmegen; Martini Hospital</t>
  </si>
  <si>
    <t>Multimodal AI Combining Clinical and Imaging Inputs Improves Prostate Cancer Detection</t>
  </si>
  <si>
    <t>INVESTIGATIVE RADIOLOGY</t>
  </si>
  <si>
    <t>artificial intelligence; magnetic resonance imaging; prostate cancer</t>
  </si>
  <si>
    <t>INTERNATIONAL SOCIETY</t>
  </si>
  <si>
    <t>Fransen, Stefan J/JHU-2962-2023; Roest, Christian/PRQ-7877-2026; Yakar, Derya/AER-2388-2022; Bosma, Joeran S/KHW-0489-2024; Huisman, Henkjan/A-6775-2012</t>
  </si>
  <si>
    <t>Fransen, Stefan J/0000-0002-5454-5052; Roest, Christian/0000-0002-3575-4465; Yakar, Derya/0000-0002-4920-9441; Bosma, Joeran S/0000-0002-6315-124X; Huisman, Henkjan/0000-0001-6753-3221</t>
  </si>
  <si>
    <t>0020-9996</t>
  </si>
  <si>
    <t>1536-0210</t>
  </si>
  <si>
    <t>INVEST RADIOL</t>
  </si>
  <si>
    <t>Invest. Radiol.</t>
  </si>
  <si>
    <t>854</t>
  </si>
  <si>
    <t>860</t>
  </si>
  <si>
    <t>10.1097/RLI.0000000000001102</t>
  </si>
  <si>
    <t>http://dx.doi.org/10.1097/RLI.0000000000001102</t>
  </si>
  <si>
    <t>L5F2L</t>
  </si>
  <si>
    <t>39074400</t>
  </si>
  <si>
    <t>WOS:001350965200001</t>
  </si>
  <si>
    <t>Qin, YY; Chang, JM; Li, L; Wu, MH</t>
  </si>
  <si>
    <t>Introduction Advancements in artificial intelligence (AI) and large language models (LLMs) have the potential to revolutionize digestive endoscopy by enhancing diagnostic accuracy, improving procedural efficiency, and supporting clinical decision-making. Traditional AI-assisted endoscopic systems often rely on single-modal image analysis, which lacks contextual understanding and adaptability to complex gastrointestinal (GI) conditions. Moreover, existing methods struggle with domain shifts, data heterogeneity, and interpretability, limiting their clinical applicability.Methods To address these challenges, we propose a multimodal learning framework that integrates LLM-powered chatbots with endoscopic imaging and patient-specific medical data. Our approach employs self-supervised learning to extract clinically relevant patterns from heterogeneous sources, enabling real-time guidance and AI-assisted report generation. We introduce a domain-adaptive learning strategy to enhance model generalization across diverse patient populations and imaging conditions.Results and discussion Experimental results on multiple GI datasets demonstrate that our method significantly improves lesion detection, reduces diagnostic variability, and enhances physician-AI collaboration. This study highlights the potential of multimodal LLM-based systems in advancing gastroenterology by providing interpretable, context-aware, and adaptable AI support in digestive endoscopy.</t>
  </si>
  <si>
    <t>Qin, Yuanyuan; Chang, Jianming; Li, Li; Wu, Mianhua</t>
  </si>
  <si>
    <t>Wu, MH (corresponding author), Nanjing Univ Chinese Med, Clin Med Coll 1, Nanjing, Peoples R China.; Wu, MH (corresponding author), Nanjing Univ Chinese Med, Jiangsu Collaborat Innovat Ctr Tradit Chinese Med, Prevent &amp; Treatment Tumor, Nanjing, Peoples R China.</t>
  </si>
  <si>
    <t>110113@njucm.edu.cn</t>
  </si>
  <si>
    <t>National Natural Science Foundation of China [81774266]; Second National Famous Traditional Chinese Medicine Practitioner Inheritance Workshop [245]; Wu Mianhua National Famous Elderly Chinese Medicine Experts Inheritance Workshop [75]; Wu Mianhua Jiangsu Famous Elderly Chinese Medicine Experts Inheritance Workshop [7]; Seventh Batch of National Old Chinese Medicine Experts' Academic Experience Inheritance Work Program of the State Administration of Traditional Chinese Medicine (SATCM) [76]; Graduate Student Research and Practice Innovation Program in Jiangsu Province [SJCX23_0875]</t>
  </si>
  <si>
    <t>National Natural Science Foundation of China (National Natural Science Foundation of China (NSFC)); Second National Famous Traditional Chinese Medicine Practitioner Inheritance Workshop; Wu Mianhua National Famous Elderly Chinese Medicine Experts Inheritance Workshop; Wu Mianhua Jiangsu Famous Elderly Chinese Medicine Experts Inheritance Workshop; Seventh Batch of National Old Chinese Medicine Experts' Academic Experience Inheritance Work Program of the State Administration of Traditional Chinese Medicine (SATCM); Graduate Student Research and Practice Innovation Program in Jiangsu Province</t>
  </si>
  <si>
    <t>The author(s) declare that financial support was received for the research and/or publication of this article. This work was supported by the National Natural Science Foundation of China [grant number 81774266], the Second National Famous Traditional Chinese Medicine Practitioner Inheritance Workshop [grant number National Office of Traditional Chinese Medicine Human Education Letter (2022) No. 245], Wu Mianhua National Famous Elderly Chinese Medicine Experts Inheritance Workshop [grant number National Traditional Chinese Medicine Human Education Letter (2022) No. 75], Wu Mianhua Jiangsu Famous Elderly Chinese Medicine Experts Inheritance Workshop [grant number Jiangsu Chinese Medicine Science and Education (2021) No. 7], the Seventh Batch of National Old Chinese Medicine Experts' Academic Experience Inheritance Work Program of the State Administration of Traditional Chinese Medicine (SATCM) [grant number National TCM Human Education Letter (2022) No. 76], and the Graduate Student Research and Practice Innovation Program in Jiangsu Province [grant number SJCX23_0875].</t>
  </si>
  <si>
    <t>[Qin, Yuanyuan; Li, Li; Wu, Mianhua] Nanjing Univ Chinese Med, Clin Med Coll 1, Nanjing, Peoples R China; [Qin, Yuanyuan; Li, Li; Wu, Mianhua] Nanjing Univ Chinese Med, Jiangsu Collaborat Innovat Ctr Tradit Chinese Med, Prevent &amp; Treatment Tumor, Nanjing, Peoples R China; [Chang, Jianming] Southeast Univ, Sch Comp Sci &amp; Engn, Nanjing, Peoples R China</t>
  </si>
  <si>
    <t>Nanjing University of Chinese Medicine; Nanjing University of Chinese Medicine; Southeast University - China</t>
  </si>
  <si>
    <t>Enhancing gastroenterology with multimodal learning: the role of large language model chatbots in digestive endoscopy</t>
  </si>
  <si>
    <t>multimodal learning; large language models; digestive endoscopy; AI-assisted diagnosis; domain adaptation</t>
  </si>
  <si>
    <t>REPRESENTATIONS; TRANSFORMER</t>
  </si>
  <si>
    <t>MAY 21 2025</t>
  </si>
  <si>
    <t>1583514</t>
  </si>
  <si>
    <t>10.3389/fmed.2025.1583514</t>
  </si>
  <si>
    <t>http://dx.doi.org/10.3389/fmed.2025.1583514</t>
  </si>
  <si>
    <t>3MH0A</t>
  </si>
  <si>
    <t>40470039</t>
  </si>
  <si>
    <t>WOS:001503726400001</t>
  </si>
  <si>
    <t>Bjartell, A; Krzyzanowska, A; Liu, VYT; Tierney, M; Royce, TJ; Sjöström, M; Palominos-Rivera, MM; Chen, E; Kraft, A; Esteva, A; Feng, FY</t>
  </si>
  <si>
    <t>Purpose: A multimodal artificial intelligence (MMAI) biomarker was developed using clinical trial data from North American men with localized prostate cancer treated with definitive radiation, using biopsy digital pathology images and key clinical information (age, PSA, and T-stage) to generate prognostic scores. This study externally validates the biomarker in a prospective, real-world dataset of men who underwent radical prostatectomy (RP) for localized prostate cancer at a tertiary referral center in Sweden. Experimental Design: Association between the MMAI scores (continuous and categorical) and endpoints of interest was assessed with Fine-Gray and cumulative incidence analyses for biochemical recurrence (BCR) and logistic regression for adverse pathology (AP) at RP. Results: The analysis included 143 patients with evaluable biopsy pathology images and complete clinical data to generate MMAI scores. The median follow-up was 8.8 years. At diagnosis, the median PSA was 7.5 ng/mL, the median age was 64 years, 29% had a Gleason grade group &gt;= 3, and 88 men were evaluable for AP at RP. MMAI was significantly associated with BCR [subdistribution HR, 2.45; 95% confidence interval (CI), 1.77-3.38; P &lt; 0.001] and AP at RP (OR, 4.85; 95% CI, 2.54-10.78; P &lt; 0.001). Estimated 5-year BCR rates for MMAI intermediate to high versus low were 25% (95% CI, 16%-36%) versus 4% (95% CI, 1%-11%), respectively. Conclusions: The MMAI biomarker, previously shown to be prognostic for distant metastasis and prostate cancer-specific mortality in men receiving definitive radiation, was prognostic for post-RP endpoints: BCR and AP. This biomarker validation study further supports the use of MMAI biomarkers in men with prostate cancer outside North America and those treated with RP.</t>
  </si>
  <si>
    <t>Bjartell, Anders; Krzyzanowska, Agnieszka; Liu, Vinnie Y. T.; Tierney, Meghan; Royce, Trevor J.; Sjostrom, Martin; Palominos-Rivera, Marisol Macarena; Chen, Emmalyn; Kraft, Alexandra; Esteva, Andre; Feng, Felix Y.</t>
  </si>
  <si>
    <t>Bjartell, A (corresponding author), Skane Univ Hosp, Dept Urol, Jan Waldenstromsgata 5, S-20502 Malmo, Sweden.</t>
  </si>
  <si>
    <t>anders.bjartell@med.lu.se</t>
  </si>
  <si>
    <t>Swedish Cancer Society; Swedish Scientific Council (Vetenskapsradet); Research Funds at Skane University Hospital; Governmental Funding through The Faculty of Medicine, Lund University [2018/810, 2022/0105]</t>
  </si>
  <si>
    <t>Swedish Cancer Society (Cancerfondon); Swedish Scientific Council (Vetenskapsradet); Research Funds at Skane University Hospital; Governmental Funding through The Faculty of Medicine, Lund University</t>
  </si>
  <si>
    <t>This study was funded by grants to A. Bjartell from The Swedish Cancer Society (Cancerfonden #2018/522 and #2021/1629), Swedish Scientific Council (Vetenskapsradet, #2020-02017 and 2023-02671), The Research Funds at Skane University Hospital, and The Governmental Funding through The Faculty of Medicine, Lund University (contract number 2018/810 and 2022/0105). The authors would like to thank Kristina Ekstroem-Holka for help with the scanning of the slides and Anna Holst, Anna Stiehm, Emelie Winell, Suzy Lindberg, Annica Loefgren, and asa Andersson for help with patient clinical information collection.</t>
  </si>
  <si>
    <t>[Bjartell, Anders] Skane Univ Hosp, Dept Urol, Jan Waldenstromsgata 5, S-20502 Malmo, Sweden; [Bjartell, Anders; Krzyzanowska, Agnieszka; Palominos-Rivera, Marisol Macarena] Lund Univ, Dept Translat Med, Lund, Sweden; [Liu, Vinnie Y. T.; Tierney, Meghan; Royce, Trevor J.; Chen, Emmalyn; Kraft, Alexandra; Esteva, Andre] Artera Inc, Los Altos, CA USA; [Sjostrom, Martin] Lund Univ, Dept Clin Sci, Lund, Sweden; [Sjostrom, Martin] Skane Univ Hosp, Dept Haematol Oncol &amp; Radiat Phys, Lund, Sweden; [Feng, Felix Y.] Univ Calif San Francisco, San Francisco, CA USA</t>
  </si>
  <si>
    <t>Lund University; Skane University Hospital; Lund University; Lund University; Lund University; Skane University Hospital; University of California System; University of California San Francisco</t>
  </si>
  <si>
    <t>Validation of a Digital Pathology-Based Multimodal Artificial Intelligence Biomarker in a Prospective, Real-World Prostate Cancer Cohort Treated with Prostatectomy</t>
  </si>
  <si>
    <t>CLINICAL CANCER RESEARCH</t>
  </si>
  <si>
    <t>Sjöström, Martin/AAO-5204-2020</t>
  </si>
  <si>
    <t>krzyzanowska, agnieszka/0000-0002-1288-7054; Bjartell, Anders/0000-0002-5761-3786; Tierney, Meghan/0000-0003-4918-2370; Sjöström, Martin/0000-0002-2629-9966</t>
  </si>
  <si>
    <t>AMER ASSOC CANCER RESEARCH</t>
  </si>
  <si>
    <t>615 CHESTNUT ST, 17TH FLOOR, PHILADELPHIA, PA 19106-4404 USA</t>
  </si>
  <si>
    <t>1078-0432</t>
  </si>
  <si>
    <t>1557-3265</t>
  </si>
  <si>
    <t>CLIN CANCER RES</t>
  </si>
  <si>
    <t>Clin. Cancer Res.</t>
  </si>
  <si>
    <t>1546</t>
  </si>
  <si>
    <t>1553</t>
  </si>
  <si>
    <t>10.1158/1078-0432.CCR-24-3656</t>
  </si>
  <si>
    <t>http://dx.doi.org/10.1158/1078-0432.CCR-24-3656</t>
  </si>
  <si>
    <t>1JA1C</t>
  </si>
  <si>
    <t>39983011</t>
  </si>
  <si>
    <t>WOS:001466175600001</t>
  </si>
  <si>
    <t>Rai, HM; Yoo, J; Agarwal, S; Agarwal, N</t>
  </si>
  <si>
    <t>Breast cancer ranks as the second most prevalent cancer globally and is the most frequently diagnosed cancer among women; therefore, early, automated, and precise detection is essential. Most AI-based techniques for breast cancer detection are complex and have high computational costs. Hence, to overcome this challenge, we have presented the innovative LightweightUNet hybrid deep learning (DL) classifier for the accurate classification of breast cancer. The proposed model boasts a low computational cost due to its smaller number of layers in its architecture, and its adaptive nature stems from its use of depth-wise separable convolution. We have employed a multimodal approach to validate the model's performance, using 13,000 images from two distinct modalities: mammogram imaging (MGI) and ultrasound imaging (USI). We collected the multimodal imaging datasets from seven different sources, including the benchmark datasets DDSM, MIAS, INbreast, BrEaST, BUSI, Thammasat, and HMSS. Since the datasets are from various sources, we have resized them to the uniform size of 256 x 256 pixels and normalized them using the Box-Cox transformation technique. Since the USI dataset is smaller, we have applied the StyleGAN3 model to generate 10,000 synthetic ultrasound images. In this work, we have performed two separate experiments: the first on a real dataset without augmentation and the second on a real + GAN-augmented dataset using our proposed method. During the experiments, we used a 5-fold cross-validation method, and our proposed model obtained good results on the real dataset (87.16% precision, 86.87% recall, 86.84% F1-score, and 86.87% accuracy) without adding any extra data. Similarly, the second experiment provides better performance on the real + GAN-augmented dataset (96.36% precision, 96.35% recall, 96.35% F1-score, and 96.35% accuracy). This multimodal approach, which utilizes LightweightUNet, enhances the performance by 9.20% in precision, 9.48% in recall, 9.51% in F1-score, and a 9.48% increase in accuracy on the combined dataset. The LightweightUNet model we proposed works very well thanks to a creative network design, adding fake images to the data, and a multimodal training method. These results show that the model has a lot of potential for use in clinical settings.</t>
  </si>
  <si>
    <t>Rai, Hari Mohan; Yoo, Joon; Agarwal, Saurabh; Agarwal, Neha</t>
  </si>
  <si>
    <t>Yoo, J (corresponding author), Gachon Univ, Sch Comp, Seongnam 13120, South Korea.; Agarwal, S (corresponding author), Yeungnam Univ, Dept Informat &amp; Commun Engn, Gyongsan 38541, South Korea.; Agarwal, N (corresponding author), Yeungnam Univ, Sch Chem Engn, Gyongsan 38541, South Korea.</t>
  </si>
  <si>
    <t>drhmrai@gachon.ac.kr; joon.yoo@gachon.ac.kr; saurabhnsit2510@gmail.com; cheneha9@yu.ac.kr</t>
  </si>
  <si>
    <t>[Rai, Hari Mohan; Yoo, Joon] Gachon Univ, Sch Comp, Seongnam 13120, South Korea; [Agarwal, Saurabh] Yeungnam Univ, Dept Informat &amp; Commun Engn, Gyongsan 38541, South Korea; [Agarwal, Neha] Yeungnam Univ, Sch Chem Engn, Gyongsan 38541, South Korea</t>
  </si>
  <si>
    <t>Gachon University; Yeungnam University; Yeungnam University</t>
  </si>
  <si>
    <t>LightweightUNet: Multimodal Deep Learning with GAN-Augmented Imaging Data for Efficient Breast Cancer Detection</t>
  </si>
  <si>
    <t>LightweightUNet; breast cancer detection; multimodal approach; GAN-augmentation; synthetic dataset generation; deep learning; lightweight architecture</t>
  </si>
  <si>
    <t>Rai, Hari Mohan/L-8104-2015; Agarwal, Saurabh/AAC-5460-2020</t>
  </si>
  <si>
    <t>Rai, Hari Mohan/0000-0003-2557-3510; Yoo, Joon/0000-0002-9520-5855</t>
  </si>
  <si>
    <t>73</t>
  </si>
  <si>
    <t>10.3390/bioengineering12010073</t>
  </si>
  <si>
    <t>http://dx.doi.org/10.3390/bioengineering12010073</t>
  </si>
  <si>
    <t>T4H0C</t>
  </si>
  <si>
    <t>39851348</t>
  </si>
  <si>
    <t>WOS:001404623900001</t>
  </si>
  <si>
    <t>Sun, XY; Guan, SY; Wu, LM; Zhang, TY; Ying, L</t>
  </si>
  <si>
    <t>Making the accurate prediction of Major Adverse Cardiovascular Events (MACE) in End-Stage Renal Disease (ESRD) patients is crucial for early intervention and clinical management. Traditional methods for MACE prediction are limited by measurement precision and annotation difficulties, resulting in inherent uncertainties in prediction accuracy. To address these challenges, this paper proposes an automatic multimodal deep learning framework that integrates clinical data, patient history, and cardiac magnetic resonance imaging (MRI) data to precisely predict the probability of MACE in ESRD patient occurrence. The system employs automatic seed generation and region localization on 2D slices, followed by 3D convolutional neural networks (CNNs) to extract both local and global features. Additionally, it incorporates clinical test indicators and medical history data, optimizing the weight distribution among features through a gating mechanism. This approach significantly enhances the accuracy and efficiency of MACE in ESRD patient prediction, demonstrating excellent performance on the dataset composed of 176 cardiovascular cases, with an average accuracy of 0.82 in five-fold cross-validation. It is capable of processing large-scale data without requiring physician involvement in labeling, offering substantial potential for clinical application.</t>
  </si>
  <si>
    <t>Sun, Xinyue; Guan, Siyu; Wu, Lianming; Zhang, Tianyi; Ying, Liang</t>
  </si>
  <si>
    <t>Zhang, TY; Ying, L (corresponding author), Shanghai Jiao Tong Univ, Ren Ji Hosp, Sch Med, Shanghai 200127, Peoples R China.</t>
  </si>
  <si>
    <t>schistosoma@126.com; zhangtianyi@renji.com</t>
  </si>
  <si>
    <t>Science and Technology Commission of Shanghai Municipality [24YF2725200]</t>
  </si>
  <si>
    <t>Science and Technology Commission of Shanghai Municipality (Science &amp; Technology Commission of Shanghai Municipality (STCSM))</t>
  </si>
  <si>
    <t>This work was supported by the Science and Technology Commission of Shanghai Municipality [grant numbers 24YF2725200]. This work was approved by the Ethics Committee of Ren Ji Hospital (Approval No. LY2023-176-B).</t>
  </si>
  <si>
    <t>[Sun, Xinyue; Guan, Siyu] Shanghai Jiao Tong Univ, Shanghai 200240, Peoples R China; [Wu, Lianming; Zhang, Tianyi; Ying, Liang] Shanghai Jiao Tong Univ, Ren Ji Hosp, Sch Med, Shanghai 200127, Peoples R China</t>
  </si>
  <si>
    <t>A multimodal deep learning framework for automated major adverse cardiovascular events prediction in patients with end-stage renal disease integrating clinical and cardiac MRI data</t>
  </si>
  <si>
    <t>ESRD; MACE; CNN; Multimodal Deep Learning; Automated Segmentation</t>
  </si>
  <si>
    <t>CHRONIC KIDNEY-DISEASE; BLOOD-PRESSURE; HEART-DISEASE; DEATH; RISK</t>
  </si>
  <si>
    <t>102998</t>
  </si>
  <si>
    <t>10.1016/j.displa.2025.102998</t>
  </si>
  <si>
    <t>http://dx.doi.org/10.1016/j.displa.2025.102998</t>
  </si>
  <si>
    <t>Y8A5X</t>
  </si>
  <si>
    <t>WOS:001434283900001</t>
  </si>
  <si>
    <t>Bai, ZL; Osman, M; Brendel, M; Tangen, CM; Flaig, TW; Thompson, IM; Plets, M; Lucia, MS; Theodorescu, D; Gustafson, D; Daneshmand, S; Meeks, JJ; Choi, W; Dinney, CPN; Elemento, O; Lerner, SP; Mcconkey, DJ; Faltas, BM; Wang, F</t>
  </si>
  <si>
    <t>Building accurate prediction models and identifying predictive biomarkers for treatment response in Muscle-Invasive Bladder Cancer (MIBC) are essential for improving patient survival but remain challenging due to tumor heterogeneity, despite numerous related studies. To address this unmet need, we developed an interpretable Graph-based Multimodal Late Fusion (GMLF) deep learning framework. Integrating histopathology and cell type data from standard H&amp;E images with gene expression profiles derived from RNA sequencing from the SWOG S1314-COXEN clinical trial (ClinicalTrials.gov NCT02177695 2014-06-25), GMLF uncovered new histopathological, cellular, and molecular determinants of response to neoadjuvant chemotherapy. Specifically, we identified key gene signatures that drive the predictive power of our model, including alterations in TP63, CCL5, and DCN. Our discovery can optimize treatment strategies for patients with MIBC, e.g., improving clinical outcomes, avoiding unnecessary treatment, and ultimately, bladder preservation. Additionally, our approach could be used to uncover predictors for other cancers.</t>
  </si>
  <si>
    <t>Bai, Zilong; Osman, Mohamed; Brendel, Matthew; Tangen, Catherine M.; Flaig, Thomas W.; Thompson, Ian M.; Plets, Melissa; Scott Lucia, M.; Theodorescu, Dan; Gustafson, Daniel; Daneshmand, Siamak; Meeks, Joshua J.; Choi, Woonyoung; Dinney, Colin P. N.; Elemento, Olivier; Lerner, Seth P.; Mcconkey, David J.; Faltas, Bishoy M.; Wang, Fei</t>
  </si>
  <si>
    <t>Faltas, BM; Wang, F (corresponding author), Weill Cornell Med, New York, NY 10065 USA.</t>
  </si>
  <si>
    <t>few2001@med.cornell.edu; bmf9003@med.cornell.edu</t>
  </si>
  <si>
    <t>NIH/NCI grants [U10CA180888, U10CA180819]; National Institutes of Health (NIH) / National Cancer Institute (NCI) [1750326]; National Science Foundation</t>
  </si>
  <si>
    <t>NIH/NCI grants; National Institutes of Health (NIH) / National Cancer Institute (NCI) (United States Department of Health &amp; Human Services, National Institutes of Health (NIH) - USA, NIH National Cancer Institute (NCI)); National Science Foundation (National Science Foundation (NSF))</t>
  </si>
  <si>
    <t>This work is supported by the National Institutes of Health (NIH) / National Cancer Institute (NCI) under Award Nos. U10CA180888 and U10CA180819. It is also supported by the National Science Foundation under Award No. 1750326.</t>
  </si>
  <si>
    <t>[Bai, Zilong; Osman, Mohamed; Brendel, Matthew; Elemento, Olivier; Faltas, Bishoy M.; Wang, Fei] Weill Cornell Med, New York, NY 10065 USA; [Tangen, Catherine M.; Plets, Melissa] SWOG Stat &amp; Data Management Ctr, Seattle, WA USA; [Flaig, Thomas W.; Scott Lucia, M.; Gustafson, Daniel] Univ Colorado, Comprehens Canc Ctr, Aurora, CO USA; [Thompson, Ian M.] Childrens Hosp San Antonio, San Antonio, TX USA; [Theodorescu, Dan] Cedars Sinai Canc, Los Angeles, CA USA; [Daneshmand, Siamak] USC Norris Comprehens Canc Ctr, USC Inst Urol, Los Angeles, CA USA; [Meeks, Joshua J.] Northwestern Univ, Chicago, IL USA; [Choi, Woonyoung; Mcconkey, David J.] Johns Hopkins Univ, Baltimore, MD USA; [Dinney, Colin P. N.] MD Anderson Canc Ctr, Houston, TX USA; [Lerner, Seth P.] Baylor Coll Med, Houston, TX USA</t>
  </si>
  <si>
    <t>Cornell University; Weill Cornell Medicine; Southwest Oncology Group; University of Colorado System; University of Colorado Anschutz; University of Southern California; University Southern California Hospital; Northwestern University; Johns Hopkins University; University of Texas System; UTMD Anderson Cancer Center; Baylor College of Medicine</t>
  </si>
  <si>
    <t>Predicting response to neoadjuvant chemotherapy in muscle-invasive bladder cancer via interpretable multimodal deep learning</t>
  </si>
  <si>
    <t>CISPLATIN-BASED CHEMOTHERAPY; DNA-REPAIR; UROTHELIAL CARCINOMA; RADICAL CYSTECTOMY; CELL CARCINOMA; RESISTANCE; HETEROGENEITY; SENSITIVITY; PROGRESSION; EXPRESSION</t>
  </si>
  <si>
    <t>Faltas, Bishoy/J-5739-2019; Osman, Mohamed/AAY-2930-2021; Elemento, Olivier/ADL-3192-2022; Daneshmand, Siamak/AAU-2357-2020; Wang, Fei/HRA-7319-2023</t>
  </si>
  <si>
    <t>Osman, Mohamed/0000-0002-7909-0621; Bai, Zilong/0000-0002-3891-8015</t>
  </si>
  <si>
    <t>MAR 22 2025</t>
  </si>
  <si>
    <t>174</t>
  </si>
  <si>
    <t>10.1038/s41746-025-01560-y</t>
  </si>
  <si>
    <t>http://dx.doi.org/10.1038/s41746-025-01560-y</t>
  </si>
  <si>
    <t>1MF3Z</t>
  </si>
  <si>
    <t>40121304</t>
  </si>
  <si>
    <t>WOS:001468348700001</t>
  </si>
  <si>
    <t>Jiang, JM; Fan, ZY; Jiang, S; Chen, X; Guo, HY; Dong, SY; Jiang, TA</t>
  </si>
  <si>
    <t>Purpose To address heterogeneity in prostate cancer (PCa) pathological grading, we developed an interpretable multimodal fusion model integrating F-18 prostate-specific membrane antigen (F-18-PSMA)-targeted positron emission tomography/computed tomography (F-18-PSMA-PET/CT) imaging features with clinical variables for predicting post-surgical ISUP grade (psISUP &gt;= 4 vs. &lt; 4). Methods This retrospective study analyzed 222 patients with PCa (2020-2024) undergoing F-18-PSMA PET/CT. We constructed a deep transfer learning framework incorporating radiomic features from PET/CT and clinical parameters. Model performance was validated against three established methods and preoperative biopsy Gleason scores. Additionally, SHapley Additive exPlanations (SHAP) values elucidated feature contributions, and a radiomic nomogram was developed for clinical translation. Results The fusion model achieved superior discrimination in psISUP grading (test set area under the curve (AUC) = 0.850, 95% confidence interval [CI] 0.769-0.932; validation set AUC = 0.833, 95% CI 0.657-1.000), significantly outperforming preoperative Gleason scores. SHAP analysis identified PSMA uptake heterogeneity and PSA density as key predictive features. The nomogram demonstrated clinical interpretability through visualised risk stratification. Conclusion Our deep learning-based multimodal fusion model enables accurate preoperative prediction of aggressive PCa pathology (ISUP &gt;= 4), potentially optimising surgical planning and personalised therapeutic strategies. The interpretable framework enhances clinical trustworthiness in artificial intelligence-assisted decision-making.</t>
  </si>
  <si>
    <t>Jiang, Jiamei; Fan, Zhiyan; Jiang, Shen; Chen, Xia; Guo, Hongyu; Dong, Shuangyong; Jiang, Tianan</t>
  </si>
  <si>
    <t>Jiang, TA (corresponding author), Zhejiang Univ, Sch Med, Affiliated Hosp 1, Dept Ultrasound Med, Hangzhou 310003, Peoples R China.; Dong, SY (corresponding author), West Lake Univ, Dept Emergency, Hangzhou Peoples Hosp 1, Hangzhou 310006, Zhejiang, Peoples R China.</t>
  </si>
  <si>
    <t>tiananjiang@zju.edu.cn; dsy771015@126.com</t>
  </si>
  <si>
    <t>Key Research and Development Program of Zhejiang Province; National Natural Science Foundation of China; Zhejiang Provincial Natural Science Foundation</t>
  </si>
  <si>
    <t>Key Research and Development Program of Zhejiang Province; National Natural Science Foundation of China (National Natural Science Foundation of China (NSFC)); Zhejiang Provincial Natural Science Foundation (Natural Science Foundation of Zhejiang Province)</t>
  </si>
  <si>
    <t>We appreciate the OnekeyAI platform and its developers, as well as all of the individuals who participated in these studies and each of the researchers and technicians who made this work possible. We also extend our thanks to the National Natural Science Foundation of China and the Zhejiang Provincial Natural Science Foundation for their financial support of this project.</t>
  </si>
  <si>
    <t>[Jiang, Jiamei; Jiang, Tianan] Zhejiang Univ, Sch Med, Affiliated Hosp 1, Dept Ultrasound Med, Hangzhou 310003, Peoples R China; [Fan, Zhiyan; Dong, Shuangyong] West Lake Univ, Dept Emergency, Hangzhou Peoples Hosp 1, Hangzhou 310006, Zhejiang, Peoples R China; [Jiang, Shen] Jilin Canc Hosp, Dept Urol, Changchun 130021, Jilin, Peoples R China; [Chen, Xia] Zhejiang Univ, Sch Med, Affiliated Hosp 1, Dept Nucl Med, Hangzhou 310003, Peoples R China; [Guo, Hongyu] Zhejiang Univ, Sch Med, Affiliated Hosp 1, Dept Radiol, Hangzhou 310003, Peoples R China</t>
  </si>
  <si>
    <t>Zhejiang University; Zhejiang University; Zhejiang University</t>
  </si>
  <si>
    <t>Interpretable multimodal deep learning model for predicting post-surgical international society of urological pathology grade in primary prostate cancer</t>
  </si>
  <si>
    <t>EUROPEAN JOURNAL OF NUCLEAR MEDICINE AND MOLECULAR IMAGING</t>
  </si>
  <si>
    <t>Radiomics; PSMA; ISUP grade; Prostate cancer; Deep learning; SHAP</t>
  </si>
  <si>
    <t>SEGMENTATION; IMAGES; FCN</t>
  </si>
  <si>
    <t>1619-7070</t>
  </si>
  <si>
    <t>1619-7089</t>
  </si>
  <si>
    <t>EUR J NUCL MED MOL I</t>
  </si>
  <si>
    <t>Eur. J. Nucl. Med. Mol. Imaging</t>
  </si>
  <si>
    <t>3730</t>
  </si>
  <si>
    <t>3743</t>
  </si>
  <si>
    <t>10.1007/s00259-025-07248-5</t>
  </si>
  <si>
    <t>http://dx.doi.org/10.1007/s00259-025-07248-5</t>
  </si>
  <si>
    <t>5QI0E</t>
  </si>
  <si>
    <t>40183953</t>
  </si>
  <si>
    <t>WOS:001459795500001</t>
  </si>
  <si>
    <t>Barua, S; Bahre, R; Hong, GY</t>
  </si>
  <si>
    <t>Pre-hospital emergency wound care is time-critical and often constrained by limited connectivity, mobility, and access to trained medical personnel. This article presents a communication-aware edge-intelligent framework for emergency wound assessment and first-aid guidance within smart ambulance Internet of Medical Things (IoMT) networks. The proposed system integrates on-device computer vision for wound detection and anatomical localization with a locally hosted large language model (LLM) for safety-aligned, step-by-step first-aid guidance. Smartphone-captured images are processed entirely on edge devices, enabling offline operation under intermittent or unavailable network conditions. Privacy-preserving federated learning is incorporated as a background mechanism to support distributed model improvement across smart ambulances without sharing raw data. Experimental evaluation on diverse smartphone- captured wound images demonstrates the feasibility of deploying the framework on edge devices under realistic emergency imaging conditions. The article further examines system architecture, communication-aware data flow, and deployment considerations for 5G/6G-enabled smart ambulance systems.</t>
  </si>
  <si>
    <t>Barua, Sumit; Bahre, Ruth; Hong, Guan Yue</t>
  </si>
  <si>
    <t>Barua, S (corresponding author), Western Michigan Univ, Dept Comp Sci, Kalamazoo, MI 49008 USA.</t>
  </si>
  <si>
    <t>sumit.barua@wmich.edu</t>
  </si>
  <si>
    <t>[Barua, Sumit; Hong, Guan Yue] Western Michigan Univ, Dept Comp Sci, Kalamazoo, MI 49008 USA; [Bahre, Ruth] Western Michigan Univ, Dept Elect &amp; Comp Engn, Kalamazoo, MI USA</t>
  </si>
  <si>
    <t>Western Michigan University; Western Michigan University</t>
  </si>
  <si>
    <t>Edge-Enabled Explainable Multimodal AI for Emergency Wound Assessment in Smart Ambulance IoMT Networks</t>
  </si>
  <si>
    <t>IEEE COMMUNICATIONS MAGAZINE</t>
  </si>
  <si>
    <t>Modeling; Wounds; Smart phones; Artificial intelligence; Large language models; Hospitals; Safety; Timing; Design methodology; Architecture</t>
  </si>
  <si>
    <t>COMMUNICATION</t>
  </si>
  <si>
    <t>Barua, Sumit/QOA-7963-2026</t>
  </si>
  <si>
    <t>0163-6804</t>
  </si>
  <si>
    <t>1558-1896</t>
  </si>
  <si>
    <t>IEEE COMMUN MAG</t>
  </si>
  <si>
    <t>IEEE Commun. Mag.</t>
  </si>
  <si>
    <t>10.1109/MCOM.001.2500767</t>
  </si>
  <si>
    <t>http://dx.doi.org/10.1109/MCOM.001.2500767</t>
  </si>
  <si>
    <t>Engineering, Electrical &amp; Electronic; Telecommunications</t>
  </si>
  <si>
    <t>Engineering; Telecommunications</t>
  </si>
  <si>
    <t>IA9IF</t>
  </si>
  <si>
    <t>WOS:001767351700001</t>
  </si>
  <si>
    <t>Nguyen, PBH; Garger, D; Lu, DY; Maalmi, H; Prokisch, H; Thorand, B; Adamski, J; Kastenmüller, G; Waldenberger, M; Gieger, C; Peters, A; Suhre, K; Bönhof, GJ; Rathmann, W; Roden, M; Grallert, H; Ziegler, D; Herder, C; Menden, MP</t>
  </si>
  <si>
    <t>Background Distal sensorimotor polyneuropathy (DSPN) is a common neurological disorder in elderly adults and people with obesity, prediabetes and diabetes and is associated with high morbidity and premature mortality. DSPN is a multifactorial disease and not fully understood yet. Methods Here, we developed the Interpretable Multimodal Machine Learning (IMML) framework for predicting DSPN prevalence and incidence based on sparse multimodal data. Exploiting IMMLs interpretability further empowered biomarker identification. We leveraged the population-based KORA F4/FF4 cohort including 1091 participants and their deep multimodal characterisation, i.e. clinical data, genomics, methylomics, transcriptomics, proteomics, inflammatory proteins and metabolomics. Results Clinical data alone is sufficient to stratify individuals with and without DSPN (AUROC = 0.752), whilst predicting DSPN incidence 6.5 +/- 0.2 years later strongly benefits from clinical data complemented with two or more molecular modalities (improved Delta AUROC &gt; 0.1, achieved AUROC of 0.714). Important and interpretable features of incident DSPN prediction include up-regulation of proinflammatory cytokines, down-regulation of SUMOylation pathway and essential fatty acids, thus yielding novel insights in the disease pathophysiology. Conclusions These may become biomarkers for incident DSPN, guide prevention strategies and serve as proof of concept for the utility of IMML in studying complex diseases.</t>
  </si>
  <si>
    <t>Nguyen, Phong B. H.; Garger, Daniel; Lu, Diyuan; Maalmi, Haifa; Prokisch, Holger; Thorand, Barbara; Adamski, Jerzy; Kastenmueller, Gabi; Waldenberger, Melanie; Gieger, Christian; Peters, Annette; Suhre, Karsten; Boenhof, Gidon J.; Rathmann, Wolfgang; Roden, Michael; Grallert, Harald; Ziegler, Dan; Herder, Christian; Menden, Michael P.</t>
  </si>
  <si>
    <t>Menden, MP (corresponding author), Helmholtz Munich, Inst Computat Biol, Munich, Germany.; Menden, MP (corresponding author), Ludwig Maximilians Univ Munchen, Dept Genet, Munich, Germany.; Herder, C; Menden, MP (corresponding author), German Ctr Diabet Res DZD, Neuherberg, Germany.; Herder, C (corresponding author), Heine Univ Dusseldorf, Inst Clin Diabetol, German Diabet Ctr, Leibniz Ctr Diabet Res Heinrich, D-40225 Dusseldorf, Germany.; Herder, C (corresponding author), Heinrich Heine Univ Dusseldorf, Med Fac, Dept Endocrinol &amp; Diabetol, D-40225 Dusseldorf, Germany.; Herder, C (corresponding author), Heinrich Heine Univ Dusseldorf, Univ Hosp Dusseldorf, D-40225 Dusseldorf, Germany.</t>
  </si>
  <si>
    <t>michael.menden@unimelb.edu.au; Christian.Herder@ddz.de</t>
  </si>
  <si>
    <t>Helmholtz Zentrum Muenchen-German Research Centre for Environmental Health; German Federal Ministry of Education and Research, State of Bavaria; Munich Centre of Health Sciences (MC-Health), Ludwig-Maximilians-Universitaet; Ministry of Culture and Science of the State of North Rhine-Westphalia; German Federal Ministry of Health</t>
  </si>
  <si>
    <t>The KORA study was initiated and financed by the Helmholtz Zentrum Muenchen-German Research Centre for Environmental Health, which is funded by the German Federal Ministry of Education and Research and by the State of Bavaria. Furthermore, KORA research was supported within the Munich Centre of Health Sciences (MC-Health), Ludwig-Maximilians-Universitaet, as part of LMUinnovativ. The German Diabetes Centre is supported by the Ministry of Culture and Science of the State of North Rhine-Westphalia and the German Federal Ministry of Health. This study was supported in part by a grant from the German Federal Ministry of Education and Research to the German Centre for Diabetes Research (DZD). The funders had no role in the study design, data collection and analysis, decision to publish, or preparation of the paper.</t>
  </si>
  <si>
    <t>[Nguyen, Phong B. H.; Garger, Daniel; Lu, Diyuan; Kastenmueller, Gabi; Menden, Michael P.] Helmholtz Munich, Inst Computat Biol, Munich, Germany; [Nguyen, Phong B. H.; Garger, Daniel; Menden, Michael P.] Ludwig Maximilians Univ Munchen, Dept Genet, Munich, Germany; [Nguyen, Phong B. H.; Maalmi, Haifa; Thorand, Barbara; Boenhof, Gidon J.; Rathmann, Wolfgang; Roden, Michael; Ziegler, Dan; Herder, Christian; Menden, Michael P.] German Ctr Diabet Res DZD, Neuherberg, Germany; [Maalmi, Haifa; Boenhof, Gidon J.; Roden, Michael; Ziegler, Dan; Herder, Christian] Heine Univ Dusseldorf, Inst Clin Diabetol, German Diabet Ctr, Leibniz Ctr Diabet Res Heinrich, D-40225 Dusseldorf, Germany; [Prokisch, Holger] Helmholtz Munich, Inst Neurogenom, D-85764 Neuherberg, Germany; [Prokisch, Holger] Tech Univ Munich, Inst Human Genet, D-81675 Munich, Germany; [Thorand, Barbara; Peters, Annette; Grallert, Harald] Helmholtz Munich, Inst Epidemiol, D-85764 Neuherberg, Germany; [Thorand, Barbara; Peters, Annette] Ludwig Maximilians Univ Munchen, Inst Med Informat Proc Biometry &amp; Epidemiol, D-81377 Munich, Germany; [Adamski, Jerzy] Helmholtz Munich, Inst Expt Genet, D-85764 Munich, Germany; [Adamski, Jerzy] Natl Univ Singapore, Yong Loo Lin Sch Med, Dept Biochem, Singapore 117597, Singapore; [Adamski, Jerzy] Univ Ljubljana, Inst Biochem, Fac Med, Ljubljana 1000, Slovenia; [Kastenmueller, Gabi] Helmholtz Munich, Inst Bioinformat &amp; Syst Biol, D-85764 Neuherberg, Germany; [Waldenberger, Melanie; Gieger, Christian; Grallert, Harald] Helmholtz Munich, Res Unit Mol Epidemiol, D-85764 Neuherberg, Germany; [Suhre, Karsten] Weill Cornell Med Qatar, Dept Physiol &amp; Biophys, Educ City, Doha 24144, Qatar; [Boenhof, Gidon J.; Roden, Michael; Ziegler, Dan; Herder, Christian] Heinrich Heine Univ Dusseldorf, Med Fac, Dept Endocrinol &amp; Diabetol, D-40225 Dusseldorf, Germany; [Boenhof, Gidon J.; Roden, Michael; Ziegler, Dan; Herder, Christian] Heinrich Heine Univ Dusseldorf, Univ Hosp Dusseldorf, D-40225 Dusseldorf, Germany; [Rathmann, Wolfgang] Heinrich Heine Univ Dusseldorf, Inst Biometr &amp; Epidemiol, German Diabet Ctr DDZ, Leibniz Ctr Diabet Res, Dusseldorf, Germany; [Menden, Michael P.] Univ Melbourne, Mol Sci &amp; Biotechnol Inst Bio21, Dept Biochem &amp; Pharmacol, Parkville, Vic, Australia</t>
  </si>
  <si>
    <t>University of Munich; German Center for Diabetes Research (DZD); Leibniz Association; Deutsches Diabetes-Zentrum (DDZ); Technical University of Munich; University of Munich; National University of Singapore; University of Ljubljana; Qatar Foundation (QF); Weill Cornell Medical College Qatar; Heinrich Heine University Dusseldorf; Heinrich Heine University Dusseldorf Hospital; Heinrich Heine University Dusseldorf; Heinrich Heine University Dusseldorf Hospital; Heinrich Heine University Dusseldorf; Leibniz Association; Deutsches Diabetes-Zentrum (DDZ); University of Melbourne</t>
  </si>
  <si>
    <t>Interpretable multimodal machine learning (IMML) framework reveals pathological signatures of distal sensorimotor polyneuropathy</t>
  </si>
  <si>
    <t>POPULATION; NEUROPATHY; KORA; INFLAMMATION; INTEGRATION; SEVERITY; PATHWAY; HEALTH; SET</t>
  </si>
  <si>
    <t>Suhre, Karsten/AAF-1778-2020; Grallert, Harald/B-3424-2013; Roden, Michael/AAD-3843-2019; Kastenmüller, Gabi/ABF-5987-2020; Prokisch, Holger/N-8964-2013; Menden, Michael/PTF-3169-2026; Thorand, Barbara/B-5349-2014; Waldenberger, Melanie/B-5355-2014; Peters, Annette/A-6117-2011; Maalmi, Haifa/AAU-7476-2021; Gieger, Christian/A-3083-2013</t>
  </si>
  <si>
    <t>Nguyen, Phong BH/0000-0002-0882-6208; Prokisch, Holger/0000-0003-2379-6286; Adamski, Jerzy/0000-0001-9259-0199; Thorand, Barbara/0000-0002-8416-6440; Peters, Annette/0000-0001-6645-0985</t>
  </si>
  <si>
    <t>DEC 16 2024</t>
  </si>
  <si>
    <t>265</t>
  </si>
  <si>
    <t>10.1038/s43856-024-00637-1</t>
  </si>
  <si>
    <t>http://dx.doi.org/10.1038/s43856-024-00637-1</t>
  </si>
  <si>
    <t>P7H0L</t>
  </si>
  <si>
    <t>39681608</t>
  </si>
  <si>
    <t>WOS:001379560500001</t>
  </si>
  <si>
    <t>Wu, XL; Li, MY; Cui, XW; Xu, GP</t>
  </si>
  <si>
    <t>Objective. The incidence of primary thyroid cancer has risen steadily over the past decades because of overdiagnosis and overtreatment through the improvement in imaging techniques for screening, especially in ultrasound examination. Metastatic status of lymph nodes is important for staging the type of primary thyroid cancer. Deep learning algorithms based on ultrasound images were thus developed to assist radiologists on the diagnosis of lymph node metastasis. The objective of this study is to integrate more clinical context (e.g., health records and various image modalities) into, and explore more interpretable patterns discovered by, deep learning algorithms for the prediction of lymph node metastasis in primary thyroid cancer patients. Approach. A deep multimodal learning network was developed in this study with a novel index proposed to compare the contribution of different modalities when making the predictions. Main results. The proposed multimodal network achieved an average F1 score of 0.888 and an average area under the receiver operating characteristic curve (AUC) value of 0.973 in two independent validation sets, and the performance was significantly better than that of three single-modality deep learning networks. Moreover, among three modalities used in this study, the deep multimodal learning network relied generally more on image modalities than the data modality of clinic records when making the predictions. Significance. Our work is beneficial to prospective clinic trials of radiologists on the diagnosis of lymph node metastasis in primary thyroid cancer, and will better help them understand how the predictions are made in deep multimodal learning algorithms.</t>
  </si>
  <si>
    <t>Wu, Xinglong; Li, Mengying; Cui, Xin-Wu; Xu, Guoping</t>
  </si>
  <si>
    <t>Xu, GP (corresponding author), Wuhan Inst Technol, Hubei Key Lab Intelligent Robot, Wuhan, Peoples R China.</t>
  </si>
  <si>
    <t>xugp2006@126.com</t>
  </si>
  <si>
    <t>Wuhan Tongji Hospital, Tongji Medical College, Huazhong University of Science and Technology; Open Project Program of Wuhan National Laboratory for Optoelectronics [2018WNLOKF027]; Hubei Key Laboratory of Intelligent Robot in Wuhan Institute of Technology [HBIRL 202003]</t>
  </si>
  <si>
    <t>Wuhan Tongji Hospital, Tongji Medical College, Huazhong University of Science and Technology; Open Project Program of Wuhan National Laboratory for Optoelectronics; Hubei Key Laboratory of Intelligent Robot in Wuhan Institute of Technology</t>
  </si>
  <si>
    <t>The authors are grateful to the doctors in Department of Medical Ultrasound, Wuhan Tongji Hospital, Tongji Medical College, Huazhong University of Science and Technology for the support in collecting the ultrasound images and clinical records. Comments from two anonymous reviewers greatly improve the work. This work was supported by the Open Project Program of Wuhan National Laboratory for Optoelectronics (Grant No. 2018WNLOKF027) and the Hubei Key Laboratory of Intelligent Robot in Wuhan Institute of Technology (Grant No. HBIRL 202003).</t>
  </si>
  <si>
    <t>[Wu, Xinglong; Li, Mengying; Xu, Guoping] Wuhan Inst Technol, Hubei Key Lab Intelligent Robot, Wuhan, Peoples R China; [Wu, Xinglong] Huazhong Univ Sci &amp; Technol, Britton Chance Ctr Biomed Photon, Wuhan Natl Lab Optoelect, Wuhan, Peoples R China; [Cui, Xin-Wu] Huazhong Univ Sci &amp; Technol, Tongji Hosp, Tongji Med Coll, Dept Med Ultrasound, Wuhan, Peoples R China</t>
  </si>
  <si>
    <t>Wuhan Institute of Technology; Huazhong University of Science &amp; Technology; Huazhong University of Science &amp; Technology</t>
  </si>
  <si>
    <t>Deep multimodal learning for lymph node metastasis prediction of primary thyroid cancer</t>
  </si>
  <si>
    <t>PHYSICS IN MEDICINE AND BIOLOGY</t>
  </si>
  <si>
    <t>convolutional neural network; deep multimodal learning; lymph node metastasis; medical imaging; thyroid cancer</t>
  </si>
  <si>
    <t>Xu, Guoping/HJY-3520-2023; Wu, Xinglong/IVV-4926-2023; Cui, Xin-Wu/H-2140-2015</t>
  </si>
  <si>
    <t>Wu, Xinglong/0000-0001-9778-0864</t>
  </si>
  <si>
    <t>BRISTOL</t>
  </si>
  <si>
    <t>TEMPLE CIRCUS, TEMPLE WAY, BRISTOL BS1 6BE, ENGLAND</t>
  </si>
  <si>
    <t>0031-9155</t>
  </si>
  <si>
    <t>1361-6560</t>
  </si>
  <si>
    <t>PHYS MED BIOL</t>
  </si>
  <si>
    <t>Phys. Med. Biol.</t>
  </si>
  <si>
    <t>FEB 7 2022</t>
  </si>
  <si>
    <t>035008</t>
  </si>
  <si>
    <t>10.1088/1361-6560/ac4c47</t>
  </si>
  <si>
    <t>http://dx.doi.org/10.1088/1361-6560/ac4c47</t>
  </si>
  <si>
    <t>YQ4LY</t>
  </si>
  <si>
    <t>35042207</t>
  </si>
  <si>
    <t>WOS:000749282700001</t>
  </si>
  <si>
    <t>Sun, CL; Zhang, YQ; Zhou, PY; Lu, ZE</t>
  </si>
  <si>
    <t>Introduction Timely identification of patients at high risk for early neurological deterioration (END) is critical for effective intervention after acute ischemic stroke; however, existing prediction models largely rely on structured clinical data and underutilize semantic information from imaging findings. Patients and methods In this retrospective single-center study at Xiangyang No.1 People's Hospital (January 2018-December 2023), 426 patients with acute ischemic stroke and imaging-confirmed middle cerebral artery occlusion who received non-endovascular treatment were included. Patients with other arterial occlusions, endovascular therapy, or incomplete data were excluded. END was defined as a &gt;= 2-point increase in total National Institutes of Health Stroke Scale (NIHSS) score or a &gt;= 1-point increase in the motor subscore within 7 days after admission. Structured clinical variables and radiology report text collected at admission were integrated into a multimodal deep learning model. Model performance was evaluated using AUC, accuracy, recall, precision, F1-score, calibration, and decision curve analysis, with interpretability assessed using SHAP and Integrated Gradients. Results Among all patients, 38.0% exhibited END (30.3% early; 7.7% late). The multimodal Concat-Fusion model achieved AUCs of 0.877 (training) and 0.771 (test), surpassing single-modality models, with strong predictive capabilities for early (AUC = 0.842) and late END (AUC = 0.855). Subgroup analyses confirmed consistent performance across NIHSS scores, D-dimer levels, hypertension, and atrial fibrillation, with significantly higher AUC in diabetic patients (p = 0.002). SHAP analysis identified D-dimer, diastolic blood pressure, and heart rate as key contributors. Integrated Gradients revealed symptom descriptors including "unsteadiness," "walking," and "vision" as significant textual predictors. Risk stratification effectively distinguished high- and low-risk groups with significantly different cumulative END incidences within 48 h and 7 days (log-rank p &lt; 0.0001). High-risk patients exhibited poorer NIHSS trajectories during 14-day follow-up. Conclusion This multimodal prediction model may improve early identification of END and support individualized clinical management. Larger prospective studies are required to validate its clinical utility.</t>
  </si>
  <si>
    <t>Sun, Chenglin; Zhang, Yaqiong; Zhou, Peiyang; Lu, Zuneng</t>
  </si>
  <si>
    <t>Lu, ZE (corresponding author), Wuhan Univ, Renmin Hosp, Dept Neurol, Wuhan, Hubei, Peoples R China.; Zhou, PY (corresponding author), Hubei Univ Med, Xiangyang 1 Peoples Hosp, Xiangyang, Hubei, Peoples R China.</t>
  </si>
  <si>
    <t>lzn196480@126.com; zhoupeiyang@hbmu.edu.cn</t>
  </si>
  <si>
    <t>Integrated Traditional Chinese and Western Medicine Chronic Disease Management Research Project of China [CXZH2024014-10]</t>
  </si>
  <si>
    <t>Integrated Traditional Chinese and Western Medicine Chronic Disease Management Research Project of China</t>
  </si>
  <si>
    <t>The author(s) declared that financial support was received for this work and/or its publication. This study was supported by a grant from the Integrated Traditional Chinese and Western Medicine Chronic Disease Management Research Project of China (Grant No. CXZH2024014-10).</t>
  </si>
  <si>
    <t>[Sun, Chenglin; Lu, Zuneng] Wuhan Univ, Renmin Hosp, Dept Neurol, Wuhan, Hubei, Peoples R China; [Sun, Chenglin; Zhang, Yaqiong; Zhou, Peiyang] Hubei Univ Med, Xiangyang 1 Peoples Hosp, Xiangyang, Hubei, Peoples R China</t>
  </si>
  <si>
    <t>Wuhan University; Hubei University of Medicine</t>
  </si>
  <si>
    <t>A multimodal deep learning model for predicting early neurological deterioration in patients with acute ischemic stroke</t>
  </si>
  <si>
    <t>FRONTIERS IN NEUROLOGY</t>
  </si>
  <si>
    <t>acute ischemic stroke; early neurological deterioration; multimodal machine learning; radiology reports; risk stratification</t>
  </si>
  <si>
    <t>RISK-FACTORS; ETIOLOGIES; MANAGEMENT</t>
  </si>
  <si>
    <t>Liu, Tianzhu/LMM-8639-2024</t>
  </si>
  <si>
    <t>1664-2295</t>
  </si>
  <si>
    <t>FRONT NEUROL</t>
  </si>
  <si>
    <t>Front. Neurol.</t>
  </si>
  <si>
    <t>1787921</t>
  </si>
  <si>
    <t>10.3389/fneur.2026.1787921</t>
  </si>
  <si>
    <t>http://dx.doi.org/10.3389/fneur.2026.1787921</t>
  </si>
  <si>
    <t>FW3UD</t>
  </si>
  <si>
    <t>41919134</t>
  </si>
  <si>
    <t>WOS:001728968300001</t>
  </si>
  <si>
    <t>Wang, Y; Zhen, LL; Tan, TE; Fu, HZ; Feng, YQ; Wang, ZZ; Xu, XX; Goh, RSM; Ng, Y; Calhoun, C; Tan, GSW; Sun, JK; Liu, Y; Ting, DSW</t>
  </si>
  <si>
    <t>Color fundus photography (CFP) and Optical coherence tomography (OCT) images are two of the most widely used modalities in the clinical diagnosis and management of retinal diseases. Despite the widespread use of multimodal imaging in clinical practice, few methods for automated diagnosis of eye diseases utilize correlated and complementary information from multiple modalities effectively. This paper explores how to leverage the information from CFP and OCT images to improve the automated diagnosis of retinal diseases. We propose a novel multimodal learning method, named geometric correspondence-based multimodal learning network (GeCoM-Net), to achieve the fusion of CFP and OCT images. Specifically, inspired by clinical observations, we consider the geometric correspondence between the OCT slice and the CFP region to learn the correlated features of the two modalities for robust fusion. Furthermore, we design a new feature selection strategy to extract discriminative OCT representations by automatically selecting the important feature maps from OCT slices. Unlike the existing multimodal learning methods, GeCoM-Net is the first method that formulates the geometric relationships between the OCT slice and the corresponding region of the CFP image explicitly for CFP and OCT fusion. Experiments have been conducted on a large-scale private dataset and a publicly available dataset to evaluate the effectiveness of GeCoM-Net for diagnosing diabetic macular edema (DME), impaired visual acuity (VA) and glaucoma. The empirical results show that our method outperforms the current state-of-the-art multimodal learning methods by improving the AUROC score 0.4%, 1.9% and 2.9% for DME, VA and glaucoma detection, respectively.</t>
  </si>
  <si>
    <t>Wang, Yan; Zhen, Liangli; Tan, Tien-En; Fu, Huazhu; Feng, Yangqin; Wang, Zizhou; Xu, Xinxing; Goh, Rick Siow Mong; Ng, Yipin; Calhoun, Claire; Tan, Gavin Siew Wei; Sun, Jennifer K.; Liu, Yong; Ting, Daniel Shu Wei</t>
  </si>
  <si>
    <t>Zhen, LL (corresponding author), Agcy Sci Technol &amp; Res, Inst High Performance Comp, Singapore, Singapore.</t>
  </si>
  <si>
    <t>fengyq@ihpc.a-star.edu.sg; wang_zizhou@ihpc.a-star.edu.sg; jennifer.sun@joslin.harvard.edu; liuyong@ihpc.a-star.edu.sg; xuxinx@ihpc.a-star.edu.sg; ng_yi_pin@ihpc.a-star.edu.sg; hzfu@ieee.org; zhenll@ihpc.a-star.edu.sg; ccalhoun@jaeb.org; gohsm@ihpc.a-star.edu.sg; tantienen@gmail.com; wangyan@ihpc.a-star.edu.sg; gmstansw@nus.edu.sg; daniel.ting45@gmail.com</t>
  </si>
  <si>
    <t>Agency for Science, Technology and Research (A*STAR) through its Advanced Manufacturing and Engineering (AME) Programmatic Funding Scheme</t>
  </si>
  <si>
    <t>Agency for Science, Technology and Research (A*STAR) through its Advanced Manufacturing and Engineering (AME) Programmatic Funding Scheme (Agency for Science Technology &amp; Research (A*STAR))</t>
  </si>
  <si>
    <t>[Wang, Yan; Zhen, Liangli; Fu, Huazhu; Feng, Yangqin; Wang, Zizhou; Xu, Xinxing; Goh, Rick Siow Mong; Ng, Yipin; Liu, Yong] Agcy Sci Technol &amp; Res, Inst High Performance Comp, Singapore, Singapore; [Tan, Tien-En; Tan, Gavin Siew Wei; Ting, Daniel Shu Wei] Singapore Eye Res Inst, Singapore 169856, Singapore; [Tan, Tien-En; Tan, Gavin Siew Wei; Ting, Daniel Shu Wei] Singapore Natl Eye Ctr, Singapore 168751, Singapore; [Calhoun, Claire] Jaeb Ctr Hlth Res, Tampa, FL 33647 USA; [Sun, Jennifer K.] Joslin Diabet Ctr, Beetham Eye Inst, Harvard Dept Ophthalmol, Boston, MA 02215 USA</t>
  </si>
  <si>
    <t>Agency for Science Technology &amp; Research (A*STAR); A*STAR - Institute of High Performance Computing (IHPC); Singapore National Eye Center; National University of Singapore; Singapore National Eye Center; JAEB Center For Health Research; Harvard University; Harvard Medical School; Harvard University Medical Affiliates; Joslin Diabetes Center, Inc.</t>
  </si>
  <si>
    <t>Geometric Correspondence-Based Multimodal Learning for Ophthalmic Image Analysis</t>
  </si>
  <si>
    <t>Multimodal learning; multimodal fusion; multimodal retinal imaging; ophthalmic image analysis</t>
  </si>
  <si>
    <t>COLOR FUNDUS IMAGES; CLASSIFICATION; FUSION</t>
  </si>
  <si>
    <t>Zhen, Liangli/HCG-8485-2022; Ting, Daniel/QOC-0597-2026; Tan, Gavin/HNS-5461-2023; Fu, Huazhu/A-1411-2014; Wang, Yan/AAZ-4988-2021</t>
  </si>
  <si>
    <t>Zhen, Liangli/0000-0003-0481-3298; Fu, Huazhu/0000-0002-9702-5524; Tan, Tien-En/0000-0002-9869-5159; Wang, Yan/0000-0003-3907-9388; Calhoun, Claire/0009-0006-2598-2487</t>
  </si>
  <si>
    <t>1945</t>
  </si>
  <si>
    <t>1957</t>
  </si>
  <si>
    <t>10.1109/TMI.2024.3352602</t>
  </si>
  <si>
    <t>http://dx.doi.org/10.1109/TMI.2024.3352602</t>
  </si>
  <si>
    <t>PM6Z5</t>
  </si>
  <si>
    <t>38206778</t>
  </si>
  <si>
    <t>WOS:001214547800027</t>
  </si>
  <si>
    <t>Akazawa, M; Hashimoto, K</t>
  </si>
  <si>
    <t>Placenta previa causes life-threatening bleeding and accurate prediction of severe hemorrhage leads to risk stratification and optimum allocation of interventions. We aimed to use a multimodal deep learning model to predict severe hemorrhage. Using MRI T2-weighted image of the placenta and tabular data consisting of patient demographics and preoperative blood examination data, a multimodal deep learning model was constructed to predict cases of intraoperative blood loss &gt; 2000 ml. We evaluated the prediction performance of the model by comparing it with that of two machine learning methods using only tabular data and MRI images, as well as with that of two human expert obstetricians. Among the enrolled 48 patients, 26 (54.2%) lost &gt; 2000 ml of blood and 22 (45.8%) lost &lt; 2000 ml of blood. Multimodal deep learning model showed the best accuracy of 0.68 and AUC of 0.74, whereas the machine learning model using tabular data and MRI images had a class accuracy of 0.61 and 0.53, respectively. The human experts had median accuracies of 0.61. Multimodal deep learning models could integrate the two types of information and predict severe hemorrhage cases. The model might assist human expert in the prediction of intraoperative hemorrhage in the case of placenta previa.</t>
  </si>
  <si>
    <t>Akazawa, Munetoshi; Hashimoto, Kazunori</t>
  </si>
  <si>
    <t>Akazawa, M (corresponding author), Tokyo Womens Med Univ, Dept Obstet &amp; Gynecol, Adachi Med Ctr, Adachi Ku,Kohoku 2-1-10, Tokyo, Japan.</t>
  </si>
  <si>
    <t>navirez@yahoo.co.jp</t>
  </si>
  <si>
    <t>[Akazawa, Munetoshi; Hashimoto, Kazunori] Tokyo Womens Med Univ, Dept Obstet &amp; Gynecol, Adachi Med Ctr, Adachi Ku,Kohoku 2-1-10, Tokyo, Japan</t>
  </si>
  <si>
    <t>Tokyo Women's Medical University</t>
  </si>
  <si>
    <t>A multimodal deep learning model for predicting severe hemorrhage in placenta previa</t>
  </si>
  <si>
    <t>OCT 13 2023</t>
  </si>
  <si>
    <t>17320</t>
  </si>
  <si>
    <t>10.1038/s41598-023-44634-1</t>
  </si>
  <si>
    <t>http://dx.doi.org/10.1038/s41598-023-44634-1</t>
  </si>
  <si>
    <t>U7YQ2</t>
  </si>
  <si>
    <t>37833537</t>
  </si>
  <si>
    <t>WOS:001086926800063</t>
  </si>
  <si>
    <t>Ilias, L; Askounis, D</t>
  </si>
  <si>
    <t>Alzheimer's dementia (AD) entails negative psychological, social, and economic consequences not only for the patients but also for their families, relatives, and society in general. Despite the significance of this phenomenon and the importance for an early diagnosis, there are still limitations. Specifically, the main limitation is pertinent to the way the modalities of speech and transcripts are combined in a single neural network. Existing research works add/concatenate the image and text representations, employ majority voting approaches or average the predictions after training many textual and speech models separately. To address these limitations, in this article we present some new methods to detect AD patients and predict the Mini-Mental State Examination (MMSE) scores in an end-to-end trainable manner consisting of a combination of BERT, Vision Transformer, Co-Attention, Multimodal Shifting Gate, and a variant of the self-attention mechanism. Specifically, we convert audio to Log-Mel spectrograms, their delta, and delta-delta (acceleration values). First, we pass each transcript and image through a BERT model and Vision Transformer, respectively, adding a co-attention layer at the top, which generates image and word attention simultaneously. Secondly, we propose an architecture, which integrates multimodal information to a BERT model via a Multimodal Shifting Gate. Finally, we introduce an approach to capture both the inter- and intra-modal interactions by concatenating the textual and visual representations and utilizing a self-attention mechanism, which includes a gate model. Experiments conducted on the ADReSS Challenge dataset indicate that our introduced models demonstrate valuable advantages over existing research initiatives achieving competitive results in both the AD classification and MMSE regression task. Specifically, our best performing model attains an accuracy of 90.00% and a Root Mean Squared Error (RMSE) of 3.61 in the AD classification task and MMSE regression task, respectively, achieving a new state-of-the-art performance in the MMSE regression task.</t>
  </si>
  <si>
    <t>Ilias, Loukas; Askounis, Dimitris</t>
  </si>
  <si>
    <t>Ilias, L (corresponding author), Natl Tech Univ Athens, Sch Elect &amp; Comp Engn, Decis Support Syst Lab, Athens, Greece.</t>
  </si>
  <si>
    <t>liiias@epu.ntua.gr</t>
  </si>
  <si>
    <t>[Ilias, Loukas; Askounis, Dimitris] Natl Tech Univ Athens, Sch Elect &amp; Comp Engn, Decis Support Syst Lab, Athens, Greece</t>
  </si>
  <si>
    <t>National Technical University of Athens</t>
  </si>
  <si>
    <t>Multimodal Deep Learning Models for Detecting Dementia From Speech and Transcripts</t>
  </si>
  <si>
    <t>FRONTIERS IN AGING NEUROSCIENCE</t>
  </si>
  <si>
    <t>dementia; BERT; Log-Mel spectrogram; Vision Transformer; co-attention; Multimodal Shifting Gate; self-attention</t>
  </si>
  <si>
    <t>RECOGNITION</t>
  </si>
  <si>
    <t>Ilias, Loukas/IZE-0744-2023</t>
  </si>
  <si>
    <t>Ilias, Loukas/0000-0002-4483-4264</t>
  </si>
  <si>
    <t>1663-4365</t>
  </si>
  <si>
    <t>FRONT AGING NEUROSCI</t>
  </si>
  <si>
    <t>Front. Aging Neurosci.</t>
  </si>
  <si>
    <t>MAR 17 2022</t>
  </si>
  <si>
    <t>830943</t>
  </si>
  <si>
    <t>10.3389/fnagi.2022.830943</t>
  </si>
  <si>
    <t>http://dx.doi.org/10.3389/fnagi.2022.830943</t>
  </si>
  <si>
    <t>Geriatrics &amp; Gerontology; Neurosciences</t>
  </si>
  <si>
    <t>Geriatrics &amp; Gerontology; Neurosciences &amp; Neurology</t>
  </si>
  <si>
    <t>1L2FW</t>
  </si>
  <si>
    <t>35370608</t>
  </si>
  <si>
    <t>WOS:000799108900001</t>
  </si>
  <si>
    <t>Wang, CC; Liu, WK; Ai, DM; Liu, XQ</t>
  </si>
  <si>
    <t>Background Immune checkpoint inhibitor (ICI) therapy has significantly improved treatment outcomes for various cancers by enhancing T cell-mediated anti-tumor immune responses. However, accurately predicting patient response to ICI treatment remains a major challenge due to the risk of immune-related adverse events. Microsatellite instability (MSI), as an important molecular biomarker characterized by high mutation rates and abundant tumor neoantigen production, has been demonstrated to effectively predict clinical benefits from immunotherapy. In gastric adenocarcinoma (STAD) patients, approximately 22% exhibit the MSI subtype while the majority are microsatellite stable (MSS). This significant molecular heterogeneity underscores the urgent need to develop reliable predictive tools.Methods To address this problem, we developed a multimodal deep learning model named ProMMF_Kron based on a multicenter dataset comprising 282 patients. The model employs a two stage feature fusion strategy: first extracting key features from both molecular profiles and pathological images through differential gene analysis and a pretrained deep convolutional neural network, respectively; then designing a sophisticated fusion architecture incorporating Kronecker product operations and back-projection modules to achieve efficient interaction between gene expression features and pathological image features. The dataset was partitioned into training, validation, and testing sets at a ratio of 6:2:2.Results Experimental results demonstrate that the ProMMF_Kron model effectively distinguishes between MSI and MSS subtypes (MSI versus MSS) and exhibits competitive predictive performance on independent test datasets, achieving an AUC of 0.96 (95% CI: 0.89-1.00), outperforming traditional single-modality prediction models (3.2% AUC improvement) and other multimodal fusion approaches (4.3% AUC improvement). Further validation confirms the model's excellent stability and generalization capability, maintaining high predictive accuracy on colorectal cancer (CRC) dataset.Discussion Through bioinformatics analysis and feature visualization techniques, this study also reveals potential associations between key molecular biomarkers and critical immune regulatory pathways, providing a powerful decision-support tool for precision immunotherapy in gastric cancer with substantial clinical translation value and application prospects.</t>
  </si>
  <si>
    <t>Wang, Chenchen; Liu, Weikun; Ai, Dongmei; Liu, Xiuqin</t>
  </si>
  <si>
    <t>Liu, XQ (corresponding author), Univ Sci &amp; Technol Beijing, Sch Math &amp; Phys, Beijing, Peoples R China.</t>
  </si>
  <si>
    <t>b0001428@ustb.edu.cn</t>
  </si>
  <si>
    <t>Fundamental Research Funds for the Central Universities (Interdisciplinary Research Project for Young Teachers of USTB) [FRF-IDRY-24-024]</t>
  </si>
  <si>
    <t>Fundamental Research Funds for the Central Universities (Interdisciplinary Research Project for Young Teachers of USTB)</t>
  </si>
  <si>
    <t>The author(s) declared that financial support was received for this work and/or its publication. The work is supported by the Fundamental Research Funds for the Central Universities (Interdisciplinary Research Project for Young Teachers of USTB, Grant No. FRF-IDRY-24-024).</t>
  </si>
  <si>
    <t>[Wang, Chenchen; Liu, Weikun; Ai, Dongmei; Liu, Xiuqin] Univ Sci &amp; Technol Beijing, Sch Math &amp; Phys, Beijing, Peoples R China</t>
  </si>
  <si>
    <t>University of Science &amp; Technology Beijing</t>
  </si>
  <si>
    <t>ProMMF_Kron: a multimodal deep learning model for immunotherapy response prediction in stomach adenocarcinoma</t>
  </si>
  <si>
    <t>microsatellite instability; ICI therapy; multimodal data; deep learning; stomach adenocarcinoma</t>
  </si>
  <si>
    <t>MICROSATELLITE INSTABILITY; CHECKPOINT BLOCKADE; CANCER-IMMUNITY; THERAPY; NIVOLUMAB; FUTURE</t>
  </si>
  <si>
    <t>FEB 10 2026</t>
  </si>
  <si>
    <t>1602846</t>
  </si>
  <si>
    <t>10.3389/fimmu.2026.1602846</t>
  </si>
  <si>
    <t>http://dx.doi.org/10.3389/fimmu.2026.1602846</t>
  </si>
  <si>
    <t>EC1AA</t>
  </si>
  <si>
    <t>41743737</t>
  </si>
  <si>
    <t>WOS:001697538000001</t>
  </si>
  <si>
    <t>Lei, Y; Feng, B; Wan, MQ; Xu, KC; Cui, J; Ma, CY; Sun, JQ; Yao, CY; Gan, SM; Shi, JF; Cui, EM</t>
  </si>
  <si>
    <t>Purpose To investigate the value of a multimodal deep learning (MDL) model based on computed tomography (CT) and magnetic resonance imaging (MRI) for predicting microvascular invasion (MVI) in hepatocellular carcinoma (HCC). Methods A total of 287 patients with HCC from our institution and 58 patients from another individual institution were included. Among these, 119 patients with only CT data and 116 patients with only MRI data were selected for single-modality deep learning model development, after which select parameters were migrated for MDL model development with transfer learning (TL). In addition, 110 patients with simultaneous CT and MRI data were divided into a training cohort (n = 66) and a validation cohort (n = 44). We input the features extracted from DenseNet121 into an extreme learning machine (ELM) classifier to construct a classification model. Results The area under the curve (AUC) of the MDL model was 0.844, which was superior to that of the single-phase CT (AUC = 0.706-0.776, P &lt; 0.05), single-sequence MRI (AUC = 0.706-0.717, P &lt; 0.05), single-modality DL model (AUC(all-phase CT) = 0.722, AUC(all-sequence MRI) = 0.731; P &lt; 0.05), clinical (AUC = 0.648, P &lt; 0.05), but not to that of the delay phase (DP) and in-phase (IP) MRI and portal venous phase (PVP) CT models. The MDL model achieved better performance than models described above (P &lt; 0.05). When combined with clinical features, the AUC of the MDL model increased from 0.844 to 0.871. A nomogram, combining deep learning signatures (DLS) and clinical indicators for MDL models, demonstrated a greater overall net gain than the MDL models (P &lt; 0.05). Conclusion The MDL model is a valuable noninvasive technique for preoperatively predicting MVI in HCC.</t>
  </si>
  <si>
    <t>Lei, Yan; Feng, Bao; Wan, Meiqi; Xu, Kuncai; Cui, Jin; Ma, Changyi; Sun, Junqi; Yao, Changyin; Gan, Shiman; Shi, Jiangfeng; Cui, Enming</t>
  </si>
  <si>
    <t>Cui, EM (corresponding author), Jiangmen Cent Hosp, Dept Radiol, 23 Beijie Haibang St, Jiangmen, Peoples R China.; Cui, EM (corresponding author), Zunyi Med Univ, 1 Xiaoyuan Rd, Zunyi, Peoples R China.; Cui, EM (corresponding author), Guangdong Med Univ, 2 Wenming East Rd, Zhanjiang, Guangdong, Peoples R China.; Cui, EM (corresponding author), Jiangmen Key Lab Artificial Intelligence Med Image, 23 Beijie Haibang St, Jiangmen, Peoples R China.</t>
  </si>
  <si>
    <t>Guangdong Basic and Applied Basic Research Foundation</t>
  </si>
  <si>
    <t>Guangdong Basic and Applied Basic Research Foundation (Guangdong Basic and Applied Basic Research Foundation)</t>
  </si>
  <si>
    <t>[Lei, Yan; Wan, Meiqi; Cui, Jin; Ma, Changyi; Yao, Changyin; Gan, Shiman; Cui, Enming] Jiangmen Cent Hosp, Dept Radiol, 23 Beijie Haibang St, Jiangmen, Peoples R China; [Lei, Yan; Wan, Meiqi; Cui, Enming] Zunyi Med Univ, 1 Xiaoyuan Rd, Zunyi, Peoples R China; [Feng, Bao; Xu, Kuncai; Shi, Jiangfeng] Guilin Univ Aerosp Technol, Lab Intelligent Detect &amp; Informat Proc, Sch Elect Informat &amp; Automat, 2 Jinji Rd, Guilin, Peoples R China; [Sun, Junqi] Yuebei Peoples Hosp, Dept Radiol, 133 Huimin St, Shaoguan, Peoples R China; [Yao, Changyin; Gan, Shiman; Cui, Enming] Guangdong Med Univ, 2 Wenming East Rd, Zhanjiang, Guangdong, Peoples R China; [Cui, Enming] Jiangmen Key Lab Artificial Intelligence Med Image, 23 Beijie Haibang St, Jiangmen, Peoples R China</t>
  </si>
  <si>
    <t>Zunyi Medical University; Guilin University of Aerospace Technology; Shantou University; Guangdong Medical University</t>
  </si>
  <si>
    <t>Predicting microvascular invasion in hepatocellular carcinoma with a CT- and MRI-based multimodal deep learning model</t>
  </si>
  <si>
    <t>Hepatocellular carcinoma; Magnetic resonance imaging; Deep learning; Nomogram</t>
  </si>
  <si>
    <t>PREOPERATIVE PREDICTION; COMPUTED-TOMOGRAPHY; HEPATECTOMY; RECURRENCE; RESECTION; SURVIVAL; NOMOGRAM; RISK</t>
  </si>
  <si>
    <t>Cui, Jin/HDL-7327-2022; Cui, Enming/K-1545-2019</t>
  </si>
  <si>
    <t>sun, junqi/0000-0002-5528-0340</t>
  </si>
  <si>
    <t>1397</t>
  </si>
  <si>
    <t>1410</t>
  </si>
  <si>
    <t>10.1007/s00261-024-04202-1</t>
  </si>
  <si>
    <t>http://dx.doi.org/10.1007/s00261-024-04202-1</t>
  </si>
  <si>
    <t>MAR 2024</t>
  </si>
  <si>
    <t>RO8X1</t>
  </si>
  <si>
    <t>38433144</t>
  </si>
  <si>
    <t>WOS:001174830300001</t>
  </si>
  <si>
    <t>Wang, Z; Tai, MN; Hu, H; Yuan, H; Wang, C; Fu, HY; Zhang, JL</t>
  </si>
  <si>
    <t>Accurate diagnosis of skin lesions remains challenging due to their morphological variability and the limitations of conventional diagnostic methods. In this study, we developed an explainable artificial intelligence (AI) framework that integrates three-dimensional total body photography (3D TBP) images with structured clinical data to classify and assess the risk of six common skin-lesion types. Using the ISIC 2024 dataset comprising 1,075 patients, 41 clinical and lesion-specific features were extracted and analyzed. A multinomial logistic-regression model was implemented for decision support, and model interpretability was assessed using Shapley Additive Explanations (SHAP) and Class Activation Maps (CAM). The clinical-only XGBoost model achieved moderate accuracy (basal cell carcinoma 78.6%, nevus 72.6%), while CNNs trained on 3D TBP images achieved 87.1% accuracy for nevus. The multimodal fusion model substantially outperformed unimodal approaches, achieving recall and F1 scores above 95% and Area Under the Curve (AUC) values exceeding 0.95 (0.98 for nevus and actinic keratosis), and ranked among the top-performing entries in the ISIC 2024 challenge (partial false-positive rate = 0.1734). The integrated scoring system, visualized through nomograms, identified key predictors such as visual_classifier and tbp_lv_symm_2axis. This interpretable multimodal AI framework enhances diagnostic accuracy and risk stratification, offering a transparent and clinically actionable tool for precision dermatology and early detection of skin cancer.</t>
  </si>
  <si>
    <t>Wang, Zheng; Tai, Mengnan; Hu, Hui; Yuan, Hao; Wang, Chong; Fu, Hongyang; Zhang, Jianglin</t>
  </si>
  <si>
    <t>Fu, HY; Zhang, JL (corresponding author), Jinan Univ, Southern Univ Sci &amp; Technol, Dept Dermatol, Clin Med Coll 2,Affiliated Hosp 1,Shenzhen Peoples, Shenzhen 518020, Guangdong, Peoples R China.; Fu, HY (corresponding author), Shenzhen Baoan Womens &amp; Childrens Hosp, Dept Dermatol, Shenzhen 518000, Guangdong, Peoples R China.; Zhang, JL (corresponding author), Natl Clin Res Ctr Skin les, Candidate Branch, Shenzhen 518020, Guangdong, Peoples R China.; Zhang, JL (corresponding author), Jinan Univ, Southern Univ Sci &amp; Technol, Clin Med Coll 2, Dept Geriatr,Affiliated Hosp 1,Shenzhen Peoples Ho, Shenzhen 518020, Guangdong, Peoples R China.</t>
  </si>
  <si>
    <t>fuhongyang2024@outlook.com; zhang.jianglin@szhospital.com</t>
  </si>
  <si>
    <t>Scientific Research Fund of the Hunan Provincial Education Department [23A0643, 23C0430, and 24A0080]</t>
  </si>
  <si>
    <t>Scientific Research Fund of the Hunan Provincial Education Department (Hunan Provincial Education Department)</t>
  </si>
  <si>
    <t>We gratefully acknowledge the support of the Laboratory of 3D Scene Visualization and Intelligent Education in Hunan Province (Grant No. 2023TP1038) and the Research Center for Innovative Development of Teacher Education in the New Era.</t>
  </si>
  <si>
    <t>[Wang, Zheng; Tai, Mengnan; Hu, Hui; Yuan, Hao] Hunan First Normal Univ, Sch Comp Sci, Changsha 410205, Peoples R China; [Wang, Zheng; Tai, Mengnan; Wang, Chong; Fu, Hongyang; Zhang, Jianglin] Jinan Univ, Southern Univ Sci &amp; Technol, Dept Dermatol, Clin Med Coll 2,Affiliated Hosp 1,Shenzhen Peoples, Shenzhen 518020, Guangdong, Peoples R China; [Fu, Hongyang] Shenzhen Baoan Womens &amp; Childrens Hosp, Dept Dermatol, Shenzhen 518000, Guangdong, Peoples R China; [Zhang, Jianglin] Natl Clin Res Ctr Skin les, Candidate Branch, Shenzhen 518020, Guangdong, Peoples R China; [Zhang, Jianglin] Jinan Univ, Southern Univ Sci &amp; Technol, Clin Med Coll 2, Dept Geriatr,Affiliated Hosp 1,Shenzhen Peoples Ho, Shenzhen 518020, Guangdong, Peoples R China</t>
  </si>
  <si>
    <t>Hunan First Normal University; Jinan University; Southern University of Science &amp; Technology; Southern University of Science &amp; Technology; Jinan University</t>
  </si>
  <si>
    <t>Explainable multimodal AI for skin lesion risk prediction via 3D imaging and clinical data</t>
  </si>
  <si>
    <t>Skin lesion risk prediction; 3D total body photography; Multimodal fusion; Explainable AI; Deep learning</t>
  </si>
  <si>
    <t>PREVALENCE; DISEASE; BURDEN</t>
  </si>
  <si>
    <t>Tai, Mengnan/0009-0004-5487-8959; Yuan, Hao/0009-0007-2859-6159</t>
  </si>
  <si>
    <t>DEC 22 2025</t>
  </si>
  <si>
    <t>45139</t>
  </si>
  <si>
    <t>10.1038/s41598-025-33536-z</t>
  </si>
  <si>
    <t>http://dx.doi.org/10.1038/s41598-025-33536-z</t>
  </si>
  <si>
    <t>AL8YZ</t>
  </si>
  <si>
    <t>41430366</t>
  </si>
  <si>
    <t>WOS:001651220100001</t>
  </si>
  <si>
    <t>Tang, L; Zheng, MX; Liang, PW; Li, ZF; Zhu, YQ; Zhang, H</t>
  </si>
  <si>
    <t>Megavoltage computed tomography (MVCT) plays a crucial role in patient positioning and dose reconstruction during tomotherapy. However, due to the limited scan field of view (sFOV), the entire cross-section of certain patients may not be fully covered, resulting in projection data truncation. Truncation artifacts in MVCT can compromise registration accuracy with the planned kilovoltage computed tomography (KVCT) and hinder subsequent MVCT-based adaptive planning. To address this issue, we propose a Prior-FOVNet to correct the truncation artifacts and extend the field of view (eFOV) by leveraging material and shape priors learned from the KVCT of the same patient. Specifically, to address the intensity discrepancies between different imaging modalities, we employ a contrastive learning-based GAN, named TransNet, to transform KVCT images into synthesized MVCT (sMVCT) images. The sMVCT images, along with pre-corrected MVCT images obtained via sinogram extrapolation, are then input into a Swin Transformer-based image inpainting network for artifact correction and FOV extension. Experimental results using both simulated and real patient data demonstrate that our method outperforms existing truncation correction techniques in reducing truncation artifacts and reconstructing anatomical structures beyond the sFOV. It achieves the lowest MAE of 23.8 +/- 5.6 HU and the highest SSIM of 97.8 +/- 0.6 across the test dataset, thereby enhancing the reliability and clinical applicability of MVCT in adaptive radiotherapy.</t>
  </si>
  <si>
    <t>Tang, Long; Zheng, Mengxun; Liang, Peiwen; Li, Zifeng; Zhu, Yongqi; Zhang, Hua</t>
  </si>
  <si>
    <t>Zhang, H (corresponding author), Southern Med Univ, Sch Biomed Engn, Guangzhou 510515, Peoples R China.; Zhang, H (corresponding author), Southern Med Univ, Guangdong Prov Key Lab Med Image Proc, Guangzhou 510515, Peoples R China.; Zhang, H (corresponding author), Southern Med Univ, Guangdong Prov Engn Lab Med Imaging &amp; Diagnost Tec, Guangzhou 510515, Peoples R China.</t>
  </si>
  <si>
    <t>xinsier@smu.edu.cn; ngc2237_rose@163.com; crazy_li_15@163.com; pw87672155@gmail.com; tlong012@163.com; 13066456876@163.com</t>
  </si>
  <si>
    <t>Guangdong Natural Science Foundation; National Key R&amp;D Program of China [2020YFA0713900]; National Natural Science Foundation of China [U21A6005, 12226004]</t>
  </si>
  <si>
    <t>Guangdong Natural Science Foundation (National Natural Science Foundation of Guangdong Province); National Key R&amp;D Program of China (National Key Research &amp; Development Program of China); National Natural Science Foundation of China (National Natural Science Foundation of China (NSFC))</t>
  </si>
  <si>
    <t>This work was supported in part by the Guangdong Natural Science Foundation (Grant No. 2024A1515010523), the National Key R&amp;D Program of China (Grant No. 2020YFA0713900), and the National Natural Science Foundation of China (Grant No. U21A6005 and Grant No. 12226004).</t>
  </si>
  <si>
    <t>[Tang, Long; Zheng, Mengxun; Liang, Peiwen; Li, Zifeng; Zhu, Yongqi; Zhang, Hua] Southern Med Univ, Sch Biomed Engn, Guangzhou 510515, Peoples R China; [Tang, Long; Zheng, Mengxun; Liang, Peiwen; Li, Zifeng; Zhu, Yongqi; Zhang, Hua] Southern Med Univ, Guangdong Prov Key Lab Med Image Proc, Guangzhou 510515, Peoples R China; [Zhang, Hua] Southern Med Univ, Guangdong Prov Engn Lab Med Imaging &amp; Diagnost Tec, Guangzhou 510515, Peoples R China</t>
  </si>
  <si>
    <t>Southern Medical University - China; Southern Medical University - China; Southern Medical University - China</t>
  </si>
  <si>
    <t>Prior-FOVNet: A Multimodal Deep Learning Framework for Megavoltage Computed Tomography Truncation Artifact Correction and Field-of-View Extension</t>
  </si>
  <si>
    <t>megavoltage computed tomography; truncation artifacts; field-of-view extension; contrastive learning; swin transformer</t>
  </si>
  <si>
    <t>RECONSTRUCTION ALGORITHM; CT</t>
  </si>
  <si>
    <t>Zhang, Hua/0000-0001-5227-6429</t>
  </si>
  <si>
    <t>10.3390/s25010039</t>
  </si>
  <si>
    <t>http://dx.doi.org/10.3390/s25010039</t>
  </si>
  <si>
    <t>R8M3L</t>
  </si>
  <si>
    <t>39796828</t>
  </si>
  <si>
    <t>WOS:001393916500001</t>
  </si>
  <si>
    <t>Zhou, C; Zhang, YF; Guo, S; Huang, YQ; Qiao, XN; Wang, R; Zhao, LP; Chang, DH; Zhao, LM; Da, MX; Zhou, FH</t>
  </si>
  <si>
    <t>Purpose Patients with advanced prostate cancer (PCa) often develop castration-resistant PCa (CRPC) with poor prognosis. Prognostic information obtained from multiparametric magnetic resonance imaging (mpMRI) and histopathology specimens can be effectively utilized through artificial intelligence (AI) techniques. The objective of this study is to construct an AI-based CRPC progress prediction model by integrating multimodal data.Methods and materials Data from 399 patients diagnosed with PCa at three medical centers between January 2018 and January 2021 were collected retrospectively. We delineated regions of interest (ROIs) from 3 MRI sequences viz, T2WI, DWI, and ADC and utilized a cropping tool to extract the largest section of each ROI. We selected representative pathological hematoxylin and eosin (H&amp;E) slides for deep-learning model training. A joint combined model nomogram was constructed. ROC curves and calibration curves were plotted to assess the predictive performance and goodness of fit of the model. We generated decision curve analysis (DCA) curves and Kaplan-Meier (KM) survival curves to evaluate the clinical net benefit of the model and its association with progression-free survival (PFS).Results The AUC of the machine learning (ML) model was 0.755. The best deep learning (DL) model for radiomics and pathomics was the ResNet-50 model, with an AUC of 0.768 and 0.752, respectively. The nomogram graph showed that DL model contributed the most, and the AUC for the combined model was 0.86. The calibration curves and DCA indicate that the combined model had a good calibration ability and net clinical benefit. The KM curve indicated that the model integrating multimodal data can guide patient prognosis and management strategies.Conclusion The integration of multimodal data effectively improves the prediction of risk for the progression of PCa to CRPC.</t>
  </si>
  <si>
    <t>Zhou, Chuan; Zhang, Yun-Feng; Guo, Sheng; Huang, Yu-Qian; Qiao, Xiao-Ni; Wang, Rong; Zhao, Lian-Ping; Chang, De-Hui; Zhao, Li-Ming; Da, Ming-Xu; Zhou, Feng-Hai</t>
  </si>
  <si>
    <t>Da, MX; Zhou, FH (corresponding author), Lanzhou Univ, Clin Med Coll 1, Lanzhou, Peoples R China.; Da, MX; Zhou, FH (corresponding author), Gansu Prov Hosp, Natl Hlth Commiss Peoples Republ China NHC Key Lab, Lanzhou, Peoples R China.; Da, MX; Zhou, FH (corresponding author), Gansu Univ Chinese Med, Clin Med Coll 1, Lanzhou, Peoples R China.; Zhou, FH (corresponding author), Gansu Prov Hosp, Dept Urol, Lanzhou, Peoples R China.</t>
  </si>
  <si>
    <t>ldyy_damx@lzu.edu.cn; ldyy_zhoufh@lzu.edu.cn</t>
  </si>
  <si>
    <t>National Natural Science Foundation of China [81860047]; Natural Science Foundation of Gansu Province [22JR5RA650]; Key Science and Technology Program in Gansu Province [21YF5FA016]</t>
  </si>
  <si>
    <t>National Natural Science Foundation of China (National Natural Science Foundation of China (NSFC)); Natural Science Foundation of Gansu Province (National Natural Science Foundation of Gansu Province); Key Science and Technology Program in Gansu Province</t>
  </si>
  <si>
    <t>We thank for Chinese Medical Association of Gansu Province Geriatrics Society providing guidance and suggestions during the project. We thank for Dr.Yu-Qian Huang contributed to all the Figures in this paper.r The author(s) declare financial support was received for the research, authorship, and/or publication of this article. This work was funded by grants from the following sources: National Natural Science Foundation of China (No.81860047), The Natural Science Foundation of Gansu Province (No.22JR5RA650), Key Science and Technology Program in Gansu Province (NO.21YF5FA016).</t>
  </si>
  <si>
    <t>[Zhou, Chuan; Wang, Rong; Da, Ming-Xu; Zhou, Feng-Hai] Lanzhou Univ, Clin Med Coll 1, Lanzhou, Peoples R China; [Zhou, Chuan; Da, Ming-Xu; Zhou, Feng-Hai] Gansu Prov Hosp, Natl Hlth Commiss Peoples Republ China NHC Key Lab, Lanzhou, Peoples R China; [Zhang, Yun-Feng; Guo, Sheng; Zhao, Lian-Ping; Chang, De-Hui; Da, Ming-Xu; Zhou, Feng-Hai] Gansu Univ Chinese Med, Clin Med Coll 1, Lanzhou, Peoples R China; [Huang, Yu-Qian] Chengdu Second Peoples Hosp, Dept Ctr Med Cosmetol, Chengdu, Peoples R China; [Qiao, Xiao-Ni; Chang, De-Hui] 940 Hosp Joint Logist Support Force Chinese PLA, Dept Urol, Lanzhou, Peoples R China; [Wang, Rong; Zhao, Lian-Ping] Gansu Prov Hosp, Dept Radiol, Lanzhou, Peoples R China; [Zhao, Li-Ming] Second Peoples Hosp Gansu Prov, Dept Urol, Lanzhou, Peoples R China; [Zhou, Feng-Hai] Gansu Prov Hosp, Dept Urol, Lanzhou, Peoples R China</t>
  </si>
  <si>
    <t>Lanzhou University; Gansu University of Chinese Medicine; Sichuan University</t>
  </si>
  <si>
    <t>Multimodal data integration for predicting progression risk in castration-resistant prostate cancer using deep learning: a multicenter retrospective study</t>
  </si>
  <si>
    <t>radiomics; pathomics; castration-resistant prostate cancer; deep learning; multi-modal</t>
  </si>
  <si>
    <t>ZHOU, CHUAN/HGV-1889-2022</t>
  </si>
  <si>
    <t>MAR 14 2024</t>
  </si>
  <si>
    <t>1287995</t>
  </si>
  <si>
    <t>10.3389/fonc.2024.1287995</t>
  </si>
  <si>
    <t>http://dx.doi.org/10.3389/fonc.2024.1287995</t>
  </si>
  <si>
    <t>ME5A5</t>
  </si>
  <si>
    <t>38549937</t>
  </si>
  <si>
    <t>WOS:001191951500001</t>
  </si>
  <si>
    <t>Zhang, YF; Deng, YJ; Zhou, ZX; Zhang, XF; Jiao, PF; Zhao, ZD</t>
  </si>
  <si>
    <t>Cardiotocography (CTG) monitoring is an important medical diagnostic tool for fetal well-being evaluation in late pregnancy. In this regard, intelligent CTG classification based on Fetal Heart Rate (FHR) signals is a challenging research area that can assist obstetricians in making clinical decisions, thereby improving the efficiency and accuracy of pregnancy management. Most existing methods focus on one specific modality, that is, they only detect one type of modality and inevitably have limitations such as incomplete or redundant source domain feature extraction, and poor repeatability. This study focuses on modeling multimodal learning for Fetal Distress Diagnosis (FDD); however, exists three major challenges: unaligned multimodalities; failure to learn and fuse the causality and inclusion between multimodal biomedical data; modality sensitivity, that is, difficulty in implementing a task in the absence of modalities. To address these three issues, we propose a Multimodal Medical Information Fusion framework named MMIF, where the Category Constrained-Parallel ViT model (CCPViT) was first proposed to explore multimodal learning tasks and address the misalignment between multimodalities. Based on CCPViT, a cross-attention-based image-text joint component is introduced to establish a Multimodal Representation Alignment Network model (MRAN), explore the deep-level interactive representation between cross-modal data, and assist multimodal learning. Furthermore, we designed a simple-structured FDD test model based on the highly modal alignment MMIF, realizing task delegation from multimodal model training (image and text) to unimodal pathological diagnosis (image). Extensive experiments, including model parameter sensitivity analysis, cross-modal alignment assessment, and pathological diagnostic accuracy evaluation, were conducted to show our models' superior performance and effectiveness.</t>
  </si>
  <si>
    <t>Zhang, Yefei; Deng, Yanjun; Zhou, Zhixin; Zhang, Xianfei; Jiao, Pengfei; Zhao, Zhidong</t>
  </si>
  <si>
    <t>Zhao, ZD (corresponding author), Hangzhou Dianzi Univ, Sch Cyberspace, Hangzhou, Peoples R China.</t>
  </si>
  <si>
    <t>zhaozd@hdu.edu.cn</t>
  </si>
  <si>
    <t>Funding This work was supported in part by the National Natural Science Foundation of China (Grant No.62071162).</t>
  </si>
  <si>
    <t>[Zhang, Yefei; Deng, Yanjun; Zhou, Zhixin; Zhang, Xianfei] Hangzhou Dianzi Univ, Coll Elect &amp; Informat Engn, Hangzhou, Peoples R China; [Jiao, Pengfei; Zhao, Zhidong] Hangzhou Dianzi Univ, Sch Cyberspace, Hangzhou, Peoples R China</t>
  </si>
  <si>
    <t>Multimodal learning for fetal distress diagnosis using a multimodal medical information fusion framework</t>
  </si>
  <si>
    <t>fetal heart rate; intelligent cardiotocography classification; fetal distress diagnosis; multimodal learning; vit; transformer</t>
  </si>
  <si>
    <t>FIGO; ANTEPARTUM; DICTIONARY</t>
  </si>
  <si>
    <t>Zhou, Zhixin/AAK-6744-2020; Jiao, Pengfei/QSP-7005-2026; Zhang, Yefei/JGV-1801-2023</t>
  </si>
  <si>
    <t>NOV 7 2022</t>
  </si>
  <si>
    <t>1021400</t>
  </si>
  <si>
    <t>10.3389/fphys.2022.1021400</t>
  </si>
  <si>
    <t>http://dx.doi.org/10.3389/fphys.2022.1021400</t>
  </si>
  <si>
    <t>6N0ZS</t>
  </si>
  <si>
    <t>36419838</t>
  </si>
  <si>
    <t>WOS:000889291400001</t>
  </si>
  <si>
    <t>Wang, Y; Wang, HP; Wu, XM; Duan, XY; Zhang, LH; Liu, ZS; Xiong, SS; Li, XH; Chen, MH; Ye, ZY; Wei, YL; Huang, BS; Mao, R</t>
  </si>
  <si>
    <t>Background and Aims Crohn's disease (CD) is a chronic inflammatory condition of the gastrointestinal tract. While infliximab (IFX) offers significant benefits, 10%-30% of patients remain non-responders initially. This study employs artificial intelligence with multimodal integration to improve treatment response prediction and advance precision medicine.Methods We conducted a retrospective analysis of clinical data from patients with CD. The endpoint event was defined as primary non-response within 14 weeks of treatment. The multimodal dataset included laboratory indices, computed tomography enterography (CTE), and endoscopic histopathology based on whole-slide biopsy images. A TabNet model, originally designed for tabular data and here applied to clinical and laboratory features, was developed using a multi-instance learning framework to incorporate this multimodal information for predicting primary non-response to IFX. Finally, the multimodal model was validated in an independent external test cohort.Results The study included 188 patients, with 93 in the internal training set, 38 in the internal validation set, and 57 in the test set from an independent external cohort. The model utilizing pathological features achieved an area under the receiver operating characteristic (AUC) of 0.789 in internal validation. When combining pathological and radiological features, the AUC was 0.844. The optimal multimodal model integrating histology, radiology, and clinical features achieved an AUC of 0.852 in the internal validation set and 0.858 in the external test set.Conclusions The study developed a multimodal deep learning model accurately predicting IFX primary non-response, offering a tool to guide individualized therapy and improve CD outcomes.</t>
  </si>
  <si>
    <t>Wang, Yu; Wang, Haipeng; Wu, Xiaomin; Duan, Xiaoyu; Zhang, Lihui; Liu, Zishan; Xiong, Shanshan; Li, Xuehua; Chen, Minhu; Ye, Ziyin; Wei, Yanling; Huang, Bingsheng; Mao, Ren</t>
  </si>
  <si>
    <t>Mao, R (corresponding author), Sun Yat Sen Univ, Affiliated Hosp 1, Dept Gastroenterol, 8 Zhongshan Rd 2, Guangzhou, Peoples R China.; Huang, BS (corresponding author), Shenzhen Univ, Sch Biomed Engn, Med Sch, Med AI Lab, Shenzhen, Peoples R China.</t>
  </si>
  <si>
    <t>maor5@mail.sysu.edu.cn; huangb@szu.edu.cn</t>
  </si>
  <si>
    <t>National Natural Science Foundation of China [82222010, 81970483, 62371303, 82572308]</t>
  </si>
  <si>
    <t>This work was supported by the National Key R&amp;D Program of China (2023YFC2507300), the National Natural Science Foundation of China (82222010, 81970483, 62371303, 82572308), the Qingfeng Scientific Research Fund of the China Crohn's &amp; Colitis Foundation (CCCF) (No. CCCF-QF-2023C27-5), Gastroenterology Plan of Guangdong Weiji Medical Development Foundation (No.K-20240206) and the Key-Area Research and Development Program of Guangdong Province (2023B1111040003). The funders of the study had no role in study design, data collection, data analysis, data interpretation, or writing of the report. Figures were created with BioRender.com.</t>
  </si>
  <si>
    <t>[Wang, Yu; Wu, Xiaomin; Zhang, Lihui; Liu, Zishan; Xiong, Shanshan; Chen, Minhu; Mao, Ren] Sun Yat Sen Univ, Affiliated Hosp 1, Dept Gastroenterol, 8 Zhongshan Rd 2, Guangzhou, Peoples R China; [Wang, Haipeng; Huang, Bingsheng] Shenzhen Univ, Sch Biomed Engn, Med Sch, Med AI Lab, Shenzhen, Peoples R China; [Duan, Xiaoyu; Ye, Ziyin] Sun Yat Sen Univ, Affiliated Hosp 1, Dept Pathol, Guangzhou, Peoples R China; [Li, Xuehua] Sun Yat Sen Univ, Affiliated Hosp 1, Dept Radiol, Guangzhou, Peoples R China; [Wei, Yanling] Army Med Univ, Mil Med Univ 3, Daping Hosp, Dept Gastroenterol,Chongqing Key Lab Digest Malign, Chongqing, Peoples R China; [Wang, Haipeng; Huang, Bingsheng] Shenzhen Univ, Sch Biomed Engn, Med Sch, Natl Reginoal Key Technol Engn Lab Med Ultrasound, Shenzhen, Peoples R China</t>
  </si>
  <si>
    <t>Sun Yat Sen University; Shenzhen University; Sun Yat Sen University; Sun Yat Sen University; Army Medical University; Shenzhen University</t>
  </si>
  <si>
    <t>Development and validation of a novel multimodal deep learning model integrating histopathology, radiology, and clinical data to predict primary non-response to infliximab in patients with Crohn's disease</t>
  </si>
  <si>
    <t>JOURNAL OF CROHNS &amp; COLITIS</t>
  </si>
  <si>
    <t>Crohn's disease; biologics; multimodal model; deep learning; precision medicine</t>
  </si>
  <si>
    <t>ULCERATIVE-COLITIS; THERAPY</t>
  </si>
  <si>
    <t>Duan, Xiaoyu/OTI-8177-2025</t>
  </si>
  <si>
    <t>Wang, Yu/0000-0002-5224-3333</t>
  </si>
  <si>
    <t>1873-9946</t>
  </si>
  <si>
    <t>1876-4479</t>
  </si>
  <si>
    <t>J CROHNS COLITIS</t>
  </si>
  <si>
    <t>J. Crohns Colitis</t>
  </si>
  <si>
    <t>jjaf206</t>
  </si>
  <si>
    <t>10.1093/ecco-jcc/jjaf206</t>
  </si>
  <si>
    <t>http://dx.doi.org/10.1093/ecco-jcc/jjaf206</t>
  </si>
  <si>
    <t>CA8BE</t>
  </si>
  <si>
    <t>41298328</t>
  </si>
  <si>
    <t>WOS:001661351100001</t>
  </si>
  <si>
    <t>Küçükçiloglu, Y; Sekeroglu, B; Adali, T; Sentürk, N</t>
  </si>
  <si>
    <t>PURPOSE Osteoporosis is the systematic degeneration of the human skeleton, with consequences ranging from a reduced quality of life to mortality. Therefore, the prediction of osteoporosis reduces risks and supports patients in taking precautions. Deep -learning and specific models achieve highly accurate results using different imaging modalities. The primary purpose of this research was to develop unimodal and multimodal deep -learning -based diagnostic models to predict bone mineral loss of the lumbar vertebrae using magnetic resonance (MR) and computed tomography (CT) imaging. METHODS Patients who received both lumbar dual -energy X-ray absorptiometry (DEXA) and MRI (n = 120) or CT (n = 100) examinations were included in this study. Unimodal and multimodal convolutional neural networks (CNNs) with dual blocks were proposed to predict osteoporosis using lumbar vertebrae MR and CT examinations in separate and combined datasets. Bone mineral density values obtained by DEXA were used as reference data. The proposed models were compared with a CNN model and six benchmark pre -trained deep -learning models. RESULTS The proposed unimodal model obtained 96.54%, 98.84%, and 96.76% balanced accuracy for MRI, CT, and combined datasets, respectively, while the multimodal model achieved 98.90% balanced accuracy in 5 -fold cross -validation experiments. Furthermore, the models obtained 95.68%-97.91% accuracy with a hold -out validation dataset. In addition, comparative experiments demonstrated that the proposed models yielded superior results by providing more effective feature extraction in dual blocks to predict osteoporosis. CONCLUSION This study demonstrated that osteoporosis was accurately predicted by the proposed models using both MR and CT images, and a multimodal approach improved the prediction of osteoporosis. With further research involving prospective studies with a larger number of patients, there may be an opportunity to implement these technologies into clinical practice.</t>
  </si>
  <si>
    <t>Kucukciloglu, Yasemin; Sekeroglu, Boran; Adali, Terin; Senturk, Niyazi</t>
  </si>
  <si>
    <t>Sekeroglu, B (corresponding author), Near East Univ, Appl Artificial Intelligence Res Ctr, Nicosia, Cyprus.</t>
  </si>
  <si>
    <t>boran.sekeroglu@neu.edu.tr</t>
  </si>
  <si>
    <t>[Kucukciloglu, Yasemin] Near East Univ, Fac Med, Dept Radiol, Nicosia, Cyprus; [Kucukciloglu, Yasemin; Adali, Terin; Senturk, Niyazi] Near East Univ, Tissue Engn &amp; Biomat Res Ctr, Ctr Excellence, Nicosia, Cyprus; [Sekeroglu, Boran] Near East Univ, Appl Artificial Intelligence Res Ctr, Nicosia, Cyprus; [Adali, Terin; Senturk, Niyazi] Near East Univ, Fac Engn, Dept Biomed Engn, Nicosia, Cyprus; [Adali, Terin] Sabanci Univ, Nanotechnol Res &amp; Applicat Ctr, Istanbul, Turkiye</t>
  </si>
  <si>
    <t>Near East University; Near East University; Near East University; Near East University; Sabanci University</t>
  </si>
  <si>
    <t>Prediction of osteoporosis using MRI and CT scans with unimodal and multimodal deep-learning models</t>
  </si>
  <si>
    <t>DIAGNOSTIC AND INTERVENTIONAL RADIOLOGY</t>
  </si>
  <si>
    <t>Osteoporosis; dual -energy X-ray absorptiometry; lumbar vertebrae; deep learning; multimodal CNN</t>
  </si>
  <si>
    <t>Küçükçiloğlu, Yasemin/AAH-8575-2019; Sekeroglu, Boran/X-6510-2019; Adali, Terin/AAG-2381-2020</t>
  </si>
  <si>
    <t>Sekeroglu, Boran/0000-0001-7284-1173</t>
  </si>
  <si>
    <t>TURKISH SOC RADIOLOGY</t>
  </si>
  <si>
    <t>ANKARA</t>
  </si>
  <si>
    <t>Hosdere Caddesi, Guzelkent Sokak, Cankaya Evleri, F Blok, No:2 , Cankaya PK, ANKARA, TURKEY</t>
  </si>
  <si>
    <t>1305-3612</t>
  </si>
  <si>
    <t>DIAGN INTERV RADIOL</t>
  </si>
  <si>
    <t>Diagn. Interv. Radiol.</t>
  </si>
  <si>
    <t>10.4274/dir.2023.232116</t>
  </si>
  <si>
    <t>http://dx.doi.org/10.4274/dir.2023.232116</t>
  </si>
  <si>
    <t>JV1K5</t>
  </si>
  <si>
    <t>37309886</t>
  </si>
  <si>
    <t>WOS:001175843700010</t>
  </si>
  <si>
    <t>Kagiyama, N; Tokodi, M; Hathaway, QA; Arnaout, R; Davies, R; Dey, D; Duchateau, N; Fraser, AG; Goto, S; Jamthikar, AD; Lam, CSP; Oikonomou, EK; Ouyang, DV; Pandey, A; Poterucha, TJ; Raisi-Estabragh, Z; Strom, JB; Zhang, Q; Yanamala, N; Sengupta, PP</t>
  </si>
  <si>
    <t>The PRIME (Proposed Requirements for Cardiovascular Imaging-Related Machine Learning Evaluation) 2.0 checklist is an updated, domain-specific framework designed to standardize the development, evaluation, and reporting of artificial intelligence (AI) applications in cardiovascular imaging. This update specifically responds to rapid advances from traditional machine learning to deep learning, large language models, and multimodal generative AI. The updated checklist was developed through a modified Delphi process by an international panel of clinical and technical experts. In contrast to general AI reporting guidelines, it delivers detailed, practical recommendations on all critical aspects of AI research and builds upon the original 7-domain framework by incorporating cardiovascular imaging-specific complexities such as cardiac motion, imaging artifacts, and interobserver variability. By promoting transparency and rigor, PRIME 2.0 can serve as a vital resource for researchers, clinicians, peer reviewers, and journal editors working at the forefront of AI in cardiovascular imaging. (JACC Cardiovasc Imaging. 2026;19:225-251) (c) 2026 by the American College of Cardiology Foundation.</t>
  </si>
  <si>
    <t>Kagiyama, Nobuyuki; Tokodi, Marton; Hathaway, Quincy A.; Arnaout, Rima; Davies, Rhodri; Dey, Damini; Duchateau, Nicolas; Fraser, Alan G.; Goto, Shinichi; Jamthikar, Ankush D.; Lam, Carolyn S. P.; Oikonomou, Evangelos K.; Ouyang, David; Pandey, Ambarish; Poterucha, Timothy J.; Raisi-Estabragh, Zahra; Strom, Jordan B.; Zhang, Qiang; Yanamala, Naveena; Sengupta, Partho P.</t>
  </si>
  <si>
    <t>Sengupta, PP (corresponding author), Rutgers Robert Wood Johnson Med Sch, Div Cardiovasc Dis &amp; Hypertens, 125 Patterson St, New Brunswick, NJ 08901 USA.</t>
  </si>
  <si>
    <t>partho.sengupta@rutgers.edu</t>
  </si>
  <si>
    <t>AstraZeneca; Bristol Myers Squibb; EchoNous Inc.; AMI Inc.; Paramount Bed Ltd.; Janos Bolyai Research Scholarship of the Hungarian Academy of Sciences; European Union [RRF-2.3.1-21-2022-00004]; National Institutes of Health (NIH)/NHLBI; Clinician Scientist Award from the National Medical Research Council of Singapore; Novo Nordisk; Roche Diagnostics; National Heart, Lung, and Blood Institute [F32HL170592, 1R01HL169517, 1R01HL173998]; Alexion; Apple; NIH [R00 HL176421, R01 HL173526, R01 HL173487]; National Institute on Aging [1R01AG063937]; MindMics; RCE Technologies; HeartSciences; Abiomed; Butterfly</t>
  </si>
  <si>
    <t>AstraZeneca (AstraZeneca); Bristol Myers Squibb (Bristol-Myers Squibb); EchoNous Inc.; AMI Inc.; Paramount Bed Ltd.; Janos Bolyai Research Scholarship of the Hungarian Academy of Sciences; European Union (European Union (EU)); National Institutes of Health (NIH)/NHLBI (United States Department of Health &amp; Human Services, National Institutes of Health (NIH) - USA, Office of the Administrator (NIH)); Clinician Scientist Award from the National Medical Research Council of Singapore; Novo Nordisk (Novo Nordisk); Roche Diagnostics; National Heart, Lung, and Blood Institute; Alexion (AstraZeneca, Fukuda Foundation for Medical Technology, Sasagawa Scientific Research Grant, Kayamori Foundation of Informational Science Advancement); Apple; NIH (United States Department of Health &amp; Human Services, National Institutes of Health (NIH) - USA, Office of the Administrator (NIH)); National Institute on Aging; MindMics; RCE Technologies; HeartSciences; Abiomed; Butterfly</t>
  </si>
  <si>
    <t>Dr Kagiyama has received research grants from AstraZeneca, Bristol Myers Squibb, EchoNous Inc, and AMI Inc; has received speaker honoraria from Eli Lilly, Novartis, Otsuka Pharmaceutical, Bristol Myers Squibb, and Boehringer-Ingelheim; and has been affiliated with a department funded by Paramount Bed Ltd. Dr Tokodi has been supported by the Janos Bolyai Research Scholarship of the Hungarian Academy of Sciences and implemented the MILAB project (Project #: RRF-2.3.1-21-2022-00004) with support from the European Union. Dr Davies has equity in mycardium.AI. Dr Dey has received software royalties from Cedars-Sinai, holds equity in APQ Health Inc, and has received grants from the National Institutes of Health (NIH)/NHLBI. Dr Lam has been supported by a Clinician Scientist Award from the National Medical Research Council of Singapore; has received research support from Novo Nordisk and Roche Diagnostics; has served in advisory and consulting roles for various pharmaceutical and research organizations; is the co-founder and non-executive director of Us2.ai; and is a co-inventor of Us2.ai patents (US 10,631,828 B1; US 10,702,247 B2; US 11,301,996 B2; US 11,446,009 B2; US 11,931,207 B2; US 12,001,939). Dr Oikonomou has been supported by the National Heart, Lung, and Blood Institute (award F32HL170592); is a co-founder of Evidence2Health LLC; is co-inventor on multiple patent applications; has received consulting fees from Caristo Diagnostics Ltd, Ensight-AI Inc, Anthem, Pfizer, AstraZeneca, Tempus, Echo.IQ, InVision, and Dandelion Health; receives royalties via the University of Oxford for radiomic phenotyping technology; serves as Associate Editor for the European Heart Journal. Dr Ouyang received research funding from Alexion, Apple, and the NIH (R00 HL176421, R01 HL173526, R01 HL173487); and he is also consultant for Anthem, Pfizer, AstraZeneca, Tempus, Echo.IQ, InVision, and Dandelion Health. Dr Pandey has received consulting fees from Tricog, MedicalAI, Anumana, and Ultromics. Dr Poterucha has received grant funding paid to affiliated institutions by Pfizer, Eidos Therapeutics, Janssen, the American Heart Association, and the Tianqiao and Chrissy Chen Foundation; holds stock in Baxter and Abbott Laboratories; and is a named inventor on a patent related to electrocardiogram-based detection of structural heart disease. Dr Strom has received research grants from the National Heart, Lung, and Blood Institute (1R01HL169517, 1R01HL173998) and National Institute on Aging (1R01AG063937), Edwards Lifesciences, EchoIQ, Anumana, Viz.ai, and EVERSANA Lifesciences; has received consulting fees from Bracco Diagnostics, Edwards Lifesciences, Philips Healthcare, General Electric Healthcare, and EVERSANA; and has membership on scientific advisory boards for Ultromics, Heart-Sciences, Bristol Myers Squibb, Alnylam, Ultrasight, and EchoIQ. Dr Zhang is listed as an inventor on the patent titled "Enhancement of Medical Images" (Oxford University Innovation, 11 March 2021, WO/2021/044153). Dr Yanamala has received grants or contracts from MindMics, RCE Technologies, HeartSciences, and Abiomed; has received consulting fees from Turnkey Learning and Turnkey Insights; has received honoraria or travel support from West Virginia University and the National Science Foundation; serves as an advisor to Research Spark Hub and Magnetic 3D; is a faculty member at Carnegie Mellon University; is an editorial board member of the American Society of Echocardiography; and is a special government employee at the FDA Center for Devices and Radiological Health. Dr Sengupta has served on advisory boards for RCE Technologies and HeartSciences; holds stock options at HeartSciences and RCE Technologies; has editorial roles with the American College of Cardiology and the American Society of Echocardiography; has received grants from RCE Technologies, HeartSciences, Butterfly, and MindMics; and holds patents with Mayo Clinic, HeartSciences, and Rutgers Health. All other authors have reported that they have no relationships relevant to the contents of this paper to disclose.</t>
  </si>
  <si>
    <t>[Kagiyama, Nobuyuki] Juntendo Univ, Grad Sch Med, Dept Cardiovasc Biol &amp; Med, Tokyo, Japan; [Kagiyama, Nobuyuki] Juntendo Univ, Fac Med, AI Incubat Farm, Tokyo, Japan; [Tokodi, Marton] Semmelweis Univ, Heart &amp; Vasc Ctr, Budapest, Hungary; [Tokodi, Marton] Semmelweis Univ, Dept Expt Cardiol &amp; Surg Tech, Budapest, Hungary; [Hathaway, Quincy A.] Univ Penn, Dept Radiol, Philadelphia, PA USA; [Arnaout, Rima] Univ Calif San Francisco, Dept Med Radiol &amp; Pediat, San Francisco, CA USA; [Arnaout, Rima] Univ Calif San Francisco, Bakar Inst, San Francisco, CA USA; [Arnaout, Rima] UCSF UC Berkeley Joint Program Computat Precis Hlt, San Francisco, CA USA; [Davies, Rhodri] UCL, Inst Cardiovasc Sci, London, England; [Dey, Damini] Cedars Sinai Med Ctr, Biomed Sci, Los Angeles, CA USA; [Duchateau, Nicolas] Univ Claude Bernard Lyon 1, INSA Lyon, CNRS, INSERM,CREATIS Lab,UMR 5220,U1294, Villeurbanne, France; [Duchateau, Nicolas] Inst Univ France, Paris, France; [Fraser, Alan G.] Cardiff Univ, Sch Med, Cardiff, Wales; [Goto, Shinichi] Harvard Med Sch, Brigham &amp; Womens Hosp, Div Cardiovasc Med, Boston, MA USA; [Goto, Shinichi] Tokai Univ, Sch Med, Dept Med, Kanagawa, Japan; [Jamthikar, Ankush D.; Yanamala, Naveena; Sengupta, Partho P.] Rutgers Robert Wood Johnson Med Sch, Dept Med, Div Cardiovasc Dis &amp; Hypertens, New Brunswick, NJ USA; [Lam, Carolyn S. P.] Natl Heart Ctr Singapore, Singapore, Singapore; [Lam, Carolyn S. P.] Duke Natl Univ Singapore, Singapore, Singapore; [Oikonomou, Evangelos K.] Yale Sch Med, Dept Internal Med, Sect Cardiovasc Med, New Haven, CT USA; [Ouyang, David] Cedars Sinai Med Ctr, Smidt Heart Inst, Dept Cardiol, Los Angeles, CA USA; [Ouyang, David] Kaiser Permanente Northern Calif, Div Res, Pleasanton, CA USA; [Pandey, Ambarish] Univ Texas Southwestern Med Ctr Dallas, Dept Internal Med, Div Cardiol, Dallas, TX USA; [Poterucha, Timothy J.] Mayo Clin, Dept Cardiol, Div Echocardiog &amp; Cardiac Imaging, Rochester, MN USA; [Poterucha, Timothy J.] Columbia Univ, Dept Med, Div Cardiol, New York, NY USA; [Raisi-Estabragh, Zahra] Queen Mary Univ London, William Harvey Res Inst, NIHR Barts Biomed Res Ctr, Charterhouse Sq, London, England; [Strom, Jordan B.] Richard A &amp; Susan F Smith Ctr Outcomes Res Cardiol, Boston, MA USA; [Strom, Jordan B.] Beth Israel Deaconess Med Ctr, Div Cardiovasc Med, Boston, MA USA; [Strom, Jordan B.] Harvard Med Sch, Boston, MA USA; [Zhang, Qiang] Univ Oxford, Div Cardiovasc Med, Radcliffe Dept Med, Oxford, England; [Zhang, Qiang] Univ Oxford, Big Data Inst, Li Ka Shing Ctr Hlth Informat &amp; Discovery, Oxford, England</t>
  </si>
  <si>
    <t>Juntendo University; Juntendo University; Semmelweis University; Semmelweis University; University of Pennsylvania; Pennsylvania Medicine; University of California System; University of California San Francisco; University of California System; University of California San Francisco; University of London; University College London; Cedars Sinai Medical Center; Institut National des Sciences Appliquees de Lyon - INSA Lyon; Universite Lyon 1; Centre National de la Recherche Scientifique (CNRS); Institut National de la Sante et de la Recherche Medicale (Inserm); CNRS - Institute for Engineering &amp; Systems Sciences (INSIS); Institut Universitaire de France; Cardiff University; Harvard University; Harvard Medical School; Harvard University Medical Affiliates; Brigham &amp; Women's Hospital; Tokai University; Rutgers University System; Rutgers University New Brunswick; Rutgers University Biomedical &amp; Health Sciences; National Heart Centre Singapore; National University of Singapore; Yale University; Cedars Sinai Medical Center; Kaiser Permanente; University of Texas System; University of Texas Southwestern Medical Center; Mayo Clinic; Columbia University; University of London; Queen Mary University London; Harvard University; Harvard University Medical Affiliates; Beth Israel Deaconess Medical Center; Harvard University; Harvard Medical School; University of Oxford; University of Oxford</t>
  </si>
  <si>
    <t>PRIME 2.0: Proposed Requirements for Cardiovascular Imaging-Related Multimodal-AI Evaluation An Updated Checklist</t>
  </si>
  <si>
    <t>JACC-CARDIOVASCULAR IMAGING</t>
  </si>
  <si>
    <t>artificial intelligence; cardiovascular imaging; clinical validation; deep learning; large language models; model development; multimodal generative artificial intelligence; PRIME 2.0 checklist; transparency and reproducibility</t>
  </si>
  <si>
    <t>LARGE LANGUAGE MODELS; ARTIFICIAL-INTELLIGENCE; EFFECTIVENESS-IMPLEMENTATION; STATE; ECHOCARDIOGRAPHY; QUANTIFICATION; VARIABILITY; AGREEMENT; DISEASE; HEART</t>
  </si>
  <si>
    <t>Jamthikar, Ankush/AAR-7011-2021; Zhang, Qiang/QSP-2237-2026; Duchateau, Nicolas/C-8585-2014; Hathaway, Quincy/AAS-8891-2020; Kagiyama, Nobuyuki/K-4450-2019; Oikonomou, Evangelos/N-1847-2019; Sengupta, Partho/ABH-2599-2020; /C-8585-2014; Tokodi, Marton/X-1719-2018</t>
  </si>
  <si>
    <t>Duchateau, Nicolas/0000-0001-8803-2004; Poterucha, Timothy/0000-0001-7284-3937; Zhang, Qiang/0000-0003-3385-1242; Davies, Rhodri/0000-0001-7630-7517</t>
  </si>
  <si>
    <t>1936-878X</t>
  </si>
  <si>
    <t>1876-7591</t>
  </si>
  <si>
    <t>JACC-CARDIOVASC IMAG</t>
  </si>
  <si>
    <t>JACC-Cardiovasc. Imag.</t>
  </si>
  <si>
    <t>225</t>
  </si>
  <si>
    <t>251</t>
  </si>
  <si>
    <t>10.1016/j.jcmg.2025.08.004</t>
  </si>
  <si>
    <t>http://dx.doi.org/10.1016/j.jcmg.2025.08.004</t>
  </si>
  <si>
    <t>DJ1GC</t>
  </si>
  <si>
    <t>40892627</t>
  </si>
  <si>
    <t>WOS:001684643000001</t>
  </si>
  <si>
    <t>Chen, Y; Ruan, XH; Wang, XM; Li, PJ; Chen, YH; Feng, B; Wen, XY; Sun, JQ; Zheng, CY; Zou, YJ; Liang, B; Li, MW; Long, WS; Shen, Y</t>
  </si>
  <si>
    <t>ObjectiveAccurate preoperative evaluation of myometrial invasion (MI) is essential for treatment decisions in endometrial cancer (EC). However, the diagnostic accuracy of commonly utilized magnetic resonance imaging (MRI) techniques for this assessment exhibits considerable variability. This study aims to enhance preoperative discrimination of absence or presence of MI by developing and validating a multimodal deep learning radiomics (MDLR) model based on MRI.MethodsDuring March 2010 and February 2023, 1139 EC patients (age 54.771 +/- 8.465 years; range 24-89 years) from five independent centers were enrolled retrospectively. We utilized ResNet18 to extract multi-scale deep learning features from T2-weighted imaging followed by feature selection via Mann-Whitney U test. Subsequently, a Deep Learning Signature (DLS) was formulated using Integrated Sparse Bayesian Extreme Learning Machine. Furthermore, we developed Clinical Model (CM) based on clinical characteristics and MDLR model by integrating clinical characteristics with DLS. The area under the curve (AUC) was used for evaluating diagnostic performance of the models. Decision curve analysis (DCA) and integrated discrimination index (IDI) were used to assess the clinical benefit and compare the predictive performance of models.ResultsThe MDLR model comprised of age, histopathologic grade, subjective MR findings (TMD and Reading for MI status) and DLS demonstrated the best predictive performance. The AUC values for MDLR in training set, internal validation set, external validation set 1, and external validation set 2 were 0.899 (95% CI, 0.866-0.926), 0.874 (95% CI, 0.829-0.912), 0.862 (95% CI, 0.817-0.899) and 0.867 (95% CI, 0.806-0.914) respectively. The IDI and DCA showed higher diagnostic performance and clinical net benefits for the MDLR than for CM or DLS, which revealed MDLR may enhance decision-making support.ConclusionsThe MDLR which incorporated clinical characteristics and DLS could improve preoperative accuracy in discriminating absence or presence of MI. This improvement may facilitate individualized treatment decision-making for EC.</t>
  </si>
  <si>
    <t>Chen, Yuan; Ruan, Xiaohong; Wang, Ximiao; Li, Peijun; Chen, Yehang; Feng, Bao; Wen, Xianyan; Sun, Junqi; Zheng, Changye; Zou, Yujian; Liang, Bo; Li, Mingwei; Long, Wansheng; Shen, Yuan</t>
  </si>
  <si>
    <t>Long, WS; Shen, Y (corresponding author), Jinan Univ, Affiliated Hosp 1, Guangzhou, Peoples R China.</t>
  </si>
  <si>
    <t>fengbao1986.love@163.com; limingwei2000@163.com; cyh93yl@163.com; Zouyujian@sohu.com; irenechen1211@qq.com; lpjdianzizeizei@126.com; 952565528@qq.com; sunjunqi1233668@sina.com; missyy@126.com; 1164103450@qq.com; jmlws2@163.com; 2249814100@qq.com; ruanxiaohong@jmszxyy.com.cn; 229135201@qq.com</t>
  </si>
  <si>
    <t>Science and Technology Projects in Guangzhou [202201020044]; Science and Technology Projects in Jiangmen [2023YL01084]</t>
  </si>
  <si>
    <t>Science and Technology Projects in Guangzhou; Science and Technology Projects in Jiangmen</t>
  </si>
  <si>
    <t>This study were supported by Science and Technology Projects in Guangzhou (Grant Number: 202201020044) and Science and Technology Projects in Jiangmen (Grant Number: 2023YL01084).</t>
  </si>
  <si>
    <t>[Chen, Yuan; Long, Wansheng; Shen, Yuan] Jinan Univ, Affiliated Hosp 1, Guangzhou, Peoples R China; [Chen, Yuan; Ruan, Xiaohong; Wang, Ximiao; Li, Peijun; Wen, Xianyan] Jiangmen Cent Hosp, Jiangmen, Peoples R China; [Chen, Yehang; Feng, Bao] Guilin Univ Aerosp Technol, Guilin, Peoples R China; [Sun, Junqi] Yuebei Peoples Hosp, Shaoguan, Peoples R China; [Zheng, Changye; Zou, Yujian] Southern Med Univ, Affiliated Dongguan Hosp, Dongguan, Peoples R China; [Liang, Bo] Maoming Peoples Hosp, Maoming, Peoples R China; [Li, Mingwei] Kaiping Cent Hosp, Kaiping, Peoples R China</t>
  </si>
  <si>
    <t>Jinan University; Guilin University of Aerospace Technology; Shantou University; Southern Medical University - China</t>
  </si>
  <si>
    <t>Preoperative discrimination of absence or presence of myometrial invasion in endometrial cancer with an MRI-based multimodal deep learning radiomics model</t>
  </si>
  <si>
    <t>Endometrial cancer; Myometrial invasion; Magnetic resonance imaging; Deep learning</t>
  </si>
  <si>
    <t>DIAGNOSTIC-ACCURACY; GUIDELINES; CARCINOMA; TOOL</t>
  </si>
  <si>
    <t>li, mingwei/OZF-7708-2025; Ruan, Xiaohong/KTI-5299-2024</t>
  </si>
  <si>
    <t>sun, junqi/0000-0002-5528-0340; Ruan, Xiaohong/0009-0009-6287-9376</t>
  </si>
  <si>
    <t>3335</t>
  </si>
  <si>
    <t>3346</t>
  </si>
  <si>
    <t>10.1007/s00261-024-04766-y</t>
  </si>
  <si>
    <t>http://dx.doi.org/10.1007/s00261-024-04766-y</t>
  </si>
  <si>
    <t>3YZ0M</t>
  </si>
  <si>
    <t>39747670</t>
  </si>
  <si>
    <t>WOS:001388224400001</t>
  </si>
  <si>
    <t>Kuang, QL; Feng, B; Xu, KC; Chen, YH; Chen, XJ; Duan, XB; Lei, XY; Chen, XM; Li, KW; Long, WS</t>
  </si>
  <si>
    <t>Purpose To explore the application value of a multimodal deep learning radiomics (MDLR) model in predicting the risk status of postoperative progression in solid stage I non-small cell lung cancer (NSCLC). Materials and Methods A total of 459 patients with histologically confirmed solid stage I NSCLC who underwent surgical resection in our institution from January 2014 to September 2019 were reviewed retrospectively. At another medical center, 104 patients were reviewed as an external validation cohort according to the same criteria. A univariate analysis was conducted on the clinicopathological characteristics and subjective CT findings of the progression and non-progression groups. The clinicopathological characteristics and subjective CT findings that exhibited significant differences were used as input variables for the extreme learning machine (ELM) classifier to construct the clinical model. We used the transfer learning strategy to train the ResNet18 model, used the model to extract deep learning features from all CT images, and then used the ELM classifier to classify the deep learning features to obtain the deep learning signature (DLS). A MDLR model incorporating clinicopathological characteristics, subjective CT findings and DLS was constructed. The diagnostic efficiencies of the clinical model, DLS model and MDLR model were evaluated by the area under the curve (AUC). Results Univariate analysis indicated that size (p = 0.004), neuron-specific enolase (NSE) (p = 0.03), carbohydrate antigen 19 - 9 (CA199) (p = 0.003), and pathological stage (p = 0.027) were significantly associated with the progression of solid stage I NSCLC after surgery. Therefore, these clinical characteristics were incorporated into the clinical model to predict the risk of progression in postoperative solid-stage NSCLC patients. A total of 294 deep learning features with nonzero coefficients were selected. The DLS in the progressive group was (0.721 +/- 0.371), which was higher than that in the nonprogressive group (0.113 +/- 0.350) (p &lt; 0.001). The combination of size,NSE,CA199,pathological stage and DLS demonstrated the superior performance in differentiating postoperative progression status. The AUC of the MDLR model was 0.885 (95% confidence interval [CI]: 0.842-0.927), higher than that of the clinical model (0.675 (95% CI: 0.599-0.752)) and DLS model (0.882 (95% CI: 0.835-0.929)). The DeLong test and decision in curve analysis revealed that the MDLR model was the most predictive and clinically useful model. Conclusion MDLR model is effective in predicting the risk of postoperative progression of solid stage I NSCLC, and it is helpful for the treatment and follow-up of solid stage I NSCLC patients.</t>
  </si>
  <si>
    <t>Kuang, Qionglian; Feng, Bao; Xu, Kuncai; Chen, Yehang; Chen, Xiaojuan; Duan, Xiaobei; Lei, Xiaoyan; Chen, Xiangmeng; Li, Kunwei; Long, Wansheng</t>
  </si>
  <si>
    <t>Chen, XM; Long, WS (corresponding author), Jiangmen Cent Hosp, Dept Radiol, 23 North Rd, Jiangmen 529030, Guangdong, Peoples R China.; Li, KW (corresponding author), Sun Yat Sen Univ, Affiliated Hosp 5, Dept Radiol, Zhuhai 519000, Guangdong, Peoples R China.</t>
  </si>
  <si>
    <t>181970902@qq.com; likunwei@mail.sysu.edu.cn; jmlws2@163.com</t>
  </si>
  <si>
    <t>National Natural Science Foundation of China [62176104, 81960324]; Natural Science Foundation of Guangxi Province [2021GXNSFAA075037]; Medical Research Foundation of Guangdong Province [B2022113]</t>
  </si>
  <si>
    <t>National Natural Science Foundation of China (National Natural Science Foundation of China (NSFC)); Natural Science Foundation of Guangxi Province (National Natural Science Foundation of Guangxi Province); Medical Research Foundation of Guangdong Province</t>
  </si>
  <si>
    <t>This study has received funding by the National Natural Science Foundation of China (Grant Number: 62176104 and 81960324), the Natural Science Foundation of Guangxi Province (Grant Number: 2021GXNSFAA075037) and Medical Research Foundation of Guangdong Province (Grant Number: B2022113).</t>
  </si>
  <si>
    <t>[Kuang, Qionglian; Lei, Xiaoyan] Hainan Gen Hosp, Dept Radiol, 19 Xiuhua Rd, Haikou 570311, Hainan, Peoples R China; [Feng, Bao; Xu, Kuncai; Chen, Yehang] Guilin Univ Aerosp Technol, Lab Artificial Intelligence Biomed, Guilin 541004, Guangxi, Peoples R China; [Chen, Xiaojuan; Chen, Xiangmeng; Long, Wansheng] Jiangmen Cent Hosp, Dept Radiol, 23 North Rd, Jiangmen 529030, Guangdong, Peoples R China; [Duan, Xiaobei] Jiangmen Cent Hosp, Dept Nucl Med, Jiangmen 529030, Guangdong, Peoples R China; [Li, Kunwei] Sun Yat Sen Univ, Affiliated Hosp 5, Dept Radiol, Zhuhai 519000, Guangdong, Peoples R China</t>
  </si>
  <si>
    <t>Hainan Medical University; Guilin University of Aerospace Technology; Sun Yat Sen University</t>
  </si>
  <si>
    <t>Multimodal deep learning radiomics model for predicting postoperative progression in solid stage I non-small cell lung cancer</t>
  </si>
  <si>
    <t>CANCER IMAGING</t>
  </si>
  <si>
    <t>Non-small cell lung cancer; Deep learning; Postoperative progress; Computed tomography; Radiomics</t>
  </si>
  <si>
    <t>CARCINOEMBRYONIC ANTIGEN; PROGNOSTIC VALUE; RECURRENCE; CLASSIFICATION; SURVIVAL; STATISTICS; FEATURES</t>
  </si>
  <si>
    <t>li, kunwei/ISV-0575-2023</t>
  </si>
  <si>
    <t>1740-5025</t>
  </si>
  <si>
    <t>1470-7330</t>
  </si>
  <si>
    <t>Cancer Imaging</t>
  </si>
  <si>
    <t>OCT 17 2024</t>
  </si>
  <si>
    <t>140</t>
  </si>
  <si>
    <t>10.1186/s40644-024-00783-8</t>
  </si>
  <si>
    <t>http://dx.doi.org/10.1186/s40644-024-00783-8</t>
  </si>
  <si>
    <t>J6R3H</t>
  </si>
  <si>
    <t>39420411</t>
  </si>
  <si>
    <t>WOS:001338314200001</t>
  </si>
  <si>
    <t>Bose, P; Rana, P; Sleeman, WC; Srinivasan, S; Kapoor, R; Palta, J; Ghosh, P</t>
  </si>
  <si>
    <t>Simple Summary Structure name standardization is a critical problem in Radiotherapy planning systems to correctly identify the various Organs-at-Risk, Planning Target Volumes and 'Other' organs for monitoring present and future medications. We propose a deep neural network-based approach on the multimodal vision-language prostate cancer patient data that provides state-of-the-art results for structure name standardization. Our framework considers for the first time, both the bony anatomy along with radiation dose information and the textual physician-given names of the structures present in the prostate of cancer patients. The pipeline presented here, helps in automatic standardization of structure names given by physicians with high accuracy. Our pipeline can successfully standardize the Organs-at-Risk and the Planning Target Volumes, which are of utmost interest to the clinicians and simultaneously, performs very well on the 'Other' organs. We performed comprehensive experiments by varying input data modalities to show that using masked images and masked dose data with text outperforms the combination of other input modalities. We also undersampled the majority class, i.e., the 'Other' class, at different degrees and conducted extensive experiments to demonstrate that a small amount of majority class undersampling is essential for superior performance. Overall, our proposed integrated, deep neural network-based architecture for prostate structure name standardization can solve several challenges associated with multimodal data.Abstract Physicians often label anatomical structure sets in Digital Imaging and Communications in Medicine (DICOM) images with nonstandard random names. Hence, the standardization of these names for the Organs at Risk (OARs), Planning Target Volumes (PTVs), and 'Other' organs is a vital problem. This paper presents novel deep learning methods on structure sets by integrating multimodal data compiled from the radiotherapy centers of the US Veterans Health Administration (VHA) and Virginia Commonwealth University (VCU). These de-identified data comprise 16,290 prostate structures. Our method integrates the multimodal textual and imaging data with Convolutional Neural Network (CNN)-based deep learning approaches such as CNN, Visual Geometry Group (VGG) network, and Residual Network (ResNet) and shows improved results in prostate radiotherapy structure name standardization. Evaluation with macro-averaged F1 score shows that our model with single-modal textual data usually performs better than previous studies. The models perform well on textual data alone, while the addition of imaging data shows that deep neural networks achieve better performance using information present in other modalities. Additionally, using masked images and masked doses along with text leads to an overall performance improvement with the CNN-based architectures than using all the modalities together. Undersampling the majority class leads to further performance enhancement. The VGG network on the masked image-dose data combined with CNNs on the text data performs the best and presents the state-of-the-art in this domain.</t>
  </si>
  <si>
    <t>Bose, Priyankar; Rana, Pratip; Sleeman, William C.; Srinivasan, Sriram; Kapoor, Rishabh; Palta, Jatinder; Ghosh, Preetam</t>
  </si>
  <si>
    <t>Bose, P (corresponding author), Virginia Commonwealth Univ, Dept Comp Sci, Richmond, VA 23284 USA.</t>
  </si>
  <si>
    <t>rishabh.kapoor@vcuhealth.org; prana@bennettaerospace.com; pghosh@vcu.edu; sriram.srinivasan@vcuhealth.org; bosep@vcu.edu; jatinder.palta@vcuhealth.org; william.sleemaniv@vcuhealth.org</t>
  </si>
  <si>
    <t>US Veterans Health Administration-National Radiation Oncology Program (VHA-NROP)</t>
  </si>
  <si>
    <t>This research was funded by the US Veterans Health Administration-National Radiation Oncology Program (VHA-NROP). The results, discussions, and conclusions reported in this paper are completely those of the authors and are independent from the funding sources.</t>
  </si>
  <si>
    <t>[Bose, Priyankar; Rana, Pratip; Sleeman, William C.; Ghosh, Preetam] Virginia Commonwealth Univ, Dept Comp Sci, Richmond, VA 23284 USA; [Rana, Pratip] Bennett Aerosp, Raleigh, NC 27603 USA; [Sleeman, William C.; Srinivasan, Sriram; Kapoor, Rishabh; Palta, Jatinder; Ghosh, Preetam] Virginia Commonwealth Univ, Dept Radiat Oncol, Richmond, VA 23284 USA; [Sleeman, William C.; Srinivasan, Sriram; Kapoor, Rishabh; Palta, Jatinder] Dept Vet Affairs, Natl Radiat Oncol Program, Richmond, VA 23249 USA</t>
  </si>
  <si>
    <t>Virginia Commonwealth University; Virginia Commonwealth University; Hunter Holmes McGuire Veterinary Affairs Medical Center</t>
  </si>
  <si>
    <t>Multimodal Deep Learning Methods on Image and Textual Data to Predict Radiotherapy Structure Names</t>
  </si>
  <si>
    <t>BIOMEDINFORMATICS</t>
  </si>
  <si>
    <t>multimodal data integration; radiotherapy structure names; radiation oncology; deep learning; TG-263 names</t>
  </si>
  <si>
    <t>AMERICAN ASSOCIATION; RADIATION ONCOLOGY; PHYSICISTS</t>
  </si>
  <si>
    <t>/AAL-7284-2021</t>
  </si>
  <si>
    <t>2673-7426</t>
  </si>
  <si>
    <t>BioMedInformatics</t>
  </si>
  <si>
    <t>JUN 25 2023</t>
  </si>
  <si>
    <t>493</t>
  </si>
  <si>
    <t>513</t>
  </si>
  <si>
    <t>10.3390/biomedinformatics3030034</t>
  </si>
  <si>
    <t>http://dx.doi.org/10.3390/biomedinformatics3030034</t>
  </si>
  <si>
    <t>Mathematical &amp; Computational Biology; Medical Informatics</t>
  </si>
  <si>
    <t>AB6IK</t>
  </si>
  <si>
    <t>WOS:001644279800001</t>
  </si>
  <si>
    <t>Zhang, H; Guo, XW; Gu, L; Lei, ZY; Omura, M; Gao, SC</t>
  </si>
  <si>
    <t>This study leverages multimodal deep learning to predict the efficacy of salvage chemoradiotherapy for esophageal squamous cell carcinoma. The target patients are those with regional lymph node recurrence after curative resection. Predicting efficacy is challenging due to limited data and the reliance on manual feature selection. Integrating multimodal data and optimising its utilisation can significantly support treatment prediction. However, there is little research on fully integrating multimodal data. To address this, we conduct a retrospective study and design a multimodal architecture to process patient data, including images, text, and tabular features. The model employs attention mechanisms and Fourier transform paths for seamless feature fusion. Our comparative analysis shows significant performance improvements with multimodal data, achieving an average precision, recall, and F1-score of 91.96%, 91.18%, and 90.86%, with best scores of 97.20%, 97.10%, and 97.00%.</t>
  </si>
  <si>
    <t>Zhang, Han; Guo, Xinwei; Gu, Liang; Lei, Zhenyu; Omura, Masaaki; Gao, Shangce</t>
  </si>
  <si>
    <t>Gao, SC (corresponding author), Univ Toyama, Fac Engn, Toyama, Japan.</t>
  </si>
  <si>
    <t>26820563@qq.com; momura@eng.u-toyama.ac.jp; gaosc@eng.u-toyama.ac.jp; guoxinwei66688@163.com; zhanghancora@126.com; leizg@eng.u-toyama.ac.jp</t>
  </si>
  <si>
    <t>Japan Society for the Promotion of Science (JSPS) KAKENHI [JP23K24899]; Japan Science and Technology Agency (JST) [JPMJSP2145]; Special Scientific Research Project for Doctor of Taixing People's Hospital [trybs2021004]; Philosophy and Social Science Research of Jiangsu Higher Education Institutions of China [2024SJYB1719]</t>
  </si>
  <si>
    <t>Japan Society for the Promotion of Science (JSPS) KAKENHI (Ministry of Education, Culture, Sports, Science and Technology, Japan (MEXT), Japan Society for the Promotion of Science, Grants-in-Aid for Scientific Research (KAKENHI)); Japan Science and Technology Agency (JST) (Japan Science &amp; Technology Agency (JST)); Special Scientific Research Project for Doctor of Taixing People's Hospital; Philosophy and Social Science Research of Jiangsu Higher Education Institutions of China</t>
  </si>
  <si>
    <t>This research was partially supported by the Japan Society for the Promotion of Science (JSPS) KAKENHI under Grant JP23K24899, Japan Science and Technology Agency (JST) Support for Pioneering Research Initiated by the Next Generation (SPRING) under Grant JPMJSP2145, Special Scientific Research Project for Doctor of Taixing People's Hospital (trybs2021004), and Philosophy and Social Science Research of Jiangsu Higher Education Institutions of China (2024SJYB1719).</t>
  </si>
  <si>
    <t>[Zhang, Han; Lei, Zhenyu; Omura, Masaaki; Gao, Shangce] Univ Toyama, Fac Engn, Toyama, Japan; [Zhang, Han] Nanjing Normal Univ, Taizhou Coll, Taizhou, Peoples R China; [Guo, Xinwei] Yangzhou Univ, Affiliated Taixing Peoples Hosp, Dept Radiat Oncol, Taixing, Peoples R China</t>
  </si>
  <si>
    <t>University of Toyama; Nanjing Normal University; Yangzhou University</t>
  </si>
  <si>
    <t>𝒟afVBM: multimodal deep learning for predicting efficacy of salvage chemoradiotherapy</t>
  </si>
  <si>
    <t>INTERNATIONAL JOURNAL OF BIO-INSPIRED COMPUTATION</t>
  </si>
  <si>
    <t>multimodal model; feature fusion; efficacy prediction</t>
  </si>
  <si>
    <t>guo, 郭信伟/HRB-2008-2023; GAO, Shangce/I-3422-2012; Lei, Zhenyu/AAW-4905-2021; Omura, Masaaki/ABE-9601-2021</t>
  </si>
  <si>
    <t>INDERSCIENCE ENTERPRISES LTD</t>
  </si>
  <si>
    <t>GENEVA</t>
  </si>
  <si>
    <t>WORLD TRADE CENTER BLDG, 29 ROUTE DE PRE-BOIS, CASE POSTALE 856, CH-1215 GENEVA, SWITZERLAND</t>
  </si>
  <si>
    <t>1758-0366</t>
  </si>
  <si>
    <t>1758-0374</t>
  </si>
  <si>
    <t>INT J BIO-INSPIR COM</t>
  </si>
  <si>
    <t>Int. J. Bio-Inspired Comput..</t>
  </si>
  <si>
    <t>192</t>
  </si>
  <si>
    <t>10.1504/IJBIC.2025.149561</t>
  </si>
  <si>
    <t>http://dx.doi.org/10.1504/IJBIC.2025.149561</t>
  </si>
  <si>
    <t>9OM7T</t>
  </si>
  <si>
    <t>WOS:001611250500001</t>
  </si>
  <si>
    <t>Tortora, M; Cordelli, E; Sicilia, R; Nibid, L; Ippolito, E; Perrone, G; Ramella, S; Soda, P</t>
  </si>
  <si>
    <t>Current practice in cancer treatment collects multimodal data, such as radiology images, histopathology slides, genomics and clinical data. The importance of these data sources taken individually has fostered the recent rise of radiomics and pathomics, i.e., the extraction of quantitative features from radiology and histopathology images collected to predict clinical outcomes or guide clinical decisions using artificial intelligence algorithms. Nevertheless, how to combine them into a single multimodal framework is still an open issue. In this work, we develop a multimodal late fusion approach that combines hand-crafted features computed from radiomics, pathomics and clinical data to predict radiotherapy treatment outcomes for non-small-cell lung cancer patients. Within this context, we investigate eight different late fusion rules and two patient-wise aggregation rules leveraging the richness of information given by CT images, whole-slide scans and clinical data. The experiments in leave-one-patient-out cross-validation on an in-house cohort of 33 patients show that the proposed fusion-based multimodal paradigm, with an AUC equal to 90.9%, outperforms each unimodal approach, suggesting that data integration can advance precision medicine. The results also show that late fusion favourably compares against early fusion, another commonly used multimodal approach. As a further contribution, we explore the chance to use a deep learning framework against hand-crafted features. In our scenario characterised by different modalities and a limited amount of data, as it may happen in different areas of cancer research, the results show that the latter is still a viable and effective option for extracting relevant information with respect to the former.</t>
  </si>
  <si>
    <t>Tortora, Matteo; Cordelli, Ermanno; Sicilia, Rosa; Nibid, Lorenzo; Ippolito, Edy; Perrone, Giuseppe; Ramella, Sara; Soda, Paolo</t>
  </si>
  <si>
    <t>Tortora, M (corresponding author), Univ Rome, Dept Engn, Unit Comp Syst &amp; Bioinformat, Campus Biomed, I-00128 Rome, Italy.</t>
  </si>
  <si>
    <t>m.tortora@unicampus.it</t>
  </si>
  <si>
    <t>University Campus Bio-Medico di Roma; Programma Operativo Nazionale (PON); Regione Lazio; Piano Nazionale di Ripresa e Resilienza (Recovery and Resilience Plan) of the Ministry of University and Research [PE0000013-FAIR]; Fondo per la Crescita Sostenibile (FCS) Bando Accordo Innovazione [CUP B89J23000580005]</t>
  </si>
  <si>
    <t>University Campus Bio-Medico di Roma; Programma Operativo Nazionale (PON) (Ministry of Education, Universities and Research (MIUR)); Regione Lazio (Regione Lazio); Piano Nazionale di Ripresa e Resilienza (Recovery and Resilience Plan) of the Ministry of University and Research; Fondo per la Crescita Sostenibile (FCS) Bando Accordo Innovazione</t>
  </si>
  <si>
    <t>This work was supported in part by University Campus Bio-Medico di Roma under the program University Strategic Projects,'' within theproject A CoLlAborative multi-sources Radiopathomics approach for personalized Oncology in non-small cell lung cancer (CLARO)''; in part by Programma Operativo Nazionale (PON) Ricerca e Innovazione 2014-2020, Azioni IV.4-Dottorati e Contratti di Ricerca suTematiche dell'Innovazione''; in part by Regione Lazio under the program PO FSE 2014-2020 Azione Cardine 21''; in part by the project PE0000013-FAIR supported by Piano Nazionale di Ripresa e Resilienza (Recovery and Resilience Plan) of the Ministry of University and Research; and in part by Fondo per la Crescita Sostenibile (FCS) Bando Accordo Innovazione DM 24/5/2017 (Ministerodelle Imprese e del Made in Italy), under the project Piattaforma per la Medicina di Precisione, Intelligenza Artificiale e DiagnosticaClinica Integrata'' (CUP B89J23000580005).</t>
  </si>
  <si>
    <t>[Tortora, Matteo; Cordelli, Ermanno; Sicilia, Rosa; Soda, Paolo] Univ Rome, Dept Engn, Unit Comp Syst &amp; Bioinformat, Campus Biomed, I-00128 Rome, Italy; [Nibid, Lorenzo; Perrone, Giuseppe] Univ Rome, Dept Med, Unit Anat Pathol, Campus Biomed, I-00128 Rome, Italy; [Ippolito, Edy; Ramella, Sara] Univ Rome, Dept Med, Unit Radiat Oncol, Campus Biomed, I-00128 Rome, Italy; [Soda, Paolo] Umea Univ, Dept Radiat Sci Radiat Phys Biomed Engn, S-90187 Umea, Sweden</t>
  </si>
  <si>
    <t>Sapienza University Rome; University Campus Bio-Medico - Rome Italy; University Campus Bio-Medico - Rome Italy; Sapienza University Rome; University Campus Bio-Medico - Rome Italy; Sapienza University Rome; Umea University</t>
  </si>
  <si>
    <t>RadioPathomics: Multimodal Learning in Non-Small Cell Lung Cancer for Adaptive Radiotherapy</t>
  </si>
  <si>
    <t>Feature extraction; Radiomics; Lung cancer; Bioinformatics; Genomics; Data mining; Radiation therapy; Late fusion; machine learning; multimodal learning; non-small-cell lung cancer; radiomics; pathomics</t>
  </si>
  <si>
    <t>CLASSIFICATION; RADIOMICS; INFORMATION</t>
  </si>
  <si>
    <t>RAMELLA, SARA/AAC-6523-2022; Nibid, Lorenzo/JQI-0890-2023; Sicilia, Rosa/AAC-6012-2022</t>
  </si>
  <si>
    <t>Nibid, Lorenzo/0000-0001-8583-0596; Sicilia, Rosa/0000-0002-2513-0827; Tortora, Matteo/0000-0002-3932-7380</t>
  </si>
  <si>
    <t>47563</t>
  </si>
  <si>
    <t>47578</t>
  </si>
  <si>
    <t>10.1109/ACCESS.2023.3275126</t>
  </si>
  <si>
    <t>http://dx.doi.org/10.1109/ACCESS.2023.3275126</t>
  </si>
  <si>
    <t>J5PF0</t>
  </si>
  <si>
    <t>WOS:001010128600001</t>
  </si>
  <si>
    <t>Stensballe, A</t>
  </si>
  <si>
    <t>The autoantibody reactome refers to the multidimensional repertoire of antibody reactivities against self-antigens across the human proteome or selected antigenic compartments. This offers a scalable systemic layer for precision immunology across spontaneous autoimmunity and treatment-induced immune toxicity. Autoimmune diseases and immune-related adverse events (irAEs) share major features of dysregulated immunity, yet clinically useful tools for risk stratification, early detection, endotyping, and treatment guidance remain limited and slow. A central challenge is that tissue pathology is highly informative but not uniformly accessible across diseases and organ systems, whereas routine serology captures only a narrow fraction of immune heterogeneity. In this perspective, I argue that a global autoantibody reactome can serve as a central unifying framework linking systemic immune history, tissue pathology, and clinical trajectories across autoimmune disorders and irAEs. Rheumatoid arthritis (RA) provides a strong prototype because its serological diversity, major role of post-translationally modified autoantigens, and marked synovial heterogeneity allow reactome features to be interpreted against tissue biology. Immune checkpoint inhibitor-associated inflammatory arthritis serves as an illustrative rheumatic irAE and a model of treatment-induced immune dysregulation with clear opportunities for longitudinal blood-based profiling. Spatial transcriptomics and proteomics are therefore positioned not as stand-alone solutions, but as mechanistic tools that can decode reactome-defined immune states within tissue microenvironments where tissue is accessible. Clinical translation will require integration of autoantibody reactomes with tissue, circulating proteomic, imaging, genetic, and clinical data through transparent multimodal models, as well as a shift from exploratory resources such as AAgAtlas toward analytically validated and clinically interpretable biomarker panels for risk prediction, endotyping, monitoring, and biomarker-guided intervention. This perspective outlines technical and strategic steps toward clinically actionable decision support, including risk stratification before ICI initiation and treatment guidance for patients who develop ICI-induced inflammatory arthritis, through integration of autoantibody reactome profiling, spatial omics and transparent multimodal AI.</t>
  </si>
  <si>
    <t>Stensballe, Allan</t>
  </si>
  <si>
    <t>Stensballe, A (corresponding author), Aalborg Univ, Fac Med, Dept Hlth Sci &amp; Technol, DK-9260 Aalborg, Denmark.; Stensballe, A (corresponding author), Aalborg Univ Hosp, Clin Canc Res Ctr, DK-9260 Aalborg, Denmark.</t>
  </si>
  <si>
    <t>allan@stensballe.com</t>
  </si>
  <si>
    <t>Biomedicines</t>
  </si>
  <si>
    <t>This research received no external funding. The APC was funded by Biomedicines.</t>
  </si>
  <si>
    <t>[Stensballe, Allan] Aalborg Univ, Fac Med, Dept Hlth Sci &amp; Technol, DK-9260 Aalborg, Denmark; [Stensballe, Allan] Aalborg Univ Hosp, Clin Canc Res Ctr, DK-9260 Aalborg, Denmark</t>
  </si>
  <si>
    <t>Aalborg University; Aalborg University; Aalborg University Hospital</t>
  </si>
  <si>
    <t>Toward Precision Health in Autoimmunity and Immune-Related Adverse Events: The Autoantibody Reactome, Spatial Omics, and Multimodal Data Integration</t>
  </si>
  <si>
    <t>BIOMEDICINES</t>
  </si>
  <si>
    <t>autoimmunity; immune-related adverse events; rheumatoid arthritis; immune-checkpoint inhibitors; autoantibody reactome</t>
  </si>
  <si>
    <t>RHEUMATOID-ARTHRITIS; DIAGNOSIS</t>
  </si>
  <si>
    <t>Stensballe, Allan/K-6756-2019</t>
  </si>
  <si>
    <t>98</t>
  </si>
  <si>
    <t>2227-9059</t>
  </si>
  <si>
    <t>1129</t>
  </si>
  <si>
    <t>10.3390/biomedicines14051129</t>
  </si>
  <si>
    <t>http://dx.doi.org/10.3390/biomedicines14051129</t>
  </si>
  <si>
    <t>Biochemistry &amp; Molecular Biology; Medicine, Research &amp; Experimental; Pharmacology &amp; Pharmacy</t>
  </si>
  <si>
    <t>Biochemistry &amp; Molecular Biology; Research &amp; Experimental Medicine; Pharmacology &amp; Pharmacy</t>
  </si>
  <si>
    <t>IO3YC</t>
  </si>
  <si>
    <t>42193454</t>
  </si>
  <si>
    <t>WOS:001776479700001</t>
  </si>
  <si>
    <t>Sievering, ID; Senouf, O; Mahendiran, T; Nanchen, D; Fournier, S; Muller, O; Frossard, P; Abbe, E; Thanou, D</t>
  </si>
  <si>
    <t>Goal: In patients with coronary artery disease, the prediction of future cardiac events such as myocardial infarction (MI) remains a major challenge. In this work, we propose a novel anatomy-informed multimodal deep learning framework to predict future MI from clinical data and Invasive Coronary Angiography (ICA) images. Methods: The images are analyzed by Convolutional Neural Networks (CNNs) guided by anatomical information, and the clinical data by an Artificial Neural Network (ANN). Embeddings from both sources are then merged to provide a patient-level prediction. Results: The results of our framework on a clinical study of 445 patients admitted with acute coronary syndromes confirms that multimodal learning increases the predictive power and achieves good performance (AUC: 0.67 +/- 0.04 &amp; F1-Score: 0.36 +/- 0.12 ), which outperforms the prediction obtained by each modality independently as well as that of interventional cardiologists (AUC: 0.54 &amp; F1-Score: 0.18). Conclusions: To the best of our knowledge, this is the first attempt towards combining multimodal data through a deep learning framework for future MI prediction. Although it demonstrates the superiority of multi-modal approaches over single modality, the results do not yet meet the necessary criteria for practical application.</t>
  </si>
  <si>
    <t>Sievering, Ivan-Daniel; Senouf, Ortal; Mahendiran, Thabo; Nanchen, David; Fournier, Stephane; Muller, Olivier; Frossard, Pascal; Abbe, Emmanuel; Thanou, Dorina</t>
  </si>
  <si>
    <t>Sievering, ID (corresponding author), Ecole Polytech Fed Lausanne, Signal Proc Lab 4, CH-1015 Lausanne, Switzerland.</t>
  </si>
  <si>
    <t>ivan.sievering@epfl.ch; ortal.senouf@epfl.ch; thabo.mahendiran@epfl.ch; stephane.fournier@chuv.ch; olivier.muller@chuv.ch; emmanuel.abbe@epfl.ch; pascal.frossard@epfl.ch; david.nanchen@unisante.ch; dorina.thanou@epfl.ch</t>
  </si>
  <si>
    <t>Center for Intelligent Systems, EPFL, Lausanne, Switzerland</t>
  </si>
  <si>
    <t>This work was supported by the Center for Intelligent Systems, EPFL, Lausanne, Switzerland.</t>
  </si>
  <si>
    <t>[Sievering, Ivan-Daniel; Senouf, Ortal; Frossard, Pascal] Ecole Polytech Fed Lausanne, Signal Proc Lab 4, CH-1015 Lausanne, Switzerland; [Senouf, Ortal; Abbe, Emmanuel] Swiss Fed Inst Technol, Swiss Data Sci Ctr, CH-1015 Lausanne, Switzerland; [Sievering, Ivan-Daniel] Ecole Polytech Fed Lausanne, CH-1015 Lausanne, Switzerland; [Senouf, Ortal; Mahendiran, Thabo; Abbe, Emmanuel] Ecole Polytech Fed Lausanne, Chair Math Data Sci, CH-1015 Lausanne, Switzerland; [Mahendiran, Thabo; Fournier, Stephane; Muller, Olivier] CHU Vaudois, Dept Cardiol, CH-1005 Lausanne, Switzerland; [Nanchen, David] Unisante, CH-1011 Lausanne, Switzerland; [Thanou, Dorina] Ecole Polytech Fed Lausanne, Ctr Intelligent Syst, CH- 1015 Lausanne, Switzerland</t>
  </si>
  <si>
    <t>Swiss Federal Institutes of Technology Domain; Ecole Polytechnique Federale de Lausanne; Swiss Federal Institutes of Technology Domain; Ecole Polytechnique Federale de Lausanne; Swiss Federal Institutes of Technology Domain; Ecole Polytechnique Federale de Lausanne; Swiss Federal Institutes of Technology Domain; Ecole Polytechnique Federale de Lausanne; University of Lausanne; Centre Hospitalier Universitaire Vaudois (CHUV); Swiss School of Public Health (SSPH+); Swiss Federal Institutes of Technology Domain; Ecole Polytechnique Federale de Lausanne</t>
  </si>
  <si>
    <t>Anatomy-Informed Multimodal Learning for Myocardial Infarction Prediction</t>
  </si>
  <si>
    <t>IEEE OPEN JOURNAL OF ENGINEERING IN MEDICINE AND BIOLOGY</t>
  </si>
  <si>
    <t>Coronary artery disease; deep learning; invasive coronary angiography; multimodal data; myocardial infarction; Coronary artery disease; deep learning; invasive coronary angiography; multimodal data; myocardial infarction</t>
  </si>
  <si>
    <t>Nanchen, David/AAQ-1118-2021</t>
  </si>
  <si>
    <t>Frossard, Pascal/0000-0002-4010-714X; Mahendiran, Thabo/0000-0002-0025-8162; Fournier, Stephane/0000-0002-9422-9521; Nanchen, David/0000-0002-2493-3505; Sievering, Ivan-Daniel/0009-0009-5423-6178</t>
  </si>
  <si>
    <t>2644-1276</t>
  </si>
  <si>
    <t>IEEE OPEN J ENG MED</t>
  </si>
  <si>
    <t>IEEE Open J. Eng. Med. Biol.</t>
  </si>
  <si>
    <t>837</t>
  </si>
  <si>
    <t>845</t>
  </si>
  <si>
    <t>10.1109/OJEMB.2024.3403948</t>
  </si>
  <si>
    <t>http://dx.doi.org/10.1109/OJEMB.2024.3403948</t>
  </si>
  <si>
    <t>L6P2F</t>
  </si>
  <si>
    <t>39559783</t>
  </si>
  <si>
    <t>WOS:001351909400003</t>
  </si>
  <si>
    <t>Cui, DK; Meng, Y; Liu, JL; Li, LR; Zheng, YF; Yu, RX; Xia, YF; Hou, SJ; Wang, Q</t>
  </si>
  <si>
    <t>Introduction Sub-health is an intermediate state between health and disease. Early diagnosis in clinical practice is difficult, which delays timely intervention. Traditional Chinese Medicine (TCM) constitution theory divides sub-health into eight categories; however, existing diagnostic tools mainly focus on psychological assessment and lack objective phenotypic indicators. Multimodal technology provides a new direction for the objective diagnosis of sub-health by integrating objective human phenotypic images with expert experience.Methods Tongue images, facial images, and infrared thermal images were collected from 1389 participants. In the pre-experiment, Model-1 consisted of a ResNet-18 network, an extended binary classification strategy, and a cross-attention fusion mechanism. Model-2 was developed based on Model-1 by integrating expert experience via Qwen2.5 using structural prompting. Accuracy, recall, precision, specificity, and AUC were used to evaluate model performance.Results The overall performance of Model-1 was good, with most core indicators of body constitution exceeding 0.7. However, PDC (accuracy 0.722, AUC 0.682) and QDC (accuracy 0.732, AUC 0.705) showed relatively poor performance, characterized by high recall but low specificity. The core indicators of Model-2 improved further. Notably, PDC (accuracy 0.772, AUC 0.732) and QDC (accuracy 0.778, AUC 0.756) were significantly improved, and the imbalance between recall and specificity was also alleviated.Discussion Multimodal fusion is critical for improving classification performance in TCM constitution recognition. The reasonable integration of clinical expert experience effectively optimizes feature fusion efficacy, highlighting the indispensable value of empirical expertise. Rooted in the empirical characteristics of TCM, embedding expert knowledge into the data-driven framework further enhances the robustness and credibility of the screening model.Conclusion This study established an expert experience-enhanced multimodal model for sub-health and TCM constitution identification. The model achieves objective quantification and accurate classification of sub-health states, providing a valuable technical reference for population health management and early sub-health risk screening.</t>
  </si>
  <si>
    <t>Cui, Diankun; Meng, Yue; Liu, Jinlian; Li, Lingru; Zheng, Yanfei; Yu, Ruoxi; Xia, Yifan; Hou, Shujuan; Wang, Qi</t>
  </si>
  <si>
    <t>Hou, SJ; Wang, Q (corresponding author), Beijing Univ Chinese Med, Natl Inst TCM Constitut &amp; Prevent Med, Beijing 100029, Peoples R China.</t>
  </si>
  <si>
    <t>housj2009@163.com; wangqi710@126.com</t>
  </si>
  <si>
    <t>National Natural Science Foundation of China Youth Science Fund Project [82004260]; High Level Key Discipline of National Administration of Traditional Chinese Medicine - Traditional Chinese constitutional medicine; National Administration of Traditional Chinese Medicine Foundation of TCM Constitution Identification Key Laboratory [2024-JYB-KYPT-13]</t>
  </si>
  <si>
    <t>National Natural Science Foundation of China Youth Science Fund Project; High Level Key Discipline of National Administration of Traditional Chinese Medicine - Traditional Chinese constitutional medicine; National Administration of Traditional Chinese Medicine Foundation of TCM Constitution Identification Key Laboratory</t>
  </si>
  <si>
    <t>The study was funded by: National Natural Science Foundation of China Youth Science Fund Project (Grant Number: 82004260), High Level Key Discipline of National Administration of Traditional Chinese Medicine - Traditional Chinese constitutional medicine (No.ZYYZDXK-2023251), National Administration of Traditional Chinese Medicine Foundation of TCM Constitution Identification Key Laboratory (2024-JYB-KYPT-13).</t>
  </si>
  <si>
    <t>[Cui, Diankun] Beijing Univ Chinese Med, Sch Tradit Chinese Med, Beijing 100029, Peoples R China; [Meng, Yue] Beijing Univ Chinese Med, Dongzhimen Hosp, Beijing 100029, Peoples R China; [Liu, Jinlian] Inner Mongolia Med Univ, Coll Tradit Chinese Med, Hohhot 010110, Peoples R China; [Li, Lingru; Zheng, Yanfei; Yu, Ruoxi; Xia, Yifan; Hou, Shujuan; Wang, Qi] Beijing Univ Chinese Med, Natl Inst TCM Constitut &amp; Prevent Med, Beijing 100029, Peoples R China</t>
  </si>
  <si>
    <t>Beijing University of Chinese Medicine; Beijing University of Chinese Medicine; Inner Mongolia Medical University; Beijing University of Chinese Medicine</t>
  </si>
  <si>
    <t>A Multimodal Deep Learning Model for Objective Identification of Sub-health Status in Traditional Chinese Medicine</t>
  </si>
  <si>
    <t>COMBINATORIAL CHEMISTRY &amp; HIGH THROUGHPUT SCREENING</t>
  </si>
  <si>
    <t>Sub-health status; body constitution; tongue features; facial features; infrared thermal features; deep learning; traditional chinese medicine; multimodal fusion</t>
  </si>
  <si>
    <t>CONSTITUTION; TONGUE</t>
  </si>
  <si>
    <t>/ABF-3023-2020</t>
  </si>
  <si>
    <t>BENTHAM SCIENCE PUBL LTD</t>
  </si>
  <si>
    <t>SHARJAH</t>
  </si>
  <si>
    <t>EXECUTIVE STE Y-2, PO BOX 7917, SAIF ZONE, 1200 BR SHARJAH, U ARAB EMIRATES</t>
  </si>
  <si>
    <t>1386-2073</t>
  </si>
  <si>
    <t>1875-5402</t>
  </si>
  <si>
    <t>COMB CHEM HIGH T SCR</t>
  </si>
  <si>
    <t>Comb. Chem. High Throughput Screen</t>
  </si>
  <si>
    <t>10.2174/0113862073484389260528213445</t>
  </si>
  <si>
    <t>http://dx.doi.org/10.2174/0113862073484389260528213445</t>
  </si>
  <si>
    <t>Biochemical Research Methods; Chemistry, Applied; Pharmacology &amp; Pharmacy</t>
  </si>
  <si>
    <t>Biochemistry &amp; Molecular Biology; Chemistry; Pharmacology &amp; Pharmacy</t>
  </si>
  <si>
    <t>JR2RC</t>
  </si>
  <si>
    <t>42253198</t>
  </si>
  <si>
    <t>WOS:001796074900001</t>
  </si>
  <si>
    <t>Rajaraman, S; Marini, N; Liang, ZH; Xue, ZY; Antani, S</t>
  </si>
  <si>
    <t>Multimodal learning using images and associated clinical text offers richer semantic supervision for medical AI. How-ever, models trained with synthetic reports risk hallucination, and conventional multimodal tuberculosis (TB) systems are impractical because they require text at inference. In realworld screening workflows, particularly in low-resource settings or during triage, radiology reports are often unavailable or delayed. Computer-aided detection systems for chest X-rays (CXRs) are considered a potential solution. In this context, this study proposes a method that uses clinically grounded text as privileged information during training to improve a binary CXR classifier, while enabling image-only TB prediction at deployment. Frontal CXRs from Shenzhen (internal train/validation/test), Montgomery County, TBX11K, and NIAID TB Portals (external tests) were lung-cropped using a YOLOv8s detector and resized to 224 &amp; times; 224. For Shenzhen, de-identified metadata and brief clinical notes were converted into structured reports encoding population type, TB status, laterality, lobar involvement, and adjunct findings; a parallel model used raw notes. A VGG-11 vision encoder and frozen CXR BERT text encoder were co-trained in a shared 256-dimensional space using image classification, cosine similarity, and supervised contrastive alignment losses. At inference, the text branch was removed, yielding an image only classifier regularized through multimodal supervision. Multimodal training with report supervision consistently improved image-only predictions, with structured report outperforming raw notes. Across internal and external cohorts, performance gains were reflected in higher balanced accuracy, Matthews correlation coefficient, and area under the curve. UMAP embed-dings showed clearer class separation, and Grad CAM maps demonstrated improved localization of TB-relevant lesions.</t>
  </si>
  <si>
    <t>Rajaraman, Sivaramakrishnan; Marini, Niccolo; Liang, Zhaohui; Xue, Zhiyun; Antani, Sameer</t>
  </si>
  <si>
    <t>Antani, S (corresponding author), NIH, Div Intramural Res, Natl Lib Med, Bethesda, MD 20894 USA.</t>
  </si>
  <si>
    <t>sivaramakrishnan.rajaraman@nih.gov; sameer.antani@nih.gov; Zhiyun.xue@nih.gov; niccolo.marini@nih.gov; zhaohui.liang@nih.gov</t>
  </si>
  <si>
    <t>National Institutes of Health</t>
  </si>
  <si>
    <t>National Institutes of Health (United States Department of Health &amp; Human Services, National Institutes of Health (NIH) - USA, Office of the Administrator (NIH))</t>
  </si>
  <si>
    <t>This research was supported by the Division of Intramural Research (DIR) of the National Library of Medicine (NLM), National Institutes of Health (NIH).</t>
  </si>
  <si>
    <t>[Rajaraman, Sivaramakrishnan; Marini, Niccolo; Liang, Zhaohui; Xue, Zhiyun; Antani, Sameer] NIH, Div Intramural Res, Natl Lib Med, Bethesda, MD 20894 USA</t>
  </si>
  <si>
    <t>Multimodal Learning with Privileged Report Supervision for Generalizable Tuberculosis Detection on Chest Radiographs</t>
  </si>
  <si>
    <t>JOURNAL OF MEDICAL SYSTEMS</t>
  </si>
  <si>
    <t>Tuberculosis; Deep learning; Multimodal; Classification; Privileged supervision; Generalization; Triaging</t>
  </si>
  <si>
    <t>Antani, Sameer/GVS-8371-2022; Liang, Zhaohui/Q-8443-2019; Rajaraman, Sivaramakrishnan/D-3727-2017</t>
  </si>
  <si>
    <t>0148-5598</t>
  </si>
  <si>
    <t>1573-689X</t>
  </si>
  <si>
    <t>J MED SYST</t>
  </si>
  <si>
    <t>J. Med. Syst.</t>
  </si>
  <si>
    <t>APR 9 2026</t>
  </si>
  <si>
    <t>10.1007/s10916-026-02368-3</t>
  </si>
  <si>
    <t>http://dx.doi.org/10.1007/s10916-026-02368-3</t>
  </si>
  <si>
    <t>GI6LO</t>
  </si>
  <si>
    <t>41957286</t>
  </si>
  <si>
    <t>WOS:001737295200002</t>
  </si>
  <si>
    <t>Zhou, J; Wibawa, MS; Wang, R; Deng, Y; Huang, H; Luo, Z; Xia, Y; Guo, X; Young, LS; Lo, KW; Rajpoot, N; Lv, X</t>
  </si>
  <si>
    <t>Background: The TNM (tumour-node-metastasis) staging system is the primary tool for treatment decisions in nasopharyngeal carcinoma (NPC). However, therapeutic outcomes vary considerably between patients, and guidelines for the management of distant metastasis treatment remain limited. This study aimed to develop and validate a deep learning-based risk score to predict NPC survival. Methods: We developed a graph for nasopharyngeal carcinoma (GNPC) risk score, a multimodal deep-learning-based digital score incorporating signals from both haematoxylin and eosin-stained tissue slides and clinical information. Digitised images of NPC tissue slides were represented as graphs to capture spatial context and tumour heterogeneity. The proposed GNPC score was developed and validated on 1949 patients from two independent cohorts. Results: The GNPC score successfully stratified patients in both cohorts, achieving statistically significant results for distant metastasis (P &lt; 0.001), overall survival (P &lt; 0.01), and local recurrence (P &lt; 0.05). Further downstream analyses of morphological characteristics, molecular features, and genomic profiles identified several factors associated with GNPC-score-based risk groups. Conclusion: The proposed digital score demonstrates robust predictive performance for distant metastasis, overall survival, and local recurrence in NPC. These findings highlight its potential to assist with personalised treatment strategies and improve clinical management for NPC.</t>
  </si>
  <si>
    <t>Zhou, J.; Wibawa, M. S.; Wang, R.; Deng, Y.; Huang, H.; Luo, Z.; Xia, Y.; Guo, X.; Young, L. S.; Lo, K. -W.; Rajpoot, N.; Lv, X.</t>
  </si>
  <si>
    <t>Guo, X (corresponding author), Sun Yat Sen Univ, Guangdong Prov Clin Res Ctr Canc, Guangdong Key Lab Nasopharyngeal Carcinoma Diag &amp;, State Key Lab Oncol South China,Canc Ctr, Guangzhou 510060, Peoples R China.; Rajpoot, N (corresponding author), Univ Warwick, Coventry CV4 7AL, England.</t>
  </si>
  <si>
    <t>guoxiang@sysucc.org.cn; n.m.rajpoot@warwick.ac.uk</t>
  </si>
  <si>
    <t>PhD scholarship, Indonesia Endowment Fund for Education (LPDP) , Ministry of Finance, Republic of Indonesia [S-575/LPDP.4/2020]</t>
  </si>
  <si>
    <t>PhD scholarship, Indonesia Endowment Fund for Education (LPDP) , Ministry of Finance, Republic of Indonesia</t>
  </si>
  <si>
    <t>This work was supported by a PhD scholarship, Indonesia Endowment Fund for Education (LPDP) , Ministry of Finance, Republic of Indonesia [grant number S-575/LPDP.4/2020] to MSW.</t>
  </si>
  <si>
    <t>[Zhou, J.; Deng, Y.; Huang, H.; Luo, Z.; Xia, Y.; Guo, X.; Lv, X.] Sun Yat Sen Univ, Guangdong Prov Clin Res Ctr Canc, Guangdong Key Lab Nasopharyngeal Carcinoma Diag &amp;, State Key Lab Oncol South China,Canc Ctr, Guangzhou 510060, Peoples R China; [Wibawa, M. S.; Wang, R.; Rajpoot, N.] Univ Warwick, Tissue Image Analyt Ctr, Dept Comp Sci, Coventry, England; [Young, L. S.] Univ Warwick, Warwick Med Sch, Coventry, England; [Lo, K. -W.] Chinese Univ Hong Kong, Dept Anat &amp; Cellular Pathol, Hong Kong, Peoples R China</t>
  </si>
  <si>
    <t>Sun Yat Sen University; State Key Lab Oncology South China; University of Warwick; University of Warwick; Chinese University of Hong Kong</t>
  </si>
  <si>
    <t>Multimodal AI-based risk stratification for distant metastasis in nasopharyngeal carcinoma</t>
  </si>
  <si>
    <t>ESMO OPEN</t>
  </si>
  <si>
    <t>nasopharyngeal carcinoma; artificial intelligence; deep learning; precision medicine</t>
  </si>
  <si>
    <t>Lv, Xing/0000-0003-3125-6853; Wibawa, Made Satria/0000-0001-5098-1714</t>
  </si>
  <si>
    <t>2059-7029</t>
  </si>
  <si>
    <t>ESMO Open</t>
  </si>
  <si>
    <t>105809</t>
  </si>
  <si>
    <t>10.1016/j.esmoop.2025.105809</t>
  </si>
  <si>
    <t>http://dx.doi.org/10.1016/j.esmoop.2025.105809</t>
  </si>
  <si>
    <t>8CZ5A</t>
  </si>
  <si>
    <t>40997749</t>
  </si>
  <si>
    <t>WOS:001585731400001</t>
  </si>
  <si>
    <t>Vollmer, A; Hartmann, S; Vollmer, M; Shavlokhova, V; Brands, RC; Kübler, A; Wollborn, J; Hassel, F; Couillard-Despres, S; Lang, G; Saravi, B</t>
  </si>
  <si>
    <t>In this study, we aimed to develop a novel prognostic algorithm for oral squamous cell carcinoma (OSCC) using a combination of pathogenomics and AI-based techniques. We collected comprehensive clinical, genomic, and pathology data from a cohort of OSCC patients in the TCGA dataset and used machine learning and deep learning algorithms to identify relevant features that are predictive of survival outcomes. Our analyses included 406 OSCC patients. Initial analyses involved gene expression analyses, principal component analyses, gene enrichment analyses, and feature importance analyses. These insights were foundational for subsequent model development. Furthermore, we applied five machine learning/deep learning algorithms (Random Survival Forest, Gradient Boosting Survival Analysis, Cox PH, Fast Survival SVM, and DeepSurv) for survival prediction. Our initial analyses revealed relevant gene expression variations and biological pathways, laying the groundwork for robust feature selection in model building. The results showed that the multimodal model outperformed the unimodal models across all methods, with c-index values of 0.722 for RSF, 0.633 for GBSA, 0.625 for FastSVM, 0.633 for CoxPH, and 0.515 for DeepSurv. When considering only important features, the multimodal model continued to outperform the unimodal models, with c-index values of 0.834 for RSF, 0.747 for GBSA, 0.718 for FastSVM, 0.742 for CoxPH, and 0.635 for DeepSurv. Our results demonstrate the potential of pathogenomics and AI-based techniques in improving the accuracy of prognostic prediction in OSCC, which may ultimately aid in the development of personalized treatment strategies for patients with this devastating disease.</t>
  </si>
  <si>
    <t>Vollmer, Andreas; Hartmann, Stefan; Vollmer, Michael; Shavlokhova, Veronika; Brands, Roman C.; Kuebler, Alexander; Wollborn, Jakob; Hassel, Frank; Couillard-Despres, Sebastien; Lang, Gernot; Saravi, Babak</t>
  </si>
  <si>
    <t>Vollmer, A (corresponding author), Univ Hosp Wurzburg, Dept Oral &amp; Maxillofacial Plast Surg, D-97070 Wurzburg, Franconia, Germany.</t>
  </si>
  <si>
    <t>Vollmer_a@ukw.de</t>
  </si>
  <si>
    <t>Open Access funding enabled and organized by Projekt DEAL. This research received no external funding.</t>
  </si>
  <si>
    <t>[Vollmer, Andreas; Hartmann, Stefan; Brands, Roman C.; Kuebler, Alexander] Univ Hosp Wurzburg, Dept Oral &amp; Maxillofacial Plast Surg, D-97070 Wurzburg, Franconia, Germany; [Vollmer, Michael] Tuebingen Univ Hosp, Dept Oral &amp; Maxillofacial Surg, Osianderstr 2-8, D-72076 Tubingen, Germany; [Shavlokhova, Veronika] Maxillofacial Surg Univ Hosp Ruppin Brandenburg, Fehrbelliner Str 38, D-16816 Neuruppin, Germany; [Wollborn, Jakob; Saravi, Babak] Brigham &amp; Womens Hosp, Harvard Med Sch, Dept Anesthesiol Perioperat &amp; Pain Med, Boston, MA USA; [Hassel, Frank; Saravi, Babak] Loretto Hosp, Dept Spine Surg, Freiburg, Germany; [Couillard-Despres, Sebastien; Saravi, Babak] Paracelsus Med Univ, Inst Expt Neuroregenerat, A-5020 Salzburg, Austria; [Couillard-Despres, Sebastien] Austrian Cluster Tissue Regenerat, Vienna, Austria; [Lang, Gernot; Saravi, Babak] Univ Freiburg, Fac Med, Med Ctr, Dept Orthoped &amp; Trauma Surg, Freiburg, Germany</t>
  </si>
  <si>
    <t>University of Wurzburg; Eberhard Karls University of Tubingen; Eberhard Karls University Hospital; TUBINGEN UNIVERSITY CHILDRENS HOSPITAL; Harvard University; Harvard Medical School; Harvard University Medical Affiliates; Brigham &amp; Women's Hospital; Paracelsus Private Medical University; University of Freiburg</t>
  </si>
  <si>
    <t>Multimodal artificial intelligence-based pathogenomics improves survival prediction in oral squamous cell carcinoma</t>
  </si>
  <si>
    <t>Oral cancer; Oral squamous cell carcinoma; Survival; Artificial intelligence; Deep learning; Machine learning; Pathogenomics; Multimodal prediction</t>
  </si>
  <si>
    <t>Vollmer, Andreas/ABD-1971-2021; Saravi, Babak/AAV-9666-2020; Hassel, Frank/HJO-9844-2023; Couillard-Despres, Sebastien/AFN-0929-2022; Kübler, Alexander/ABA-9297-2021</t>
  </si>
  <si>
    <t>Saravi, Babak/0000-0003-2298-3696; Couillard-Despres, Sebastien/0000-0002-8486-6412</t>
  </si>
  <si>
    <t>MAR 7 2024</t>
  </si>
  <si>
    <t>5687</t>
  </si>
  <si>
    <t>10.1038/s41598-024-56172-5</t>
  </si>
  <si>
    <t>http://dx.doi.org/10.1038/s41598-024-56172-5</t>
  </si>
  <si>
    <t>LE4F0</t>
  </si>
  <si>
    <t>38453964</t>
  </si>
  <si>
    <t>WOS:001185083700054</t>
  </si>
  <si>
    <t>Abdul, M; Chen, WX; Feng, LL; Tang, JH; Han, Y; Li, WX; Tian, Y</t>
  </si>
  <si>
    <t>Preoperative assessment of the difficult airway is essential to ensure anesthetic safety. However, traditional assessment methods rely on subjective clinical evaluations and demonstrate limited predictive accuracy. To address this challenge, we propose a multimodal AI-driven airway assessment system. The hardware architecture consists of an integrated camera module, computation module, and display module, while the software is built on a three-stage intelligent framework that comprises image feature extraction, feature-based parameter quantification, and data fusion-based risk prediction. In the feature extraction stage, the framework employs deep learning (DL) models to process input images. Subsequently, the framework automatically measures five critical airway parameters. In the prediction stage, these parameters are fused with personal basic information. Finally, an eXtreme gradient boosting (XGBoost) model processes the fused data to generate a final risk prediction for airway assessment. We evaluated the system performance using a dataset including 1,207 patients undergoing general anesthesia. On an independent test set, the DL models for feature extraction demonstrate high accuracy, with the AI-driven system achieving an area under the curve (AUC) of 0.831. The proposed system offers an objective and accurate solution for preoperative airway assessment, outperforming traditional methods.</t>
  </si>
  <si>
    <t>Abdul, Mannan; Chen, Weixiong; Feng, Lili; Tang, Jianhao; Han, Yuan; Li, Wenxian; Tian, Yu</t>
  </si>
  <si>
    <t>Li, WX; Tian, Y (corresponding author), Fudan Univ, Eye &amp; ENT Hosp, Dept Anesthesiol, Shanghai 200126, Peoples R China.</t>
  </si>
  <si>
    <t>ysusirtian@163.com; wenxian.li@fdeent.org</t>
  </si>
  <si>
    <t>Perioperative Airway Refinement Management Programs of the Health Human Resources Development Center, National Health Commission [RCLX2315001]; China Postdoctoral Science Foundation [2023M740664]; Natural Science Foundation of Shanghai [23ZR1409300]; Opening Project of Ningbo Key Laboratory of Aging Health Equipment and Service Technology [NZ25KF109]; Industry-University Collaboration Collaborative Education Program [231006630262055]</t>
  </si>
  <si>
    <t>Perioperative Airway Refinement Management Programs of the Health Human Resources Development Center, National Health Commission; China Postdoctoral Science Foundation (China Postdoctoral Science Foundation); Natural Science Foundation of Shanghai (Natural Science Foundation of Shanghai); Opening Project of Ningbo Key Laboratory of Aging Health Equipment and Service Technology; Industry-University Collaboration Collaborative Education Program</t>
  </si>
  <si>
    <t>This work was supported in part by the Grants-in-Aid for Scientific Research from the Perioperative Airway Refinement Management Programs of the Health Human Resources Development Center, National Health Commission under Grant RCLX2315001; in part by China Postdoctoral Science Foundation under Grant 2023M740664; in part by the Natural Science Foundation of Shanghai under Grant 23ZR1409300; in part by the Opening Project of Ningbo Key Laboratory of Aging Health Equipment and Service Technology under Grant NZ25KF109; and in part by the Industry-University Collaboration Collaborative Education Program under Grant 231006630262055.</t>
  </si>
  <si>
    <t>[Abdul, Mannan; Chen, Weixiong; Feng, Lili; Han, Yuan; Li, Wenxian; Tian, Yu] Fudan Univ, Eye &amp; ENT Hosp, Dept Anesthesiol, Shanghai 200126, Peoples R China; [Chen, Weixiong] Univ Shanghai Sci &amp; Technol, Sch Hlth Sci &amp; Engn, Shanghai 200093, Peoples R China; [Tang, Jianhao] Fudan Univ, Coll Intelligent Robot &amp; Adv Mfg, Shanghai 200433, Peoples R China</t>
  </si>
  <si>
    <t>Fudan University; University of Shanghai for Science &amp; Technology; Fudan University</t>
  </si>
  <si>
    <t>A Multimodal AI-Driven System for Preoperative Difficult Airway Assessment</t>
  </si>
  <si>
    <t>Atmospheric modeling; Surgery; Accuracy; Neck; Feature extraction; Artificial intelligence; Training; Predictive models; Lips; Visualization; Anesthesia; artificial intelligence; difficult airway assessment; multimodal</t>
  </si>
  <si>
    <t>INTUBATION</t>
  </si>
  <si>
    <t>Abdul, Mannan/GWN-2353-2022; Li, Wenxian/JNT-2127-2023; Han, Yuan/HNP-4706-2023</t>
  </si>
  <si>
    <t>chen, weixiong/0009-0005-3579-2196; Abdul, Mannan/0000-0002-7099-2688; 封, 莉莉/0000-0002-6760-3813; Li, Wenxian/0000-0003-1133-8560</t>
  </si>
  <si>
    <t>164630</t>
  </si>
  <si>
    <t>164640</t>
  </si>
  <si>
    <t>10.1109/ACCESS.2025.3610860</t>
  </si>
  <si>
    <t>http://dx.doi.org/10.1109/ACCESS.2025.3610860</t>
  </si>
  <si>
    <t>7TD9B</t>
  </si>
  <si>
    <t>WOS:001579058900019</t>
  </si>
  <si>
    <t>Hezil, N; Bouridane, A; Hamoudi, R; Al-maadeed, S; Akbari, Y; Abdullakutty, F</t>
  </si>
  <si>
    <t>Accurate classification of breast cancer subtypes is critical for personalized treatment planning and prognostic assessment. While histopathology and RNA-seq data each provide complementary insights into tumor biology, their integration remains challenging due to heterogeneity in data modalities. This study proposes a robust multimodal framework that combines histology-based features extracted using the CTransPath vision transformer with transcriptomic profiles to improve breast cancer subtype classification and interpretability. We developed an end-to-end pipeline incorporating three learning paradigms: RNA-Only, whole-slide image (WSI)-Only, and multimodal fusion. Histological features were extracted using a pretrained CTransPath encoder at 20 &amp; times; magnification (0.5 &amp; micro;m pixel-1) with non-overlapping 256 &amp; times; 256 pixel patches, while RNA-seq features were standardized and projected into a shared latent space. We evaluated multiple fusion techniques including gated attention, cross-attention, and concatenation. To enhance transparency, attention rollout was applied to visualize feature importance across WSIs. An uncertainty-aware smart routing mechanism was introduced to selectively use RNA-Only predictions for high-confidence cases or defer to multimodal inference for ambiguous samples, optimizing computational efficiency. Evaluated on the TCGA-BRCA dataset comprising 924 patients with PAM50 molecular subtypes, our routing-based multimodal model achieved 94.93% accuracy, outperforming both unimodal baselines and fixed fusion strategies. The routing mechanism required multimodal inference for only 38.2% of samples, achieving a 3.12 &amp; times; computational speedup while maintaining superior accuracy. Confusion matrices revealed significant improvements in distinguishing closely related subtypes such as Luminal A and Luminal B. Attention rollout provided interpretable heatmaps localizing discriminative histological regions associated with each subtype, aligning with established pathological criteria. This study demonstrates that integrating CTransPath-derived histology features with transcriptomic profiles through confidence-aware routing offers a practical, explainable, and computationally efficient approach for breast cancer subtype classification suitable for clinical decision support systems.</t>
  </si>
  <si>
    <t>Hezil, Nabil; Bouridane, Ahmed; Hamoudi, Rifat; Al-maadeed, Somaya; Akbari, Younes; Abdullakutty, Faseela</t>
  </si>
  <si>
    <t>Hezil, N (corresponding author), Univ Sharjah, Dept Comp Engn, Sharjah, U Arab Emirates.; Hezil, N (corresponding author), CRSTDLA, Dept Computat Linguist, Algiers, Algeria.</t>
  </si>
  <si>
    <t>nhezil@sharjah.ac.ae</t>
  </si>
  <si>
    <t>[Hezil, Nabil; Bouridane, Ahmed] Univ Sharjah, Dept Comp Engn, Sharjah, U Arab Emirates; [Hamoudi, Rifat] Univ Sharjah, Coll Med, Sharjah, U Arab Emirates; [Al-maadeed, Somaya; Akbari, Younes; Abdullakutty, Faseela] Qatar Univ, Dept Comp Sci &amp; Engn, Doha, Qatar; [Hezil, Nabil] CRSTDLA, Dept Computat Linguist, Algiers, Algeria</t>
  </si>
  <si>
    <t>University of Sharjah; University of Sharjah; Qatar University; Centre for Scientific &amp; Technical Research on Arid Regions (CRSTRA)</t>
  </si>
  <si>
    <t>Selective multimodal deep learning for reliable breast cancer subtype classification from histopathology and genomic data</t>
  </si>
  <si>
    <t>MEDICAL ENGINEERING &amp; PHYSICS</t>
  </si>
  <si>
    <t>breast cancer; multimodal learning; RNA-seq; CTransPath; subtype classification; deep learning; smart routing</t>
  </si>
  <si>
    <t>hezil, nabil/P-7151-2016</t>
  </si>
  <si>
    <t>1350-4533</t>
  </si>
  <si>
    <t>1873-4030</t>
  </si>
  <si>
    <t>MED ENG PHYS</t>
  </si>
  <si>
    <t>Med. Eng. Phys.</t>
  </si>
  <si>
    <t>MAR 2 2026</t>
  </si>
  <si>
    <t>147</t>
  </si>
  <si>
    <t>035006</t>
  </si>
  <si>
    <t>10.1088/1873-4030/ae449b</t>
  </si>
  <si>
    <t>http://dx.doi.org/10.1088/1873-4030/ae449b</t>
  </si>
  <si>
    <t>HD4FO</t>
  </si>
  <si>
    <t>41671586</t>
  </si>
  <si>
    <t>WOS:001751399300001</t>
  </si>
  <si>
    <t>Li, BH; Chen, H; Lin, XN; Duan, H</t>
  </si>
  <si>
    <t>Objective: To develop a multimodal learning application system that integrates electronic medical records (EMR) and hysteroscopic images for reproductive outcome prediction and risk stratification of patients with intrauterine adhesions (IUAs) resulting from endometrial injuries. Materials and methods: EMR and 5014 revisited hysteroscopic images of 753 post hysteroscopic adhesiolysis patients from the multicenter IUA database we established were randomly allocated to training, validation, and test datasets. The respective datasets were used for model development, tuning, and testing of the multimodal learning application. MobilenetV3 was employed for image feature extraction, and XGBoost for EMR and image feature ensemble learning. The performance of the application was compared against the single-modal approaches (EMR or hysteroscopic images), DeepSurv and ElasticNet models, along with the clinical scoring systems. The primary outcome was the 1-year conception prediction accuracy, and the secondary outcome was the assisted reproductive technology (ART) benefit ratio after risk stratification. Results: The multimodal learning system exhibited superior performance in predicting conception within 1-year, achieving areas under the curves of 0.967 (95% CI: 0.950-0.985), 0.936 (95% CI: 0.883-0.989), and 0.965 (95% CI: 0.935-0.994) in the training, validation, and test datasets, respectively, surpassing single-modal approaches, other models and clinical scoring systems (all P&lt;0.05). The application of the model operated seamlessly on the hysteroscopic platform, with an average analysis time of 3.7 +/- 0.8 s per patient. By employing the application's conception probability-based risk stratification, mid-high-risk patients demonstrated a significant ART benefit (odds ratio=6, 95% CI: 1.27-27.8, P=0.02), while low-risk patients exhibited good natural conception potential, with no significant increase in conception rates from ART treatment (P=1). Conclusions: The multimodal learning system using hysteroscopic images and EMR demonstrates promise in accurately predicting the natural conception of patients with IUAs and providing effective postoperative stratification, potentially contributing to ART triage after IUA procedures.</t>
  </si>
  <si>
    <t>Li, Bohan; Chen, Hui; Lin, Xiaona; Duan, Hua</t>
  </si>
  <si>
    <t>Duan, H (corresponding author), Capital Med Univ, Beijing Obstet &amp; Gynecol Hosp, Beijing Maternal &amp; Child Hlth Care Hosp, Dept Minimally Invas Gynecol Ctr, Beijing 100006, Peoples R China.</t>
  </si>
  <si>
    <t>gmis_fkwc@163.com; chenhui@ccmu.edu.cn; 24713144@qq.com; duanhua@ccmu.edu.cn</t>
  </si>
  <si>
    <t>Beijing Obstetrics and Gynecology Hospital</t>
  </si>
  <si>
    <t>Assistance with the study. The authors are grateful to the database entry staff and hysteroscopists of Beijing Obstetrics and Gynecology Hospital and Sir Run Run Shaw Hospital, especially Prof. Yinshu Guo, Yanzhen Peng, Ying Zhang, Xin Wang, Jinjuan Wang, and Fengxian Fu for their professional reports and photographic acquisition.</t>
  </si>
  <si>
    <t>[Li, Bohan; Duan, Hua] Capital Med Univ, Beijing Obstet &amp; Gynecol Hosp, Beijing Maternal &amp; Child Hlth Care Hosp, Dept Minimally Invas Gynecol Ctr, Beijing 100006, Peoples R China; [Chen, Hui] Capital Med Univ, Sch Biomed Engn, Beijing, Peoples R China; [Chen, Hui] Capital Med Univ, Beijing Adv Innovat Ctr Big Data Based Precis Med, Beijing, Peoples R China; [Lin, Xiaona] Zhejiang Univ, Sir Run Run Shaw Hosp, Assisted Reprod Unit, Key Lab Reprod Dysfunct Management Zhejiang Prov,S, Hangzhou, Peoples R China</t>
  </si>
  <si>
    <t>Capital Medical University; Capital Medical University; Capital Medical University; Zhejiang University</t>
  </si>
  <si>
    <t>Multimodal learning system integrating electronic medical records and hysteroscopic images for reproductive outcome prediction and risk stratification of endometrial injury: a multicenter diagnostic study</t>
  </si>
  <si>
    <t>conception; electronic medical records; hysteroscopy; intrauterine adhesions; multimodal learning</t>
  </si>
  <si>
    <t>INTRAUTERINE ADHESIONS</t>
  </si>
  <si>
    <t>LIN, XIAONA/ABD-5147-2020</t>
  </si>
  <si>
    <t>3237</t>
  </si>
  <si>
    <t>3248</t>
  </si>
  <si>
    <t>10.1097/JS9.0000000000001241</t>
  </si>
  <si>
    <t>http://dx.doi.org/10.1097/JS9.0000000000001241</t>
  </si>
  <si>
    <t>UL4X2</t>
  </si>
  <si>
    <t>38935827</t>
  </si>
  <si>
    <t>WOS:001248212000009</t>
  </si>
  <si>
    <t>Zhou, YJ; Gao, SS; Wang, T; Dai, W; Ye, KC; Ma, BW; Zhou, Y; Fan, SY; Gui, YY; Ma, WH; Chen, ZJ; Xing, SL; Su, JZ; Qu, J; Yuan, J; Yao, YH</t>
  </si>
  <si>
    <t>High myopia (HM) is a complex condition influenced by both genetic and environmental factors, yet its early prediction and clinical intervention remain challenging due to heterogeneous progression patterns. To support early identification of individuals at risk for HM, we developed MIRAGE, a deep learning framework combining exome-wide genotypes with fundus images for personalized prediction. The model combines DeepExGRS for genetic risk modeling and a convolutional network for imaging, fused via a gating attention mechanism. Applied to a cohort of 1991 individuals, MIRAGE achieved high predictive accuracy (AUC = 0.963), outperforming unimodal models. Interpretation using Integrated Gradients and Shapley values identified key genes (e.g. GJD2, FGF1) and image regions (optic disc, macula) contributing to predictions. Further, deep learning-based genetic risk models (DeepcvGRS and DeeprvGRS) outperformed traditional polygenic risk scores, capturing nonlinear interactions and improving HM prediction. Interaction analysis using Shapley interaction scores revealed 314 significant gene-gene interactions, including biologically relevant pairs such as PRSS56-GLI3 and SEMA4D-FRY. Overall, MIRAGE offers a scalable, interpretable, and accurate approach for HM risk stratification, paving the way to early intervention guided by both genetics and retinal imaging.</t>
  </si>
  <si>
    <t>Zhou, Yijun; Gao, Shuaishuai; Wang, Tao; Dai, Wei; Ye, Kaicheng; Ma, Bowei; Zhou, Yao; Fan, Shuyan; Gui, Yuanyuan; Ma, Wenhao; Chen, Zhen Ji; Xing, Shilai; Su, Jianzhong; Qu, Jia; Yuan, Jian; Yao, Yinghao</t>
  </si>
  <si>
    <t>Su, JZ; Qu, J; Yuan, J; Yao, YH (corresponding author), Wenzhou Med Univ, Eye Hosp, State Key Lab Eye Hlth, 270 West Xueyuan Rd, Wenzhou 325027, Zhejiang, Peoples R China.</t>
  </si>
  <si>
    <t>sujz@wmu.edu.cn; qujia@eye.ac.cn; jianyuan@wmu.edu.cn; yaoyh91@wmu.edu.cn</t>
  </si>
  <si>
    <t>The 'Pioneer' and 'Leading Goose' R&amp;D Program of Zhejiang [2025C02153]; National Natural Science Foundation of China [T2525030, 32400549]; Technology Breakthrough Program of Ningbo Sci-Tech Innovation YONGJIANG 2035 [2024Z221, 2025Z160]</t>
  </si>
  <si>
    <t>The 'Pioneer' and 'Leading Goose' R&amp;D Program of Zhejiang; National Natural Science Foundation of China (National Natural Science Foundation of China (NSFC)); Technology Breakthrough Program of Ningbo Sci-Tech Innovation YONGJIANG 2035</t>
  </si>
  <si>
    <t>This work was supported by the 'Pioneer' and 'Leading Goose' R&amp;D Program of Zhejiang (2025C02153) to J. Su, the National Natural Science Foundation of China (T2525030) to J. Su, the National Natural Science Foundation of China (32400549) to J. Yuan, and the Key Technology Breakthrough Program of Ningbo Sci-Tech Innovation YONGJIANG 2035 (No. 2024Z221, 2025Z160).</t>
  </si>
  <si>
    <t>[Zhou, Yijun; Qu, Jia] Hainan Univ, Sch Biomed Engn, 58 Renmin Rd, Haikou 570228, Hainan, Peoples R China; [Zhou, Yijun; Qu, Jia] Hainan Inst Real World Data, 32 Kangxiang Rd, Qionghai 571437, Hainan, Peoples R China; [Gao, Shuaishuai; Dai, Wei; Ye, Kaicheng; Ma, Bowei; Zhou, Yao; Fan, Shuyan; Gui, Yuanyuan; Ma, Wenhao; Chen, Zhen Ji; Su, Jianzhong; Qu, Jia; Yuan, Jian; Yao, Yinghao] Wenzhou Med Univ, Eye Hosp, State Key Lab Eye Hlth, 270 West Xueyuan Rd, Wenzhou 325027, Zhejiang, Peoples R China; [Gao, Shuaishuai; Dai, Wei; Su, Jianzhong; Qu, Jia] Zhejiang Lab Regenerat Med Vis &amp; Brain Hlth, Oujiang Lab, 999 Jinshi Rd, Wenzhou 325000, Zhejiang, Peoples R China; [Wang, Tao] Wenzhou Med Univ, Inst Genom Med, Key Lab Lab Med, Minist Educ, 1 Zhongxin Rd, Wenzhou 325035, Zhejiang, Peoples R China; [Xing, Shilai] Inst PSI Genom, Res Ctr, 100 Luodong Rd, Wenzhou 325000, Zhejiang, Peoples R China</t>
  </si>
  <si>
    <t>Wenzhou Medical University; Oujiang Laboratory</t>
  </si>
  <si>
    <t>MIRAGE: a multimodal deep learning framework for interpretable risk assessment of high myopia from genetic and retinal imaging data</t>
  </si>
  <si>
    <t>HUMAN MOLECULAR GENETICS</t>
  </si>
  <si>
    <t>high myopia; multimodal; genetics; fundus image; risk prediction</t>
  </si>
  <si>
    <t>GENOME-WIDE ASSOCIATION; MACULAR DEGENERATION; REFRACTIVE ERRORS</t>
  </si>
  <si>
    <t>, Yao/GMW-7462-2022</t>
  </si>
  <si>
    <t>0964-6906</t>
  </si>
  <si>
    <t>1460-2083</t>
  </si>
  <si>
    <t>HUM MOL GENET</t>
  </si>
  <si>
    <t>Hum. Mol. Genet.</t>
  </si>
  <si>
    <t>ddag040</t>
  </si>
  <si>
    <t>10.1093/hmg/ddag040</t>
  </si>
  <si>
    <t>http://dx.doi.org/10.1093/hmg/ddag040</t>
  </si>
  <si>
    <t>Biochemistry &amp; Molecular Biology; Genetics &amp; Heredity</t>
  </si>
  <si>
    <t>JF3KM</t>
  </si>
  <si>
    <t>42262223</t>
  </si>
  <si>
    <t>WOS:001787981200002</t>
  </si>
  <si>
    <t>Chen, H; Lin, JY; Lu, HN</t>
  </si>
  <si>
    <t>&lt;bold&gt;Background:&lt;/bold&gt; Muscle spasticity remains a challenging motor complication following stroke. Although botulinum toxin (BTX) injection is widely accepted for the management of focal spasticity, therapeutic responses vary considerably among individuals. Vibration therapy has been proposed as a complementary modality; however, predictive models that integrate clinical and imaging features to anticipate treatment response remain limited. &lt;bold&gt;Objective:&lt;/bold&gt; To evaluate the clinical efficacy of ultrasound-guided botulinum toxin combined with vibration therapy in post-stroke spasticity management and to develop a multimodal machine learning model for individualized outcome prediction. &lt;bold&gt;Methods:&lt;/bold&gt; A total of 200 participants were randomized to receive either BTX alone or BTX combined with vibration therapy. Clinical assessments-including the Modified Ashworth Scale (MAS), Fugl-Meyer Assessment (FMA), and Barthel Index (BI)-were conducted at baseline and 12 weeks post-treatment. Ultrasound-derived biomarkers, including muscle thickness, echo intensity, and blood flow score, were collected. Multiple machine learning models (random forest, support vector machine, XGBoost, and a feedforward neural network) were trained using combined clinical and imaging features to predict treatment response. &lt;bold&gt;Results:&lt;/bold&gt; Compared with BTX alone, the combined treatment group demonstrated significantly greater reductions in MAS (mean Delta MAS: 1.48 vs. 1.12, p &lt; 0.01) and greater improvements in FMA and BI scores (p &lt; 0.05). Among the evaluated models, the neural network achieved the highest predictive performance (AUC = 0.87). Muscle thickness and echo intensity emerged as influential features in the prediction models; however, their direct associations with clinical outcomes were limited. Correlation analysis revealed generally weak associations between ultrasound-derived biomarkers and changes in clinical outcomes, indicating limited direct correlations at the individual level. &lt;bold&gt;Conclusion:&lt;/bold&gt; Ultrasound-guided BTX combined with vibration therapy provides greater improvements in spasticity and functional outcomes compared with BTX alone. Multimodal machine learning models demonstrate potential for predicting individual treatment response, supporting the adjunctive role of ultrasound-derived biomarkers in personalized spasticity management.</t>
  </si>
  <si>
    <t>Chen, Hu; Lin, Jingyuan; Lu, Huini</t>
  </si>
  <si>
    <t>Lin, JY (corresponding author), Fujian Prov Geriatr Hosp, Dept Neurol, Fuzhou, Peoples R China.</t>
  </si>
  <si>
    <t>1027336301@qq.com</t>
  </si>
  <si>
    <t>[Chen, Hu; Lu, Huini] Anshun City Peoples Hosp, Dept Rehabil Med, Anshun, Peoples R China; [Lin, Jingyuan] Fujian Prov Geriatr Hosp, Dept Neurol, Fuzhou, Peoples R China</t>
  </si>
  <si>
    <t>Multimodal machine learning to predict response to ultrasound-guided botulinum and vibration therapy in muscle spasticity a clinical and imaging correlation study</t>
  </si>
  <si>
    <t>FRONTIERS IN BIOENGINEERING AND BIOTECHNOLOGY</t>
  </si>
  <si>
    <t>botulinum toxin; machine learning; multimodal data; muscle spasticity; neurorehabilitation; predictive modeling; ultrasound imaging; vibration therapy</t>
  </si>
  <si>
    <t>RANDOMIZED CONTROLLED-TRIAL; UPPER-LIMB SPASTICITY; STROKE</t>
  </si>
  <si>
    <t>2296-4185</t>
  </si>
  <si>
    <t>FRONT BIOENG BIOTECH</t>
  </si>
  <si>
    <t>Front. Bioeng. Biotechnol.</t>
  </si>
  <si>
    <t>1712390</t>
  </si>
  <si>
    <t>10.3389/fbioe.2025.1712390</t>
  </si>
  <si>
    <t>http://dx.doi.org/10.3389/fbioe.2025.1712390</t>
  </si>
  <si>
    <t>CM0TK</t>
  </si>
  <si>
    <t>41582950</t>
  </si>
  <si>
    <t>WOS:001669014200001</t>
  </si>
  <si>
    <t>Zang, XY; Xia, YJ; Xiao, HB; Luo, HL; Si, MG; Hou, NQ; Haoni, A; Chen, TY; Liu, ZY; Pu, XY; Zi, XY; Xu, LJ; Zhu, J; Xu, ZP; Wang, JN; Wang, ZY; Xia, J; Cao, DF; Yin, Y; Wang, JY; Wu, XR; Kong, W; Huang, JW; Zhang, J; Chen, YH; Huang, YR; Leung, DKW; Teoh, JYC; Wang, KL; Liang, CZ; Zheng, JH; Yu, ZS; Zhai, W</t>
  </si>
  <si>
    <t>Patients with clear cell renal cell carcinoma (ccRCC) face a high risk of recurrence after surgery, but existing clinical tools based on clinicopathological factors or costly molecular profiling often lack precision and clinical feasibility. We developed the multimodal predictive recurrence score (MPRS), a multimodal prognostic model using clinical features, CT images, and histopathological whole-slide images (WSIs) from 1648 patients across six centers and the TCGA database. MPRS outperformed unimodal models and clinical tools (Leibovich and UISS scores, KEYNOTE-564 risk classification), achieving C-index values of 0.886 and 0.838 in the internal and external validation cohorts, respectively. Importantly, MPRS correctly reclassified 83.3% (50/60) of KEYNOTE-564-defined low-risk recurrence patients as high-risk, avoiding inadequate adjuvant therapy, while reclassifying 57.7% (15/26) of KEYNOTE-564-defined intermediate/high-risk non-recurrence patients as low-risk, preventing excessive adjuvant therapy. By leveraging routinely available data, MPRS provides a cost-effective and accurate approach for recurrence risk stratification, optimizing personalized ccRCC management and therapeutic decision-making.</t>
  </si>
  <si>
    <t>Zang, Xinyi; Xia, Yujia; Xiao, Haibing; Luo, Haolun; Si, Minggui; Hou, Naiqiao; Haoni, Axide; Chen, Tianyi; Liu, Ziyi; Pu, Xinyuan; Zi, Xiangyu; Xu, Lijun; Zhu, Jin; Xu, Zhipeng; Wang, Jianning; Wang, Zaoyu; Xia, Jun; Cao, Dengfeng; Yin, Yu; Wang, Jieying; Wu, Xiaorong; Kong, Wen; Huang, Jiwei; Zhang, Jin; Chen, Yonghui; Huang, Yiran; Leung, David Ka-Wai; Teoh, Jeremy Yuen-Chun; Wang, Keliang; Liang, Chaozhao; Zheng, Junhua; Yu, Zhangsheng; Zhai, Wei</t>
  </si>
  <si>
    <t>Zheng, JH; Zhai, W (corresponding author), Shanghai Jiao Tong Univ, Renji Hosp, Dept Urol, Sch Med, Shanghai, Peoples R China.; Yu, ZS (corresponding author), Shanghai Jiao Tong Univ, Sch Life Sci &amp; Biotechnol, Dept Bioinformat &amp; Biostat, Shanghai, Peoples R China.; Yu, ZS (corresponding author), Shanghai Jiao Tong Univ, SJTU Yale Joint Ctr Biostat &amp; Data Sci, Sch Life Sci &amp; Biotechnol, Shanghai, Peoples R China.; Liang, CZ (corresponding author), Anhui Med Univ, Affiliated Hosp 1, Dept Urol, Hefei, Anhui, Peoples R China.; Wang, KL (corresponding author), Harbin Med Univ, Affiliated Hosp 4, Dept Urol, Heilongjiang Key Lab Sci Res Urol, Harbin, Peoples R China.; Yu, ZS (corresponding author), Shanghai Jiao Tong Univ, Sch Med, Clin Res Inst, Shanghai, Peoples R China.; Zhai, W (corresponding author), Shanghai Jiao Tong Univ, Renji Hosp, Shanghai Immune Therapy Inst State, Sch Med,Key Lab Oncogenes &amp; Related Genes, Shanghai, Peoples R China.</t>
  </si>
  <si>
    <t>wangkeliang@hrbmu.edu.cn; zhengjh0471@sina.com; liang_chaozhao@ahmu.edu.cn; yuzhangsheng@sjtu.edu.cn; jacky_zw2002@hotmail.com</t>
  </si>
  <si>
    <t>Shanghai Municipal Education Commission's Artificial Intelligence-Powered Research Paradigm Reform and Discipline Advancement Program [BJ1-9000-25-8010]; Shanghai Key Program of Computational Biology [23JS1400800]; National Major Science and Technology Infrastructure for Translational Medicine (Shanghai) 2024 "Open Research Program" Key Projects [TMSK-2024-119]; Renji Hospital Clinical Research Incubation Fund [RJPY-DZX-004]; Basic-Clinical Collaborative Innovation Project from Shanghai Immune Therapy Institute; Excellent Project of Shanghai Municipal Health Commission [20244Z0004]; National Natural Science Foundation of China [82473386]; Shanghai Science and Technology Commission Medical Innovation Clinical Research Special Project [23Y21900400]; Simulation RCT Study of Shanghai Shenkang Three Year Action Plan [Simulation RCT Study of Shanghai Shenkang Three Year Action Plan]; Shanghai Jiao Tong University Medical Engineering Interdisciplinary Research Fund - Key Project [YG2024ZD07]; Shanghai 2023 "Science and Technology Innovation Action Plan" Key Project on Computational Biology [23JS1400803]; Innovative Research Team of High-level Local Universities in Shanghai [SHSMUZLCX20212601]; National Key Research and Development Program of China [2022YFC2505305]</t>
  </si>
  <si>
    <t>Shanghai Municipal Education Commission's Artificial Intelligence-Powered Research Paradigm Reform and Discipline Advancement Program; Shanghai Key Program of Computational Biology; National Major Science and Technology Infrastructure for Translational Medicine (Shanghai) 2024 "Open Research Program" Key Projects; Renji Hospital Clinical Research Incubation Fund; Basic-Clinical Collaborative Innovation Project from Shanghai Immune Therapy Institute; Excellent Project of Shanghai Municipal Health Commission; National Natural Science Foundation of China (National Natural Science Foundation of China (NSFC)); Shanghai Science and Technology Commission Medical Innovation Clinical Research Special Project; Simulation RCT Study of Shanghai Shenkang Three Year Action Plan; Shanghai Jiao Tong University Medical Engineering Interdisciplinary Research Fund - Key Project; Shanghai 2023 "Science and Technology Innovation Action Plan" Key Project on Computational Biology; Innovative Research Team of High-level Local Universities in Shanghai; National Key Research and Development Program of China (National Key Research &amp; Development Program of China)</t>
  </si>
  <si>
    <t>This study was supported by National Natural Science Foundation of China (82173214, 82473386); National Key Research and Development Program of China (2022YFC2505305); National Major Science and Technology Infrastructure for Translational Medicine (Shanghai) 2024 "Open Research Program" Key Projects (TMSK-2024-119); Shanghai Municipal Education Commission's Artificial Intelligence-Powered Research Paradigm Reform and Discipline Advancement Program (BJ1-9000-25-8010); Shanghai 2023 "Science and Technology Innovation Action Plan" Key Project on Computational Biology (23JS1400803); Basic-Clinical Collaborative Innovation Project from Shanghai Immune Therapy Institute; Shanghai Science and Technology Commission Medical Innovation Clinical Research Special Project (23Y21900400); Excellent Project of Shanghai Municipal Health Commission (20244Z0004); Shanghai Key Program of Computational Biology (23JS1400800); Innovative Research Team of High-level Local Universities in Shanghai (SHSMUZLCX20212601); Simulation RCT Study of Shanghai Shenkang Three Year Action Plan (SHDC2024CRI042); Shanghai Jiao Tong University Medical Engineering Interdisciplinary Research Fund - Key Project (YG2024ZD07); Renji Hospital Clinical Research Incubation Fund (RJPY-DZX-004). We acknowledge the TCGA database for providing the data. Workflow of the study (Figure 1) was created with Figdraw.</t>
  </si>
  <si>
    <t>[Zang, Xinyi; Hou, Naiqiao; Haoni, Axide; Chen, Tianyi; Liu, Ziyi; Pu, Xinyuan; Zi, Xiangyu; Wu, Xiaorong; Kong, Wen; Huang, Jiwei; Zhang, Jin; Chen, Yonghui; Huang, Yiran; Zheng, Junhua; Zhai, Wei] Shanghai Jiao Tong Univ, Renji Hosp, Dept Urol, Sch Med, Shanghai, Peoples R China; [Xia, Yujia; Yu, Zhangsheng] Shanghai Jiao Tong Univ, Sch Life Sci &amp; Biotechnol, Dept Bioinformat &amp; Biostat, Shanghai, Peoples R China; [Xia, Yujia; Yu, Zhangsheng] Shanghai Jiao Tong Univ, SJTU Yale Joint Ctr Biostat &amp; Data Sci, Sch Life Sci &amp; Biotechnol, Shanghai, Peoples R China; [Xiao, Haibing; Liang, Chaozhao] Anhui Med Univ, Affiliated Hosp 1, Dept Urol, Hefei, Anhui, Peoples R China; [Luo, Haolun] Kaohsiung Chang Gung Mem Hosp, Dept Urol, Kaohsiung, Taiwan; [Luo, Haolun] Chang Gung Univ, Coll Med, Kaohsiung, Taiwan; [Si, Minggui; Wang, Keliang] Harbin Med Univ, Affiliated Hosp 4, Dept Urol, Heilongjiang Key Lab Sci Res Urol, Harbin, Peoples R China; [Xu, Lijun; Zhu, Jin] Soochow Univ, Dept Neurol, Affiliated Hosp 2, Suzhou, Jiangsu, Peoples R China; [Xu, Zhipeng; Wang, Jianning] Shandong First Med Univ, Affiliated Hosp 1, Dept Urol, Jinan, Peoples R China; [Wang, Zaoyu; Xia, Jun; Cao, Dengfeng] Shanghai Jiao Tong Univ, Renji Hosp, Dept Pathol, Sch Med, Shanghai, Peoples R China; [Yin, Yu] Anhui Med Univ, Affiliated Hosp 1, Dept Pathol, Hefei, Anhui, Peoples R China; [Wang, Jieying] Shanghai Jiao Tong Univ, Ren Ji Hosp, Clin Res Ctr, Sch Med, Shanghai, Peoples R China; [Leung, David Ka-Wai; Teoh, Jeremy Yuen-Chun] Chinese Univ Hong Kong, Fac Med, SH Ho Urol Ctr, Dept Surg, Hong Kong, Peoples R China; [Yu, Zhangsheng] Shanghai Jiao Tong Univ, Sch Med, Clin Res Inst, Shanghai, Peoples R China; [Zhai, Wei] Shanghai Jiao Tong Univ, Renji Hosp, Shanghai Immune Therapy Inst State, Sch Med,Key Lab Oncogenes &amp; Related Genes, Shanghai, Peoples R China</t>
  </si>
  <si>
    <t>Shanghai Jiao Tong University; Shanghai Jiao Tong University; Shanghai Jiao Tong University; Anhui Medical University; Chang Gung Memorial Hospital; Chang Gung University; Harbin Medical University; Soochow University - China; Shandong First Medical University &amp; Shandong Academy of Medical Sciences; Shanghai Jiao Tong University; Anhui Medical University; Shanghai Jiao Tong University; Chinese University of Hong Kong; Shanghai Jiao Tong University; Shanghai Jiao Tong University</t>
  </si>
  <si>
    <t>A multimodal AI model for precision prognosis in clear cell renal cell carcinoma: A multicenter study</t>
  </si>
  <si>
    <t>ADJUVANT PEMBROLIZUMAB; KIDNEY CANCER; PREDICTION; STRATIFICATION; NEPHRECTOMY; RECURRENCE; SURGERY</t>
  </si>
  <si>
    <t>/AFI-6110-2022; xu, zhipeng/QIT-3338-2026; Liu, Ziyi/OKS-5060-2025; Cao, Dengfeng/PIH-4616-2026; Teoh, Jeremy/H-5184-2016</t>
  </si>
  <si>
    <t>Chen, Tianyi/0009-0008-2266-0970</t>
  </si>
  <si>
    <t>NOV 17 2025</t>
  </si>
  <si>
    <t>668</t>
  </si>
  <si>
    <t>10.1038/s41746-025-02034-x</t>
  </si>
  <si>
    <t>http://dx.doi.org/10.1038/s41746-025-02034-x</t>
  </si>
  <si>
    <t>9YS8P</t>
  </si>
  <si>
    <t>41249481</t>
  </si>
  <si>
    <t>WOS:001618214900001</t>
  </si>
  <si>
    <t>Ryu, SY; Choi, JY; Yoo, TK</t>
  </si>
  <si>
    <t>Retinal artery occlusion (RAO) is a sight-threatening condition that requires prompt diagnosis to prevent irreversible vision loss. This study presents an innovative AI-driven approach for RAO detection from fundus images, marking the first application of deep learning for this purpose. Using a self-supervised learning (SSL) framework with SimCLR, our model addresses the challenge of limited labeled RAO data. The ResNet50 model pretrained with SimCLR demonstrated high diagnostic accuracy, achieving areas under the receiver operating characteristic curve (AUC) of 0.924 and 0.988 on two external validation datasets, highlighting its robustness and generalizability in RAO detection. To enhance transparency in clinical AI, we incorporated a multimodal interpretability approach using a ChatGPT-4-based AI chatbot. This chatbot, combined with Grad-CAM visualizations, provides detailed clinical explanations of the model's predictions, emphasizing key RAO features such as retinal whitening and cherry-red spots. This multimodal interpretability framework improves clinicians' understanding of the model's decision-making process, facilitating clinical adoption and trust. By automating RAO detection, this AI model serves as a valuable tool for the early identification of ocular and systemic vascular risks, enabling timely intervention. These findings highlight the potential of fundus imaging for RAO detection and broader cardiovascular risk assessment, advancing AI's role in predictive healthcare.</t>
  </si>
  <si>
    <t>Ryu, Sun Young; Choi, Joon Yul; Yoo, Tae Keun</t>
  </si>
  <si>
    <t>Yoo, TK (corresponding author), Hangil Eye Hosp, Dept Ophthalmol, Incheon, South Korea.</t>
  </si>
  <si>
    <t>eyetaekeunyoo@gmail.com; sy_0123@naver.com; jychoi717@gmail.com</t>
  </si>
  <si>
    <t>[Ryu, Sun Young] B&amp;VIIT Eye Ctr, Seoul, South Korea; [Choi, Joon Yul] Yonsei Univ, Dept Biomed Engn, Wonju, South Korea; [Yoo, Tae Keun] Hangil Eye Hosp, Dept Ophthalmol, Incheon, South Korea</t>
  </si>
  <si>
    <t>Yonsei University</t>
  </si>
  <si>
    <t>Automated detection of retinal artery occlusion in fundus photography via self-supervised deep learning and multimodal interpretability using a multimodal AI chatbot</t>
  </si>
  <si>
    <t>MEDICAL &amp; BIOLOGICAL ENGINEERING &amp; COMPUTING</t>
  </si>
  <si>
    <t>Retinal artery occlusion; Self-supervised learning; Deep learning; Fundus photography</t>
  </si>
  <si>
    <t>Yoo, Tae Keun/Q-3620-2019</t>
  </si>
  <si>
    <t>Yoo, Tae Keun/0000-0003-0890-8614</t>
  </si>
  <si>
    <t>SPRINGER HEIDELBERG</t>
  </si>
  <si>
    <t>HEIDELBERG</t>
  </si>
  <si>
    <t>TIERGARTENSTRASSE 17, D-69121 HEIDELBERG, GERMANY</t>
  </si>
  <si>
    <t>0140-0118</t>
  </si>
  <si>
    <t>1741-0444</t>
  </si>
  <si>
    <t>MED BIOL ENG COMPUT</t>
  </si>
  <si>
    <t>Med. Biol. Eng. Comput.</t>
  </si>
  <si>
    <t>2679</t>
  </si>
  <si>
    <t>2691</t>
  </si>
  <si>
    <t>10.1007/s11517-025-03353-7</t>
  </si>
  <si>
    <t>http://dx.doi.org/10.1007/s11517-025-03353-7</t>
  </si>
  <si>
    <t>Computer Science, Interdisciplinary Applications; Engineering, Biomedical; Mathematical &amp; Computational Biology; Medical Informatics</t>
  </si>
  <si>
    <t>Computer Science; Engineering; Mathematical &amp; Computational Biology; Medical Informatics</t>
  </si>
  <si>
    <t>6TS9Q</t>
  </si>
  <si>
    <t>40163243</t>
  </si>
  <si>
    <t>WOS:001456465100001</t>
  </si>
  <si>
    <t>Du, YR; Ji, C; Jiao, J; Xin, F; Ren, YY; Xia, ZW; Guo, Y; Zhou, JQ</t>
  </si>
  <si>
    <t>Background Fetal lung development is highly sensitive to adverse intrauterine conditions such as gestational diabetes mellitus (GDM) and pre-eclampsia (PE). Current clinical evaluation mainly relies on ultrasound imaging, but it provides limited information on related histological and molecular changes. This study aimed to develop a multimodal deep learning framework that combined ultrasound imaging features with molecular and histopathological data to assess fetal lung development.Methods Rat models of GDM and PE were established, and fetal lung ultrasound images were obtained. Fetal lung tissues were evaluated by histopathology. The expression of key proteins was analyzed by immunohistochemistry, Western blotting, and quantitative PCR. Gene sequencing was conducted, followed by differential expression and functional enrichment analyses. Deep learning algorithms were used for automated lung segmentation, quantitative feature extraction, and model development. By combining imaging features with molecular and histological data, a rat multimodal fusion model was constructed, which was then validated using human fetal lung ultrasound images through transfer learning and parameter optimization.Results In animal studies, significant differences were observed in multiple indicators of fetal lung development among normal, GDM, and PE groups, including quantitative histopathology, immunohistochemical protein expression, qPCR results, gene sequencing profiles, and functional enrichment analysis. The performance of the multimodal fusion model was better than that of the ultrasound-only and partially integrated models, achieving accuracies of 0.935 (95% CI: 0.898, 0.973) and 0.948 (95% CI: 0.919, 0.970) and average AUC of 0.954 (95% CI: 0.919, 0.984) and 0.955 (95% CI: 0.932, 0.979) in mid- and late- gestation, respectively. In clinical studies, 1,183 images of human fetal lungs were analyzed, and the classification model based on transfer learning showed superior performance, with accuracies of 0.835 (95% CI: 0.786, 0.894) and 0.874 (95% CI: 0.828, 0.907) and average AUCs of 0.830 (95% CI: 0.772, 0.890) and 0.857 (95% CI: 0.824, 0.893) in early and late trimester pregnancy, respectively.Conclusions This study demonstrated that integrating multimodal data improved the assessment of fetal lung development in GDM and PE. By linking imaging features with molecular and histopathological alterations, the proposed framework provides new methodological and biological insights and suggests a potential non-invasive strategy for monitoring fetal lung development in high-risk pregnancies.</t>
  </si>
  <si>
    <t>Du, Yanran; Ji, Chao; Jiao, Jing; Xin, Fei; Ren, Yunyun; Xia, Zhenwei; Guo, Yi; Zhou, Jianqiao</t>
  </si>
  <si>
    <t>Zhou, JQ (corresponding author), Shanghai Jiao Tong Univ, Ruijin Hosp, Dept Ultrasound, Sch Med, Shanghai, Peoples R China.; Xia, ZW; Zhou, JQ (corresponding author), Shanghai Jiao Tong Univ, Sch Med, Coll Hlth Sci &amp; Technol, Fac Med Imaging Technol, Shanghai, Peoples R China.; Guo, Y (corresponding author), Fudan Univ, Coll Biomed Engn, Shanghai, Peoples R China.; Ren, YY; Xia, ZW (corresponding author), Shanghai Jiao Tong Univ, Ruijin Hosp, Dept Pediat, Sch Med, Shanghai, Peoples R China.</t>
  </si>
  <si>
    <t>guoyi@fudan.edu.cn; zhousu30@126.com; ry30@aub.edu.lb; yyren_fckyy@163.com</t>
  </si>
  <si>
    <t>Fundamental Research Funds for the Central Universities [YG2024ZD03]; Program of Shanghai Academic Research Leader [23XD1401300]; National Natural Science Foundation of China [82302196, 82071928]</t>
  </si>
  <si>
    <t>Fundamental Research Funds for the Central Universities (Fundamental Research Funds for the Central Universities); Program of Shanghai Academic Research Leader; National Natural Science Foundation of China (National Natural Science Foundation of China (NSFC))</t>
  </si>
  <si>
    <t>The author(s) declared financial support was received for this work and/or its publication. This work was supported by the National Natural Science Foundation of China (grant nos. 82302196 and 82071928), the Fundamental Research Funds for the Central Universities (project no. YG2024ZD03), and the Program of Shanghai Academic/Technology Research Leader (grant no. 23XD1401300).</t>
  </si>
  <si>
    <t>[Du, Yanran; Xin, Fei; Zhou, Jianqiao] Shanghai Jiao Tong Univ, Ruijin Hosp, Dept Ultrasound, Sch Med, Shanghai, Peoples R China; [Du, Yanran; Xin, Fei; Xia, Zhenwei; Zhou, Jianqiao] Shanghai Jiao Tong Univ, Sch Med, Coll Hlth Sci &amp; Technol, Fac Med Imaging Technol, Shanghai, Peoples R China; [Ji, Chao] Shanghai Jiao Tong Univ, Dept Anesthesiol, Ruijin Hosp, Sch Med, Shanghai, Peoples R China; [Jiao, Jing; Guo, Yi] Fudan Univ, Coll Biomed Engn, Shanghai, Peoples R China; [Ren, Yunyun; Xia, Zhenwei] Shanghai Jiao Tong Univ, Ruijin Hosp, Dept Pediat, Sch Med, Shanghai, Peoples R China; Fudan Univ, Dept Ultrasound, Obstet &amp; Gynecol Hosp, Shanghai, Peoples R China</t>
  </si>
  <si>
    <t>Shanghai Jiao Tong University; Shanghai Jiao Tong University; Shanghai Jiao Tong University; Fudan University; Shanghai Jiao Tong University; Fudan University</t>
  </si>
  <si>
    <t>Multimodal deep learning fusion model for assessment of fetal lung development in gestational diabetes mellitus and pre-eclampsia</t>
  </si>
  <si>
    <t>FRONTIERS IN ENDOCRINOLOGY</t>
  </si>
  <si>
    <t>deep learning; fetal lung development; gestational diabetes mellitus; multimodal; preeclampsia; ultrasound</t>
  </si>
  <si>
    <t>PREGNANCY; DIFFERENTIATION; CLASSIFICATION; INHIBITION; MATURATION; DIAGNOSIS; ORIGINS; CANCER</t>
  </si>
  <si>
    <t>Zhou, JianQiao/ADS-9679-2022; /ABU-3523-2022</t>
  </si>
  <si>
    <t>1664-2392</t>
  </si>
  <si>
    <t>FRONT ENDOCRINOL</t>
  </si>
  <si>
    <t>Front. Endocrinol.</t>
  </si>
  <si>
    <t>MAY 18 2026</t>
  </si>
  <si>
    <t>1832468</t>
  </si>
  <si>
    <t>10.3389/fendo.2026.1832468</t>
  </si>
  <si>
    <t>http://dx.doi.org/10.3389/fendo.2026.1832468</t>
  </si>
  <si>
    <t>IU1KO</t>
  </si>
  <si>
    <t>42232760</t>
  </si>
  <si>
    <t>WOS:001780377800001</t>
  </si>
  <si>
    <t>Turki, A; Alshabrawy, O; Woo, WL</t>
  </si>
  <si>
    <t>Head and neck squamous cell carcinoma (HNSCC) is a prevalent and aggressive cancer, and accurate staging using the AJCC system is essential for treatment planning. This study aims to enhance AJCC staging by integrating both clinical and imaging data using a multimodal deep learning pipeline. We propose a framework that employs a VGG16-based masked autoencoder (MAE) for self-supervised visual feature learning, enhanced by attention mechanisms (CBAM and BAM), and fuses image and clinical features using an attention-weighted fusion network. The models, benchmarked on the HNSCC and HN1 datasets, achieved approximately 80% accuracy (four classes) and similar to 66% accuracy (five classes), with notable AUC improvements, especially under BAM. The integration of clinical features significantly enhances stage-classification performance, setting a precedent for robust multimodal pipelines in radiomics-based oncology applications.</t>
  </si>
  <si>
    <t>Turki, Anas; Alshabrawy, Ossama; Woo, Wai Lok</t>
  </si>
  <si>
    <t>Turki, A (corresponding author), Northumbria Univ, Fac Engn &amp; Environm, Dept Comp &amp; Informat Sci, Newcastle Upon Tyne NE1 8ST, England.</t>
  </si>
  <si>
    <t>wailok.woo@northumbria.ac.uk; anas.althobaiti@northumbria.ac.uk; ossama.alshabrawy@northumbria.ac.uk</t>
  </si>
  <si>
    <t>Saudi Arabia, Research and Innovation [1120] Funding Source: Medline</t>
  </si>
  <si>
    <t>Saudi Arabia, Research and Innovation</t>
  </si>
  <si>
    <t>[Turki, Anas; Alshabrawy, Ossama; Woo, Wai Lok] Northumbria Univ, Fac Engn &amp; Environm, Dept Comp &amp; Informat Sci, Newcastle Upon Tyne NE1 8ST, England</t>
  </si>
  <si>
    <t>Northumbria University</t>
  </si>
  <si>
    <t>Multimodal Deep Learning for Stage Classification of Head and Neck Cancer Using Masked Autoencoders and Vision Transformers with Attention-Based Fusion</t>
  </si>
  <si>
    <t>head and neck cancer; AJCC staging; vision transformer; masked autoencoder; multimodal fusion; radiomics</t>
  </si>
  <si>
    <t>Woo, Wai Lok/T-3662-2018; Alshabrawy, Ossama/O-6749-2014</t>
  </si>
  <si>
    <t>Woo, Wai Lok/0000-0002-8698-7605; Alshabrawy, Ossama/0000-0002-7293-8511</t>
  </si>
  <si>
    <t>JUN 24 2025</t>
  </si>
  <si>
    <t>2115</t>
  </si>
  <si>
    <t>10.3390/cancers17132115</t>
  </si>
  <si>
    <t>http://dx.doi.org/10.3390/cancers17132115</t>
  </si>
  <si>
    <t>4US4G</t>
  </si>
  <si>
    <t>40647415</t>
  </si>
  <si>
    <t>WOS:001527122500001</t>
  </si>
  <si>
    <t>Hong, HJ; Jeong, H; Joo, Y; Shim, Y; Kim, Y; Jin, YJ; Choi, Y; Yoon, S; Lyoo, IK</t>
  </si>
  <si>
    <t>Background Individual responses to stress are highly heterogeneous, resulting in diverse psychopathological outcomes. This variability poses challenges for traditional diagnostic frameworks and underscores the need for a transdiagnostic approach to guide interventions. This study aimed to identify distinct phenotypes within a stress-exposed population and to characterize their biological profiles using a multimodal machine learning framework.Methods A total of 809 stress-exposed adults (mean age 40.5 +/- 8.74 years; 53.7% female) underwent clinical, laboratory, and structural MRI assessments. Data-driven clustering of clinical variables identified phenotypes, followed by machine learning classifiers trained on neuroimaging and laboratory data to predict phenotype membership. SHapley Additive exPlanations (SHAP) analysis was used to identify key biological features distinguishing each phenotype.Results Three phenotypes were identified: a multi-risk group (n = 321) characterized by prominent depression, anxiety, and sleep disturbances; an alcohol-related risk group (n = 226) with high alcohol misuse and minimal comorbidity; and a resilient low-risk group (n = 262). Machine learning models accurately classified these phenotypes, indicating distinct biological profiles. SHAP analysis revealed phenotype-specific signatures: the multi-risk phenotype was associated with frontal-subcortical structural alterations and dysregulated cortisol, whereas the alcohol-related risk phenotype was characterized by frontal-insular structural alterations and metabolic abnormalities.Conclusions This study demonstrates the stratification of stress-exposed individuals into clinically and biologically distinct phenotypes. By integrating multimodal data with machine learning, we identified phenotype-specific neurobiological and metabolic profiles that extend beyond conventional diagnostic frameworks. These findings support a transdiagnostic, data-driven approach to improve risk stratification and inform personalized interventions in stress-exposed populations.</t>
  </si>
  <si>
    <t>Hong, Haejin; Jeong, Hyeonseok; Joo, Yoonji; Shim, Youngeun; Kim, Yejin; Jin, Yunjung; Choi, Yejin; Yoon, Sujung; Lyoo, In Kyoon</t>
  </si>
  <si>
    <t>Yoon, S; Lyoo, IK (corresponding author), Ewha Womans Univ, Ewha Brain Inst, Seoul, South Korea.; Yoon, S; Lyoo, IK (corresponding author), Ewha Womans Univ, Dept Brain &amp; Cognit Sci, Seoul, South Korea.; Lyoo, IK (corresponding author), Ewha Womans Univ, Grad Sch Pharmaceut Sci, Seoul, South Korea.</t>
  </si>
  <si>
    <t>sujungjyoon@ewha.ac.kr; inkylyoo@ewha.ac.kr</t>
  </si>
  <si>
    <t>National Research Foundation of Korea [RS-2020-NR049587]</t>
  </si>
  <si>
    <t>This research was made possible through the support of the National Research Foundation of Korea funded by the Korean government (RS-2020-NR049587, RS-2024-00440371, RS-2024-00345975, and RS-2024-00463762).</t>
  </si>
  <si>
    <t>[Hong, Haejin; Jeong, Hyeonseok; Joo, Yoonji; Shim, Youngeun; Kim, Yejin; Jin, Yunjung; Choi, Yejin; Yoon, Sujung; Lyoo, In Kyoon] Ewha Womans Univ, Ewha Brain Inst, Seoul, South Korea; [Shim, Youngeun; Kim, Yejin; Jin, Yunjung; Choi, Yejin; Yoon, Sujung; Lyoo, In Kyoon] Ewha Womans Univ, Dept Brain &amp; Cognit Sci, Seoul, South Korea; [Lyoo, In Kyoon] Ewha Womans Univ, Grad Sch Pharmaceut Sci, Seoul, South Korea</t>
  </si>
  <si>
    <t>Ewha Womans University; Ewha Womans University; Ewha Womans University</t>
  </si>
  <si>
    <t>Identification of distinct clinical phenotypes and their neurobiological signatures in stress-exposed individuals: A multimodal machine learning approach</t>
  </si>
  <si>
    <t>EUROPEAN PSYCHIATRY</t>
  </si>
  <si>
    <t>machine learning; neuroimaging; phenotype; stress-exposed individuals; transdiagnostic clustering</t>
  </si>
  <si>
    <t>ALCOHOL DEPENDENCE; HPA AXIS; VOLUME; SLEEP; BRAIN; PSYCHOPATHOLOGY; DYSREGULATION; ASSOCIATIONS; RESILIENCE; DEPRESSION</t>
  </si>
  <si>
    <t>Jin, Yunjung/0009-0001-4672-8270</t>
  </si>
  <si>
    <t>CAMBRIDGE UNIV PRESS</t>
  </si>
  <si>
    <t>EDINBURGH BLDG, SHAFTESBURY RD, CB2 8RU CAMBRIDGE, ENGLAND</t>
  </si>
  <si>
    <t>0924-9338</t>
  </si>
  <si>
    <t>1778-3585</t>
  </si>
  <si>
    <t>EUR PSYCHIAT</t>
  </si>
  <si>
    <t>Eur. Psychiat.</t>
  </si>
  <si>
    <t>MAY 26 2026</t>
  </si>
  <si>
    <t>e62</t>
  </si>
  <si>
    <t>10.1192/j.eurpsy.2026.12225</t>
  </si>
  <si>
    <t>http://dx.doi.org/10.1192/j.eurpsy.2026.12225</t>
  </si>
  <si>
    <t>Psychiatry</t>
  </si>
  <si>
    <t>JN5BZ</t>
  </si>
  <si>
    <t>42298837</t>
  </si>
  <si>
    <t>WOS:001793523000001</t>
  </si>
  <si>
    <t>Xiong, J; Gao, WH; Huang, F; Ling, L; Ai, C; Zhang, X; Cen, G; Dai, DR; Li, WS; Ma, L; Gui, F</t>
  </si>
  <si>
    <t>&lt;bold&gt;Purpose&lt;/bold&gt;: To develop and validate a machine learning system for the preoperative prediction of small effective optical zone (EOZ; diameter &lt; 5.5 mm) after small incision lenticule extraction (SMILE). &lt;bold&gt;Methods&lt;/bold&gt;: In this multicenter cohort study, 1030 multimodal combinations of preoperative parameters (PP), anterior corneal curvature maps (AACM), surgery video frames, and three-month postoperative EOZ diameter from 1030 eyes (634 patients) undergoing SMILE were divided: 677 for training, 85 for primary validation, 85 for internal test, and 183 for external test. The AACM-PP-Model integrating AACM and PP was developed and compared against parameter-only or image-only models, with primary performance evaluated by the area under the receiver operating characteristic curve (AUROC) and macro F1 score. &lt;bold&gt;Results&lt;/bold&gt;: In the primary validation set, the AACM-PP-Model achieved an AUROC of 0.897 (95% confidence interval [CI], 0.819-0.975) and macro F1 of 0.823. It outperformed the best parameter-only model (PP-CatBoost, AUROC of 0.885 [95% CI, 0.813-0.957], macro F1 of 0.821) and best image-only model (model based on suction-initiated, centering-checked frames and anterior axial curvature map [SIF-CCF-AACM-Model], AUROC of 0.837 [95% CI, 0.745-0.928], macro F1 of 0.612). Superiority of AACM-PP-Model over PP-CatBoost and SIF-CCF-AACM-Model was maintained in internal (AUROC 0.957 vs. 0.915 vs. 0.773) and external (0.863 vs. 0.814 vs. 0.660) test sets. Intraoperative frame models performed poorly (AUROC &lt; 0.7 on all test sets). &lt;bold&gt;Conclusions&lt;/bold&gt;: Multimodal machine learning using standard preoperative data can accurately predict small post-SMILE EOZ, demonstrating superior generalization to support preoperative decision-making.</t>
  </si>
  <si>
    <t>Xiong, Jian; Gao, Weihao; Huang, Fei; Ling, Ling; Ai, Chong; Zhang, Xian; Cen, Gao; Dai, Dongrong; Li, Wensheng; Ma, Lan; Gui, Fu</t>
  </si>
  <si>
    <t>Ma, L (corresponding author), Tsinghua Univ, Tsinghua Int Grad Sch, 2279 Lishui Rd, Shenzhen 518000, Guangdong, Peoples R China.; Gui, F (corresponding author), Nanchang Univ, Affiliated Hosp 2, Jiangxi Med Coll, 1 Minde Rd, Nanchang 330000, Peoples R China.</t>
  </si>
  <si>
    <t>564436578@qq.com; malan@sz.tsinghua.edu.cn</t>
  </si>
  <si>
    <t>National Natural Science Foundation of China [82260214]; Science and Technology Program of Jiangxi Provincial Health Commission [202210631]; Jiangxi Provincial Natural Science Foundation [20252BAC240513]; Second Affiliated Hospital of Nanchang University Funding Program [2024efyC01, 2024efyC11]</t>
  </si>
  <si>
    <t>National Natural Science Foundation of China (National Natural Science Foundation of China (NSFC)); Science and Technology Program of Jiangxi Provincial Health Commission; Jiangxi Provincial Natural Science Foundation; Second Affiliated Hospital of Nanchang University Funding Program</t>
  </si>
  <si>
    <t>The authors thank all the patients involved for supporting this study.Supported by the National Natural Science Foundation of China (82260214) , the Science and Technology Program of Jiangxi Provincial Health Commission (202210631) , the Jiangxi Provincial Natural Science Foundation (20252BAC240513) , and the Second Affiliated Hospital of Nanchang University Funding Program (2024efyC01, 2024efyC11) .</t>
  </si>
  <si>
    <t>[Xiong, Jian; Huang, Fei; Ai, Chong; Cen, Gao; Dai, Dongrong; Gui, Fu] Nanchang Univ, Affiliated Hosp 2, Jiangxi Med Coll, Ophthalm Ctr, Nanchang, Jiangxi, Peoples R China; [Xiong, Jian; Gui, Fu] Nanchang Key Lab Blindness &amp; Visual Impairment Pre, Nanchang, Jiangxi, Peoples R China; [Gao, Weihao] Guangdong Univ Educ, Sch Comp Sci &amp; Artificial Intelligence, Guangzhou, Guangdong, Peoples R China; [Ling, Ling; Zhang, Xian] Nanchang Bright Eye Hosp, Nanchang, Jiangxi, Peoples R China; [Li, Wensheng] Nanchang Univ, Rehabil Coll, Jiangxi Med Coll, Nanchang, Jiangxi, Peoples R China; [Ma, Lan] Tsinghua Univ, Tsinghua Int Grad Sch, 2279 Lishui Rd, Shenzhen 518000, Guangdong, Peoples R China</t>
  </si>
  <si>
    <t>Nanchang University; Guangdong University of Education; Nanchang University; Tsinghua University</t>
  </si>
  <si>
    <t>Predicting Small Effective Optical Zone After SMILE via Multimodal Machine Learning Integrating Corneal Topography and Clinical Parameters</t>
  </si>
  <si>
    <t>small incision lenticule extraction; effective optical zone; anterior corneal curvature maps; machine learning system; clinical parameters</t>
  </si>
  <si>
    <t>INCISION LENTICULE EXTRACTION; IN-SITU KERATOMILEUSIS</t>
  </si>
  <si>
    <t>10.1167/tvst.15.2.26</t>
  </si>
  <si>
    <t>http://dx.doi.org/10.1167/tvst.15.2.26</t>
  </si>
  <si>
    <t>FY7NB</t>
  </si>
  <si>
    <t>41718660</t>
  </si>
  <si>
    <t>WOS:001730576500004</t>
  </si>
  <si>
    <t>Azher, ZL; Suvarna, A; Chen, JQ; Zhang, Z; Christensen, BC; Salas, LA; Vaickus, LJ; Levy, JJ</t>
  </si>
  <si>
    <t>Background: Deep learning models can infer cancer patient prognosis from molecular and anatomic pathology information. Recent studies that leveraged information from complementary multimodal data improved prognostication, further illustrating the potential utility of such methods. However, current approaches: 1) do not comprehensively leverage biological and histomorphological relationships and 2) make use of emerging strategies to "pretrain" models (i.e., train models on a slightly orthogonal dataset/modeling objective) which may aid prognostication by reducing the amount of information required for achieving optimal performance. In addition, model interpretation is crucial for facilitating the clinical adoption of deep learning methods by fostering practitioner understanding and trust in the technology.Methods: Here, we develop an interpretable multimodal modeling framework that combines DNA methylation, gene expression, and histopathology (i.e., tissue slides) data, and we compare performance of crossmodal pretraining, contrastive learning, and transfer learning versus the standard procedure.Results: Our models outperform the existing state-of-the-art method (average 11.54% C-index increase), and baseline clinically driven models (average 11.7% C-index increase). Model interpretations elucidate consideration of biologically meaningful factors in making prognosis predictions.Discussion: Our results demonstrate that the selection of pretraining strategies is crucial for obtaining highly accurate prognostication models, even more so than devising an innovative model architecture, and further emphasize the all-important role of the tumor microenvironment on disease progression.</t>
  </si>
  <si>
    <t>Azher, Zarif L.; Suvarna, Anish; Chen, Ji-Qing; Zhang, Ze; Christensen, Brock C.; Salas, Lucas A.; Vaickus, Louis J.; Levy, Joshua J.</t>
  </si>
  <si>
    <t>Levy, JJ (corresponding author), Dartmouth Coll, Geisel Sch Med, Program Quantitat Biomed Sci, Hanover, NH 03755 USA.; Levy, JJ (corresponding author), Dartmouth Coll, Geisel Sch Med, Dept Epidemiol, Hanover, NH 03755 USA.; Levy, JJ (corresponding author), Dartmouth Hlth, Emerging Diagnost &amp; Invest Technol, Dept Pathol &amp; Lab Med, Lebanon, NH 03756 USA.; Levy, JJ (corresponding author), Dartmouth Hlth, Dept Dermatol, Lebanon, NH 03756 USA.</t>
  </si>
  <si>
    <t>joshua.j.levy@dartmouth.edu</t>
  </si>
  <si>
    <t>National Institute of General Medical Sciences [P20GM104416] Funding Source: NIH RePORTER</t>
  </si>
  <si>
    <t>National Institute of General Medical Sciences (United States Department of Health &amp; Human Services, National Institutes of Health (NIH) - USA, NIH National Institute of General Medical Sciences (NIGMS))</t>
  </si>
  <si>
    <t>JL is supported through NIH subawards P20GM104416 and P20GM130454.</t>
  </si>
  <si>
    <t>[Azher, Zarif L.; Suvarna, Anish] Thomas Jefferson High Sch Sci &amp; Technol, Alexandria, VA USA; [Chen, Ji-Qing] Dartmouth Coll, Canc Biol Grad Program, Geisel Sch Med, Hanover, NH USA; [Chen, Ji-Qing; Zhang, Ze; Levy, Joshua J.] Dartmouth Coll, Geisel Sch Med, Program Quantitat Biomed Sci, Hanover, NH 03755 USA; [Chen, Ji-Qing; Zhang, Ze; Christensen, Brock C.; Salas, Lucas A.; Levy, Joshua J.] Dartmouth Coll, Geisel Sch Med, Dept Epidemiol, Hanover, NH 03755 USA; [Christensen, Brock C.; Salas, Lucas A.] Dartmouth Coll, Geisel Sch Med, Dept Mol &amp; Syst Biol, Hanover, NH USA; [Christensen, Brock C.] Dartmouth Coll, Geisel Sch Med, Dept Community &amp; Family Med, Hanover, NH USA; [Salas, Lucas A.] Dartmouth Coll, Geisel Sch Med, Integrat Neurosci Dartmouth IND Grad Program, Hanover, NH USA; [Vaickus, Louis J.; Levy, Joshua J.] Dartmouth Hlth, Emerging Diagnost &amp; Invest Technol, Dept Pathol &amp; Lab Med, Lebanon, NH 03756 USA; [Levy, Joshua J.] Dartmouth Hlth, Dept Dermatol, Lebanon, NH 03756 USA</t>
  </si>
  <si>
    <t>Dartmouth College; Dartmouth College; Dartmouth College; Dartmouth College; Dartmouth College; Dartmouth College</t>
  </si>
  <si>
    <t>Assessment of emerging pretraining strategies in interpretable multimodal deep learning for cancer prognostication</t>
  </si>
  <si>
    <t>Multimodal; Survival; DNA methylation; Whole slide images; Gene expression; Machine learning; Graph neural networks; Tumor infiltrating lymphocytes</t>
  </si>
  <si>
    <t>MELANOMA PROGRESSION; PROGNOSIS</t>
  </si>
  <si>
    <t>Salas, Lucas A/U-2217-2019; Christensen, Brock/B-8460-2009; Zhang, Ze/AHC-5679-2022</t>
  </si>
  <si>
    <t>Levy, Joshua/0000-0001-8050-1291; Salas, Lucas A/0000-0002-2279-4097; Zhang, Ze/0000-0001-9854-5823</t>
  </si>
  <si>
    <t>JUL 22 2023</t>
  </si>
  <si>
    <t>10.1186/s13040-023-00338-w</t>
  </si>
  <si>
    <t>http://dx.doi.org/10.1186/s13040-023-00338-w</t>
  </si>
  <si>
    <t>T6WK2</t>
  </si>
  <si>
    <t>37481666</t>
  </si>
  <si>
    <t>WOS:001079365600001</t>
  </si>
  <si>
    <t>Tomii, D; Shiri, I; Baj, G; Nakase, M; Kazaj, PM; Samim, D; Bartkowiak, J; Praz, F; Lanz, J; Stortecky, S; Reineke, D; Windecker, S; Pilgrim, T; Gräni, C</t>
  </si>
  <si>
    <t>BACKGROUND Technical failure is not uncommon and is associated with unfavorable outcomes in patients undergoing TAVR. However, predicting procedural failure remains challenging due to the complex interplay of clinical, anatomical, and procedural factors. OBJECTIVES The objective of the study was to develop and validate a data-driven prediction model for technical failure of transcatheter aortic valve replacement (TAVR), using multimodal information and machine learning algorithms. METHODS In a prospective TAVR registry, 184 parameters derived from clinical examination, laboratory studies, electrocardiography, echocardiography, cardiac catheterization, computed tomography, and procedural measurements were used for machine learning modeling of TAVR technical failure prediction. For the machine learning algorithm, 24 different model combinations were developed using a standardized machine learning pipeline. All model development steps were performed solely on the training set, whereas the holdout test set was kept separate for final evaluation. Technical success/failure was defined according to the Valve Academic Research Consortium (VARC)-3 definition, which differentiates between vascular and cardiac complications. RESULTS Among 2,937 consecutive patients undergoing TAVR, the rate of cardiac and vascular technical failure was 2.4% and 7.0%, respectively. For both categories of technical failure, the best-performing model demonstrated moderate-to-high discrimination (cardiac: area under the curve: 0.769; vascular: area under the curve: 0.788), with high negative predictive values (0.995 and 0.976, respectively). Interpretability analysis showed that atherosclerotic comorbidities, computed tomography-based aortic root and iliofemoral anatomies, antithrombotic management, and procedural features were consistently identified as key determinants of VARC-3 technical failure across all models. CONCLUSIONS Machine learning-based models that integrate multimodal data can effectively predict VARC-3 technical failure in TAVR, refining patient selection and optimizing procedural strategies. (JACC Adv. 2025;4:102168) (c) 2025 The Authors. Published by Elsevier on behalf of the American College of Cardiology Foundation. This is an open access article under the CC BY license (http://creativecommons.org/licenses/by/4.0/).</t>
  </si>
  <si>
    <t>Tomii, Daijiro; Shiri, Isaac; Baj, Giovanni; Nakase, Masaaki; Kazaj, Pooya Mohammadi; Samim, Daryoush; Bartkowiak, Joanna; Praz, Fabien; Lanz, Jonas; Stortecky, Stefan; Reineke, David; Windecker, Stephan; Pilgrim, Thomas; Grani, Christoph</t>
  </si>
  <si>
    <t>Pilgrim, T; Gräni, C (corresponding author), Univ Bern, Bern Univ Hosp, Dept Cardiol, Inselspital, CH-3010 Bern, Switzerland.</t>
  </si>
  <si>
    <t>christoph.graeni@insel.ch; thomas.pilgrim@insel.ch</t>
  </si>
  <si>
    <t>Abbott; Medtronic; Biosensors; GAMBIT foundation; Swiss National Science Foundation; Novartis Foundation for Medical-Biological Research, Swiss Heart Foundation; Schmieder-Bohrisch Foundation; Alnylam Pharmaceuticals</t>
  </si>
  <si>
    <t>Abbott (Abbott Laboratories); Medtronic (Medtronic); Biosensors; GAMBIT foundation; Swiss National Science Foundation (Swiss National Science Foundation (SNSF)); Novartis Foundation for Medical-Biological Research, Swiss Heart Foundation (Novartis); Schmieder-Bohrisch Foundation (ACEV Foundation); Alnylam Pharmaceuticals</t>
  </si>
  <si>
    <t>Dr Shiri has received travel expenses from Alnylam and Bayer, and speaker fees and consultancy fees to the institution from Pfizer. Dr Samim has received funding for an online course from Edwards Lifesciences. Dr Bartkowiak has received grants from Novartis Foundation. Dr Praz has received travel expenses from Abbott, Edwards Lifesciences, and Polares Medical. Dr Lanz reports speaker fees to the institution from Edwards Lifesciences and Abbott and served as advisory board member for Abbott. Dr Stortecky has received institutional research grants from Edwards Lifesciences, Medtronic, Abbott Vascular, and Boston Scientific; and has received speaker fees from Boston Scientific. Dr Reineke reports travel expenses from Abbott, Edwards Lifesciences and Medtronic and has proctor and consulting contracts with Abbott and Medtronic. Dr Windecker reports research, travel, and/or educational grants to the institution from Abbott, Abiomed, Alnylam, Amicus Therapeutics, Amgen, Astra Zeneca, Bayer, B.Braun, Bioanalytica, Biotronik, Boehringer Ingelheim, Boston Scientific, Bristol Myers Squibb, Cordis Medical, CorFlow Therapeutics, CSL Behring, Daiichi Sankyo, Edwards Lifesciences, Fumedica, GE Healthcare, Guerbet, IACULIS, Inari Medical, Janssen AI, Johnson &amp; Johnson, Medalliance, Medtronic, MSD Merck Sharp &amp; Dohme, Neovii Pharmaceutica, Neutromedics AG, Novartis, Novo Nordisk, OM Pharma, Optimapharm, Orchestra BioMed, Pfizer, Philips AG, Sanofi-Aventis, Servier, Shockwave Medical, Siemens Healthcare, Sinomed, SMT Sahajanand Medical Technologies, Vascular Medical, and V-Wave; he serves as advisory board member and/or member of the steering/executive group of trials funded by Abbott, Amgen, Abiomed, Edwards Life-sciences, EnCarda Inc, Medtronic, Novartis, and Sinomed with payments to the institution but no personal payments; and is also a member of the steering/executive committee group of several investigator-initiated trials that receive funding by industry without impact on his personal remuneration. Dr Pilgrim reports research grants from the Swiss National Science Foundation, the Swiss Heart Foundation, the Swiss Polar Institute, the Bangerter-Rhyner Foundation, the Mach-Gaensslen Foundation, and the Monsol Foundation; research, travel, or educational grants to the institution without personal remuneration from Biotronik, Boston Scientific, Edwards Lifesciences, and ATSens; speaker fees and consultancy fees to the institution from Biotronik, Boston Scientific, Edwards Lifesciences, Abbott, Medtronic, Biosensors, and Highlife. Dr Graeni received research funding from the GAMBIT foundation for this work; he received funding from the Swiss National Science Foundation, InnoSuisse, Center for Artificial Intelligence in Medicine University Bern, Novartis Foundation for Medical-Biological Research, Swiss Heart Foundation, Schmieder-Bohrisch Foundation, Gottfried, and Julia Bangerter-Rhyner foundation, outside of the submitted work; furthermore, funding to the institution was received from Alnylam Pharmaceuticals, AstraZeneca, Pfizer, Bayer, outside of the submitted work and without impact on his personal remuneration. All other authors have reported that they have no relationships relevant to the contents of this paper to disclose.r Abbott, Medtronic, Biosensors, and Highlife. Dr Grani received research funding from the GAMBIT foundation for this work; he received funding from the Swiss National Science Foundation, InnoSuisse, Center for Artificial Intelligence in Medicine University Bern, Novartis Foundation for Medical-Biological Research, Swiss Heart Foundation, Schmieder-Bohrisch Foundation, Gottfried, and Julia Bangerter-Rhyner foundation, outside of the submitted work; furthermore, funding to the institution was received from Alnylam Pharmaceuticals, AstraZeneca, Pfizer, Bayer, outside of the submitted work and without impact on his personal remuneration. All other authors have reported that they have no relationships relevant to the contents of this paper to disclose.</t>
  </si>
  <si>
    <t>[Tomii, Daijiro; Shiri, Isaac; Baj, Giovanni; Nakase, Masaaki; Kazaj, Pooya Mohammadi; Samim, Daryoush; Bartkowiak, Joanna; Praz, Fabien; Lanz, Jonas; Stortecky, Stefan; Windecker, Stephan; Pilgrim, Thomas; Grani, Christoph] Univ Bern, Dept Cardiol, Inselspital, Bern, Switzerland; [Reineke, David] Univ Bern, Dept Cardiac Surg, Inselspital, Bern, Switzerland</t>
  </si>
  <si>
    <t>University of Bern; University of Bern</t>
  </si>
  <si>
    <t>Multimodal Machine Learning-Based Technical Failure Prediction in Patients Undergoing Transcatheter Aortic Valve Replacement</t>
  </si>
  <si>
    <t>JACC-ADVANCES</t>
  </si>
  <si>
    <t>aortic stenosis; machine learning; transcatheter aortic valve replacement; valve Academic research Consortium</t>
  </si>
  <si>
    <t>END-POINT DEFINITIONS; IMPLANTATION; VALIDATION; MORTALITY; OUTCOMES; MODELS</t>
  </si>
  <si>
    <t>Lanz, Jonas/JCP-1787-2023; Pilgrim, Thomas/AAS-9120-2021; Windecker, Stephan/NLO-5414-2025; Tomii, Daijiro/JJF-7836-2023; shiri, isaac/AAS-6243-2020; Stortecky, Stefan/AAS-9140-2021; Baj, Giovanni/JDC-1204-2023</t>
  </si>
  <si>
    <t>Gräni, Christoph/0000-0001-6029-0597; Samim, Daryoush/0000-0002-0698-4456; Tomii, Daijiro/0000-0002-4488-1335; Bartkowiak, Joanna/0000-0001-7254-9543; Baj, Giovanni/0009-0001-5445-6770</t>
  </si>
  <si>
    <t>2772-963X</t>
  </si>
  <si>
    <t>JACC-ADV</t>
  </si>
  <si>
    <t>JACC-Adv.</t>
  </si>
  <si>
    <t>102168</t>
  </si>
  <si>
    <t>10.1016/j.jacadv.2025.102168</t>
  </si>
  <si>
    <t>http://dx.doi.org/10.1016/j.jacadv.2025.102168</t>
  </si>
  <si>
    <t>7SQ2B</t>
  </si>
  <si>
    <t>40972358</t>
  </si>
  <si>
    <t>WOS:001578701300001</t>
  </si>
  <si>
    <t>Tang, EY; Xia, HM; Yuan, ZL; Zhao, YT; Wang, SN; Ye, ZB; Gao, SS; Zhou, ZQ; Zhao, YX; Zeng, J; Lyu, N; Zuo, J; Li, N; Ying, JM; Wu, LY</t>
  </si>
  <si>
    <t>Background/Objectives: Ovarian cancer has the highest mortality among gynecological malignancies, with platinum resistance significantly contributing to poor prognosis. We aimed to develop a multimodal model (MMHC-OCPR) to predict platinum response and recurrence risk, enabling earlier personalized treatment and improved outcomes. Methods: This multicenter retrospective study included a combined cohort of 431 patients, comprising 1182 whole slide images (WSIs) curated from two independent datasets. The primary cohort consisted of 376 patients from the National Cancer Center (China), which was further partitioned into training, validation and internal test sets to ensure model development and evaluation. An additional external test cohort was incorporated using publicly available data from TCGA, enhancing the generalizability of our findings. We implemented a weakly supervised multiple instance learning framework to integrate histopathological imaging with clinicopathological variables, further strengthened by the incorporation of the transformer-based pretrained encoder UNI2-h, which enhanced the model's predictive performance. Results: All patients in the primary cohort had pathology slides collected from primary ovarian tumors and metastatic tumor, along with clinical factors related to prognosis and treatment response. The baseline platinum response classifier using primary WSIs achieved an AUC of 0.896 in the internal test group and 0.876 in the external test group. Integration of metastatic WSIs and clinical data inputs yielded a superior AUC of 0.914 in the internal test set. The recurrence risk model demonstrated a C-index of 0.801, rising to 0.838 after multimodal enhancement. The model stratified patients into low-, intermediate- and high-risk groups with 2-year progression-free survival rates of 77.3%, 48.0% and 2.0%, respectively. Conclusions: Our model enables the early detection of platinum resistance, guiding timely treatment intensification. The recurrence risk stratification supports personalized management by identifying patients with favorable outcomes following surgery and chemotherapy, potentially sparing them from maintenance therapy to reduce associated toxicity, cost, and enhance quality of life.</t>
  </si>
  <si>
    <t>Tang, Enyu; Xia, Haoming; Yuan, Zhenlong; Zhao, Yuting; Wang, Shengnan; Ye, Zhenbang; Gao, Shangshu; Zhou, Ziqi; Zhao, Yuxi; Zeng, Jia; Lyu, Nenan; Zuo, Jing; Li, Ning; Ying, Jianming; Wu, Lingying</t>
  </si>
  <si>
    <t>Wu, LY (corresponding author), Chinese Acad Med Sci &amp; Peking Union Med Coll, Natl Canc Ctr, Dept Gynecol Oncol, Natl Clin Res Ctr Canc,Canc Hosp, Beijing 100021, Peoples R China.; Ying, JM (corresponding author), Chinese Acad Med Sci &amp; Peking Union Med Coll, Natl Clin Res Ctr Canc, Natl Canc Ctr, Dept Pathol,Canc Hosp, Beijing 100021, Peoples R China.</t>
  </si>
  <si>
    <t>zack.zeng@yahoo.com; wulingying@csco.org.cn; b2023003101@pumc.edu.cn; haomingxia@hotmail.com; gss200076@163.com; zuojing01894@163.com; lyunenan@cicams.ac.cn; zhouzq23@mails.tsinghua.edu.cn; liningnci@126.com; jmying@cicams.ac.cn; b2023003100@pumc.edu.cn; drzhaoyuxi@163.com; yzlbetablocker@gmail.com; 13840598176@163.com</t>
  </si>
  <si>
    <t>CAMS Innovation Fund for Medical Sciences (CIFMS) [2025-I2M-KJ-004]</t>
  </si>
  <si>
    <t>CAMS Innovation Fund for Medical Sciences (CIFMS) (CAMS Innovation Fund for Medical Sciences (CIFMS))</t>
  </si>
  <si>
    <t>This research was supported by the CAMS Innovation Fund for Medical Sciences (CIFMS) (grant number: 2025-I2M-KJ-004).</t>
  </si>
  <si>
    <t>[Tang, Enyu; Yuan, Zhenlong; Zhao, Yuting; Wang, Shengnan; Zhao, Yuxi; Zeng, Jia; Lyu, Nenan; Zuo, Jing; Li, Ning; Wu, Lingying] Chinese Acad Med Sci &amp; Peking Union Med Coll, Natl Canc Ctr, Dept Gynecol Oncol, Natl Clin Res Ctr Canc,Canc Hosp, Beijing 100021, Peoples R China; [Xia, Haoming] Tsinghua Univ, Sch Clin Med, Beijing 100084, Peoples R China; [Ye, Zhenbang; Gao, Shangshu; Ying, Jianming] Chinese Acad Med Sci &amp; Peking Union Med Coll, Natl Clin Res Ctr Canc, Natl Canc Ctr, Dept Pathol,Canc Hosp, Beijing 100021, Peoples R China; [Zhou, Ziqi] Tsinghua Univ, Dept Elect Engn, State Key Lab Power Syst Operat &amp; Control, Beijing 100084, Peoples R China</t>
  </si>
  <si>
    <t>Chinese Academy of Medical Sciences - Peking Union Medical College; Cancer Institute &amp; Hospital - CAMS; Peking Union Medical College; Tsinghua University; Chinese Academy of Medical Sciences - Peking Union Medical College; Cancer Institute &amp; Hospital - CAMS; Peking Union Medical College; Tsinghua University</t>
  </si>
  <si>
    <t>MMHC-OCPR: Prediction of Platinum Response and Recurrence Risk in Ovarian Cancer with Multimodal Deep Learning</t>
  </si>
  <si>
    <t>ovarian cancer; MMHC-OCPR; clustering-constrained attention multiple instance learning; UNI2-h; platinum response; recurrence risk</t>
  </si>
  <si>
    <t>ARTIFICIAL-INTELLIGENCE; FOUNDATION MODEL; CHEMOTHERAPY</t>
  </si>
  <si>
    <t>Zhao, Yuxi/HRB-2856-2023; Ying, jianming/OEO-9795-2025</t>
  </si>
  <si>
    <t>Ye, Zhenbang/0000-0002-3169-5023; Wu, Lingying/0000-0003-3153-7786; Zhao, Yuting/0000-0002-4698-9921</t>
  </si>
  <si>
    <t>FEB 2 2026</t>
  </si>
  <si>
    <t>10.3390/biomedicines14020348</t>
  </si>
  <si>
    <t>http://dx.doi.org/10.3390/biomedicines14020348</t>
  </si>
  <si>
    <t>EG7GM</t>
  </si>
  <si>
    <t>41751247</t>
  </si>
  <si>
    <t>WOS:001700679100001</t>
  </si>
  <si>
    <t>Ross, AE; Zhang, JB; Huang, HC; Yamashita, R; Keim-Malpass, J; Simko, JP; Devries, S; Morgan, TM; Souhami, L; Dobelbower, MC; Mcginnis, LS; Jones, CU; Dess, RT; Zeitzer, KL; Choi, K; Hartford, AC; Michalski, JM; Raben, A; Gomella, LG; Sartor, AO; Rosenthal, SA; Sandler, HM; Spratt, DE; Pugh, SL; Mohamad, O; Esteva, A; Chen, EMY; Schaeffer, EM; Tran, PT; Feng, FY</t>
  </si>
  <si>
    <t>Background: Accurate risk stratification is critical to guide management decisions in localized prostate cancer (PCa). Previously, we had developed and validated a multimodal artificial intelligence (MMAI) model generated from digital histopathology and clinical features. Here, we externally validate this model on men with high-risk or locally advanced PCa treated and followed as part of a phase 3 randomized control trial. Objective: To externally validate the MMAI model on men with high-risk or locally advanced PCa treated and followed as part of a phase 3 randomized control trial. Design, setting, and participants: Our validation cohort included 318 localized high-risk PCa patients from NRG/RTOG 9902 with available histopathology (337 [85%] of the 397 patients enrolled into the trial had available slides, of which 19 [5.6%] failed due to poor image quality). Outcome measurements and statistical analysis: Two previously locked prognostic MMAI models were validated for their intended endpoint: distant metastasis (DM) and PCa-specific mortality (PCSM). Individual clinical factors and the number of National Comprehensive Cancer Network (NCCN) high-risk features served as comparators. Subdistribution hazard ratio (sHR) was reported per standard deviation increase of the score with corresponding 95% confidence interval (CI) using Fine-Gray or Cox proportional hazards models. Results and limitations: The DM and PCSM MMAI algorithms were significantly and independently associated with the risk of DM (sHR [95% CI] = 2.33 [1.60-3.38], p &lt; 0.001) and PCSM, respectively (sHR [95% CI] = 3.54 [2.38-5.28], p &lt; 0.001) when compared against other prognostic clinical factors and NCCN high-risk features. The lower 75% of patients by DM MMAI had estimated 5- and 10-yr DM rates of 4% and 7%, and the highest quartile had average 5- and 10-yr DM rates of 19% and 32%, respectively (p &lt; 0.001). Similar results were observed for the PCSM MMAI algorithm. Conclusions: We externally validated the prognostic ability of MMAI models previously developed among men with localized high-risk disease. MMAI prognostic models further risk stratify beyond the clinical and pathological variables for DM and PCSM in a population of men already at a high risk for disease progression. This study provides evidence for consistent validation of our deep learning MMAI models to improve prognostication and enable more informed decision-making for patient care.</t>
  </si>
  <si>
    <t>Ross, Ashley E.; Zhang, Jingbin; Huang, Huei-Chung; Yamashita, Rikiya; Keim-Malpass, Jessica; Simko, Jeffry P.; Devries, Sandy; Morgan, Todd M.; Souhami, Luis; Dobelbower, Michael C.; Mcginnis, L. Scott; Jones, Christopher U.; Dess, Robert T.; Zeitzer, Kenneth L.; Choi, Kwang; Hartford, Alan C.; Michalski, Jeff M.; Raben, Adam; Gomella, Leonard G.; Sartor, A. Oliver; Rosenthal, Seth A.; Sandler, Howard M.; Spratt, Daniel E.; Pugh, Stephanie L.; Mohamad, Osama; Esteva, Andre; Chen, Emmalyn; Schaeffer, Edward M.; Tran, Phuoc T.; Feng, Felix Y.</t>
  </si>
  <si>
    <t>Ross, AE (corresponding author), Dept Urol, 676 North St Clair St,Arkes 23-018, Chicago, IL 60611 USA.</t>
  </si>
  <si>
    <t>ashley.ross@nm.org</t>
  </si>
  <si>
    <t>National Cancer Institute [U10CA180868, U10CA180822, UG1CA189867, U24CA196067]; Pfizer; Bristol Myers Squibb</t>
  </si>
  <si>
    <t>National Cancer Institute (United States Department of Health &amp; Human Services, National Institutes of Health (NIH) - USA, NIH National Cancer Institute (NCI)); Pfizer (Pfizer); Bristol Myers Squibb (Bristol-Myers Squibb)</t>
  </si>
  <si>
    <t>This project was supported grants U10CA180868, U10CA180822, UG1CA189867, and U24CA196067 from the National Cancer Institute and Pfizer and Bristol Myers Squibb.</t>
  </si>
  <si>
    <t>[Ross, Ashley E.] Northwestern Med, Dept Urol, Chicago, IL USA; [Zhang, Jingbin; Huang, Huei-Chung; Yamashita, Rikiya; Keim-Malpass, Jessica; Esteva, Andre; Chen, Emmalyn] Artera Inc, Los Altos, CA USA; [Simko, Jeffry P.; Devries, Sandy; Mohamad, Osama; Feng, Felix Y.] Univ Calif San Francisco, San Francisco, CA USA; [Morgan, Todd M.; Dess, Robert T.] Univ Michigan, Ann Arbor, MI USA; [Souhami, Luis] McGill Univ, Res Inst, Hlth Ctr, Montreal, PQ, Canada; [Dobelbower, Michael C.] Univ Alabama Birmingham, Birmingham Canc Ctr, Birmingham, AL USA; [Mcginnis, L. Scott] Novant Hlth Presbyterian Med Ctr, Charlotte, NC USA; [Jones, Christopher U.; Rosenthal, Seth A.] Sutter Med Ctr Sacramento, Sacramento, CA USA; [Zeitzer, Kenneth L.] Albert Einstein Med Ctr, Philadelphia, PA USA; [Choi, Kwang] SUNY Brooklyn, Brooklyn MB CCOP, Brooklyn, NY USA; [Hartford, Alan C.] Dartmouth Hitchcock Med Ctr, Lebanon, NH USA; [Michalski, Jeff M.] Washington Univ, Sch Med, St Louis, MO USA; [Raben, Adam] Christiana Care Hlth Serv Inc, CCOP, Wilmington, DE USA; [Gomella, Leonard G.] Thomas Jefferson Univ Hosp, Philadelphia, PA USA; [Sartor, A. Oliver] Tulane Univ, Hlth Sci Ctr, New Orleans, LA USA; [Sandler, Howard M.] Cedars Sinai Med Ctr, Los Angeles, CA USA; [Spratt, Daniel E.] Case Western Reserve Univ, UH Seidman Canc Ctr, Cleveland, OH USA; [Pugh, Stephanie L.] NRG Oncol Stat &amp; Data Management Ctr, Philadelphia, PA USA; [Pugh, Stephanie L.] Amer Coll Radiol, Philadelphia, PA USA; [Schaeffer, Edward M.] Northwestern Univ, Chicago, IL USA; [Tran, Phuoc T.] Univ Maryland, Baltimore, MD USA</t>
  </si>
  <si>
    <t>Northwestern University; Feinberg School of Medicine; University of California System; University of California San Francisco; University of Michigan System; University of Michigan; McGill University; University of Alabama System; University of Alabama Birmingham; Yeshiva University; State University of New York (SUNY) System; Dartmouth College; Washington University (WUSTL); Christiana Care Health System; Thomas Jefferson University; Tulane University; Cedars Sinai Medical Center; University System of Ohio; Case Western Reserve University; American College of Radiology; Northwestern University; University System of Maryland; University of Maryland Baltimore</t>
  </si>
  <si>
    <t>External Validation of a Digital Pathology-based Multimodal Artificial Intelligence Architecture in the NRG/RTOG 9902 Phase 3 Trial</t>
  </si>
  <si>
    <t>EUROPEAN UROLOGY ONCOLOGY</t>
  </si>
  <si>
    <t>Artificial intelligence; Biomarker; Digital histopathology; Prostate cancer</t>
  </si>
  <si>
    <t>PROSTATE-CANCER; ADENOCARCINOMA; UNDERTREATMENT; PREDICTION; DIAGNOSIS; PROGNOSIS; SUBTYPES; MODEL</t>
  </si>
  <si>
    <t>Spratt, Daniel/AAM-4612-2020; Morgan, Todd/A-8531-2012</t>
  </si>
  <si>
    <t>Gomella, Leonard/0009-0003-4996-8813; Schaeffer, Edward/0000-0003-0699-1899; Dess, Robert/0000-0003-2331-3758; Morgan, Todd/0000-0002-1140-0603</t>
  </si>
  <si>
    <t>2588-9311</t>
  </si>
  <si>
    <t>EUR UROL ONCOL</t>
  </si>
  <si>
    <t>Eur. Urol. Oncol.</t>
  </si>
  <si>
    <t>1024</t>
  </si>
  <si>
    <t>1033</t>
  </si>
  <si>
    <t>10.1016/j.euo.2024.01.004</t>
  </si>
  <si>
    <t>http://dx.doi.org/10.1016/j.euo.2024.01.004</t>
  </si>
  <si>
    <t>Oncology; Urology &amp; Nephrology</t>
  </si>
  <si>
    <t>H7Q3M</t>
  </si>
  <si>
    <t>38302323</t>
  </si>
  <si>
    <t>WOS:001325348000001</t>
  </si>
  <si>
    <t>Yu, YF; Ren, W; Mao, LH; Ouyang, WH; Hu, QG; Yao, QY; Tan, YJ; He, ZF; Ban, XH; Hu, HJ; Lin, RC; Wang, ZH; Chen, YJ; Wu, Z; Chen, K; Ouyang, J; Li, T; Zhang, ZB; Liu, GY; Chen, XX; Li, Z; Duan, XH; Wang, J; Yao, HR</t>
  </si>
  <si>
    <t>Timely intervention and improved prognosis for breast cancer patients rely on early metastasis risk detection and accurate treatment predictions. This study introduces an advanced multimodal MRI and AI-driven 3D deep learning model, termed the 3D-MMR-model, designed to predict recurrence risk in non-metastatic breast cancer patients. We conducted a multicenter study involving 1199 non-metastatic breast cancer patients from four institutions in China, with comprehensive MRI and clinical data retrospectively collected. Our model employed multimodal-data fusion, utilizing contrast-enhanced T1-weighted imaging (T1 + C) and T2-weighted imaging (T2WI) volumes, processed through a modified 3D-UNet for tumor segmentation and a DenseNet121-based architecture for disease-free survival (DFS) prediction. Additionally, we performed RNA-seq analysis to delve further into the relationship between concentrated hotspots within the tumor region and the tumor microenvironment. The 3D-MR-model demonstrated superior predictive performance, with time-dependent ROC analysis yielding AUC values of 0.90, 0.89, and 0.88 for 2-, 3-, and 4-year DFS predictions, respectively, in the training cohort. External validation cohorts corroborated these findings, highlighting the model's robustness across diverse clinical settings. Integration of clinicopathological features further enhanced the model's accuracy, with a multimodal approach significantly improving risk stratification and decision-making in clinical practice. Visualization techniques provided insights into the decision-making process, correlating predictions with tumor microenvironment characteristics. In summary, the 3D-MMR-model represents a significant advancement in breast cancer prognosis, combining cutting-edge AI technology with multimodal imaging to deliver precise and clinically relevant predictions of recurrence risk. This innovative approach holds promise for enhancing patient outcomes and guiding individualized treatment plans in breast cancer care.</t>
  </si>
  <si>
    <t>Yu, Yunfang; Ren, Wei; Mao, Luhui; Ouyang, Wenhao; Hu, Qiugen; Yao, Qinyue; Tan, Yujie; He, Zifan; Ban, Xiaohua; Hu, Huijun; Lin, Ruichong; Wang, Zehua; Chen, Yongjian; Wu, Zhuo; Chen, Kai; Ouyang, Jie; Li, Tang; Zhang, Zebang; Liu, Guoying; Chen, Xiuxing; Li, Zhuo; Duan, Xiaohui; Wang, Jin; Yao, Herui</t>
  </si>
  <si>
    <t>Yao, HR (corresponding author), Sun Yat Sen Univ, Sun Yat Sen Mem Hosp, Breast Tumor Ctr, Phase Clin Trial Ctr Sun Yat 1,Dept Med Oncol,Guan, 107 Yanjiang Xi Rd, Guangzhou 510030, Peoples R China.; Wang, J (corresponding author), Cells Vis Guangzhou Med Technol Inc, 18,Dongxiao Nan Rd, Guangzhou 510220, Peoples R China.; Duan, XH (corresponding author), Sun Yat Sen Univ, Sun Yat Sen Mem Hosp, Dept Radiol, 107 Yanjiang xi Rd, Guangzhou 510030, Peoples R China.</t>
  </si>
  <si>
    <t>duanxh5@mail.sysu.edu.cn; yaoherui@mail.sysu.edu.cn; wangjin@cellsvision.com</t>
  </si>
  <si>
    <t>National Key R&amp;D Program of China [2023YFE0204000]; Hong Kong Innovation and Technology Fund [MHP/002/22]; Science and Technology Planning Project of Guangdong Province [2023B1212060013]; National Natural Science Foundation of China [82273204, 82404087]; GuangDong Basic and Applied Basic Research Foundation [2023A1515012412, 2023A1515011214]; Guangzhou Science and Technology Project [2023A03J0722]; Sun Yat-Sen University Clinical Research 5010 Program [2018007]; Sun Yat-Sen Clinical Research Cultivating Program [SYS-C-201801]; Sun Yat-sen Pilot Scientific Research Fund [SYSQH-II-2024-07]; Guangdong Provincial Key Laboratory IRADS [2022B1212010006, UICR0600008-6]; Memorial Hospital of Sun Yat-sen University; UMedEVO Artificial Intelligence Technology (Guangzhou) Co., Ltd. [2024B1212030002]; Guangdong Science and Technology Department; UMedREVO Artificial Intelligence Technology (Guangzhou) Co., Ltd. [2023B110005]; Guangdong Provincial Clinical Research Center for Breast Diseases; Postdoctoral Fellowship Program of CPSF [GZC20233268]; Cells Vision (Guangzhou) Medical Technology Inc.; Joint Big Data Laboratory; Shenshan Medical Center</t>
  </si>
  <si>
    <t>National Key R&amp;D Program of China (National Key Research &amp; Development Program of China); Hong Kong Innovation and Technology Fund; Science and Technology Planning Project of Guangdong Province (Science and Technology Planning Project of Guangdong Province); National Natural Science Foundation of China (National Natural Science Foundation of China (NSFC)); GuangDong Basic and Applied Basic Research Foundation (Guangdong Basic and Applied Basic Research Foundation); Guangzhou Science and Technology Project; Sun Yat-Sen University Clinical Research 5010 Program (Sun Yat Sen University); Sun Yat-Sen Clinical Research Cultivating Program; Sun Yat-sen Pilot Scientific Research Fund; Guangdong Provincial Key Laboratory IRADS; Memorial Hospital of Sun Yat-sen University; UMedEVO Artificial Intelligence Technology (Guangzhou) Co., Ltd.; Guangdong Science and Technology Department; UMedREVO Artificial Intelligence Technology (Guangzhou) Co., Ltd.; Guangdong Provincial Clinical Research Center for Breast Diseases; Postdoctoral Fellowship Program of CPSF; Cells Vision (Guangzhou) Medical Technology Inc.; Joint Big Data Laboratory; Shenshan Medical Center</t>
  </si>
  <si>
    <t>This study was supported by grants 2023YFE0204000 from National Key R&amp;D Program of China, grant MHP/002/22 from Hong Kong Innovation and Technology Fund, grant 2023B1212060013 from the Science and Technology Planning Project of Guangdong Province, grants 82273204 and 82404087 from the National Natural Science Foundation of China, grants 2023A1515012412, 2023A1515011214 and 2025A1515011563 from GuangDong Basic and Applied Basic Research Foundation, grant 2023A03J0722 from the Guangzhou Science and Technology Project, grant 2023B1212060013 from the Science and Technology Planning Project of Guangdong Province, grant 2018007 from the Sun Yat-Sen University Clinical Research 5010 Program, grant SYS-C-201801 from the Sun Yat-Sen Clinical Research Cultivating Program, grant SYSQH-II-2024-07 from the Sun Yat-sen Pilot Scientific Research Fund, and the Guangdong Provincial Key Laboratory IRADS (2022B1212010006, open project code: UICR0600008-6) , grant 2024B1212030002 from the Guangdong Science and Technology Department, grant 2023B110005 from the Guangdong Provincial Clinical Research Center for Breast Diseases, project GZC20233268 from Postdoctoral Fellow ship Program of CPSF. We appreciate the assistance and support provided by Joint Big Data Laboratory, Shenshan Medical Center, Memorial Hospital of Sun Yat-sen University, UMedEVO Artificial Intelligence Technology (Guangzhou) Co., Ltd., UMedREVO Artificial Intelligence Technology (Guangzhou) Co., Ltd., and Cells Vision (Guangzhou) Medical Technology Inc. in this study.</t>
  </si>
  <si>
    <t>[Yu, Yunfang; Ren, Wei; Mao, Luhui; Ouyang, Wenhao; Tan, Yujie; He, Zifan; Chen, Kai; Li, Tang; Zhang, Zebang; Liu, Guoying; Chen, Xiuxing; Li, Zhuo; Yao, Herui] Sun Yat Sen Univ, Sun Yat Sen Mem Hosp, Breast Tumor Ctr, Phase Clin Trial Ctr Sun Yat 1,Dept Med Oncol,Guan, 107 Yanjiang Xi Rd, Guangzhou 510030, Peoples R China; [Yu, Yunfang] Sun Yat Sen Univ, Mem Hosp, Shenshan Med Ctr, Guangdong Prov Key Lab Canc Pathogenesis &amp; Precis, Shanwei, Peoples R China; [Yu, Yunfang] Macau Univ Sci &amp; Technol, Inst AI Med, Taipa, Macao, Peoples R China; [Yu, Yunfang] Macau Univ Sci &amp; Technol, Fac Med, Taipa, Macao, Peoples R China; [Yu, Yunfang] Jinan Univ, Affiliated Hosp 1, Dept Breast Surg, Guangzhou, Peoples R China; [Hu, Qiugen] Southern Med Univ, Shunde Hosp, Dept Radiol, Foshan, Peoples R China; [Yao, Qinyue; Wang, Jin] Cells Vis Guangzhou Med Technol Inc, 18,Dongxiao Nan Rd, Guangzhou 510220, Peoples R China; [Ban, Xiaohua] Sun Yat Sen Univ, Imaging Diagnost &amp; Intervent Ctr, Collaborat Innovat Ctr Canc Med, State Key Lab Oncol South China,Canc Ctr, Guangzhou, Peoples R China; [Hu, Huijun; Wu, Zhuo; Duan, Xiaohui] Sun Yat Sen Univ, Sun Yat Sen Mem Hosp, Dept Radiol, 107 Yanjiang xi Rd, Guangzhou 510030, Peoples R China; [Lin, Ruichong; Wang, Zehua] Macau Univ Sci &amp; Technol, Fac Innovat Engn, Taipa, Macao, Peoples R China; [Wang, Zehua] UMedEVO &amp; UMedREVO Artificial Intelligence Technol, Guangzhou, Peoples R China; [Chen, Yongjian] Karolinska Inst, Ctr Mol Med, Dept Med Solna, Dermatol &amp; Venereol Div, Stockholm, Sweden; [Ouyang, Jie] Tungwah Hosp, Dept Breast Surg, Dongguan, Peoples R China</t>
  </si>
  <si>
    <t>Sun Yat Sen University; Sun Yat Sen University; Macau University of Science and Technology; Macau University of Science and Technology; Jinan University; Southern Medical University - China; Sun Yat Sen University; State Key Lab Oncology South China; Sun Yat Sen University; Macau University of Science and Technology; Karolinska Institutet</t>
  </si>
  <si>
    <t>MRI-based multimodal AI model enables prediction of recurrence risk and adjuvant therapy in breast cancer</t>
  </si>
  <si>
    <t>PHARMACOLOGICAL RESEARCH</t>
  </si>
  <si>
    <t>Deep learning; Multimodal data fusion; Magnetic resonance imaging; Postoperative risk stratification; Breast cancer</t>
  </si>
  <si>
    <t>Chen, Kai/C-7881-2016</t>
  </si>
  <si>
    <t>ACADEMIC PRESS LTD- ELSEVIER SCIENCE LTD</t>
  </si>
  <si>
    <t>24-28 OVAL RD, LONDON NW1 7DX, ENGLAND</t>
  </si>
  <si>
    <t>1043-6618</t>
  </si>
  <si>
    <t>1096-1186</t>
  </si>
  <si>
    <t>PHARMACOL RES</t>
  </si>
  <si>
    <t>Pharmacol. Res.</t>
  </si>
  <si>
    <t>216</t>
  </si>
  <si>
    <t>107765</t>
  </si>
  <si>
    <t>10.1016/j.phrs.2025.107765</t>
  </si>
  <si>
    <t>http://dx.doi.org/10.1016/j.phrs.2025.107765</t>
  </si>
  <si>
    <t>Pharmacology &amp; Pharmacy</t>
  </si>
  <si>
    <t>2WK0V</t>
  </si>
  <si>
    <t>40345352</t>
  </si>
  <si>
    <t>WOS:001492916700001</t>
  </si>
  <si>
    <t>Schuurmans, M; Saha, A; Alves, N; Vendittelli, P; Yakar, D; Sabroso-Lasa, S; Xue, NN; Malats, N; Huisman, H; Hermans, J; Litjens, G</t>
  </si>
  <si>
    <t>Objectives Pancreatic cancer treatment plans involving surgery and/or chemotherapy are highly dependent on disease stage. However, current staging systems are ineffective and poorly correlated with survival outcomes. We investigate how artificial intelligence (AI) can enhance prognostic accuracy in pancreatic cancer by integrating multiple data sources. Materials and methods Patients with histopathology and/or radiology/follow-up confirmed pancreatic ductal adenocarcinoma (PDAC) from a Dutch center (2004-2023) were included in the development cohort. Two additional PDAC cohorts from a Dutch and Spanish center were used for external validation. Prognostic models including clinical variables, contrast-enhanced CT images, and a combination of both were developed to predict high-risk short-term survival. All models were trained using five-fold cross-validation and assessed by the area under the time-dependent receiver operating characteristic curve (AUC). Results The models were developed on 401 patients (203 females, 198 males, median survival (OS) = 347 days, IQR: 171-585), with 98 (24.4%) short-term survivors (OS &lt; 230 days) and 303 (75.6%) long-term survivors. The external validation cohorts included 361 patients (165 females, 138 males, median OS = 404 days, IQR: 173-736), with 110 (30.5%) short-term survivors and 251 (69.5%) longer survivors. The best AUC for predicting short vs. long-term survival was achieved with the multi-modal model (AUC = 0.637 (95% CI: 0.500-0.774)) in the internal validation set. External validation showed AUCs of 0.571 (95% CI: 0.453-0.689) and 0.675 (95% CI: 0.593-0.757). Conclusion Multimodal AI can predict long vs. short-term survival in PDAC patients, showing potential as a prognostic tool in clinical decision-making. Key Points Question Prognostic tools for pancreatic ductal adenocarcinoma (PDAC) remain limited, with TNM staging offering suboptimal accuracy in predicting patient survival outcomes. Findings The multimodal AI model demonstrated improved prognostic performance over TNM and unimodal models for predicting short- and long-term survival in PDAC patients. Clinical relevance Multimodal AI provides enhanced prognostic accuracy compared to current staging systems, potentially improving clinical decision-making and personalized management strategies for PDAC patients.</t>
  </si>
  <si>
    <t>Schuurmans, Megan; Saha, Anindo; Alves, Natalia; Vendittelli, Pierpaolo; Yakar, Derya; Sabroso-Lasa, Sergio; Xue, Nannan; Malats, Nuria; Huisman, Henkjan; Hermans, John; Litjens, Geert</t>
  </si>
  <si>
    <t>Schuurmans, M (corresponding author), Radboud Univ Nijmegen, Diagnost Image Anal Grp, Med Ctr, Nijmegen, Netherlands.; Schuurmans, M (corresponding author), Univ Med Ctr Groningen, Dept Med Imaging, Groningen, Netherlands.</t>
  </si>
  <si>
    <t>megan.schuurmans@radboudumc.nl</t>
  </si>
  <si>
    <t>European Union [101016851]</t>
  </si>
  <si>
    <t>European Union (European Union (EU))</t>
  </si>
  <si>
    <t>This study has received funding from the European Union's Horizon 2020research and innovation program under grant agreement No. 101016851,project PANCAIM.</t>
  </si>
  <si>
    <t>[Schuurmans, Megan; Saha, Anindo; Alves, Natalia; Vendittelli, Pierpaolo; Huisman, Henkjan; Litjens, Geert] Radboud Univ Nijmegen, Diagnost Image Anal Grp, Med Ctr, Nijmegen, Netherlands; [Schuurmans, Megan; Alves, Natalia; Yakar, Derya] Univ Med Ctr Groningen, Dept Med Imaging, Groningen, Netherlands; [Sabroso-Lasa, Sergio; Xue, Nannan; Malats, Nuria] Spanish Natl Canc Res Ctr, Genet &amp; Mol Epidemiol Grp, Madrid, Spain; [Hermans, John] Radboud Univ Nijmegen, Med Ctr, Dept Med Imaging, Nijmegen, Netherlands</t>
  </si>
  <si>
    <t>Radboud University Nijmegen; University of Groningen; Centro Nacional de Investigaciones Oncologicas (CNIO); Radboud University Nijmegen</t>
  </si>
  <si>
    <t>End-to-end prognostication in pancreatic cancer by multimodal deep learning: a retrospective, multicenter study</t>
  </si>
  <si>
    <t>Pancreas; Pancreatic ductal carcinoma; Radiology; Artificial intelligence; Prognosis</t>
  </si>
  <si>
    <t>ARTIFICIAL-INTELLIGENCE; DISEASE</t>
  </si>
  <si>
    <t>Huisman, Henkjan/A-6775-2012; Malats, Nuria/H-7041-2015; Litjens, Geert/A-2319-2016; Yakar, Derya/AER-2388-2022</t>
  </si>
  <si>
    <t>Schuurmans, Megan/0000-0002-4939-6187; Xue, Nannan/0000-0001-8958-816X; Yakar, Derya/0000-0002-4920-9441</t>
  </si>
  <si>
    <t>7537</t>
  </si>
  <si>
    <t>7548</t>
  </si>
  <si>
    <t>10.1007/s00330-025-11694-y</t>
  </si>
  <si>
    <t>http://dx.doi.org/10.1007/s00330-025-11694-y</t>
  </si>
  <si>
    <t>A5024</t>
  </si>
  <si>
    <t>40410330</t>
  </si>
  <si>
    <t>WOS:001494290500001</t>
  </si>
  <si>
    <t>Usuzaki, T; Matsuno, E; Shizukuishi, T; Inamori, R; Zeng, YW; Zhang, XY; Oguro, S; Homma, N; Takase, K</t>
  </si>
  <si>
    <t>Purpose: To investigate the performance of the variable vision transformer (vViT) model in predicting the World Health Organization/International Society of Urological Pathology (WHO/ISUP) grade in renal tumors using multimodal data, including clinical information, radiomic features, and computed tomography (CT) images, and to identify the most dominant factor among these inputs. Materials and Methods: The vViT model was trained and validated on 111 patients (1398 images) and 15 patients (224 images), respectively, to classify renal tumors into low (WHO/ISUP grades 1-2) and high (grades 3-4) grades. The trained model was tested on 30 patients (228 images). The model inputs included class token, patient demographics (age, sex, body mass index), comorbidities (peripheral vascular disease, diabetes mellitus, chronic kidney disease), habits (smoking, alcohol use), radiomics, and CT images. Permutation feature importance was used to evaluate the contribution of each input sector. The model's performance was compared with other models; ViT, ConvNeXt, and ResNeXt using the DeLong test. Results: vViT achieved an accuracy of 0.811 and an area under the receiver operating characteristic curve (AUCROC) of 0.856 for the test dataset and outperformed ViT and ResNeXt (p &lt; 0.05). In both predictions, the radiomic features were identified as the most dominant predictor of WHO/ISUP grade (p &lt; 0.05). Conclusion: The performance of vViT had no significant difference compared with other models in predicting the WHO/ISUP pathological grade in renal tumors using multimodal data. These results highlight the potential of integrating radiomic analysis with clinical data in grading of renal tumors.</t>
  </si>
  <si>
    <t>Usuzaki, Takuma; Matsuno, Eriya; Shizukuishi, Takashi; Inamori, Ryusei; Zeng, Yuwen; Zhang, Xiaoyong; Oguro, Sota; Homma, Noriyasu; Takase, Kei</t>
  </si>
  <si>
    <t>Usuzaki, T (corresponding author), Tohoku Univ Hosp, 1-1 Seiryo Machi,Aoba Ku, Sendai, Miyagi 9808574, Japan.</t>
  </si>
  <si>
    <t>takuma.usuzaki.p6@dc.tohoku.ac.jp</t>
  </si>
  <si>
    <t>JSPS KAKENHI [24K10803, 24K10829]</t>
  </si>
  <si>
    <t>JSPS KAKENHI (Ministry of Education, Culture, Sports, Science and Technology, Japan (MEXT), Japan Society for the Promotion of Science, Grants-in-Aid for Scientific Research (KAKENHI))</t>
  </si>
  <si>
    <t>This work was supported by JSPS KAKENHI Grant Numbers 24K10803 and 24K10829.</t>
  </si>
  <si>
    <t>[Usuzaki, Takuma; Matsuno, Eriya; Shizukuishi, Takashi; Oguro, Sota; Takase, Kei] Tohoku Univ Hosp, Dept Diagnost Radiol, Sendai, Japan; [Usuzaki, Takuma; Shizukuishi, Takashi] Japanese Red Cross Ishinomaki Hosp, Dept Diagnost Radiol, Ishinomaki, Miyagi, Japan; [Inamori, Ryusei; Zeng, Yuwen; Zhang, Xiaoyong; Homma, Noriyasu] Grad Sch Med, Dept Radiol Imaging &amp; Informat, Sendai, Japan</t>
  </si>
  <si>
    <t>Tohoku University</t>
  </si>
  <si>
    <t>Multimodal deep learning for predicting WHO/ISUP grading in renal tumors on CT using a self-attention-based model: variable Vision Transformer (vViT)</t>
  </si>
  <si>
    <t>EUROPEAN JOURNAL OF RADIOLOGY OPEN</t>
  </si>
  <si>
    <t>World Health Organization/International; Society of Urological Pathology (WHO/ISUP); Renal cell carcinoma (RCC); Deep learning; Machine learning; Vision transformer</t>
  </si>
  <si>
    <t>CELL CARCINOMA; CANCER; MASS</t>
  </si>
  <si>
    <t>Homma, Noriyasu/U-3041-2019; Oguro, Sota/GWM-7882-2022; Usuzaki, Takuma/LRD-2418-2024</t>
  </si>
  <si>
    <t>2352-0477</t>
  </si>
  <si>
    <t>EUR J RADIOL OPEN</t>
  </si>
  <si>
    <t>Eur. J. Radiol. Open</t>
  </si>
  <si>
    <t>100796</t>
  </si>
  <si>
    <t>10.1016/j.ejro.2026.100796</t>
  </si>
  <si>
    <t>http://dx.doi.org/10.1016/j.ejro.2026.100796</t>
  </si>
  <si>
    <t>LB3LC</t>
  </si>
  <si>
    <t>42436714</t>
  </si>
  <si>
    <t>WOS:001820540200001</t>
  </si>
  <si>
    <t>Sarwar, S; Majeed, S; Nawaz, A; Bibi, R; Lee, SW</t>
  </si>
  <si>
    <t>Introduction Brain cancer diagnosis poses a significant clinical challenge due to the complex interplay between molecular mechanisms and anatomical abnormalities. Traditional diagnostic techniques, including invasive biopsies, isolated genomic assays, and standalone Magnetic Resonance Imaging (MRI), often exhibit limitations such as procedural risks, inadequate sensitivity, and incomplete assessment of tumor heterogeneity. These shortcomings contribute to delayed diagnosis, inaccurate tumor grading, and suboptimal treatment planning. Furthermore, single-modality data, whether MRI or genomic profiles, frequently yield limited diagnostic accuracy and biological interpretability.Methods To address these limitations, this study proposes MDL-CA, a Multimodal Deep Learning framework with a Cross-Attention mechanism, designed to integrate genomic and MRI modalities for enhanced brain cancer diagnosis. The framework fuses genomic graph embeddings, extracted using a Graph Attention Network (GAT), with MRI feature maps derived from a 3D DenseNet. The cross-modal attention fusion mechanism enables the model to capture intricate biological and spatial interactions, producing a biologically informed feature representation. Additionally, the Entmax sigmoid function is employed in the classification stage to promote sparsity and improve interpretability. Data were sourced from The Cancer Imaging Archive (TCIA) and The Cancer Genome Atlas (TCGA) following comprehensive preprocessing.Results Extensive experiments conducted across four benchmark datasets demonstrated that MDL-CA achieved superior diagnostic performance, with accuracies of 96.22%, 97.14%, 98.46%, and 98.21%, and F1-scores ranging from 95.95% to 98.40%. These results confirm the framework's robustness, scalability, and consistent generalization across diverse datasets.Discussion The integration of genomic and MRI data through the proposed cross-attention mechanism enables deeper biological understanding and improved diagnostic precision compared to single-modality and conventional fusion approaches. By effectively modeling interactions between molecular and anatomical features, MDL-CA advances the development of biologically informed, multimodal diagnostic systems for brain cancer. The results highlight the framework's potential to support early diagnosis and personalized treatment planning in clinical practice.</t>
  </si>
  <si>
    <t>Sarwar, Sumaira; Majeed, Saqib; Nawaz, Asif; Bibi, Ruqia; Lee, Seung Won</t>
  </si>
  <si>
    <t>Nawaz, A (corresponding author), PMAS Arid Agr Univ Rawalpindi, Univ Inst Informat Technol, Rawalpindi, Pakistan.; Lee, SW (corresponding author), Sungkyunkwan Univ, Sch Med, Dept Precis Med, Suwon, South Korea.; Lee, SW (corresponding author), Sungkyunkwan Univ, Dept Artificial Intelligence, Suwon, South Korea.; Lee, SW (corresponding author), Sungkyunkwan Univ, Dept MetaBioHlth, Suwon, South Korea.; Lee, SW (corresponding author), Sungkyunkwan Univ, Sch Med, Personalized Canc Immunotherapy Res Ctr, Suwon, South Korea.; Lee, SW (corresponding author), Sungkyunkwan Univ, Sch Med, Kangbuk Samsung Hosp, Dept Family Med, Seoul, South Korea.</t>
  </si>
  <si>
    <t>asif.nawaz@uaar.edu.pk; swleemd@g.skku.edu</t>
  </si>
  <si>
    <t>Start up Pioneering in Research and Innovation (SPRINT) through the Commercialization Promotion Agency for R&amp;D Outcomes (COMPA) - Korea government (Ministry of Science and ICT) [RS-2025-02314328]; Ministry of Education and Ministry of Science &amp; ICT, Republic of Korea [NRF [2021-R1-I1A2], 059735, 2024-0040 (5650), 2024-0044 (0881), 2019-II19 (0421), 2025-2544 (3209)]</t>
  </si>
  <si>
    <t>Start up Pioneering in Research and Innovation (SPRINT) through the Commercialization Promotion Agency for R&amp;D Outcomes (COMPA) - Korea government (Ministry of Science and ICT); Ministry of Education and Ministry of Science &amp; ICT, Republic of Korea</t>
  </si>
  <si>
    <t>The author(s) declared that financial support was received for this work and/or its publication. This research was supported by Start up Pioneering in Research and Innovation (SPRINT) through the Commercialization Promotion Agency for R&amp;D Outcomes (COMPA) grant funded by the Korea government (Ministry of Science and ICT) (RS-2025-02314328). This research was also supported by the Ministry of Education and Ministry of Science &amp; ICT, Republic of Korea (grant numbers: NRF [2021-R1-I1A2 (059735)], RS [2024-0040 (5650)], RS [2024-0044 (0881)], RS [2019-II19 (0421)], and RS [2025-2544 (3209)].</t>
  </si>
  <si>
    <t>[Sarwar, Sumaira; Majeed, Saqib; Nawaz, Asif; Bibi, Ruqia] PMAS Arid Agr Univ Rawalpindi, Univ Inst Informat Technol, Rawalpindi, Pakistan; [Lee, Seung Won] Sungkyunkwan Univ, Sch Med, Dept Precis Med, Suwon, South Korea; [Lee, Seung Won] Sungkyunkwan Univ, Dept Artificial Intelligence, Suwon, South Korea; [Lee, Seung Won] Sungkyunkwan Univ, Dept MetaBioHlth, Suwon, South Korea; [Lee, Seung Won] Sungkyunkwan Univ, Sch Med, Personalized Canc Immunotherapy Res Ctr, Suwon, South Korea; [Lee, Seung Won] Sungkyunkwan Univ, Sch Med, Kangbuk Samsung Hosp, Dept Family Med, Seoul, South Korea</t>
  </si>
  <si>
    <t>Arid Agriculture University; Sungkyunkwan University (SKKU); Sungkyunkwan University (SKKU); Sungkyunkwan University (SKKU); Sungkyunkwan University (SKKU); Sungkyunkwan University (SKKU); Samsung Medical Center; Samsung Kangbuk Hospital</t>
  </si>
  <si>
    <t>MDL-CA: a multimodal deep learning approach with a cross attention mechanism for accurate brain cancer diagnosis</t>
  </si>
  <si>
    <t>3D DenseNet; brain cancer; deep learning; Entmax; GAT; multimodality</t>
  </si>
  <si>
    <t>Nawaz, Asif/IXE-0163-2023</t>
  </si>
  <si>
    <t>1687335</t>
  </si>
  <si>
    <t>10.3389/fpubh.2025.1687335</t>
  </si>
  <si>
    <t>http://dx.doi.org/10.3389/fpubh.2025.1687335</t>
  </si>
  <si>
    <t>CE2EH</t>
  </si>
  <si>
    <t>41561860</t>
  </si>
  <si>
    <t>WOS:001663671900001</t>
  </si>
  <si>
    <t>Giovannoni, C; Metta, C; Berti, A; Colantonio, S; Monreale, A; Pratesi, F; Rinzivillo, S</t>
  </si>
  <si>
    <t>Artificial Intelligence systems could find many important applications in the medical field, holding excellent potential for improving disease diagnosis, treatment identification and selection. These opportunities are often jeopardized by the lack of interpretability of such systems, slowing down AI adoption. To overcome the issue, we first introduce an analytical framework exploiting multimodal deep learning for the classification of prostate lesions using Magnetic Resonance Imaging (MRI) data and clinical information on the patients. Then, we propose a multimodal explainability approach based on visual explanations to interpret the proposed model decision-making process and identify how the different modalities contribute to each specific prediction. Our findings, based on the PI-CAI Grand Challenge dataset, demonstrate the potential of combining multimodal data with eXplainable AI (XAI) to enhance prostate cancer diagnosis, improving model predictive performance, interpretability and understanding in treatment decision-making.</t>
  </si>
  <si>
    <t>Giovannoni, Claudio; Metta, Carlo; Berti, Andrea; Colantonio, Sara; Monreale, Anna; Pratesi, Francesca; Rinzivillo, Salvatore</t>
  </si>
  <si>
    <t>Metta, C (corresponding author), ISTI CNR, Via Moruzzi 1, I-56124 Pisa, Italy.</t>
  </si>
  <si>
    <t>sara.colantonio@isti.cnr.it; anna.monreale@unipi.it; rinzivillo@isti.cnr.it; andrea.berti@isti.cnr.it; carlo.metta@isti.cnr.it; claudio.giovannoni@phd.unipi.it; francesca.pratesi@isti.cnr.it</t>
  </si>
  <si>
    <t>SoBigData.it [IR0000013]; TANGO [101120763]; CREXDATA [101092749]; PNRR-M4C2-Investimento 1.3, Partenariato Esteso [PE00000013]; ERC XAI [834756]; TAILOR [952215]</t>
  </si>
  <si>
    <t>SoBigData.it; TANGO; CREXDATA; PNRR-M4C2-Investimento 1.3, Partenariato Esteso; ERC XAI; TAILOR</t>
  </si>
  <si>
    <t>Funded by the EU under G.A. 101120763-TANGO. Research also funded by PNRR-M4C2-Investimento 1.3, Partenariato Esteso PE00000013 - "FAIR - Future Artificial Intelligence Research" - Spoke 1 "Human-centered AI", funded by the EU under NextGeneration EU program and under Horizon 2020 programme: G.A. 871042 SoBigData++, G.A. 101092749 CREXDATA, ERC-2018-ADG G.A. 834756 XAI, G.A. 952215 TAILOR and "SoBigData.it - Strengthening the Italian RI for Social Mining and Big Data Analytics" - Prot. IR0000013.</t>
  </si>
  <si>
    <t>[Giovannoni, Claudio; Monreale, Anna] Univ Pisa, Dept Comp Sci, Lungarno Antonio Pacinotti 43, I-56126 Pisa, Italy; [Metta, Carlo; Berti, Andrea; Colantonio, Sara; Pratesi, Francesca; Rinzivillo, Salvatore] ISTI CNR, Via Moruzzi 1, I-56124 Pisa, Italy</t>
  </si>
  <si>
    <t>University of Pisa; Consiglio Nazionale delle Ricerche (CNR); Istituto di Scienza e Tecnologie dell'Informazione Alessandro Faedo (ISTI-CNR)</t>
  </si>
  <si>
    <t>Integrating Multimodal Learning and Explainable AI for Enhanced and Interpretable Prostate Lesion Classification</t>
  </si>
  <si>
    <t>MACHINE LEARNING</t>
  </si>
  <si>
    <t>Deep learning; Explainable Artificial Intelligence; Prostate cancer</t>
  </si>
  <si>
    <t>HIGH B-VALUE; CANCER; VOLUME; MRI</t>
  </si>
  <si>
    <t>Colantonio, Sara/AFL-2051-2022; RINZIVILLO, SALVATORE/AAY-2422-2020; MONREALE, ANNA/AAL-7456-2020; pratesi, francesca/AAE-1901-2019; Giovannoni, Claudio/KMA-2300-2024; Metta, Carlo/AEC-6067-2022</t>
  </si>
  <si>
    <t>0885-6125</t>
  </si>
  <si>
    <t>1573-0565</t>
  </si>
  <si>
    <t>MACH LEARN</t>
  </si>
  <si>
    <t>Mach. Learn.</t>
  </si>
  <si>
    <t>115</t>
  </si>
  <si>
    <t>89</t>
  </si>
  <si>
    <t>10.1007/s10994-026-07033-x</t>
  </si>
  <si>
    <t>http://dx.doi.org/10.1007/s10994-026-07033-x</t>
  </si>
  <si>
    <t>GC2AW</t>
  </si>
  <si>
    <t>WOS:001732916300001</t>
  </si>
  <si>
    <t>Xia, YJ; Zhou, J; Xun, XL; Zhang, J; Wei, T; Gao, RT; Reddy, B; Liu, C; Kim, G; Yu, ZS</t>
  </si>
  <si>
    <t>Objectives To develop a deep learning model combining CT scans and clinical information to predict overall survival in advanced hepatocellular carcinoma (HCC). Methods This retrospective study included immunotherapy-treated advanced HCC patients from 52 multi-national in-house centers between 2018 and 2022. A multi-modal prognostic model using baseline and the first follow-up CT images and 7 clinical variables was proposed. A convolutional-recurrent neural network (CRNN) was developed to extract spatial-temporal information from automatically selected representative 2D CT slices to provide a radiological score, then fused with a Cox-based clinical score to provide the survival risk. The model's effectiveness was assessed using a time-dependent area under the receiver operating curve (AUC), and risk group stratification using the log-rank test. Prognostic performances of multi-modal inputs were compared to models of missing modality, and the size-based RECIST criteria. Results Two-hundred seven patients (mean age, 61 years +/- 12 [SD], 180 men) were included. The multi-modal CRNN model reached the AUC of 0.777 and 0.704 of 1-year overall survival predictions in the validation and test sets. The model achieved significant risk stratification in validation (hazard ratio [HR] = 3.330, p = 0.008), and test sets (HR = 2.024, p = 0.047) based on the median risk score of the training set. Models with missing modalities (the single-modal imaging-based model and the model incorporating only baseline scans) can still achieve favorable risk stratification performance (all p &lt; 0.05, except for one, p = 0.053). Moreover, results proved the superiority of the deep learning-based model to the RECIST criteria. Conclusion Deep learning analysis of CT scans and clinical data can offer significant prognostic insights for patients with advanced HCC. Critical relevance statement The established model can help monitor patients' disease statuses and identify those with poor prognosis at the time of first follow-up, helping clinicians make informed treatment decisions, as well as early and timely interventions.</t>
  </si>
  <si>
    <t>Xia, Yujia; Zhou, Jie; Xun, Xiaolei; Zhang, Jin; Wei, Ting; Gao, Ruitian; Reddy, Bobby; Liu, Chao; Kim, Geoffrey; Yu, Zhangsheng</t>
  </si>
  <si>
    <t>Yu, ZS (corresponding author), Shanghai Jiao Tong Univ, Sch Life Sci &amp; Biotechnol, Dept Bioinformat &amp; Biostat, Shanghai, Peoples R China.; Yu, ZS (corresponding author), Shanghai Jiao Tong Univ, SJTU Yale Joint Ctr Biostat &amp; Data Sci, Sch Life Sci &amp; Biotechnol, Shanghai, Peoples R China.; Yu, ZS (corresponding author), Shanghai Jiao Tong Univ, Sch Math Sci, Dept Stat, Shanghai, Peoples R China.; Yu, ZS (corresponding author), Shanghai Jiao Tong Univ, Sch Med, Clin Res Inst, Shanghai, Peoples R China.</t>
  </si>
  <si>
    <t>yuzhangsheng@sjtu.edu.cn</t>
  </si>
  <si>
    <t>[Xia, Yujia; Wei, Ting; Gao, Ruitian; Yu, Zhangsheng] Shanghai Jiao Tong Univ, Sch Life Sci &amp; Biotechnol, Dept Bioinformat &amp; Biostat, Shanghai, Peoples R China; [Xia, Yujia; Zhou, Jie; Wei, Ting; Gao, Ruitian; Yu, Zhangsheng] Shanghai Jiao Tong Univ, SJTU Yale Joint Ctr Biostat &amp; Data Sci, Sch Life Sci &amp; Biotechnol, Shanghai, Peoples R China; [Zhou, Jie; Yu, Zhangsheng] Shanghai Jiao Tong Univ, Sch Math Sci, Dept Stat, Shanghai, Peoples R China; [Xun, Xiaolei] Beigene, Stat Global Stat &amp; Data Sci, Shanghai, Peoples R China; [Zhang, Jin; Reddy, Bobby; Liu, Chao; Kim, Geoffrey] PiHealth USA, Cambridge, MA USA; [Yu, Zhangsheng] Shanghai Jiao Tong Univ, Sch Med, Clin Res Inst, Shanghai, Peoples R China</t>
  </si>
  <si>
    <t>Shanghai Jiao Tong University; Shanghai Jiao Tong University; Shanghai Jiao Tong University; Shanghai Jiao Tong University</t>
  </si>
  <si>
    <t>CT-based multimodal deep learning for non-invasive overall survival prediction in advanced hepatocellular carcinoma patients treated with immunotherapy</t>
  </si>
  <si>
    <t>INSIGHTS INTO IMAGING</t>
  </si>
  <si>
    <t>Unresectable hepatocellular carcinoma; Computed tomography; Prognostic predictions; Multi-modal; Deep learning</t>
  </si>
  <si>
    <t>SEGMENTATION; PROGNOSIS; CANCER</t>
  </si>
  <si>
    <t>/AFI-6110-2022</t>
  </si>
  <si>
    <t>Yu, Zhangsheng/0000-0002-8189-5330</t>
  </si>
  <si>
    <t>SPRINGER WIEN</t>
  </si>
  <si>
    <t>Vienna</t>
  </si>
  <si>
    <t>Prinz-Eugen-Strasse 8-10, A-1040 Vienna, AUSTRIA</t>
  </si>
  <si>
    <t>1869-4101</t>
  </si>
  <si>
    <t>INSIGHTS IMAGING</t>
  </si>
  <si>
    <t>Insights Imaging</t>
  </si>
  <si>
    <t>AUG 26 2024</t>
  </si>
  <si>
    <t>10.1186/s13244-024-01784-8</t>
  </si>
  <si>
    <t>http://dx.doi.org/10.1186/s13244-024-01784-8</t>
  </si>
  <si>
    <t>D8R7J</t>
  </si>
  <si>
    <t>39186192</t>
  </si>
  <si>
    <t>WOS:001298806400001</t>
  </si>
  <si>
    <t>Lee, MW; Kim, HW; Choe, YS; Yang, HS; Lee, J; Lee, H; Yong, JH; Kim, D; Lee, M; Kang, DW; Jeon, SY; Son, SJ; Lee, YM; Kim, HG; Kim, REY; Lim, HK</t>
  </si>
  <si>
    <t>Alzheimer's disease (AD) accounts for 60-70% of the population with dementia. Mild cognitive impairment (MCI) is a diagnostic entity defined as an intermediate stage between subjective cognitive decline and dementia, and about 10-15% of people annually convert to AD. We aimed to investigate the most robust model and modality combination by combining multi-modality image features based on demographic characteristics in six machine learning models. A total of 196 subjects were enrolled from four hospitals and the Alzheimer's Disease Neuroimaging Initiative dataset. During the four-year follow-up period, 47 (24%) patients progressed from MCI to AD. Volumes of the regions of interest, white matter hyperintensity, and regional Standardized Uptake Value Ratio (SUVR) were analyzed using T1, T2-weighted-Fluid-Attenuated Inversion Recovery (T2-FLAIR) MRIs, and amyloid PET (alpha PET), along with automatically provided hippocampal occupancy scores (HOC) and Fazekas scales. As a result of testing the robustness of the model, the GBM model was the most stable, and in modality combination, model performance was further improved in the absence of T2-FLAIR image features. Our study predicts the probability of AD conversion in MCI patients, which is expected to be useful information for clinician's early diagnosis and treatment plan design.</t>
  </si>
  <si>
    <t>Lee, Min-Woo; Kim, Hye Weon; Choe, Yeong Sim; Yang, Hyeon Sik; Lee, Jiyeon; Lee, Hyunji; Yong, Jung Hyeon; Kim, Donghyeon; Lee, Minho; Kang, Dong Woo; Jeon, So Yeon; Son, Sang Joon; Lee, Young-Min; Kim, Hyug-Gi; Kim, Regina E. Y.; Lim, Hyun Kook</t>
  </si>
  <si>
    <t>Kim, REY (corresponding author), Neurophet Inc, Res Inst, Seoul 06234, South Korea.; Lim, HK (corresponding author), Catholic Univ Korea, Yeouido St Marys Hosp, Coll Med, Dept Psychiat, 10 63 Ro, Seoul 07345, South Korea.; Lim, HK (corresponding author), Catholic Univ Korea, CMC Inst Basic Med Sci, Catholic Med Ctr, 222 Banpo Daero, Seoul 06591, South Korea.</t>
  </si>
  <si>
    <t>drblues@catholic.ac.kr; reginaeunyoungkim@neurophet.com</t>
  </si>
  <si>
    <t>Korea Health Technology R&amp;D Project through the Korea Health Industry Development Institute (KHIDI) and Korea Dementia Research Center (KDRC), funded by the Ministry of Health &amp; Welfare and Ministry of Science and ICT, Republic of Korea; Korea Health Technology R&amp;D Project through the Korea Health Industry Development Institute (KHIDI); Korea Dementia Research Center (KDRC) - Ministry of Health Welfare [HU20C0315]; Ministry of Science and ICT, Republic of Korea; Basic Medical Science Facilitation Program through the Catholic Medical Center of the Catholic University of Korea - Catholic Education Foundation</t>
  </si>
  <si>
    <t>Korea Health Technology R&amp;D Project through the Korea Health Industry Development Institute (KHIDI) and Korea Dementia Research Center (KDRC), funded by the Ministry of Health &amp; Welfare and Ministry of Science and ICT, Republic of Korea; Korea Health Technology R&amp;D Project through the Korea Health Industry Development Institute (KHIDI) (Korea Health Industry Development Institute (KHIDI)); Korea Dementia Research Center (KDRC) - Ministry of Health Welfare; Ministry of Science and ICT, Republic of Korea (Ministry of Science &amp; ICT (MMSTI)); Basic Medical Science Facilitation Program through the Catholic Medical Center of the Catholic University of Korea - Catholic Education Foundation</t>
  </si>
  <si>
    <t>This research was supported by the Korea Health Technology R&amp;D Project through the Korea Health Industry Development Institute (KHIDI) and Korea Dementia Research Center (KDRC), funded by the Ministry of Health &amp; Welfare and Ministry of Science and ICT, Republic of Korea (grant number: HU20C0315). This research was supported by Basic Medical Science Facilitation Program through the Catholic Medical Center of the Catholic University of Korea funded by the Catholic Education Foundation.</t>
  </si>
  <si>
    <t>[Lee, Min-Woo; Kim, Hye Weon; Choe, Yeong Sim; Yang, Hyeon Sik; Lee, Jiyeon; Lee, Hyunji; Yong, Jung Hyeon; Kim, Donghyeon; Lee, Minho; Kim, Regina E. Y.] Neurophet Inc, Res Inst, Seoul 06234, South Korea; [Kang, Dong Woo] Catholic Univ Korea, Seoul St Marys Hosp, Coll Med, Dept Psychiat, Seoul 06591, South Korea; [Jeon, So Yeon] Chungnam Natl Univ Hosp, Dept Psychiat, Daejeon 35015, South Korea; [Jeon, So Yeon] Chungnam Natl Univ, Coll Med, Dept Psychiat, Daejeon 35015, South Korea; [Son, Sang Joon] Ajou Univ, Sch Med, Dept Psychiat, Suwon 16499, South Korea; [Lee, Young-Min] Pusan Natl Univ, Sch Med, Dept Psychiat, Busan 49241, South Korea; [Kim, Hyug-Gi] Kyung Hee Univ, Kyung Hee Univ Hosp, Sch Med, Dept Radiol, Seoul 02447, South Korea; [Lim, Hyun Kook] Catholic Univ Korea, Yeouido St Marys Hosp, Coll Med, Dept Psychiat, 10 63 Ro, Seoul 07345, South Korea; [Lim, Hyun Kook] Catholic Univ Korea, CMC Inst Basic Med Sci, Catholic Med Ctr, 222 Banpo Daero, Seoul 06591, South Korea</t>
  </si>
  <si>
    <t>Catholic University of Korea; Seoul St. Mary's Hospital; Chungnam National University; Chungnam National University Hospital; Chungnam National University; Ajou University; Pusan National University; Kyung Hee University; Kyung Hee University Hospital; Catholic University of Korea; Catholic University of Korea</t>
  </si>
  <si>
    <t>A multimodal machine learning model for predicting dementia conversion in Alzheimer's disease</t>
  </si>
  <si>
    <t>MILD COGNITIVE IMPAIRMENT; PROGRESSION; MRI; ATROPHY</t>
  </si>
  <si>
    <t>Lee, Min Woo/HNR-7224-2023; Kang, Dong woo/AAK-2043-2021</t>
  </si>
  <si>
    <t>Yang, Hyeonsik/0000-0003-0368-8413; Jeon, So Yeon/0000-0002-3656-1593</t>
  </si>
  <si>
    <t>MAY 29 2024</t>
  </si>
  <si>
    <t>12276</t>
  </si>
  <si>
    <t>10.1038/s41598-024-60134-2</t>
  </si>
  <si>
    <t>http://dx.doi.org/10.1038/s41598-024-60134-2</t>
  </si>
  <si>
    <t>SJ6O3</t>
  </si>
  <si>
    <t>38806509</t>
  </si>
  <si>
    <t>WOS:001234127600003</t>
  </si>
  <si>
    <t>Li, XM; Liu, JY; Huo, EJN; Zhang, PH; Jiang, SM; Zhou, C; Shang, SL; Li, WG</t>
  </si>
  <si>
    <t>Patients with diabetic kidney disease (DKD) at chronic kidney disease (CKD) stages 3 to 4 are at high risk for rapid renal function decline within 1 year. However, owing to the multifactorial complexity of the disease, effective prognostic tools that integrate multidimensional clinical and pathological information are currently lacking for this specific population. We conducted a retrospective cohort study involving 322 patients with biopsy-proven DKD (CKD stages 3 to 4) from the China-Japan Friendship Hospital and Hebei University Affiliated Hospital. Their clinical data and 2,576 renal biopsy pathology images were used to develop and validate a multimodal model. Machine learning was applied to integrate clinical composite indices and renal biopsy images to develop a prognostic prediction tool. Four key clinical predictors were identified: estimated glomerular filtration rate, 24-h urinary protein, systemic immune inflammation index, and estimated pulse wave velocity. Among the 6 machine learning algorithms used to develop the prediction models, the random forest algorithm achieved the best performance in the test set, with an area under the receiver operating characteristic (ROC) curve (AUC) of 0.889 and a precision-recall AUC (PR-AUC) of 0.921 for predicting the 1-year composite renal endpoint. The integration of pathological features led to a marked improvement in the performance of the model (ROC-AUC: 0.923 vs. 0.898). External validation demonstrated that incorporating pathological information into the model increased the ROC-AUC from 0.885-achieved when clinical composite indices alone were used as predictors-to 0.930. In this study, machine learning-based automated image analysis of glomerular crescent-shaped changes and renal interstitial fibrosis was integrated with established clinical composite indices to construct an accurate model for predicting short-term renal prognosis of DKD at CKD stages 3 to 4 and to provide a potential tool for improved risk stratification.</t>
  </si>
  <si>
    <t>Li, Xiangmeng; Liu, Jinyu; Huo, Erjina; Zhang, Peihua; Jiang, Shimin; Zhou, Cheng; Shang, Shunlai; Li, Wenge</t>
  </si>
  <si>
    <t>Zhou, C; Shang, SL; Li, WG (corresponding author), China Japan Friendship Hosp, Dept Nephrol, Beijing, Peoples R China.; Li, WG (corresponding author), Chinese Acad Med Sci &amp; Peking Union Med Coll, China Japan Friendship Hosp, Beijing, Peoples R China.; Li, WG (corresponding author), Capital Med Univ, Beijing, Peoples R China.</t>
  </si>
  <si>
    <t>18810568600@163.com; liwenge@pumc.edu.cn; zhoucheng0105@126.com</t>
  </si>
  <si>
    <t>the National High Level Hospital Clinical Research Funding [2025-NHLHCRF-JBGS-A-WZ-05]</t>
  </si>
  <si>
    <t>the National High Level Hospital Clinical Research Funding</t>
  </si>
  <si>
    <t>This work was supported by grants from the National High Level Hospital Clinical Research Funding (2025-NHLHCRF-JBGS-A-WZ-05) and the Elite Medical Professionals Project of the China-Japan Friendship Hospital (ZRJY2023-GG06), the National Natural Science Foundation of China (82300815), the China Health Promotion Foundation (DKD-MBD project, 2018-HX-86), the Excellence &amp; Innovation Initiative of the China-Japan Friendship Hospital (No. ZRZC2025-KCC02), the National High Level Hospital Clinical Research Funding (2025-NHLHCRF-JBGS-B-WZ-15), the Young Elite Scientists Sponsorship Program by CAST (2023ONRC001), and the National Natural Science Foundation (82400846).</t>
  </si>
  <si>
    <t>[Li, Xiangmeng; Liu, Jinyu; Jiang, Shimin; Zhou, Cheng; Shang, Shunlai; Li, Wenge] China Japan Friendship Hosp, Dept Nephrol, Beijing, Peoples R China; [Li, Xiangmeng; Li, Wenge] Chinese Acad Med Sci &amp; Peking Union Med Coll, China Japan Friendship Hosp, Beijing, Peoples R China; [Li, Xiangmeng] Hebei Univ, Affiliated Hosp, Key Lab Bone Metab &amp; Physiol Chron Kidney Dis Hebe, Baoding, Hebei, Peoples R China; [Liu, Jinyu; Li, Wenge] Capital Med Univ, Beijing, Peoples R China; [Huo, Erjina] Univ Bristol, Bristol, England; [Zhang, Peihua] Hebei Finance Univ, Sch Big Data Sci, Baoding, Hebei, Peoples R China</t>
  </si>
  <si>
    <t>China-Japan Friendship Hospital; Chinese Academy of Medical Sciences - Peking Union Medical College; Peking Union Medical College; China-Japan Friendship Hospital; Hebei University; Capital Medical University; University of Bristol; Hebei Finance University</t>
  </si>
  <si>
    <t>Predicting 1-Year Renal Outcomes in Patients with Diabetic Kidney Disease in CKD Stages 3 to 4: A Multimodal Machine Learning Approach Fusing Clinical Composites and Pathology Images</t>
  </si>
  <si>
    <t>IMMUNE-INFLAMMATION INDEX; RISK; MELLITUS; PROGRESSION; VALIDATION; PEOPLE; MODELS</t>
  </si>
  <si>
    <t>JUN 30 2026</t>
  </si>
  <si>
    <t>1337</t>
  </si>
  <si>
    <t>10.34133/research.1337</t>
  </si>
  <si>
    <t>http://dx.doi.org/10.34133/research.1337</t>
  </si>
  <si>
    <t>KG8MW</t>
  </si>
  <si>
    <t>42381983</t>
  </si>
  <si>
    <t>WOS:001806635100001</t>
  </si>
  <si>
    <t>Li, X; Liang, L; Liu, ZH; Wang, C; Alburiahi, TAH; Yang, ZY; Xu, N; Yang, J</t>
  </si>
  <si>
    <t>PurposeHigh-risk stage II colorectal cancer (CRC) shows heterogeneous outcomes despite adjuvant chemotherapy. We developed and validated an interpretable multimodal deep learning model integrating clinical data, serum biomarkers, and venous-phase CT to predict 5-year CRC-specific mortality in high-risk stage II CRC.MethodsThis retrospective, multicenter cohort included 778 high-risk stage II CRC patients from three centers, all treated with adjuvant chemotherapy and with complete preoperative clinical, biomarker, and venous-phase CT data. Patients were split into a development cohort (Centers A + B, n = 720) and an external testing cohort (Center C, n = 58). A multimodal model combining numerical (clinical + biomarker) and imaging (CT) inputs was developed and internally validated using tenfold cross-validation in the development cohort and evaluated in the external cohort. Interpretability was assessed using SHAP and Grad-CAM.ResultsIn the development cohort, the multimodal model showed superior discrimination (AUC 0.89; 95% CI, 0.87-0.91) versus numerical-only (AUC 0.76) and imaging-only (AUC 0.69). In the external testing cohort (9/58 CRC-specific deaths), the multimodal model achieved an AUC of 0.88 (95% CI, 0.76-0.96). SHAP and Grad-CAM consistently highlighted age, CA125, and tumor regions on CT as key contributors.ConclusionThis interpretable multimodal approach, using routine clinical, biomarker, and CT data, improves 5-year mortality risk stratification in high-risk stage II CRC and may inform risk-adapted surveillance and clinical decision support; prospective validation is warranted before treatment modification.</t>
  </si>
  <si>
    <t>Li, Xin; Liang, Lei; Liu, Zhong-Hua; Wang, Chun; Alburiahi, Tawfik Ali Hamood; Yang, Zhen-Ya; Xu, Ning; Yang, Jun</t>
  </si>
  <si>
    <t>Xu, N; Yang, J (corresponding author), Kunming Med Univ, Affiliated Hosp 1, Dept Surg Oncol, Kunming, Peoples R China.; Xu, N (corresponding author), Kunming Med Univ, Affiliated Hosp 3, Yunnan Canc Hosp, Dept Colorectal Surg, Kunming, Peoples R China.</t>
  </si>
  <si>
    <t>yangjun6@kmmu.edu.cn; xuning@kmmu.edu.cn</t>
  </si>
  <si>
    <t>Education teaching research project of the First Affiliated Hospital of Kunming Medical University [No.2024-JY-19]; Science and Technology Projects of Yunnan Universities Serving Key Industries [No.FWCY-BSPY2025076]; National Natural Science Foundation of China [No.82560569]; The Yunnan Revitalization Talent Support Program [No. RLQB20200004 and RLMY20220013]</t>
  </si>
  <si>
    <t>Education teaching research project of the First Affiliated Hospital of Kunming Medical University; Science and Technology Projects of Yunnan Universities Serving Key Industries; National Natural Science Foundation of China (National Natural Science Foundation of China (NSFC)); The Yunnan Revitalization Talent Support Program</t>
  </si>
  <si>
    <t>This work was supported by the National Natural Science Foundation of China (No.82560569); The Yunnan Revitalization Talent Support Program (No. RLQB20200004 and RLMY20220013), and Education teaching research project of the First Affiliated Hospital of Kunming Medical University (No.2024-JY-19). Science and Technology Projects of Yunnan Universities Serving Key Industries (No.FWCY-BSPY2025076). The funders had no role in study design, data collection and analysis, decision to publish, or preparation of the manuscript.</t>
  </si>
  <si>
    <t>[Li, Xin; Liang, Lei; Alburiahi, Tawfik Ali Hamood; Yang, Zhen-Ya; Xu, Ning; Yang, Jun] Kunming Med Univ, Affiliated Hosp 1, Dept Surg Oncol, Kunming, Peoples R China; [Xu, Ning] Kunming Med Univ, Affiliated Hosp 3, Yunnan Canc Hosp, Dept Colorectal Surg, Kunming, Peoples R China; [Liu, Zhong-Hua] Third Peoples Hosp Honghe Prefecture, Dept Gen Surg, Gejiu, Peoples R China; [Wang, Chun] First Peoples Hosp Puer City, Dept Emergency Trauma Surg, Puer, Yunnan, Peoples R China; [Li, Xin; Liang, Lei; Wang, Chun; Alburiahi, Tawfik Ali Hamood; Yang, Zhen-Ya] Kunming Med Univ, Kunming, Peoples R China</t>
  </si>
  <si>
    <t>Kunming Medical University; Kunming Medical University; Kunming Medical University</t>
  </si>
  <si>
    <t>Development and external validation of an interpretable multimodal deep learning model for 5-year mortality in high-risk stage ii colorectal cancer</t>
  </si>
  <si>
    <t>INTERNATIONAL JOURNAL OF COLORECTAL DISEASE</t>
  </si>
  <si>
    <t>Colorectal cancer; High-risk stage II; CA125; Computed tomography; Deep learning; Prognostic prediction</t>
  </si>
  <si>
    <t>COLON-CANCER</t>
  </si>
  <si>
    <t>Ali Hamood Alburiahi, Tawfik/NKD-3466-2025; Xu, Ning/QQC-4125-2026</t>
  </si>
  <si>
    <t>Alburiahi, Tawfik A.H/0009-0002-2260-9549</t>
  </si>
  <si>
    <t>0179-1958</t>
  </si>
  <si>
    <t>1432-1262</t>
  </si>
  <si>
    <t>INT J COLORECTAL DIS</t>
  </si>
  <si>
    <t>Int. J. Colorectal Dis.</t>
  </si>
  <si>
    <t>10.1007/s00384-026-05132-8</t>
  </si>
  <si>
    <t>http://dx.doi.org/10.1007/s00384-026-05132-8</t>
  </si>
  <si>
    <t>Gastroenterology &amp; Hepatology; Surgery</t>
  </si>
  <si>
    <t>JR7DK</t>
  </si>
  <si>
    <t>42069945</t>
  </si>
  <si>
    <t>WOS:001796377600001</t>
  </si>
  <si>
    <t>Shinozaki, Y; Ishida, H; Kaneno, T; Takaya, E; Kobayashi, T; Taniyama, Y; Sato, C; Okamoto, H; Ozawa, Y; Ueda, T; Kamei, T</t>
  </si>
  <si>
    <t>PurposeThis study aimed to assess the performance of a deep learning model using multimodal imaging for detecting lymph node metastasis in esophageal cancer in comparison to expert assessments.MethodsA retrospective analysis was performed for 521 lymph nodes from 167 patients with esophageal cancer who underwent esophagectomy. Deep learning models were developed based on multimodal imaging, including non-contrast-enhanced computed tomography, contrast-enhanced computed tomography, and positron emission tomography imaging. The diagnostic performance was evaluated and compared with expert assessments using a receiver operating characteristic curve analysis.ResultsThe area under the receiver operating characteristic curve values for the deep learning model were 0.81 with multimodal imaging, 0.73 with non-contrast-enhanced computed tomography, 0.72 with contrast-enhanced computed tomography, and 0.75 with positron emission tomography were calculated. The area under the curve of the deep learning model (0.81) demonstrated diagnostic performance comparable to that of experienced experts (area under the curve, 0.84; P = 0.62, DeLong's test).ConclusionThe multimodal deep learning model using computed tomography and positron emission tomography demonstrated performance comparable to that of experts in diagnosing the presence of lymph node metastasis, a key prognostic factor in esophageal cancer, suggesting its potential clinical utility.</t>
  </si>
  <si>
    <t>Shinozaki, Yasuharu; Ishida, Hirotaka; Kaneno, Tomofumi; Takaya, Eichi; Kobayashi, Tomoya; Taniyama, Yusuke; Sato, Chiaki; Okamoto, Hiroshi; Ozawa, Yohei; Ueda, Takuya; Kamei, Takashi</t>
  </si>
  <si>
    <t>Ishida, H (corresponding author), Tohoku Univ, Grad Sch Med, Dept Surg, 1-1 Seiryo Machi,Aoba Ku, Sendai, Miyagi 9808574, Japan.</t>
  </si>
  <si>
    <t>h-ishida@tohoku.ac.jp</t>
  </si>
  <si>
    <t>MEXT/JSPS WISE Program: Advanced Graduate Program for Future Medicine and Health Care, Tohoku University</t>
  </si>
  <si>
    <t>The authors would like to thank Editage (www.editage.jp) for providing assistance with the English language editing of this manuscript.</t>
  </si>
  <si>
    <t>[Shinozaki, Yasuharu; Ishida, Hirotaka; Taniyama, Yusuke; Sato, Chiaki; Okamoto, Hiroshi; Ozawa, Yohei; Kamei, Takashi] Tohoku Univ, Grad Sch Med, Dept Surg, 1-1 Seiryo Machi,Aoba Ku, Sendai, Miyagi 9808574, Japan; [Kaneno, Tomofumi; Kobayashi, Tomoya] Tohoku Univ, Grad Sch Med, Dept Diagnost Imaging, Sendai, Japan; [Takaya, Eichi; Kobayashi, Tomoya] Tohoku Univ Hosp, AI Lab, Sendai, Japan; [Ueda, Takuya] Tohoku Univ, Grad Sch Med, Dept Diagnost Radiol, Sendai, Japan</t>
  </si>
  <si>
    <t>Tohoku University; Tohoku University; Tohoku University; Tohoku University</t>
  </si>
  <si>
    <t>Utility of multimodal deep learning model to diagnose lymph node metastasis in esophageal cancer using computed tomography and positron emission tomography images</t>
  </si>
  <si>
    <t>SURGERY TODAY</t>
  </si>
  <si>
    <t>Computed tomography; Esophageal cancer; Lymph node metastasis; Multimodal deep learning model; Positron emission tomography</t>
  </si>
  <si>
    <t>CT</t>
  </si>
  <si>
    <t>/AAC-9431-2019</t>
  </si>
  <si>
    <t>Ishida, Hirotaka/0000-0002-6814-3564</t>
  </si>
  <si>
    <t>0941-1291</t>
  </si>
  <si>
    <t>1436-2813</t>
  </si>
  <si>
    <t>SURG TODAY</t>
  </si>
  <si>
    <t>Surg. Today</t>
  </si>
  <si>
    <t>462</t>
  </si>
  <si>
    <t>469</t>
  </si>
  <si>
    <t>10.1007/s00595-025-03152-5</t>
  </si>
  <si>
    <t>http://dx.doi.org/10.1007/s00595-025-03152-5</t>
  </si>
  <si>
    <t>FM7YE</t>
  </si>
  <si>
    <t>41109897</t>
  </si>
  <si>
    <t>WOS:001595842000001</t>
  </si>
  <si>
    <t>Yan, Y; Xu, YC; Fang, G; He, X; Qian, YF; Zhu, WW</t>
  </si>
  <si>
    <t>Background Deep learning has advanced breast tumor prediction research, but traditional single-modality models limit feature diversity and accuracy.Purpose To develop and validate a multimodal deep learning approach that combines mammography and ultrasound imaging for improved breast tumor classification and enhanced clinical decision-making.Methods This retrospective study analyzed 663 female patients with breast lesions from 2018 to 2021, including 384 benign and 279 malignant cases. The two-stage prediction model employed improved modality-specific attention mechanisms: efficient channel attention (ECA-Net) for ultrasound and convolutional block attention module (CBAM) for mammography. The fused features were input into a stacking ensemble module with logistic regression (LR), support vector machine (SVM), random forest (RF), and Extra-Trees (ET) as base learners, and multilayer perceptron (MLP) neural network as meta-learner. Data was divided into training (464), validation (133), and test (66) sets with a 7:2:1 ratio.Results The proposed multimodal prediction model-mammography ultrasound (MPM-MU) achieved superior performance with an area under the receiver operating characteristic (ROC) Curve (AUC) of 87.9 +/- 0.21%, representing improvements of 13.4% and 15.6% over attention-enhanced mammography (74.5%) and ultrasound (72.3%) models, respectively. Ablation studies confirmed the effectiveness of both multimodal feature fusion and attention mechanisms in enhancing diagnostic performance.Conclusions The multimodal prediction model-mammography ultrasound (MPM-MU) with modality-specific attention mechanisms demonstrated superior performance in distinguishing between benign and malignant breast tumors compared to single-modality approaches. This approach assists radiologists in improving breast lesion classification accuracy and enhancing clinical decision-making, potentially reducing unnecessary biopsies and improving diagnostic consistency.</t>
  </si>
  <si>
    <t>Yan, Yu; Xu, Yichen; Fang, Ge; He, Xu; Qian, Yifei; Zhu, Wenwen</t>
  </si>
  <si>
    <t>Fang, G (corresponding author), Nanjing Univ Chinese Med, Jiangsu Prov Hosp ofChinese Med, Affiliated Hosp, Nanjing, Jiangsu, Peoples R China.</t>
  </si>
  <si>
    <t>cipcipcip@126.com</t>
  </si>
  <si>
    <t>Postgraduate Research &amp; Practice Innovation Program of Jiangsu Province [KYCX24_2160]</t>
  </si>
  <si>
    <t>Postgraduate Research &amp; Practice Innovation Program of Jiangsu Province (Postgraduate Research &amp; Practice Innovation Program of Jiangsu Province)</t>
  </si>
  <si>
    <t>This work was supported by the Postgraduate Research &amp; Practice Innovation Program of Jiangsu Province (Grant Number: KYCX24_2160).</t>
  </si>
  <si>
    <t>[Yan, Yu; Fang, Ge; He, Xu; Qian, Yifei] Nanjing Univ Chinese Med, Jiangsu Prov Hosp Chinese Med, Dept Med Equipment, Affiliated Hosp, Nanjing, Jiangsu, Peoples R China; [Xu, Yichen; Zhu, Wenwen] Nanjing Univ Chinese Med, Sch Artificial Intelligence &amp; Informat Technol, Nanjing, Jiangsu, Peoples R China</t>
  </si>
  <si>
    <t>Nanjing University of Chinese Medicine; Nanjing University of Chinese Medicine</t>
  </si>
  <si>
    <t>Multimodal deep learning for breast tumor classification: Integrating mammography and ultrasound for enhanced diagnostic accuracy</t>
  </si>
  <si>
    <t>JOURNAL OF APPLIED CLINICAL MEDICAL PHYSICS</t>
  </si>
  <si>
    <t>attention mechanisms; breast tumor classification; mammography; multimodal; ultrasound</t>
  </si>
  <si>
    <t>LESIONS; NETWORKS</t>
  </si>
  <si>
    <t>1526-9914</t>
  </si>
  <si>
    <t>J APPL CLIN MED PHYS</t>
  </si>
  <si>
    <t>J. Appl. Clin. Med. Phys</t>
  </si>
  <si>
    <t>JAN 18 2026</t>
  </si>
  <si>
    <t>e70464</t>
  </si>
  <si>
    <t>10.1002/acm2.70464</t>
  </si>
  <si>
    <t>http://dx.doi.org/10.1002/acm2.70464</t>
  </si>
  <si>
    <t>CE8YR</t>
  </si>
  <si>
    <t>41549611</t>
  </si>
  <si>
    <t>WOS:001664131700001</t>
  </si>
  <si>
    <t>Agarwal, A; Bharti, N; Ghosh, T; Golla, S; Bains, NK; Chamadia, R; Robert, D; Putha, P; Qureshi, AI</t>
  </si>
  <si>
    <t>Background Mechanical thrombectomy (MT) eligibility for acute ischemic stroke (AIS) patients depends upon clinical and advanced imaging assessments like CT perfusion (CTP). Assessment complexities and limited access to advanced imaging investigations are known challenges. We developed machine-learning models using routinely collected clinical and imaging data to predict MT eligibility.Methods Age, National-Institutes-of-Health-Stroke-Scale-Score (NIHSS), last-known-well-time (LKWT), noncontrast-CT (NCCT) scan and CT-angiography (CTA) report from consecutive cohort of 260 AIS-suspected patients treated at a stroke centre during Apr'20 to Dec'23 were retrospectively collected. 160 underwent MT for anterior-circulation large vessel occlusion (LVOa); rest were MT ineligible. MT eligibility was determined based on clinical and imaging investigations including CTP during routine-care. The dataset was split into train:test sets (50:50 split). A commercially available artificial-intelligence algorithm calculated infarct volume and ASPECT score (ASPECTSq) from the NCCTs. We developed two supervised models using Gradient-Boosting-Machines. MODEL1 utilized age, NIHSS, LKWT, ASPECTSq and infarct volume as inputs; MODEL2 additionally included the presence/absence of LVOa as input. The target/response variable used for our supervised learning methods was whether the patients were MT eligible or not as determined during routine-care. Performance of the models were investigated using the test set.Results Among 130 patients (mean age +/- standard-deviation: 67.4 +/- 14.2 years; 61 males) in test set, 80 (61.5%) were MT eligible; rest were ineligible. The area-under-the-receiver-operating-characteristics-curve, sensitivity and specificity of MODEL1 were 0.76 (95% CI: 0.67-0.85), 85% (75.6-91.2) and 60% (46.2-72.4), respectively. They were 0.92 (0.88-0.96), 82.5% (72.7-89.3) and 82% (69.2-90.2), respectively, for MODEL2.Conclusions The models showed promising results, demonstrating that NCCT, potentially with CTA, could be sufficient for MT eligibility determination. Such models can enable faster referrals of patients to higher centers.</t>
  </si>
  <si>
    <t>Agarwal, Arjun; Bharti, Nirman; Ghosh, Tamaghna; Golla, Satish; Bains, Navpreet K.; Chamadia, Rashi; Robert, Dennis; Putha, Preetham; Qureshi, Adnan I.</t>
  </si>
  <si>
    <t>Robert, D (corresponding author), Qure ai Technol Pvt Ltd, Bangalore, India.</t>
  </si>
  <si>
    <t>dennis.robert.nm@gmail.com</t>
  </si>
  <si>
    <t>Qure.ai Technologies Private Limited</t>
  </si>
  <si>
    <t>We acknowledge the contributions of Polamoni Ranjana Devi for project conceptualization and management, and Avneesh Jha, Abhipray Dohane and Amit Chouksey for facilitating the annotation process for noncontrast head CT scans. We also want to acknowledge Pashmeen Lakhani from Zeenat Qureshi Stroke Institute for her contributions during study conduct.</t>
  </si>
  <si>
    <t>[Agarwal, Arjun] Qure ai Technol Pvt Ltd, Mumbai, India; [Bharti, Nirman; Ghosh, Tamaghna; Golla, Satish; Chamadia, Rashi; Robert, Dennis; Putha, Preetham] Qure ai Technol Pvt Ltd, Bangalore, India; [Bains, Navpreet K.; Qureshi, Adnan I.] Zeenat Qureshi Stroke Inst, St Cloud, MN USA; [Bains, Navpreet K.; Qureshi, Adnan I.] Univ Missouri, Columbia, MO USA</t>
  </si>
  <si>
    <t>University of Missouri System; University of Missouri Columbia</t>
  </si>
  <si>
    <t>Development and internal validation of multimodal machine learning models for predicting eligibility for mechanical thrombectomy in suspected stroke patients using routinely collected clinical and imaging data</t>
  </si>
  <si>
    <t>ACUTE ISCHEMIC-STROKE; PERFUSION; SCALE</t>
  </si>
  <si>
    <t>Bains, Navpreet/PXX-8252-2026; Robert, Dennis/HTS-8576-2023</t>
  </si>
  <si>
    <t>Robert, Dennis/0000-0002-8539-6408</t>
  </si>
  <si>
    <t>OCT 10 2025</t>
  </si>
  <si>
    <t>e0334242</t>
  </si>
  <si>
    <t>10.1371/journal.pone.0334242</t>
  </si>
  <si>
    <t>http://dx.doi.org/10.1371/journal.pone.0334242</t>
  </si>
  <si>
    <t>8LY5C</t>
  </si>
  <si>
    <t>41071806</t>
  </si>
  <si>
    <t>WOS:001591823300003</t>
  </si>
  <si>
    <t>Liu, G; Liu, F; Mao, X; Xie, XT; Sang, JY; Ma, HS; Yang, HY; He, H</t>
  </si>
  <si>
    <t>Objective: This study aimed to establish a multimodal deep-learning network model to enhance the diagnosis of benign and malignant pulmonary ground glass nodules [GGNs]. Methods: Retrospective data on pulmonary GGNs were collected from multiple centers across China, including North, Northeast, Northwest, South, and Southwest China. The data were divided into a training set and a validation set in an 8:2 ratio. In addition, a GGN dataset was also obtained from our hospital database and used as the test set. All patients underwent chest computed tomography [CT], and the final diagnosis of the nodules was based on postoperative pathological reports. The Residual Network [ResNet] was used to extract imaging data, the Word2Vec method for semantic information extraction, and the Self Attention method for combining imaging features and patient data to construct a multimodal classification model. Then, the diagnostic efficiency of the proposed multimodal model was compared with that of existing ResNet and VGG models and radiologists. Results: The multicenter dataset comprised 1020 GGNs, including 265 benign and 755 malignant nodules, and the test dataset comprised 204 GGNs, with 67 benign and 137 malignant nodules. In the validation set, the proposed multimodal model achieved an accuracy of 90.2%, a sensitivity of 96.6%, and a specificity of 75.0%, which surpassed that of the VGG [73.1%, 76.7%, and 66.5%] and ResNet [78.0%, 83.3%, and 65.8%] models in diagnosing benign and malignant nodules. In the test set, the multimodal model accurately diagnosed 125 [91.18%] malignant nodules, outperforming radiologists [80.37% accuracy]. Moreover, the multimodal model correctly identified 54 [accuracy, 80.70%] benign nodules, compared to radiologists' accuracy of 85.47%. The consistency test comparing radiologists' diagnostic results with the multimodal model's results in relation to postoperative pathology showed strong agreement, with the multimodal model demonstrating closer alignment with gold standard pathological findings [Kappa=0.720, P&lt;0.01]. Conclusion: The multimodal deep learning network model exhibited promising diagnostic effectiveness in distinguishing benign and malignant GGNs and, therefore, holds potential as a reference tool to assist radiologists in improving the diagnostic accuracy of GGNs, potentially enhancing their work efficiency in clinical settings.</t>
  </si>
  <si>
    <t>Liu, Gang; Liu, Fei; Mao, Xu; Xie, Xiaoting; Sang, Jingyao; Ma, Husai; Yang, Haiyun; He, Hui</t>
  </si>
  <si>
    <t>Liu, G (corresponding author), Qinghai Red Cross Hosp, Dept Radiol Intervent, 55 South St, Xining 810000, Peoples R China.</t>
  </si>
  <si>
    <t>itkih115754@sina.com</t>
  </si>
  <si>
    <t>Finance Special Funds for Science and Technology [2020-0301-ZJC-0089]</t>
  </si>
  <si>
    <t>Finance Special Funds for Science and Technology</t>
  </si>
  <si>
    <t>The study was financially supported by the Finance Special Funds for Science and Technology [No.2020-0301-ZJC-0089].</t>
  </si>
  <si>
    <t>[Liu, Gang; Liu, Fei; Mao, Xu; Xie, Xiaoting; Sang, Jingyao; Yang, Haiyun; He, Hui] Qinghai Red Cross Hosp, Dept Radiol Intervent, 55 South St, Xining 810000, Peoples R China; [Ma, Husai] Qinghai Red Cross Hosp, Dept Thorac Surg, Xining, Peoples R China</t>
  </si>
  <si>
    <t>Multimodal Deep Learning Network for Differentiating Between Benign and Malignant Pulmonary Ground Glass Nodules</t>
  </si>
  <si>
    <t>CURRENT MEDICAL IMAGING</t>
  </si>
  <si>
    <t>Computed tomography; Lungs; Ground glass nodules; Artificial intelligence; Benign; Malignant; Diagnosis</t>
  </si>
  <si>
    <t>PREOPERATIVE DISCRIMINATION; CANCER; INVASIVENESS; CT</t>
  </si>
  <si>
    <t>Liu, Fei/IXD-9016-2023</t>
  </si>
  <si>
    <t>1573-4056</t>
  </si>
  <si>
    <t>1875-6603</t>
  </si>
  <si>
    <t>CURR MED IMAGING</t>
  </si>
  <si>
    <t>Curr. Med. Imaging</t>
  </si>
  <si>
    <t>e15734056301741</t>
  </si>
  <si>
    <t>10.2174/0115734056301741240903072017</t>
  </si>
  <si>
    <t>http://dx.doi.org/10.2174/0115734056301741240903072017</t>
  </si>
  <si>
    <t>F5U8U</t>
  </si>
  <si>
    <t>39257154</t>
  </si>
  <si>
    <t>WOS:001310477100001</t>
  </si>
  <si>
    <t>Klontzas, ME; Ri, M; Koltsakis, E; Stenqvist, E; Kalarakis, G; Boström, E; Kechagias, A; Schizas, D; Rouvelas, I; Tzortzakakis, A</t>
  </si>
  <si>
    <t>Rationale and Objectives: Surgery in combination with chemo/radiotherapy is the standard treatment for locally advanced esophageal cancer. Even after the introduction of minimally invasive techniques, esophagectomy carries significant morbidity and mortality. One of the most common and feared complications of esophagectomy is anastomotic leakage (AL). Our work aimed to develop a multimodal machine-learning model combining CT-derived and clinical data for predicting AL following esophagectomy for esophageal cancer. Material and Methods: A total of 471 patients were prospectively included (Jan 2010-Dec 2022). Preoperative computed tomography (CT) was used to evaluate celia trunk stenosis and vessel calcification. Clinical variables, including demographics, disease stage, operation details, postoperative CRP, and stage, were combined with CT data to build a model for AL prediction. Data was split into 80%:20% for training and testing, and an XGBoost model was developed with 10-fold cross-validation and early stopping. ROC curves and respective areas under the curve (AUC), sensitivity, specificity, PPV, NPV, and F1-scores were calculated. Results: A total of 117 patients (24.8%) exhibited post-operative AL. The XGboost model achieved an AUC of 79.2% (95%CI 69%-89.4%) with a specificity of 77.46%, a sensitivity of 65.22%, PPV of 48.39%, NPV of 87.3%, and F1-score of 56%. Shapley Additive exPlanation analysis showed the effect of individual variables on the result of the model. Decision curve analysis showed that the model was particularly beneficial for threshold probabilities between 15% and 48%. Conclusion: A clinically relevant multimodal model can predict AL, which is especially valuable in cases with low clinical probability of AL.</t>
  </si>
  <si>
    <t>Klontzas, Michail E.; Ri, Motonari; Koltsakis, Emmanouil; Stenqvist, Erik; Kalarakis, Georgios; Bostrom, Erik; Kechagias, Aristotelis; Schizas, Dimitrios; Rouvelas, Ioannis; Tzortzakakis, Antonios</t>
  </si>
  <si>
    <t>Tzortzakakis, A (corresponding author), Karolinska Inst, Dept Clin Sci Intervent &amp; Technol CLINTEC, Div Radiol, Stockholm, Sweden.; Tzortzakakis, A (corresponding author), Karolinska Univ Hosp, Med Radiat Phys &amp; Nucl Med, Stockholm, Sweden.</t>
  </si>
  <si>
    <t>antonios.tzortzakakis@ki.se</t>
  </si>
  <si>
    <t>Center for Innovative Medicine, Karolinska Institutet (CIMED) [FoUI-961729]; Swedish Cancer Society (Cancerfonden) [211382Fk01H]; Karolinska Institute</t>
  </si>
  <si>
    <t>Center for Innovative Medicine, Karolinska Institutet (CIMED); Swedish Cancer Society (Cancerfonden) (Cancerfondon); Karolinska Institute (Karolinska Institutet)</t>
  </si>
  <si>
    <t>This study was supported by grants from the Center for Innovative Medicine, Karolinska Institutet (CIMED, FoUI-961729) , and the Swedish Cancer Society (Cancerfonden, 211382Fk01H) . The Karolinska Institute provides open-access funding.</t>
  </si>
  <si>
    <t>[Klontzas, Michail E.; Koltsakis, Emmanouil; Kalarakis, Georgios; Tzortzakakis, Antonios] Karolinska Inst, Dept Clin Sci Intervent &amp; Technol CLINTEC, Div Radiol, Stockholm, Sweden; [Klontzas, Michail E.] Univ Hosp Heraklion, Dept Med Imaging, Iraklion, Greece; [Klontzas, Michail E.] Fdn Res &amp; Technol FORTH, Inst Comp Sci, Computat Biomed Lab, Iraklion, Crete, Greece; [Klontzas, Michail E.; Kalarakis, Georgios] Univ Crete, Sch Med, Dept Radiol, Voutes Campus, Iraklion, Greece; [Ri, Motonari; Rouvelas, Ioannis] Karolinska Inst, Dept Clin Sci Intervent &amp; Technol CLINTEC, Div Surg &amp; Oncol, Stockholm, Sweden; [Ri, Motonari; Rouvelas, Ioannis] Karolinska Univ Hosp, Dept Upper Abdominal Dis, Stockholm, Sweden; [Koltsakis, Emmanouil; Stenqvist, Erik; Kalarakis, Georgios; Bostrom, Erik] Karolinska Univ Hosp, Dept Diagnost Radiol, Stockholm, Sweden; [Kechagias, Aristotelis] Kanta Hame Cent Hosp, Dept Digest Surg, Hameenlinna 13530, Finland; [Schizas, Dimitrios] Natl &amp; Kapodistrian Univ Athens, Laikon Gen Hosp, Dept Surg 1, Athens 11527, Greece; [Tzortzakakis, Antonios] Karolinska Univ Hosp, Med Radiat Phys &amp; Nucl Med, Stockholm, Sweden</t>
  </si>
  <si>
    <t>Karolinska Institutet; University Hospital of Heraklion; University of Crete; Karolinska Institutet; Karolinska Institutet; Karolinska University Hospital; Karolinska Institutet; Karolinska University Hospital; National &amp; Kapodistrian University of Athens; Laiko General Hospital; Karolinska Institutet; Karolinska University Hospital</t>
  </si>
  <si>
    <t>Prediction of Anastomotic Leakage in Esophageal Cancer Surgery: A Multimodal Machine Learning Model Integrating Imaging and Clinical Data</t>
  </si>
  <si>
    <t>Anastomotic Leakage; Esophagectomy; Multimodal Machine Learning</t>
  </si>
  <si>
    <t>GASTRIC TUBE; RISK-FACTOR; COMPLICATIONS; CALCIFICATION; NEOADJUVANT</t>
  </si>
  <si>
    <t>Klontzas, Michail/I-5671-2019; Rouvelas, Ioannis/JCE-6192-2023; SCHIZAS, DIMITRIOS/Z-3323-2019; Tzortzakakis, Antonios/KTH-9007-2024</t>
  </si>
  <si>
    <t>Klontzas, Michail/0000-0003-2731-933X; Rouvelas, Ioannis/0000-0003-0774-1904; Tzortzakakis, Antonios/0000-0001-7563-732X</t>
  </si>
  <si>
    <t>4878</t>
  </si>
  <si>
    <t>4885</t>
  </si>
  <si>
    <t>10.1016/j.acra.2024.06.026</t>
  </si>
  <si>
    <t>http://dx.doi.org/10.1016/j.acra.2024.06.026</t>
  </si>
  <si>
    <t>O0C2R</t>
  </si>
  <si>
    <t>38955594</t>
  </si>
  <si>
    <t>WOS:001367901300001</t>
  </si>
  <si>
    <t>Kates-Harbeck, D; Kreipe, H; Gluz, O; Christgen, M; Kuemmel, S; Graeser, M; Nitz, U; Mahner, S; Mayr, D; Wuerstlein, R; Mitani, A; Zhang, JB; Pinckaers, H; Smit, G; Ren, Y; Joun, S; Griffin, J; Lin, NY; Feng, FL; Esteva, A; Kates, R; Harbeck, N</t>
  </si>
  <si>
    <t>PURPOSEPrognostic assessment in hormone receptor-positive (HR+)/human epidermal growth factor receptor 2-negative (HER2-) early breast cancer (EBC) remains challenging, given relatively low rates of disease progression. Modern artificial intelligence (AI)-based techniques have provided advanced prognostic tools in cancer.PATIENTS AND METHODSThe Artera multimodal AI (MMAI) platform, using digital histopathology and clinical data, was applied to develop and test a prognostic risk assessment algorithm in HR+/HER2- EBC. Hematoxylin and eosin (H&amp;E) slides from pretreatment breast biopsy and surgical specimens were digitized from the WSG PlanB and ADAPT trials. Patients with available images and complete data (n = 5,259) were stratified by trial, treatment, and distant metastasis (DM) into training (development: 60%) and internal validation (holdout: 40%) cohorts. The algorithm provided prognostic DM risk scores on the basis of image data and clinical variables (age, T and N stages, and tumor size). Univariable and multivariable Fine-Gray models were used to assess performance on the test cohort; subdistribution hazard ratios (sHR) are reported per standard deviation increase of the model scores. Prespecified prognostic subgroups for analysis were defined by nodal status, menopausal status, and tumor grade.RESULTSThe trained MMAI score was significantly associated with risk of DM in the test cohort (sHR, 2.3 [95% CI, 2.0 to 2.8]) as a whole and across subgroups. The score remained significant (sHR, 2.2 [95% CI, 1.7 to 2.8]) after adjusting for clinical prognostic factors. The MMAI image component alone had significant prognostic value (sHR, 1.6 [95% CI, 1.3 to 1.9]) in the test cohort; it also had significant prognostic value separately within the G2 and G3 subgroups, with sHR of 1.5 per standard deviation increase, and in most of the other predefined clinical subgroups.CONCLUSIONMMAI using digital pathology from H&amp;E slides provides enhanced prognostic quality in HR+/HER2- EBC and could help to advance personalized breast cancer management.</t>
  </si>
  <si>
    <t>Kates-Harbeck, Daniel; Kreipe, Hans; Gluz, Oleg; Christgen, Matthias; Kuemmel, Sherko; Graeser, Monika; Nitz, Ulrike; Mahner, Sven; Mayr, Doris; Wuerstlein, Rachel; Mitani, Akinori; Zhang, Jingbin; Pinckaers, Hans; Smit, Gijs; Ren, Yi; Joun, Songwan; Griffin, Jacqueline; Lin, Nancy; Feng, Felix; Esteva, Andre; Kates, Ronald; Harbeck, Nadia</t>
  </si>
  <si>
    <t>Kates-Harbeck, D (corresponding author), LMU Univ Hosp, Breast Ctr, Dept Obstet &amp; Gynecol, Munich, Germany.; Kates-Harbeck, D (corresponding author), LMU Univ Hosp, CCC Munich, Munich, Germany.; Kates-Harbeck, D (corresponding author), Westdeutsche Studiengrp, Monchengladbach, Germany.; Kates-Harbeck, D (corresponding author), Univ Leipzig, Leipzig, Germany.</t>
  </si>
  <si>
    <t>dkatesharbeck@gmail.com</t>
  </si>
  <si>
    <t>Artera</t>
  </si>
  <si>
    <t>Supported by Artera.</t>
  </si>
  <si>
    <t>[Kates-Harbeck, Daniel; Mahner, Sven; Wuerstlein, Rachel; Harbeck, Nadia] LMU Univ Hosp, Breast Ctr, Dept Obstet &amp; Gynecol, Munich, Germany; [Kates-Harbeck, Daniel; Mahner, Sven; Wuerstlein, Rachel; Harbeck, Nadia] LMU Univ Hosp, CCC Munich, Munich, Germany; [Kates-Harbeck, Daniel; Kreipe, Hans; Gluz, Oleg; Christgen, Matthias; Kuemmel, Sherko; Graeser, Monika; Nitz, Ulrike; Wuerstlein, Rachel; Kates, Ronald; Harbeck, Nadia] Westdeutsche Studiengrp, Monchengladbach, Germany; [Kates-Harbeck, Daniel] Univ Leipzig, Leipzig, Germany; [Kreipe, Hans; Christgen, Matthias] MHH, Inst Pathol, Hannover, Germany; [Gluz, Oleg; Graeser, Monika] Johanniter Kliniken Evang Bethesda Hosp, Breast Ctr Niederrhein, Oberhausen, Germany; [Kuemmel, Sherko] Kliniken Essen Mitte, Essen, Germany; [Graeser, Monika] Univ Hosp Eppendorf, Hamburg, Germany; [Mayr, Doris] LMU Univ Hosp, Inst Pathol, Munich, Germany; [Mitani, Akinori; Zhang, Jingbin; Pinckaers, Hans; Smit, Gijs; Ren, Yi; Joun, Songwan; Griffin, Jacqueline; Lin, Nancy; Esteva, Andre] Artera, San Francisco, CA USA; [Feng, Felix] Univ Calif San Francisco, San Francisco, CA USA</t>
  </si>
  <si>
    <t>University of Munich; University of Munich; Leipzig University; Hannover Medical School; Kliniken Essen-Mitte; University of Hamburg; University Medical Center Hamburg-Eppendorf; University of Munich; University of California System; University of California San Francisco</t>
  </si>
  <si>
    <t>Multimodal Artificial Intelligence Model From Baseline Histopathology Adds Prognostic Information for Distant Recurrence Assessment in Hormone Receptor-Positive/Human Epidermal Growth Factor Receptor 2-Negative Early Breast Cancer</t>
  </si>
  <si>
    <t>GENE-EXPRESSION; CARCINOMA; HETEROGENEITY; CHEMOTHERAPY; INDEX</t>
  </si>
  <si>
    <t>Harbeck, Nadia/JOZ-6178-2023; Pinckaers, Hans/T-6889-2017</t>
  </si>
  <si>
    <t>Gluz, Oleg/0000-0001-6019-7544; Kuemmel, Sherko/0000-0001-9355-494X; Graeser, Monika/0000-0003-1916-717X; Kates-Harbeck, Daniel/0009-0001-5160-5777</t>
  </si>
  <si>
    <t>e2400287</t>
  </si>
  <si>
    <t>10.1200/CCI-24-00287</t>
  </si>
  <si>
    <t>http://dx.doi.org/10.1200/CCI-24-00287</t>
  </si>
  <si>
    <t>C1154</t>
  </si>
  <si>
    <t>41270247</t>
  </si>
  <si>
    <t>WOS:001620201000001</t>
  </si>
  <si>
    <t>Zhang, BY; Li, SC; Jian, JP; Ren, XY; Zhao, ZQ; Guo, LM; Su, F; Meng, Z; Zhao, ZC</t>
  </si>
  <si>
    <t>Accurate prognosis represents a critical component in oncology research, enabling personalized treatment planning and optimized health care resource use. Although existing prognostic models demonstrate promising performance on restricted data sets, they remain constrained by two limitations: modality-specific architectural designs and cancer type-specific training paradigms that hinder cross-domain generalization. To address these challenges, the Unified Multimodal Pan-Cancer Survival Network (UMPSNet) was introduced, which integrated histopathology images, genomic expression profiles, and four metadata categories through structured text templates. UMPSNet used the optimal transport-based attention for multimodal feature alignment and a guided mixture of expert mechanisms to address cancer-type distribution shifts. Comprehensive evaluation across 3523 whole slide images (n = 2831) spanning five The Cancer Genome Atlas cohorts demonstrated superior predictive performance (mean concordance index = 0.725), surpassing meticulously designed single-cancer models. Notably, in zero-shot transfer evaluation involving 392 pancreatic adenocarcinoma whole slide images (n = 66) from Peking University Third Hospital, UMPSNet achieved a concordance index of 0.652 without parameter fine-tuning, demonstrating generalization capacity for previously unseen malignancies. Additionally, UMPSNet identified prognostic gene signatures that consistently overlapped with clinically detected mutations (n = 92) while revealing novel gene candidates, validating its clinical relevance and providing complementary insights for precision oncology. Thus, the UMPSNet framework established a new paradigm for multimodal survival analysis by overcoming data heterogeneity and domain shift challenges, thereby providing a clinically adaptable tool for pan-cancer prognostic prediction.</t>
  </si>
  <si>
    <t>Zhang, Binyu; Li, Shichao; Jian, Junpeng; Ren, Xiaoyu; Zhao, Ziqi; Guo, Limei; Su, Fei; Meng, Zhu; Zhao, Zhicheng</t>
  </si>
  <si>
    <t>Meng, Z; Zhao, ZC (corresponding author), Beijing Univ Posts &amp; Telecommun, Sch Artificial Intelligence, 10 Xitucheng Rd, Beijing, Peoples R China.</t>
  </si>
  <si>
    <t>zhaozc@bupt.edu.cn; bamboo@bupt.edu.cn</t>
  </si>
  <si>
    <t>Chinese National Natural Science Foundation of China [62401069]; BUPT Excellent Ph.D.; Students Foundation [CX2022150]; BUPT innovation and entrepreneurship support program [2025-YC-T031]; Beijing Advanced Innovation Center for Future Blockchain [GJJ-24-021]</t>
  </si>
  <si>
    <t>Chinese National Natural Science Foundation of China (National Natural Science Foundation of China (NSFC)); BUPT Excellent Ph.D.; Students Foundation; BUPT innovation and entrepreneurship support program; Beijing Advanced Innovation Center for Future Blockchain</t>
  </si>
  <si>
    <t>Supported by the Chinese National Natural Science Foundation of China 62401069; BUPT Excellent Ph.D. Students Foundation CX2022150; BUPT innovation and entrepreneurship support program 2025-YC-T031; and Beijing Advanced Innovation Center for Future Blockchain and Pri-vacy Computing GJJ-24-021. B.Z. and S.L. contributed equally to this work as joint fi rst authors.</t>
  </si>
  <si>
    <t>[Zhang, Binyu; Li, Shichao; Jian, Junpeng; Ren, Xiaoyu; Su, Fei; Meng, Zhu; Zhao, Zhicheng] Beijing Univ Posts &amp; Telecommun, Sch Artificial Intelligence, 10 Xitucheng Rd, Beijing, Peoples R China; [Zhao, Ziqi; Guo, Limei] Beijing Univ Posts &amp; Telecommun, Dept Pathol, Beijing, Peoples R China; [Su, Fei; Meng, Zhu; Zhao, Zhicheng] Peking Univ Third Hosp, Sch Basic Med Sci, Beijing, Peoples R China; [Su, Fei; Meng, Zhu; Zhao, Zhicheng] Beijing Key Lab Network Syst &amp; Network Culture, Beijing, Peoples R China</t>
  </si>
  <si>
    <t>Beijing University of Posts &amp; Telecommunications; Beijing University of Posts &amp; Telecommunications</t>
  </si>
  <si>
    <t>From Single-Cancer to Pan-Cancer Prognosis A Multimodal Deep Learning Framework for Survival Analysis with Robust Generalization Capability</t>
  </si>
  <si>
    <t>AMERICAN JOURNAL OF PATHOLOGY</t>
  </si>
  <si>
    <t>HISTOLOGY</t>
  </si>
  <si>
    <t>Meng, Zhu/JOJ-7147-2023</t>
  </si>
  <si>
    <t>Ren, Xiaoyu/0009-0004-4432-1460; Su, Fei/0000-0003-4245-4687</t>
  </si>
  <si>
    <t>0002-9440</t>
  </si>
  <si>
    <t>1525-2191</t>
  </si>
  <si>
    <t>AM J PATHOL</t>
  </si>
  <si>
    <t>Am. J. Pathol.</t>
  </si>
  <si>
    <t>195</t>
  </si>
  <si>
    <t>10.1016/j.ajpath.2025.06.006</t>
  </si>
  <si>
    <t>http://dx.doi.org/10.1016/j.ajpath.2025.06.006</t>
  </si>
  <si>
    <t>Pathology</t>
  </si>
  <si>
    <t>7ZR6Z</t>
  </si>
  <si>
    <t>40651540</t>
  </si>
  <si>
    <t>WOS:001583484100007</t>
  </si>
  <si>
    <t>Li, WJ; Rao, QR; Dong, SY; Zhu, MY; Yang, Z; Huang, XG; Liu, GC</t>
  </si>
  <si>
    <t>Background: Parkinson's disease (PD), the second most common neurodegenerative disease in the world, is usually not diagnosed until the later stages of the disease, when patients might have already missed the best treatment period. Therefore, more effective prediction methods based on artificial intelligence (AI) are needed to assist physicians in timely diagnosis. New methods: An explainable deep learning-based early Parkinson's disease diagnostic model, Parkinson's Integrative Diagnostic Gated Network (PIDGN), was designed by fusing Single Nucleotide Polymorphism (SNP) and brain sMRI data. Firstly, unimodal internal information was extracted using EmsembleTree dimensionality reduction method, Transformer encoder and 3D ResNet. Secondly, gated attention fusion technique was utilized to explore the inter-modal interactions. Finally, the classification results were output through the fully connected layer. SHapley additive interpretation (SHAP) values and Gradient-weighted Class Activation Mapping (Grad- CAM) techniques were used to help explain the importance of SNPs and brain regions for PD. Results: The results showed that the PIDGN model achieved the best results with the accuracy of 0.858 and AUROC of 0.897. Top 20 SNPs and the brain regions near the midbrain potentially related to PD were identified using two explainable techniques via SHAP values and Grad-CAM respectively. Comparison with existing methods and conclusion: The PIDGN model trained by fusing genetic and imaging data outperforms 13 other commonly used unimodal or bimodal models. Explainable PIDGN model helps deepen understanding of several SNPs and sMRI key factors that may affect PD. This study provides a potentially effective solution for automated early diagnosis of PD using AI.</t>
  </si>
  <si>
    <t>Li, Wenjia; Rao, Quanrui; Dong, Shuying; Zhu, Mengyuan; Yang, Zhen; Huang, Xianggeng; Liu, Guangchen</t>
  </si>
  <si>
    <t>Liu, GC (corresponding author), Ludong Univ, Sch Math &amp; Stat, Yantai 264025, Peoples R China.</t>
  </si>
  <si>
    <t>liuguangchen@ldu.edu.cn</t>
  </si>
  <si>
    <t>[Li, Wenjia; Dong, Shuying; Zhu, Mengyuan; Yang, Zhen; Huang, Xianggeng; Liu, Guangchen] Ludong Univ, Sch Math &amp; Stat, Yantai 264025, Peoples R China; [Rao, Quanrui] Ludong Univ, Sch Informat &amp; Elect Engn, Yantai 264025, Peoples R China</t>
  </si>
  <si>
    <t>Ludong University; Ludong University</t>
  </si>
  <si>
    <t>PIDGN: An explainable multimodal deep learning framework for early prediction of Parkinson's disease</t>
  </si>
  <si>
    <t>JOURNAL OF NEUROSCIENCE METHODS</t>
  </si>
  <si>
    <t>Parkinson's disease; Multimodal learning; Transformer; Explainable deep learning; Imaging genomics</t>
  </si>
  <si>
    <t>DIAGNOSIS; EXPRESSION; MRI</t>
  </si>
  <si>
    <t>LIU, GC/AEQ-6714-2022; Rao, Quanrui/GWU-7255-2022</t>
  </si>
  <si>
    <t>0165-0270</t>
  </si>
  <si>
    <t>1872-678X</t>
  </si>
  <si>
    <t>J NEUROSCI METH</t>
  </si>
  <si>
    <t>J. Neurosci. Methods</t>
  </si>
  <si>
    <t>110363</t>
  </si>
  <si>
    <t>10.1016/j.jneumeth.2025.110363</t>
  </si>
  <si>
    <t>http://dx.doi.org/10.1016/j.jneumeth.2025.110363</t>
  </si>
  <si>
    <t>Biochemical Research Methods; Neurosciences</t>
  </si>
  <si>
    <t>Biochemistry &amp; Molecular Biology; Neurosciences &amp; Neurology</t>
  </si>
  <si>
    <t>T8F6U</t>
  </si>
  <si>
    <t>39832626</t>
  </si>
  <si>
    <t>WOS:001407301100001</t>
  </si>
  <si>
    <t>Yoon, JM; Jung, SH; Chung, MJ; Kim, MJ; Song, MY; Cho, K; Kong, M; Yoo, H; Ham, DI</t>
  </si>
  <si>
    <t>ObjectiveTo develop and validate a multimodal deep learning model that predicts treatment responses to intravitreal anti-vascular endothelial growth factor (anti-VEGF) injections in patients with diabetic macular oedema (DMO) by combining optical coherence tomography images and clinical data.MethodsThis study included 107 DMO patients who received three consecutive anti-VEGF treatments. Model performance was evaluated using area under the receiver operating characteristic curve (AUROC), accuracy, sensitivity, and specificity. The model's predictions were compared with those of retinal specialists.ResultsAmong 107 patients, 65 showed good response and 42 showed poor response to treatment. The multimodal model achieved an AUROC of 0.962 (95% CI, 0.945-0.979), accuracy of 0.953 (95% CI, 0.933-0.973), sensitivity of 0.969 (95% CI, 0.951-0.987), and specificity of 0.928 (95% CI, 0.903-0.953) in the internal validation. The model outperformed retinal specialists, who achieved accuracies ranging from 0.571 to 0.857.ConclusionThe multimodal deep learning model demonstrated high accuracy in predicting anti-VEGF treatment responses in DMO patients. This approach could enable more personalised treatment strategies and optimal resource utilisation in ophthalmological care. Further validation with larger, multicentre datasets is warranted to confirm its clinical utility.</t>
  </si>
  <si>
    <t>Yoon, Je Moon; Jung, Sung Ho; Chung, Myung Jin; Kim, Min-Ji; Song, Mi Yeon; Cho, Kyuyeon; Kong, Mingui; Yoo, Hakje; Ham, Don-Il</t>
  </si>
  <si>
    <t>Ham, DI (corresponding author), Sungkyunkwan Univ, Samsung Med Ctr, Sch Med, Dept Ophthalmol, Seoul, South Korea.</t>
  </si>
  <si>
    <t>oculus@naver.com</t>
  </si>
  <si>
    <t>This study was supported by Samsung Medical Center Grant #SMO1230381.; This study was also supported by the Future Medicine 20*30 Project of the Samsung Medical Center (SMX1240781).</t>
  </si>
  <si>
    <t>This study was supported by Samsung Medical Centre Grant #SMO1230381. This study was also supported by the Future Medicine 20*30 Project of the Samsung Medical Centre (SMX1240781).</t>
  </si>
  <si>
    <t>[Yoon, Je Moon; Cho, Kyuyeon; Ham, Don-Il] Sungkyunkwan Univ, Samsung Med Ctr, Sch Med, Dept Ophthalmol, Seoul, South Korea; [Jung, Sung Ho; Chung, Myung Jin; Yoo, Hakje] Samsung Med Ctr, Med AI Res Ctr, Seoul, South Korea; [Chung, Myung Jin] Sungkyunkwan Univ, Samsung Med Ctr, Sch Med, Dept Radiol, Seoul, South Korea; [Chung, Myung Jin] Sungkyunkwan Univ, Sch Med, Dept Data Convergence &amp; Future Med, Seoul, South Korea; [Kim, Min-Ji] Hangil Eye Hosp, Incheon, South Korea; [Song, Mi Yeon] Dongguk Univ, Ilsan Hosp, Dept Ophthalmol, Goyang, South Korea; [Kong, Mingui] Sungkyunkwan Univ, Kangbuk Samsung Hosp, Sch Med, Dept Ophthalmol, Seoul, South Korea; [Yoo, Hakje] Sungkyunkwan Univ, Coll Biotechnol &amp; Bioengn, Dept Biomechatron Engn, Suwon, Gyeonggi, South Korea</t>
  </si>
  <si>
    <t>Sungkyunkwan University (SKKU); Samsung Medical Center; Sungkyunkwan University (SKKU); Samsung Medical Center; Sungkyunkwan University (SKKU); Samsung Medical Center; Sungkyunkwan University (SKKU); NHIS Ilsan Hospital; Dongguk University; Sungkyunkwan University (SKKU); Samsung Medical Center; Samsung Kangbuk Hospital; Sungkyunkwan University (SKKU)</t>
  </si>
  <si>
    <t>Multimodal deep learning prediction of treatment response to anti-vascular endothelial growth factor in diabetic macular oedema</t>
  </si>
  <si>
    <t>EYE</t>
  </si>
  <si>
    <t>0950-222X</t>
  </si>
  <si>
    <t>1476-5454</t>
  </si>
  <si>
    <t>Eye</t>
  </si>
  <si>
    <t>1454</t>
  </si>
  <si>
    <t>1460</t>
  </si>
  <si>
    <t>10.1038/s41433-026-04505-1</t>
  </si>
  <si>
    <t>http://dx.doi.org/10.1038/s41433-026-04505-1</t>
  </si>
  <si>
    <t>KR7GV</t>
  </si>
  <si>
    <t>42092039</t>
  </si>
  <si>
    <t>WOS:001757694400001</t>
  </si>
  <si>
    <t>Chakravarthi, BA; Shivakanth, G</t>
  </si>
  <si>
    <t>A progressive neurological disorder, Alzheimer's disease has a significant social and economic impact and has become more problematic for world health. Early and precise diagnosis is critical to enable timely intervention to improve patient outcomes. This study introduces a new multimodal AI framework integrating advanced MRI preprocessing techniques and speech analysis for the enhancement of the detection of AD. A strong preprocessing pipeline, including noise reduction, normalization, skull stripping, and segmentation, is utilized to prepare the MRI data. Cognitive and acoustic biomarkers are extracted through spectrograms and pre-trained linguistic models to create speech features. The architecture involves the application of Vision Transformers for spatial analysis and a hybrid CNN- RNN architecture to derive contextual insights, making the framework applicable to multimodal fusion for holistic diagnosis. The framework achieved an accuracy of 94.2% with precision, recall, and F1-scores higher than 92% in the experimental evaluation on a diverse dataset. Comparative analysis with several recent studies further emphasizes that the framework provides better diagnostic performance on key metrics. This work advances early AD detection by incorporating complementary data modalities, addressing existing gaps in unimodal approaches, and providing a scalable, interpretable solution for clinical application.</t>
  </si>
  <si>
    <t>Chakravarthi, Bandaru A.; Shivakanth, Gandla</t>
  </si>
  <si>
    <t>Shivakanth, G (corresponding author), Koneru Lakshmaiah Educ Fdn, Dept Comp Sci &amp; Engn, Hyderabad 500075, Telangana, India.</t>
  </si>
  <si>
    <t>shivakanth@klh.edu.in</t>
  </si>
  <si>
    <t>[Chakravarthi, Bandaru A.; Shivakanth, Gandla] Koneru Lakshmaiah Educ Fdn, Dept Comp Sci &amp; Engn, Hyderabad 500075, Telangana, India</t>
  </si>
  <si>
    <t>Koneru Lakshmaiah Education Foundation (K L Deemed to be University)</t>
  </si>
  <si>
    <t>Integrating Multimodal AI Techniques and MRI Preprocessing for Enhanced Diagnosis of Alzheimer's Disease: Clinical Applications and Research Horizons</t>
  </si>
  <si>
    <t>Magnetic resonance imaging; Alzheimer's disease; Artificial intelligence; Diseases; Feature extraction; Accuracy; Biological system modeling; Biomarkers; Neuroimaging; Training; Alzheimer's disease (AD); CNN- RNN architecture; diagnostic accuracy; early diagnosis; machine learning in healthcare; MRI preprocessing; multimodal AI; neuroimaging; speech biomarkers; vision transformers (ViT)</t>
  </si>
  <si>
    <t>kanth, Shiva/HRD-0638-2023</t>
  </si>
  <si>
    <t>, Bandaru A Chakravarthi/0009-0004-1980-1788; shivakanth, Gandla/0000-0001-6787-6929</t>
  </si>
  <si>
    <t>63519</t>
  </si>
  <si>
    <t>63531</t>
  </si>
  <si>
    <t>10.1109/ACCESS.2025.3557533</t>
  </si>
  <si>
    <t>http://dx.doi.org/10.1109/ACCESS.2025.3557533</t>
  </si>
  <si>
    <t>1NE8F</t>
  </si>
  <si>
    <t>WOS:001469012900016</t>
  </si>
  <si>
    <t>Koutsouleris, N; Pantelis, C; Velakoulis, D; McGuire, P; Dwyer, DB; Urquijo-Castro, MF; Paul, R; Sen Dong; Popovic, D; Oeztuerk, O; Kambeitz, J; Salokangas, RKR; Hietala, J; Bertolino, A; Brambilla, P; Upthegrove, R; Wood, SJ; Lencer, R; Borgwardt, S; Maj, C; Nöthen, M; Degenhardt, F; Polyakova, M; Mueller, K; Villringer, A; Danek, A; Fassbender, K; Fliessbach, K; Jahn, H; Kornhuber, J; Landwehrmeyer, B; Anderl-Straub, S; Prudlo, J; Synofzik, M; Wiltfang, J; Riedl, L; Diehl-Schmid, J; Otto, M; Meisenzahl, E; Falkai, P; Schroeter, ML</t>
  </si>
  <si>
    <t>IMPORTANCE The behavioral and cognitive symptoms of severe psychotic disorders overlap with those seen in dementia. However, shared brain alterations remain disputed, and their relevance for patients in at-risk disease stages has not been explored so far.OBJECTIVE To use machine learning to compare the expression of structural magnetic resonance imaging (MRI) patterns of behavioral-variant frontotemporal dementia (bvFTD), Alzheimer disease (AD). and schizophrenia; estimate predictability in patients with bvFTD and schizophrenia based on sociodemographic, clinical, and biological data; and examine prognostic value, genetic underpinnings, and progression in patients with clinical high-risk (CHR) states for psychosis or recent-onset depression (ROD).DESIGN, SETTING, AND PARTICIPANTS This study included 1870 individuals from S cohorts, including (1) patients with bvFTD (n =108), established AD (n = 44), mild cognitive impairment or early-stage AD (n = 96), schizophrenia (n = 157), or major depression (n = 102) to derive and compare diagnostic patterns and (2) patients with CHR (n = 160) or ROD (n = 161) to test patterns' prognostic relevance and progression. Healthy individuals (n = 1042) were used for age-related and cohort-related data calibration. Data were collected from January 1996 to July 2019 and analyzed between April 2020 and April 2022.MAIN OUTCOMES AND MEASURES Case assignments based on diagnostic patterns; sociodemographic, clinical, and biological data; 2-year functional outcomes and genetic separability of patients with CHR and ROD with high vs low pattern expression; and pattern progression from baseline to follow-up MRI scans in patients with nonrecovery vs preserved recovery.RESULTS Of 1870 included patients, 902 (48.2%) were female, and the mean (SD) age was 38.0 (19.3) years. The bvFTD pattern comprising prefrontal, insular, and limbic volume reductions was more expressed in patients with schizophrenia (65 of 157 [41.2%]) and major depression (22 of 102 [21.6%]) than the temporo-limbic AD patterns (28 of 157 [17.8%) and 3 of 102 [2.9%], respectively). bvFTD expression was predicted by high body mass index, psychomotor slowing, affective disinhibition, and paranoid ideation (R-2 = 0.11). The schizophrenia pattern was expressed in 92 of 108 patients (85.5%) with bvFTD and was linked to the C9orf72 variant, oligoclonal banding in the cerebrospinal fluid, cognitive impairment, and younger age (R 2 = 0.29). bvFTD and schizophrenia pattern expressions forecasted 2-year psychosocial impairments in patients with CHR and were predicted by polygenic risk scores for frontotemporal dementia, AD. and schizophrenia. Findings were not associated with AD or accelerated brain aging. Finally, 1-year bvFTD/schizophrenia pattern progression distinguished patients with nonrecovery from those with preserved recovery.CONCLUSIONS AND RELEVANCE Neurobiological links may exist between bvFTD and psychosis focusing on prefrontal and salience system alterations. Further transdiagnostic investigations are needed to identify shared pathophysiological processes underlying the neuroanatomical interface between the 2 disease spectra.</t>
  </si>
  <si>
    <t>Koutsouleris, Nikolaos; Pantelis, Christos; Velakoulis, Dennis; McGuire, Philip; Dwyer, Dominic B.; Urquijo-Castro, Maria-Fernanda; Paul, Riya; Sen Dong; Popovic, David; Oeztuerk, Oemer; Kambeitz, Joseph; Salokangas, Raimo K. R.; Hietala, Jarmo; Bertolino, Alessandro; Brambilla, Paolo; Upthegrove, Rachel; Wood, Stephen J.; Lencer, Rebekka; Borgwardt, Stefan; Maj, Carlo; Nothen, Markus; Degenhardt, Franziska; Polyakova, Maryna; Mueller, Karsten; Villringer, Arno; Danek, Adrian; Fassbender, Klaus; Fliessbach, Klaus; Jahn, Holger; Kornhuber, Johannes; Landwehrmeyer, Bernhard; Anderl-Straub, Sarah; Prudlo, Johannes; Synofzik, Matthis; Wiltfang, Jens; Riedl, Lina; Diehl-Schmid, Janine; Otto, Markus; Meisenzahl, Eva; Falkai, Peter; Schroeter, Matthias L.</t>
  </si>
  <si>
    <t>Koutsouleris, N (corresponding author), Ludwig Maximilians Univ Munchen, Dept Psychiat &amp; Psychotherapy, Nussbaumstr 7, D-80336 Munich, Germany.; Schroeter, ML (corresponding author), Max Planck Inst Human Cognit &amp; Brain Sci, Dept Neurol, Stephanstr 1A, D-04103 Leipzig, Germany.</t>
  </si>
  <si>
    <t>nikolaos.koutsouleris@med.uni-muenchen.de; schroet@cbs.mpg.de</t>
  </si>
  <si>
    <t>European Commission; German Federal Ministry of Education and Research; Medical Research Council [MC_UU_00005/12, MC_U105597119, G0301152] Funding Source: researchfish</t>
  </si>
  <si>
    <t>European Commission (European Union (EU), European Commission Joint Research Centre); German Federal Ministry of Education and Research (Federal Ministry of Education &amp; Research (BMBF)); Medical Research Council (UK Research &amp; Innovation (UKRI), Medical Research Council UK (MRC))</t>
  </si>
  <si>
    <t>This study was supported by the European Commission and the German Federal Ministry of Education and Research.</t>
  </si>
  <si>
    <t>[Koutsouleris, Nikolaos; Dwyer, Dominic B.; Urquijo-Castro, Maria-Fernanda; Paul, Riya; Sen Dong; Popovic, David; Oeztuerk, Oemer; Falkai, Peter] Ludwig Maximilians Univ Munchen, Dept Psychiat &amp; Psychotherapy, Nussbaumstr 7, D-80336 Munich, Germany; [Koutsouleris, Nikolaos; McGuire, Philip] Kings Coll London, Inst Psychiat Psychol &amp; Neurosci, London, England; [Koutsouleris, Nikolaos] Max Planck Inst Psychiat, Munich, Germany; [Pantelis, Christos; Velakoulis, Dennis] Univ Melbourne, Melbourne Neuropsychiat Ctr, Melbourne, Vic, Australia; [Kambeitz, Joseph] Univ Cologne, Dept Psychiat &amp; Psychotherapy, Cologne, Germany; [Salokangas, Raimo K. R.; Hietala, Jarmo] Univ Turku, Dept Psychiat, Turku, Finland; [Bertolino, Alessandro] Univ Bari Aldo Moro, Dept Basic Med Sci Neurosci &amp; Sense Organs, Bari, Italy; [Brambilla, Paolo] Fdn IRCCS Ca Granda Osped Maggiore Policlin, Dept Neurosci &amp; Mental Hlth, Milan, Italy; [Brambilla, Paolo] Univ Milan, Dept Pathophysiol &amp; Transplantat, Milan, Italy; [Upthegrove, Rachel] Univ Birmingham, Inst Mental Hlth, Birmingham, W Midlands, England; [Upthegrove, Rachel] Birmingham Womens &amp; Childrens NHS Fdn Trust, Early Intervent Serv, Birmingham, W Midlands, England; [Wood, Stephen J.] Univ Birmingham, Sch Psychol, Birmingham, W Midlands, England; [Wood, Stephen J.] Univ Melbourne, Ctr Youth Mental Hlth, Melbourne, Vic, Australia; [Wood, Stephen J.] Orygen, Melbourne, Vic, Australia; [Lencer, Rebekka; Borgwardt, Stefan] Univ Lubeck, Dept Psychiat &amp; Psychotherapy, Lubeck, Germany; [Lencer, Rebekka] Univ Munster, Inst Translat Psychiat, Munster, Germany; [Borgwardt, Stefan] Univ Basel, Univ Psychiat Clin UPK, Dept Psychiat, Basel, Switzerland; [Maj, Carlo] Univ Bonn, Univ Hosp Bonn, Inst Genom Stat &amp; Bioinformat, Bonn, Germany; [Nothen, Markus; Degenhardt, Franziska] Univ Bonn, Univ Hosp Bonn, Sch Med, Inst Human Genet, Bonn, Germany; [Degenhardt, Franziska] Univ Duisburg Essen, Univ Hosp Essen, Dept Child &amp; Adolescent Psychiat, Psychosomat &amp; Psychotherapy, Duisburg, Germany; [Polyakova, Maryna; Mueller, Karsten; Villringer, Arno; Schroeter, Matthias L.] Max Planck Inst Human Cognit &amp; Brain Sci, Dept Neurol, Stephanstr 1A, D-04103 Leipzig, Germany; [Polyakova, Maryna; Schroeter, Matthias L.] Univ Hosp Leipzig, Clin Cognit Neurol, Leipzig, Germany; [Danek, Adrian] Ludwig Maximilian Univ Munich, Dept Neurol, Munich, Germany; [Fassbender, Klaus] Saarland Univ Hosp, Dept Neurol, Homburg, Germany; [Fliessbach, Klaus] Univ Hosp Bonn, Dept Psychiat &amp; Psychotherapy, Bonn, Germany; [Fliessbach, Klaus; Synofzik, Matthis; Wiltfang, Jens] German Ctr Neurodegenerat Dis DZNE, Gottingen, Germany; [Jahn, Holger] Univ Hosp Hamburg, Dept Psychiat &amp; Psychotherapy, Hamburg, Germany; [Kornhuber, Johannes] Friedrich Alexander Univ Erlangen Nuremberg, Dept Psychiat &amp; Psychotherapy, Erlangen, Germany; [Landwehrmeyer, Bernhard; Anderl-Straub, Sarah; Otto, Markus] Univ Ulm, Dept Neurol, Ulm, Germany; [Prudlo, Johannes] Univ Med Rostock, Dept Neurol, Rostock, Germany; [Synofzik, Matthis] Hertie Inst Clin Brain Res, Ctr Neurol, Dept Neurodegenerat Dis, Tubingen, Germany; [Wiltfang, Jens] Med Univ Gottingen, Dept Psychiat &amp; Psychotherapy, Gottingen, Germany; [Riedl, Lina; Diehl-Schmid, Janine] Tech Univ Munich, Dept Psychiat &amp; Psychotherapy, Munich, Germany; [Meisenzahl, Eva] Heinrich Heine Univ, Med Fac, Dept Psychiat &amp; Psychotherapy, Dusseldorf, Germany</t>
  </si>
  <si>
    <t>University of Munich; University of London; King's College London; Max Planck Society; University of Melbourne; University of Cologne; University of Turku; Universita degli Studi di Bari Aldo Moro; IRCCS Ca Granda Ospedale Maggiore Policlinico; University of Milan; University of Birmingham; University of Birmingham; University of Melbourne; Orygen, The National Centre of Excellence in Youth Mental Health; Orygen, The National Centre of Excellence in Youth Mental Health; University of Lubeck; University of Munster; University of Basel; University of Bonn; University of Bonn; University of Duisburg Essen; Max Planck Society; Leipzig University; University of Munich; Universitatsklinikum des Saarlandes; University of Bonn; Helmholtz Association; German Center for Neurodegenerative Diseases (DZNE); University of Hamburg; University Medical Center Hamburg-Eppendorf; University of Erlangen Nuremberg; Ulm University; University of Rostock; Helmholtz Association; Eberhard Karls University of Tubingen; German Center for Neurodegenerative Diseases (DZNE); Eberhard Karls University Hospital; University of Gottingen; University of Gottingen Hospital; University of Munich; Technical University of Munich; Heinrich Heine University Dusseldorf; Heinrich Heine University Dusseldorf Hospital</t>
  </si>
  <si>
    <t>Int FTD-Genetics Consortium IFGC; German Frontotemporal Lobar Degene; PRONIA Consortium</t>
  </si>
  <si>
    <t>Exploring Links Between Psychosis and Frontotemporal Dementia Using Multimodal Machine Learning Dementia Praecox Revisited</t>
  </si>
  <si>
    <t>JAMA PSYCHIATRY</t>
  </si>
  <si>
    <t>ANTERIOR CINGULATE CORTEX; VON ECONOMO NEURONS; BEHAVIORAL VARIANT; HIGH-RISK; SCHIZOPHRENIA; BRAIN; C9ORF72; INDIVIDUALS; DEPRESSION; DISORDER</t>
  </si>
  <si>
    <t>Dwyer, Dominic/Z-1225-2018; Bertolino, Alessandro/O-6352-2016; Borgwardt, Stefan/Q-6168-2018; Upthegrove, Rachel/AAD-9761-2022; Fassbender, Klaus/A-9255-2008; Kambeitz, Joseph/AAR-7087-2021; Otto, Markus/F-4304-2015; McGuire, Philip/AFJ-9527-2022; Maj, Carlo/I-4245-2015; Synofzik, Matthis/OUK-3443-2025; Velakoulis, Dennis/A-4778-2008; Nöthen, Markus/B-2027-2009; Pantelis, Christos/H-7722-2014; Danek, Adrian/G-7339-2011; Popovic, David/HPF-4045-2023; Mueller, Karsten/LIG-0356-2024; Degenhardt, Franziska/H-4169-2017; Wood, Stephen/ABF-4086-2020; Falkai, Peter/E-3273-2017; Koutsouleris, Nikolaos/MHR-0254-2025; Lencer, Rebekka/A-4994-2009</t>
  </si>
  <si>
    <t>Dwyer, Dominic/0000-0003-3949-5867; Borgwardt, Stefan/0000-0002-5792-3987; Upthegrove, Rachel/0000-0001-8204-5103; Fassbender, Klaus/0000-0003-3596-868X; Otto, Markus/0000-0003-4273-4267; McGuire, Philip/0000-0003-4381-0532; Maj, Carlo/0000-0002-9559-1725; Synofzik, Matthis/0000-0002-2280-7273; Hietala, Jarmo/0000-0002-3179-6780; Nöthen, Markus/0000-0002-8770-2464; Pantelis, Christos/0000-0002-9565-0238; Popovic, David/0000-0002-2367-9437; Öztürk, Ömer Faruk/0000-0003-3665-0526; Diehl-Schmid, Janine/0000-0002-7745-1382; Fassbender, Klaus/0000-0003-3596-868X; Mueller, Karsten/0000-0001-9613-0552; Degenhardt, Franziska/0000-0002-1685-8904; Wood, Stephen/0000-0003-4186-5919</t>
  </si>
  <si>
    <t>2168-622X</t>
  </si>
  <si>
    <t>2168-6238</t>
  </si>
  <si>
    <t>JAMA PSYCHIAT</t>
  </si>
  <si>
    <t>JAMA Psychiatry</t>
  </si>
  <si>
    <t>907</t>
  </si>
  <si>
    <t>919</t>
  </si>
  <si>
    <t>10.1001/jamapsychiatry.2022.2075</t>
  </si>
  <si>
    <t>http://dx.doi.org/10.1001/jamapsychiatry.2022.2075</t>
  </si>
  <si>
    <t>4J9JK</t>
  </si>
  <si>
    <t>35921104</t>
  </si>
  <si>
    <t>WOS:000836399700004</t>
  </si>
  <si>
    <t>hybrid; Green Submitted; Green Accepted; Green Published</t>
  </si>
  <si>
    <t>Yang, YC; Wang, JJ; Ren, QG; Yu, R; Yuan, ZY; Jiang, QJ; Guan, S; Tang, XQ; Duan, TT; Meng, XS</t>
  </si>
  <si>
    <t>PurposeTo develop and validate a predictive combined model for metastasis in patients with clear cell renal cell carcinoma (ccRCC) by integrating multimodal data.Materials and methodsIn this retrospective study, the clinical and imaging data (CT and ultrasound) of patients with ccRCC confirmed by pathology from three tertiary hospitals in different regions were collected from January 2013 to January 2023. We developed three models, including a clinical model, a radiomics model, and a combined model. The performance of the model was determined based on its discriminative power and clinical utility. The evaluation indicators included area under the receiver operating characteristic curve (AUC) value, accuracy, sensitivity, specificity, negative predictive value, positive predictive value and decision curve analysis (DCA) curve.ResultsA total of 251 patients were evaluated. Patients (n = 166) from Shandong University Qilu Hospital (Jinan) were divided into the training cohort, of which 50 patients developed metastases; patients (n = 37) from Shandong University Qilu Hospital (Qingdao) were used as internal testing, of which 15 patients developed metastases; patients (n = 48) from Changzhou Second People's Hospital were used as external testing, of which 13 patients developed metastases. In the training set, the combined model showed the highest performance (AUC, 0.924) in predicting lymph node metastasis (LNM), while the clinical and radiomics models both had AUCs of 0.845 and 0.870, respectively. In the internal testing, the combined model had the highest performance (AUC, 0.877) for predicting LNM, while the AUCs of the clinical and radiomics models were 0.726 and 0.836, respectively. In the external testing, the combined model had the highest performance (AUC, 0.849) for predicting LNM, while the AUCs of the clinical and radiomics models were 0.708 and 0.804, respectively. The DCA curve showed that the combined model had a significant prediction probability in predicting the risk of LNM in ccRCC patients compared with the clinical model or the radiomics model.ConclusionThe combined model was superior to the clinical and radiomics models in predicting LNM in ccRCC patients.</t>
  </si>
  <si>
    <t>Yang, Youchang; Wang, Jiajia; Ren, Qingguo; Yu, Rong; Yuan, Ziyi; Jiang, Qingjun; Guan, Shuai; Tang, Xiaoqiang; Duan, Tongtong; Meng, Xiangshui</t>
  </si>
  <si>
    <t>Meng, XS (corresponding author), Shandong Univ, Qilu Hosp Qingdao, Cheeloo Coll Med, Dept Radiol, Qingdao 266035, Peoples R China.</t>
  </si>
  <si>
    <t>mengxiangshui2021@126.com</t>
  </si>
  <si>
    <t>The Natural Science Foundation of Shandong Province</t>
  </si>
  <si>
    <t>The Natural Science Foundation of Shandong Province (Natural Science Foundation of Shandong Province)</t>
  </si>
  <si>
    <t>The authors would like to express their gratitude to EditSprings (https://www.editsprings.cn) for the expert linguistic services provided. And for advice regarding the code used in this manuscript, we thank OnekeyAl platform and its developers.</t>
  </si>
  <si>
    <t>[Yang, Youchang; Ren, Qingguo; Jiang, Qingjun; Guan, Shuai; Meng, Xiangshui] Shandong Univ, Qilu Hosp Qingdao, Cheeloo Coll Med, Dept Radiol, Qingdao 266035, Peoples R China; [Wang, Jiajia; Yuan, Ziyi] Shandong Univ, Dept Radiol, Qilu Hosp, Jinan, Peoples R China; [Yu, Rong] Shandong Univ Tradit Chinese Med, Jinan, Peoples R China; [Tang, Xiaoqiang] Nanjing Med Univ, Dept Radiol, Affiliated Changzhou 2 Peoples Hosp, Changzhou 213003, Peoples R China; [Duan, Tongtong] Nanjing Med Univ, Dept Ultrasound, Affiliated Changzhou 2 Peoples Hosp, Changzhou, Peoples R China</t>
  </si>
  <si>
    <t>Shandong University; Shandong University; Shandong University of Traditional Chinese Medicine; Nanjing Medical University; Nanjing Medical University</t>
  </si>
  <si>
    <t>Multimodal data integration using machine learning to predict the risk of clear cell renal cancer metastasis: a retrospective multicentre study</t>
  </si>
  <si>
    <t>Clear cell renal cell carcinoma; Multimodal data; Deep learning; Metastasis</t>
  </si>
  <si>
    <t>DIFFERENTIATING CROHNS-DISEASE; INTESTINAL TUBERCULOSIS; ENTEROGRAPHY; MANAGEMENT; MODEL</t>
  </si>
  <si>
    <t>Wang, Jiajia/0000-0003-1693-6439; xiangshui, meng/0000-0001-5009-4218</t>
  </si>
  <si>
    <t>2311</t>
  </si>
  <si>
    <t>2324</t>
  </si>
  <si>
    <t>10.1007/s00261-024-04418-1</t>
  </si>
  <si>
    <t>http://dx.doi.org/10.1007/s00261-024-04418-1</t>
  </si>
  <si>
    <t>A0A8X</t>
  </si>
  <si>
    <t>38879708</t>
  </si>
  <si>
    <t>WOS:001247958700001</t>
  </si>
  <si>
    <t>Lami, K; Ozasa, M; Che, XQ; Uegami, W; Kato, Y; Zaizen, Y; Tsuyama, N; Mori, I; Ichihara, S; Yoon, HS; Egashira, R; Kataoka, K; Johkoh, T; Kondo, Y; Attanoos, R; Cavazza, A; Marchevsky, AM; Schneider, F; Augustyniak, JW; Almutrafi, A; Fabro, AT; Brcic, L; Roden, AC; Smith, M; Moreira, A; Fukuoka, J</t>
  </si>
  <si>
    <t>Background and ObjectiveThe diagnosis of interstitial lung diseases (ILDs) often relies on the integration of various clinical, radiological, and histopathological data. Achieving high diagnostic accuracy in ILDs, particularly for distinguishing usual interstitial pneumonia (UIP), is challenging and requires a multidisciplinary approach. Therefore, this study aimed to develop a multimodal artificial intelligence (AI) algorithm that combines computed tomography (CT) and histopathological images to improve the accuracy and consistency of UIP diagnosis.MethodsA dataset of CT and pathological images from 324 patients with ILD between 2009 and 2021 was collected. The CT component of the model was trained to identify 28 different radiological features. The pathological counterpart was developed in our previous study. A total of 114 samples were selected and used for testing the multimodal AI model. The performance of the multimodal AI was assessed through comparisons with expert pathologists and general pathologists.ResultsThe developed multimodal AI demonstrated a substantial improvement in distinguishing UIP from non-UIP, achieving an AUC of 0.92. When applied by general pathologists, the diagnostic agreement rate improved significantly, with a post-model kappa score of 0.737 compared to 0.273 pre-model integration. Additionally, the diagnostic consensus rate with expert pulmonary pathologists increased from kappa scores of 0.278-0.53 to 0.474-0.602 post-model integration. The model also increased diagnostic confidence among general pathologists.ConclusionCombining CT and histopathological images, the multimodal AI algorithm enhances pathologists' diagnostic accuracy, consistency, and confidence in identifying UIP, even in cases where specialised expertise is limited. imageConclusionCombining CT and histopathological images, the multimodal AI algorithm enhances pathologists' diagnostic accuracy, consistency, and confidence in identifying UIP, even in cases where specialised expertise is limited. image</t>
  </si>
  <si>
    <t>Lami, Kris; Ozasa, Mutsumi; Che, Xiangqian; Uegami, Wataru; Kato, Yoshihiro; Zaizen, Yoshiaki; Tsuyama, Naoko; Mori, Ichiro; Ichihara, Shin; Yoon, Han-Seung; Egashira, Ryoko; Kataoka, Kensuke; Johkoh, Takeshi; Kondo, Yasuhiro; Attanoos, Richard; Cavazza, Alberto; Marchevsky, Alberto M.; Schneider, Frank; Augustyniak, Jaroslaw Wojciech; Almutrafi, Amna; Fabro, Alexandre Todorovic; Brcic, Luka; Roden, Anja C.; Smith, Maxwell; Moreira, Andre; Fukuoka, Junya</t>
  </si>
  <si>
    <t>Fukuoka, J (corresponding author), Nagasaki Univ, Grad Sch Biomed Sci, Dept Pathol Informat, Nagasaki, Japan.; Fukuoka, J (corresponding author), Kameda Med Ctr, Dept Pathol, Kamogawa, Japan.</t>
  </si>
  <si>
    <t>fukuokaj@nagasaki-u.ac.jp</t>
  </si>
  <si>
    <t>Ministry of Health, Labour and Welfare</t>
  </si>
  <si>
    <t>Ministry of Health, Labour and Welfare (Ministry of Health, Labour and Welfare, Japan)</t>
  </si>
  <si>
    <t>This paper is based on results obtained from a project, JPNP20006, commissioned by the New Energy and Industrial Technology Development Organisation (NEDO) and the Japanese Society of Digital Pathology (JSDP) Research Group. Funding is provided by the Study Group on Diffuse Lung Disease, Scientific Research/Research on Intractable Diseases in the Ministry of Health, Labour and Welfare, Japan.</t>
  </si>
  <si>
    <t>[Lami, Kris; Ozasa, Mutsumi; Yoon, Han-Seung; Fukuoka, Junya] Nagasaki Univ, Grad Sch Biomed Sci, Dept Pathol Informat, Nagasaki, Japan; [Ozasa, Mutsumi] Nagasaki Univ, Grad Sch Biomed Sci, Dept Resp Med, Nagasaki, Japan; [Che, Xiangqian; Kato, Yoshihiro] Future Corp, Strateg AI Grp, Tokyo, Japan; [Uegami, Wataru; Fukuoka, Junya] Kameda Med Ctr, Dept Pathol, Kamogawa, Japan; [Zaizen, Yoshiaki] Kurume Univ, Dept Med, Div Respirol Neurol &amp; Rheumatol, Sch Med, Kurume, Japan; [Tsuyama, Naoko] Japanese Fdn Canc Res, Canc Inst, Div Pathol, Tokyo, Japan; [Mori, Ichiro] Int Univ Hlth &amp; Welf, Dept Pathol, Narita, Japan; [Ichihara, Shin] Sapporo Kosei Gen Hosp, Dept Surg Pathol, Sapporo, Japan; [Egashira, Ryoko] Saga Univ, Dept Radiol, Saga, Japan; [Kataoka, Kensuke] Tosei Gen Hosp, Dept Resp Med &amp; Allergy, Seto, Japan; [Johkoh, Takeshi] Kansai Rosai Hosp, Dept Radiol, Amagasaki, Japan; [Kondo, Yasuhiro] Kitasato Univ, Sch Med, Dept Thorac Surg, Kanagawa, Japan; [Attanoos, Richard] Cardiff Univ, Dept Cellular Pathol, Cardiff, Wales; [Cavazza, Alberto] Azienda USL IRCCS Reggio Emilia, Pathol Unit, Reggio Emilia, Italy; [Marchevsky, Alberto M.] Cedars Sinai Med Ctr, Dept Pathol, Los Angeles, CA USA; [Schneider, Frank] Emory Univ, Dept Pathol &amp; Lab Med, Atlanta, GA USA; [Augustyniak, Jaroslaw Wojciech] Inst Pathol Spandau, Berlin, Germany; [Almutrafi, Amna] King Fahad Med City, Dept Anat Pathol, Riyadh, Saudi Arabia; [Fabro, Alexandre Todorovic] Univ Sao Paulo, Ribeirao Preto Med Sch, Dept Pathol &amp; Legal Med, Sao Paulo, Brazil; [Brcic, Luka] Med Univ Graz, Diagnost &amp; Res Inst Pathol, Graz, Austria; [Roden, Anja C.] Mayo Clin, Dept Lab Med &amp; Pathol, Rochester, MN USA; [Smith, Maxwell] Mayo Clin, Dept Lab Med &amp; Pathol, Scottsdale, AZ USA; [Moreira, Andre] NYU Grossman Sch Med, Dept Pathol, New York, NY USA</t>
  </si>
  <si>
    <t>Nagasaki University; Nagasaki University; Kurume University; Japanese Foundation for Cancer Research; International University of Health &amp; Welfare; Sapporo Kosei General Hospital; Saga University; Tosei General Hospital; Kansai Rosai Hospital; Kitasato University; Cardiff University; Cedars Sinai Medical Center; Emory University; King Fahad Medical City; Universidade de Sao Paulo; Medical University of Graz; Mayo Clinic; Mayo Clinic; Mayo Clinic Phoenix</t>
  </si>
  <si>
    <t>Enhancing Interstitial Lung Disease Diagnoses Through Multimodal AI Integration of Histopathological and CT Image Data</t>
  </si>
  <si>
    <t>RESPIROLOGY</t>
  </si>
  <si>
    <t>CT; histopathology; interstitial lung disease; multimodal AI; UIP</t>
  </si>
  <si>
    <t>RADIOLOGY; PNEUMONIA</t>
  </si>
  <si>
    <t>Zaizen, Yoshiaki/AEY-7320-2022; Cavazza, Alberto/K-2531-2018; Egashira, Ryoko/AAO-8510-2021; Che, Xiangqian/LDE-8711-2024; Ichihara, Shin/HWQ-3326-2023; Uegami, Wataru/CAG-1189-2022; Lami, Kris/AAN-1705-2021; Fabro, Alexandre/F-6792-2013</t>
  </si>
  <si>
    <t>Uegami, Wataru/0000-0002-0285-6270; Lami, Kris/0000-0001-9191-3339; Zaizen, Yoshiaki/0000-0003-2274-4599; Marchevsky, Alberto/0000-0003-1467-0710</t>
  </si>
  <si>
    <t>1323-7799</t>
  </si>
  <si>
    <t>1440-1843</t>
  </si>
  <si>
    <t>Respirology</t>
  </si>
  <si>
    <t>726</t>
  </si>
  <si>
    <t>735</t>
  </si>
  <si>
    <t>10.1111/resp.70036</t>
  </si>
  <si>
    <t>http://dx.doi.org/10.1111/resp.70036</t>
  </si>
  <si>
    <t>5UT5U</t>
  </si>
  <si>
    <t>40176267</t>
  </si>
  <si>
    <t>WOS:001544817200009</t>
  </si>
  <si>
    <t>Tosun, S; Çulha, E</t>
  </si>
  <si>
    <t>Background/Objectives: Multimodal large language models (LLMs) are increasingly integrated into dental diagnostics. This study evaluated the ability of ChatGPT-4o and Gemini 3 Flash to visually identify endodontic instruments and assess their explanatory plausibility regarding instrument morphology. Methods: Standardized images of five endodontic file systems (Reciproc R25, Reciproc Blue, WaveOne Gold, MM One Shape, and XP-endo Finisher) were submitted to both models via their free tiers. Each image was evaluated 50 times per model (total n = 500) to assess both classification accuracy and response consistency. Visual recognition performance was measured using recall, precision, and F1-score, while the plausibility of morphological explanations was evaluated using a structured 3-point scale. Results: Gemini 3 Flash demonstrated significantly higher recognition performance compared to ChatGPT-4o (p &lt; 0.001). The overall acceptable response rate was higher for Gemini 3 Flash (94.4%, [95% CI: 91.5-97.3%]) than for ChatGPT-4o (67.2%, [95% CI: 61.4-73.0%]; p &lt; 0.001). Notably, Gemini 3 Flash showed strong performance in identifying complex instrument designs, whereas ChatGPT-4o exhibited marked limitations in recognizing certain non-standard geometries. Reliability analysis indicated higher consistency for Gemini 3 Flash (kappa = 0.86, [95% CI: 0.81-0.91]) compared to ChatGPT-4o (kappa = 0.51, [95% CI: 0.44-0.58]). Conclusions: Gemini 3 Flash outperformed ChatGPT-4o in both classification accuracy and consistency in this controlled visual identification task. While these findings highlight the potential of multimodal LLMs in endodontic workflows, their current performance variability limits direct, autonomous clinical application. Further validation under clinically realistic conditions is required before such systems can be considered reliable adjunctive tools.</t>
  </si>
  <si>
    <t>Tosun, Samet; Culha, Emre</t>
  </si>
  <si>
    <t>Tosun, S (corresponding author), Pamukkale Univ, Fac Dent, Dept Endodont, TR-20160 Denizli, Turkiye.</t>
  </si>
  <si>
    <t>stosun@pau.edu.tr</t>
  </si>
  <si>
    <t>[Tosun, Samet] Pamukkale Univ, Fac Dent, Dept Endodont, TR-20160 Denizli, Turkiye; [Culha, Emre] Gaziantep Univ, Fac Dent, Dept Endodont, TR-27060 Gaziantep, Turkiye</t>
  </si>
  <si>
    <t>Pamukkale University; Gaziantep University</t>
  </si>
  <si>
    <t>Evaluating the Ability of Multimodal Artificial Intelligence to Identify Endodontic Instruments: A Comparative Study of ChatGPT-4o and Gemini 3 Flash</t>
  </si>
  <si>
    <t>Chat-GPT; Gemini; endodontic file; image recognition; multimodal AI</t>
  </si>
  <si>
    <t>Çulha, Emre/O-9918-2015; tosun, samet/Y-5244-2019</t>
  </si>
  <si>
    <t>JUN 5 2026</t>
  </si>
  <si>
    <t>4391</t>
  </si>
  <si>
    <t>10.3390/jcm15114391</t>
  </si>
  <si>
    <t>http://dx.doi.org/10.3390/jcm15114391</t>
  </si>
  <si>
    <t>JJ0PD</t>
  </si>
  <si>
    <t>42279252</t>
  </si>
  <si>
    <t>WOS:001790505600001</t>
  </si>
  <si>
    <t>Mikurino, R; Nagao, M; Kawakubo, M; Yamamoto, A; Nakao, R; Matsuo, Y; Sakai, A; Sakai, S</t>
  </si>
  <si>
    <t>The need for dynamic and static acquisitions under stress and rest in myocardial perfusion positron emission tomography (PET) is burdensome, and the short half-life of N-13 ammonia places additional constraints on scanning protocols. This study investigated whether combining static PET-derived images with clinical parameters via machine learning predicts major adverse cardiac events (MACE) to expand the utility of ammonia PET without dynamic scanning. The cohort comprised 386 patients, and during a mean follow-up of 345 days, MACE occurred in 35 patients. We applied stratified fivefold cross-validation based on MACE prediction with balanced and random shuffles. A logistic regression model was trained using all the explanatory variables after removing highly collinear features. Based on the cumulative importance of MACE prediction, a model was developed using the minimum number of top-ranked features accounting for &gt; 50% of total cumulative importance. The predictive performance of a simple threshold-based classification using myocardial flow reserve (MFR) &lt; 2.0 was also evaluated for comparison. The model was trained on 308 cases using three features: age, dyslipidemia, and resting end-diastolic volume. When tested on an independent set of 78 cases with fivefold cross-validation, it achieved an accuracy of 0.74 +/- 0.06, a sensitivity of 0.74 +/- 0.23, and a specificity of 0.74 +/- 0.07. The accuracy, sensitivity, and specificity of simple MFR &lt; 2.0 prediction were 0.58 +/- 0.05, 0.77 +/- 0.13, and 0.56 +/- 0.05, respectively. A multimodal machine learning approach potentially serves as a clinically useful alternative to dynamic PET scans.</t>
  </si>
  <si>
    <t>Mikurino, Ryo; Nagao, Michinobu; Kawakubo, Masateru; Yamamoto, Atsushi; Nakao, Risako; Matsuo, Yuka; Sakai, Akiko; Sakai, Shuji</t>
  </si>
  <si>
    <t>Kawakubo, M (corresponding author), Kyushu Univ, Fac Med Sci, Dept Hlth Sci, 3-1-1 Maidashi,Higashi Ku, Fukuoka, Fukuoka 8128582, Japan.</t>
  </si>
  <si>
    <t>kawakubo.masateru.968@m.kyushu-u.ac.jp</t>
  </si>
  <si>
    <t>JST AIP Acceleration Research [JPMJCR25U3]; JSPS KAKENHI [JP 24K10863]</t>
  </si>
  <si>
    <t>JST AIP Acceleration Research; JSPS KAKENHI (Ministry of Education, Culture, Sports, Science and Technology, Japan (MEXT), Japan Society for the Promotion of Science, Grants-in-Aid for Scientific Research (KAKENHI))</t>
  </si>
  <si>
    <t>This work was supported by the JST AIP Acceleration Research (JPMJCR25U3), Japan, and JSPS KAKENHI, grant number JP 24K10863.</t>
  </si>
  <si>
    <t>[Mikurino, Ryo] Kyushu Univ, Sch Med, Dept Hlth Sci, Fukuoka, Japan; [Mikurino, Ryo] Aso Izuka Hosp, Dept Radiol, Fukuoka, Japan; [Nagao, Michinobu; Yamamoto, Atsushi; Matsuo, Yuka; Sakai, Shuji] Tokyo Womens Med Univ, Dept Diagnost Imaging &amp; Nucl Med, Tokyo, Japan; [Kawakubo, Masateru; Sakai, Akiko] Kyushu Univ, Fac Med Sci, Dept Hlth Sci, 3-1-1 Maidashi,Higashi Ku, Fukuoka, Fukuoka 8128582, Japan; [Nakao, Risako] Tokyo Womens Med Univ, Dept Cardiol, Tokyo, Japan</t>
  </si>
  <si>
    <t>Kyushu University; Tokyo Women's Medical University; Kyushu University; Tokyo Women's Medical University</t>
  </si>
  <si>
    <t>Multimodal Machine Learning Integrating N-13 Ammonia PET and Clinical Variables Predicts Major Adverse Cardiac Events</t>
  </si>
  <si>
    <t>Major adverse cardiac event; Positron emission tomography; Myocardial flow reserve; Multimodal machine learning</t>
  </si>
  <si>
    <t>POSITRON-EMISSION-TOMOGRAPHY; FLOW RESERVE; CARDIOLOGY</t>
  </si>
  <si>
    <t>Kawakubo, Masateru/ADE-1846-2022</t>
  </si>
  <si>
    <t>Yamamoto, Atsushi/0000-0003-3020-260X</t>
  </si>
  <si>
    <t>10.1007/s10278-025-01779-x</t>
  </si>
  <si>
    <t>http://dx.doi.org/10.1007/s10278-025-01779-x</t>
  </si>
  <si>
    <t>AA5QS</t>
  </si>
  <si>
    <t>41419701</t>
  </si>
  <si>
    <t>WOS:001643556100001</t>
  </si>
  <si>
    <t>Luo, YH; Wang, YT; Zou, XP; Tang, SY; Luo, X; Zhou, ZH; Xiong, LB; Peng, YL; Yang, CS; Wang, N; Song, HT; Zou, GY; Shi, JH; Zi, XY; Gao, M; Jia, N; Yang, P; Yang, FF; Zheng, ZS; Wu, P; Dong, W; Dong, P; Guo, SJ; Han, H; Zhu, SM; Chen, JC; Luo, JH; Zhai, W; Xu, YW; Chen, JH; Fan, Y; Qu, L; Chen, XN; Zhuang, JX; Chen, H; Yu, CP; Zhang, XP; Liu, QF; Zhou, FJ; Zhang, SD; Luo, WH; Yao, X; Zhang, ZL</t>
  </si>
  <si>
    <t>Making the decision between technically challenging partial nephrectomy (PN) and radical nephrectomy (RN) in patients with complex renal cell carcinoma (RCC) remains a significant challenge for urologists. Rapid glomerular filtration rate (GFR) decline (annual decline &gt;3 mL/min/1.73 m(2))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high-and low-risk groups with significantly different risks of chronic kidney disease progression. Here we show that the model demonstrates potential for assisting treatment decisions in patients with complex RCC for whom PN is challenging but feasible.</t>
  </si>
  <si>
    <t>Luo, Yunhan; Wang, Yatian; Zou, Xiangpeng; Tang, Shiying; Luo, Xin; Zhou, Zhaohui; Xiong, Longbin; Peng, Yulu; Yang, Chunsen; Wang, Ning; Song, Haitian; Zou, Gaoyu; Shi, Jinhao; Zi, Xiangyu; Gao, Ming; Jia, Nan; Yang, Ping; Yang, Fengfeng; Zheng, Zaosong; Wu, Peng; Dong, Wen; Dong, Pei; Guo, Shengjie; Han, Hui; Zhu, Shimiao; Chen, Jinchao; Luo, Junhang; Zhai, Wei; Xu, Yawen; Chen, Jianhui; Fan, Yu; Qu, Le; Chen, Xiaonan; Zhuang, Jiaxin; Chen, Hao; Yu, Chunping; Zhang, Xuepei; Liu, Qifeng; Zhou, Fangjian; Zhang, Shudong; Luo, Wenhan; Yao, Xin; Zhang, Zhiling</t>
  </si>
  <si>
    <t>Zhang, ZL (corresponding author), Sun Yat Sen Univ, Canc Ctr, Dept Urol, Guangzhou, Peoples R China.; Zhang, ZL (corresponding author), Sun Yat Sen Univ, Canc Ctr, Guangdong Prov Clin Res Ctr Canc, State Key Lab Oncol South China, Guangzhou 510060, Peoples R China.; Luo, WH (corresponding author), Hong Kong Univ Sci &amp; Technol, Hong Kong, Peoples R China.; Zhang, SD (corresponding author), Peking Univ Third Hosp, Dept Urol, Beijing, Peoples R China.; Yao, X (corresponding author), Tianjin Med Univ Canc Inst &amp; Hosp, Tianjins Clin Res Ctr Canc, Key Lab Canc Prevent &amp; Therapy, Natl Clin Res Ctr Canc,Dept Urol Oncol, Tianjin 300060, Peoples R China.</t>
  </si>
  <si>
    <t>li.jia@sz.tsinghua.edu.cn; whluo.china@gmail.com; zhangzhl@sysucc.org.cn; zhangshudong@bjmu.edu.cn; yaoxin@tjmuch.com</t>
  </si>
  <si>
    <t>National Natural Science Foundation of China [82273031, 82573767, 82273311, 82473217, 82303922, 82373225, 82472655, 82503476]; China Postdoctoral Science Foundation [2025M782366, 2024M763768]; Guangdong Natural Science Foundation [2024A1515010303]; Guangzhou Science and Technology Project [2024A04J4319]; Chih Kuang Scholarship for Outstanding Young Physician-Scientists of Sun Yat-sen University Cancer Center [CKS-SYSUCC-2024006, CKS-SYSUCC-2025008]</t>
  </si>
  <si>
    <t>National Natural Science Foundation of China (National Natural Science Foundation of China (NSFC)); China Postdoctoral Science Foundation (China Postdoctoral Science Foundation); Guangdong Natural Science Foundation (National Natural Science Foundation of Guangdong Province); Guangzhou Science and Technology Project; Chih Kuang Scholarship for Outstanding Young Physician-Scientists of Sun Yat-sen University Cancer Center (Sun Yat Sen University)</t>
  </si>
  <si>
    <t>This study was supported by the National Natural Science Foundation of China (no. 82273031 and 82573767, C.P.Y.; no. 82273311 and 82473217, F.J.Z.; no. 82303922, Y.L.P.; no. 82373225, Z.L.Z.; no. 82472655, P.D.; no. 82503476, Z.H.Z.), the China Postdoctoral Science Foundation (no. 2025M782366, L.B.X. and 2024M763768, Z.H.Z.), the Guangdong Natural Science Foundation (no. 2024A1515010303, Z.L.Z.), the Guangzhou Science and Technology Project (no. 2024A04J4319, Z.L.Z.), and the Chih Kuang Scholarship for Outstanding Young Physician-Scientists of Sun Yat-sen University Cancer Center (CKS-SYSUCC-2024006, Z.H.Z.; and CKS-SYSUCC-2025008, L.B.X.).</t>
  </si>
  <si>
    <t>[Luo, Yunhan; Zou, Xiangpeng; Luo, Xin; Zhou, Zhaohui; Xiong, Longbin; Peng, Yulu; Dong, Pei; Guo, Shengjie; Han, Hui; Zhou, Fangjian; Zhang, Zhiling] Sun Yat Sen Univ, Canc Ctr, Dept Urol, Guangzhou, Peoples R China; [Luo, Yunhan; Zou, Xiangpeng; Luo, Xin; Zhou, Zhaohui; Xiong, Longbin; Peng, Yulu; Dong, Pei; Guo, Shengjie; Han, Hui; Zhou, Fangjian; Zhang, Zhiling] Sun Yat Sen Univ, Canc Ctr, Guangdong Prov Clin Res Ctr Canc, State Key Lab Oncol South China, Guangzhou 510060, Peoples R China; [Wang, Yatian; Luo, Wenhan] Hong Kong Univ Sci &amp; Technol, Hong Kong, Peoples R China; [Tang, Shiying; Zhang, Shudong] Peking Univ Third Hosp, Dept Urol, Beijing, Peoples R China; [Yang, Chunsen; Yao, Xin] Tianjin Med Univ Canc Inst &amp; Hosp, Tianjins Clin Res Ctr Canc, Key Lab Canc Prevent &amp; Therapy, Natl Clin Res Ctr Canc,Dept Urol Oncol, Tianjin 300060, Peoples R China; [Wang, Ning; Zhang, Xuepei] Zhengzhou Univ, Affiliated Hosp 1, Dept Urol, Zhengzhou 450003, Peoples R China; [Song, Haitian; Fan, Yu] Peking Univ First Hosp, Dept Urol, 8 Xishiku St, Beijing, Peoples R China; [Song, Haitian; Fan, Yu] Peking Univ, Inst Urol, 8 Xishiku St, Beijing, Peoples R China; [Song, Haitian; Fan, Yu] Natl Urol Canc Ctr China, 8 Xishiku St, Beijing, Peoples R China; [Zou, Gaoyu; Chen, Jianhui] Fujian Med Univ Union Hosp, Dept Urol, Fuzhou, Peoples R China; [Shi, Jinhao; Qu, Le] Nanjing Univ, Jinling Hosp, Affiliated Hosp, Dept Urol,Med Sch, Nanjing, Peoples R China; [Zi, Xiangyu; Zhai, Wei] Shanghai Jiao Tong Univ, Renji Hosp, Dept Urol, Sch Med, 160 Pujian Rd, Shanghai 200127, Peoples R China; [Gao, Ming] Sun Yat Sen Univ, Sun Yat Sen Mem Hosp, Dept Radiol, Guangzhou, Peoples R China; [Jia, Nan] Southern Med Univ, Nanfang Hosp, Div Nephrol, State Key Lab Multiorgan Injury Prevent &amp; Treatmen, Guangzhou, Peoples R China; [Yang, Ping] Sun Yat Sen Univ, Dept Pathol, Canc Ctr, Guangzhou, Peoples R China; [Yang, Fengfeng] Tianjin Med Univ, Hosp 2, Dept Radiol, Tianjin 300211, Peoples R China; [Zheng, Zaosong; Wu, Peng] Southern Med Univ, Nanfang Hosp, Dept Urol, Guangzhou 510515, Peoples R China; [Dong, Wen] Sun Yat Sen Univ, Sun Yat Sen Mem Hosp, Dept Urol, Guangzhou, Peoples R China; [Zhu, Shimiao] Tianjin Med Univ, Dept Urol, Hosp 2, Tianjin 300211, Peoples R China; [Chen, Jinchao] Zhejiang Canc Hosp, Dept Urol Surg, Hangzhou 310022, Peoples R China; [Luo, Junhang] Sun Yat Sen Univ, Affiliated Hosp 1, Dept Urol, Guangzhou, Peoples R China; [Xu, Yawen] Southern Med Univ, Zhujiang Hosp, Dept Urol, Guangzhou, Peoples R China; [Chen, Xiaonan] China Med Univ, Dept Urol, Shengjing Hosp, Shenyang 110004, Peoples R China; [Zhuang, Jiaxin; Chen, Hao] Hong Kong Univ Sci &amp; Technol, Dept Comp Sci &amp; Engn, Hong Kong, Peoples R China; [Chen, Hao] Hong Kong Univ Sci &amp; Technol, Dept Chem &amp; Biol Engn, Hong Kong, Peoples R China; [Chen, Hao] Hong Kong Univ Sci &amp; Technol, Div Life Sci, Hong Kong, Peoples R China; [Chen, Hao] HKUST Shenzhen Hong Kong Collaborat Innovat Res In, Futian, Shenzhen, Peoples R China; [Chen, Hao] Hong Kong Univ Sci &amp; Technol, State Key Lab Nervous Syst Disorders, Hong Kong, Peoples R China; [Yu, Chunping] Guangzhou Med Univ, Affiliated Hosp 1, Minimally Invas Surg Ctr, Dept Urol, Guangzhou, Peoples R China; [Liu, Qifeng] Hong Kong Wiener Intelligence Technol Ltd, Hong Kong, Peoples R China</t>
  </si>
  <si>
    <t>Sun Yat Sen University; Sun Yat Sen University; State Key Lab Oncology South China; Hong Kong University of Science &amp; Technology; Peking University; Zhengzhou University; Peking University; Peking University; Fujian Medical University; Nanjing University; Shanghai Jiao Tong University; Sun Yat Sen University; Southern Medical University - China; Sun Yat Sen University; Tianjin Medical University; Southern Medical University - China; Sun Yat Sen University; Tianjin Medical University; Sun Yat Sen University; Southern Medical University - China; China Medical University; Hong Kong University of Science &amp; Technology; Hong Kong University of Science &amp; Technology; Hong Kong University of Science &amp; Technology; Hong Kong University of Science &amp; Technology; Guangzhou Medical University</t>
  </si>
  <si>
    <t>Multimodal deep learning model for AI-based functional prognostic risk stratification in patients undergoing radical nephrectomy</t>
  </si>
  <si>
    <t>CHRONIC KIDNEY-DISEASE; RENAL-CELL CARCINOMA; PARENCHYMA; MORTALITY; CANCER; MASSES; TUMOR</t>
  </si>
  <si>
    <t>Luo, Xin/HGA-2137-2022</t>
  </si>
  <si>
    <t>MAY 28 2026</t>
  </si>
  <si>
    <t>7746</t>
  </si>
  <si>
    <t>10.1038/s41467-026-73813-7</t>
  </si>
  <si>
    <t>http://dx.doi.org/10.1038/s41467-026-73813-7</t>
  </si>
  <si>
    <t>MD5BS</t>
  </si>
  <si>
    <t>42209536</t>
  </si>
  <si>
    <t>WOS:001839650200001</t>
  </si>
  <si>
    <t>Dadzie, AK; Iddir, SP; Abtahi, M; Ebrahimi, B; Rahimi, M; Ganesh, S; Son, T; Heiferman, MJ; Yao, XC</t>
  </si>
  <si>
    <t>Purpose: To develop and evaluate a deep learning model that integrates ultra-widefield fundus photography and B-scan ultrasonography for automated classification of uveal melanoma (UM) and choroidal nevi. Design: A retrospective cross-sectional study. Subjects: This study included 174 patients (93 with UM and 81 with choroidal nevi) diagnosed at a tertiary eye center. For each patient, ultra-widefield fundus photographs and B-scan ultrasound images in both transverse and longitudinal orientations were acquired. Methods: A deep learning model was trained using ultra-widefield fundus photography, ultrasound images, and combinations of both. Fivefold cross-validation was used to evaluate model performance. Main Outcome Measures: The deep learning models were evaluated using accuracy, F1 score, and area under the receiver operating characteristic curve (AUC). Results: Uveal melanomas had a mean thickness of 6.0 mm and a basal diameter of 12.6 mm, whereas nevi measured 1.8 mm and 6.5 mm, respectively. Among single-modality models, the model trained on transverse ultrasound images achieved the highest performance (accuracy: 92%; F1 score: 0.9227; AUC: 0.9538). Averaging predictions from the single-modality models provided only modest gains because their outputs sometimes conflicted. In contrast, the model that combined fundus photographs and ultrasound images using an attention mechanism achieved the highest overall performance (accuracy: 94%; F1 score: 0.9445; AUC: 0.9606), outperforming all other configurations by effectively integrating complementary information from both modalities. Conclusions: Multimodal deep learning that combines fundus photography and ultrasound imaging improves the classification of UM and choroidal nevi. This approach demonstrates feasibility for leveraging the strengths of each modality for automated classification of UM and choroidal nevi.</t>
  </si>
  <si>
    <t>Dadzie, Albert K.; Iddir, Sabrina P.; Abtahi, Mansour; Ebrahimi, Behrouz; Rahimi, Mojtaba; Ganesh, Sanjay; Son, Taeyoon; Heiferman, Michael J.; Yao, Xincheng</t>
  </si>
  <si>
    <t>Yao, XC (corresponding author), Univ Illinois Chicago UIC, Dept Biomed Engn, Clin Sci North, Suite W103, Room 164D, 820 South Wood St, Chicago, IL 60612 USA.; Heiferman, MJ (corresponding author), Univ Illinois Chicago UIC, Illinois Eye &amp; Ear Infirm, Dept Ophthalmol &amp; Visual Sci, Suite 3-138, M-C 648, 1855 West Taylor St, Chicago, IL 60612 USA.</t>
  </si>
  <si>
    <t>mheif@uic.edu; xcy@uic.edu</t>
  </si>
  <si>
    <t>National Eye Institute [R01 EY023522, R01 EY029673, R01 EY030101, R01 EY030842, P30EY001792, K12 EY021475]; Research to Prevent Blindness; Richard and Loan Hill Endowment; Melanoma Research Foundation; University of Illinois Chicago</t>
  </si>
  <si>
    <t>National Eye Institute (United States Department of Health &amp; Human Services, National Institutes of Health (NIH) - USA, NIH National Eye Institute (NEI)); Research to Prevent Blindness (Research to Prevent Blindness (RPB)); Richard and Loan Hill Endowment; Melanoma Research Foundation; University of Illinois Chicago</t>
  </si>
  <si>
    <t>Supported by the National Eye Institute (R01 EY023522, R01 EY029673, R01 EY030101, R01 EY030842, P30EY001792, K12 EY021475) ; Research to Prevent Blindness; Richard and Loan Hill Endowment; and Melanoma Research Foundation. The sponsors or funding organizations had no role in the design or conduct of this research. Support for Open Access publication was provided by University of Illinois Chicago.</t>
  </si>
  <si>
    <t>[Dadzie, Albert K.; Abtahi, Mansour; Ebrahimi, Behrouz; Rahimi, Mojtaba; Son, Taeyoon; Yao, Xincheng] Univ Illinois, Dept Biomed Engn, Chicago, IL USA; [Iddir, Sabrina P.; Ganesh, Sanjay; Heiferman, Michael J.; Yao, Xincheng] Univ Illinois, Dept Ophthalmol &amp; Visual Sci, Chicago, IL USA</t>
  </si>
  <si>
    <t>University of Illinois System; University of Illinois Chicago; University of Illinois Chicago Hospital; University of Illinois System; University of Illinois Chicago; University of Illinois Chicago Hospital</t>
  </si>
  <si>
    <t>Attention-Based Multimodal Deep Learning for Uveal Melanoma Classification Using Ultra-Widefield Fundus Images and Ocular Ultrasound</t>
  </si>
  <si>
    <t>Artificial intelligence; Choroidal nevus; Deep learning; Multimodal fusion; Uveal melanoma</t>
  </si>
  <si>
    <t>YAO, XINCHENG/ABA-1526-2020; Son, Taeyoon/Q-4816-2017</t>
  </si>
  <si>
    <t>YAO, XINCHENG/0000-0002-0356-3242; Dadzie, Albert Kofi/0000-0002-3466-5188</t>
  </si>
  <si>
    <t>100985</t>
  </si>
  <si>
    <t>10.1016/j.xops.2025.100985</t>
  </si>
  <si>
    <t>http://dx.doi.org/10.1016/j.xops.2025.100985</t>
  </si>
  <si>
    <t>Q4851</t>
  </si>
  <si>
    <t>41439217</t>
  </si>
  <si>
    <t>WOS:001634635400001</t>
  </si>
  <si>
    <t>Wen, ZH; Guo, SL; Peng, YL; Chen, YK; Huangfu, LK; Zhao, H; Gao, H; Ni, TY; Zhang, JN; Liu, XP; Liu, JY; Liang, YP</t>
  </si>
  <si>
    <t>Objective This study aimed to develop an end-to-end intelligent decision support system, NeurAneuNet, to automate the selection of Pipeline Embolization Device (PED) size and landing zones for intracranial aneurysm treatment, thereby reducing reliance on operator experience and improving planning consistency.Methods NeurAneuNet integrates multimodal deep learning with knowledge enhancement. The system processes three-dimensional rotational angiography (3DRA) images using a dual-path attention U-Net++ for aneurysm segmentation, extracts knowledge-augmented geometric and clinical features, fuses five feature modalities via tensor decomposition, and predicts optimal PED sizing and landing zones with a high-order Kolmogorov-Arnold Network (KAN). A dataset of 600 aneurysms (including 210 PED-treated cases) was used for model development and validation, with an independent clinical cohort of 21 cases employed to assess real-world utility.Results NeurAneuNet achieved a Dice coefficient of 0.874 +/- 0.03 for aneurysm segmentation, a PED size classification accuracy of 91.8%, and a diameter prediction error of 0.24 +/- 0.10 mm. In the independent test, its primary recommendation agreed with the expert consensus in 95.2% of cases. When assisting clinicians, the system reduced planning time by 44.8% and significantly lowered subjective cognitive workload, as assessed by the National Aeronautics and Space Administration Task Load Index (NASA-TLX) score (from 33 +/- 8 to 21 +/- 5).Conclusion NeurAneuNet demonstrates clinically relevant accuracy and efficiency in automating PED treatment planning, providing robust, intelligent support for intracranial aneurysm interventions. The system provides a promising foundation for developing a generalizable AI-driven decision support framework in complex medical scenarios.</t>
  </si>
  <si>
    <t>Wen, Zhihong; Guo, Shengli; Peng, Yulin; Chen, Yakun; Huangfu, Luokai; Zhao, Hao; Gao, Hao; Ni, Taoyi; Zhang, Jianning; Liu, Xiangpeng; Liu, Jiayu; Liang, Yongping</t>
  </si>
  <si>
    <t>Liu, XP (corresponding author), Shanghai Normal Univ, Coll Informat Mech &amp; Elect Engn, Shanghai, Peoples R China.; Liu, JY; Liang, YP (corresponding author), Chinese Peoples Liberat Army Gen Hosp, Med Ctr 1, Dept Neurosurg, Beijing, Peoples R China.</t>
  </si>
  <si>
    <t>xliu@shnu.edu.cn; liujiayu@pku.edu.cn; liangyp199601@163.com</t>
  </si>
  <si>
    <t>[Wen, Zhihong; Peng, Yulin; Liu, Xiangpeng] Shanghai Normal Univ, Coll Informat Mech &amp; Elect Engn, Shanghai, Peoples R China; [Guo, Shengli; Chen, Yakun; Huangfu, Luokai; Gao, Hao; Ni, Taoyi; Zhang, Jianning; Liu, Jiayu; Liang, Yongping] Chinese Peoples Liberat Army Gen Hosp, Med Ctr 1, Dept Neurosurg, Beijing, Peoples R China; [Zhao, Hao] Chinese Peoples Liberat Army Gen Hosp, Med Ctr 6, Dept Neurosurg, Beijing, Peoples R China</t>
  </si>
  <si>
    <t>Shanghai Normal University; Chinese People's Liberation Army General Hospital; Chinese People's Liberation Army General Hospital</t>
  </si>
  <si>
    <t>Multimodal Deep Learning and Knowledge-Enhanced Intelligent Decision Support System for Pipeline Embolization Device Size Selection in Intracranial Aneurysm Treatment</t>
  </si>
  <si>
    <t>CNS NEUROSCIENCE &amp; THERAPEUTICS</t>
  </si>
  <si>
    <t>intelligent decision support system; intracranial aneurysm; knowledge enhancement; multimodal deep learning; pipeline embolization device</t>
  </si>
  <si>
    <t>SEGMENTATION</t>
  </si>
  <si>
    <t>Wen, Zhihong/QUU-5738-2026</t>
  </si>
  <si>
    <t>Wen, Zhihong/0009-0006-1313-5889</t>
  </si>
  <si>
    <t>1755-5930</t>
  </si>
  <si>
    <t>1755-5949</t>
  </si>
  <si>
    <t>CNS NEUROSCI THER</t>
  </si>
  <si>
    <t>CNS Neurosci. Ther.</t>
  </si>
  <si>
    <t>JUL 22 2026</t>
  </si>
  <si>
    <t>e71047</t>
  </si>
  <si>
    <t>10.1002/cns.71047</t>
  </si>
  <si>
    <t>http://dx.doi.org/10.1002/cns.71047</t>
  </si>
  <si>
    <t>Neurosciences; Pharmacology &amp; Pharmacy</t>
  </si>
  <si>
    <t>LK9JP</t>
  </si>
  <si>
    <t>42484549</t>
  </si>
  <si>
    <t>WOS:001827039900001</t>
  </si>
  <si>
    <t>Loo, J; Teo, KYC; Vyas, CH; Jordan-Yu, JMN; Juhari, AB; Jaffe, GJ; Cheung, CMG; Farsiu, S</t>
  </si>
  <si>
    <t>Purpose: To develop a fully-automatic hybrid algorithm to jointly segment and quantify biomarkers of polypoidal choroidal vasculopathy (PCV) on indocyanine green angiography (ICGA) and spectral domain-OCT (SD-OCT) images. Design: Evaluation of diagnostic test or technology. Participants: Seventy-two participants with PCV enrolled in clinical studies at Singapore National Eye Center. Methods: The dataset consisted of 2-dimensional (2-D) ICGA and 3-dimensional (3-D) SD-OCT images which were spatially registered and manually segmented by clinicians. A deep learning-based hybrid al-gorithm called PCV-Net was developed for automatic joint segmentation of biomarkers. The PCV-Net consisted of a 2-D segmentation branch for ICGA and 3-D segmentation branch for SD-OCT. We developed fusion attention modules to connect the 2-D and 3-D branches for effective use of the spatial correspondence between the imaging modalities by sharing learned features. We also used self-supervised pretraining and ensembling to further enhance the performance of the algorithm without the need for additional datasets. We compared the proposed PCV-Net to several alternative model variants. Main Outcome Measures: The PCV-Net was evaluated based on the Dice similarity coefficient (DSC) of the segmentations and the Pearson's correlation and absolute difference of the clinical measurements obtained from the segmentations. Manual grading was used as the gold standard. Results: The PCV-Net showed good performance compared to manual grading and alternative model var-iants based on both quantitative and qualitative analyses. Compared to the baseline variant, PCV-Net improved the DSC by 0.04 to 0.43 across the different biomarkers, increased the correlations, and decreased the absolute differences of clinical measurements of interest. Specifically, the largest average (mean &amp; PLUSMN; standard error) DSC improvement was for intraretinal fluid, from 0.02 &amp; PLUSMN; 0.00 (baseline variant) to 0.45 &amp; PLUSMN; 0.06 (PCV-Net). In general, improving trends were observed across the model variants as more technical specifications were added, demonstrating the importance of each aspect of the proposed method. Conclusion: The PCV-Net has the potential to aid clinicians in disease assessment and research to improve clinical understanding and management of PCV. Financial Disclosure(s): Proprietary or commercial disclosure may be found after the references. Ophthalmology Science 2023;3:100292 &amp; COPY; 2023 by the American Academy of Ophthalmology. This is an open access article under the CC BY-NC-ND license (http://creativecommons.org/licenses/by-nc-nd/4.0/).</t>
  </si>
  <si>
    <t>Loo, Jessica; Teo, Kelvin Y. C.; Vyas, Chinmayi H.; Jordan-Yu, Janice Marie N.; Juhari, Amalia B.; Jaffe, Glenn J.; Cheung, Chui Ming Gemmy; Farsiu, Sina</t>
  </si>
  <si>
    <t>Loo, J (corresponding author), Duke Univ, Dept Biomed Engn, Durham, NC 27708 USA.; Loo, J (corresponding author), Duke Univ, Dept Biomed Engn, Durham, NC 27708 USA.</t>
  </si>
  <si>
    <t>jessica.loo@duke.edu</t>
  </si>
  <si>
    <t>National Institutes of Health [P30 EY005722]; Research to Prevent Blindness (Unrestricted Grant to Duke University); Duke/Duke-NUS Research Collaboration Pilot Project Award [Duke/Duke-NUS/RECA(Pi-lot)/2019/0052]; Singapore Open Fund; National Eye Institute [P30EY005722] Funding Source: NIH RePORTER</t>
  </si>
  <si>
    <t>National Institutes of Health (United States Department of Health &amp; Human Services, National Institutes of Health (NIH) - USA); Research to Prevent Blindness (Unrestricted Grant to Duke University) (Research to Prevent Blindness (RPB)); Duke/Duke-NUS Research Collaboration Pilot Project Award; Singapore Open Fund; National Eye Institute (United States Department of Health &amp; Human Services, National Institutes of Health (NIH) - USA, NIH National Eye Institute (NEI))</t>
  </si>
  <si>
    <t>National Institutes of Health (P30 EY005722), Research to Prevent Blindness (Unrestricted Grant to Duke University), Duke/Duke-NUS Research Collaboration Pilot Project Award (Duke/Duke-NUS/RECA(Pi-lot)/2019/0052), Singapore Open Fund (2018 Large Collaborative Grant).HUMAN SUBJECTS:&amp; nbsp;</t>
  </si>
  <si>
    <t>[Loo, Jessica] Duke Univ, Dept Biomed Engn, Durham, NC 27708 USA; [Loo, Jessica; Farsiu, Sina] Duke Univ, Dept Biomed Engn, Durham, NC 27708 USA; [Teo, Kelvin Y. C.; Vyas, Chinmayi H.; Jordan-Yu, Janice Marie N.; Juhari, Amalia B.; Cheung, Chui Ming Gemmy] Singapore Natl Eye Ctr, Singapore Eye Res Inst, Singapore, Singapore; [Teo, Kelvin Y. C.; Cheung, Chui Ming Gemmy] Natl Univ Singapore, Duke NUS Med Sch, Singapore, Singapore; [Jaffe, Glenn J.; Farsiu, Sina] Duke Univ, Med Ctr, Dept Ophthalmol, Durham, NC USA</t>
  </si>
  <si>
    <t>Duke University; Duke University; National University of Singapore; Singapore National Eye Center; National University of Singapore; Duke University</t>
  </si>
  <si>
    <t>Joint Multimodal Deep Learning-based Automatic Segmentation of Indocyanine Green Angiography and OCT Images for Assessment of Polypoidal Choroidal Vasculopathy Biomarkers</t>
  </si>
  <si>
    <t>deep learning; multimodal image analysis; indocyanine green angiography; polypoidal choroidal vasculopathy; OCT</t>
  </si>
  <si>
    <t>PIGMENT EPITHELIAL DETACHMENT; VERTEPORFIN PHOTODYNAMIC THERAPY; RANIBIZUMAB; AFLIBERCEPT; COMBINATION; EFFICACY; DRUSEN; SAFETY; AMD</t>
  </si>
  <si>
    <t>Vyas, Chinmayi/LGZ-1416-2024; Cheung, Chui/AGO-8500-2022</t>
  </si>
  <si>
    <t>Loo, Jessica/0000-0002-5484-9339</t>
  </si>
  <si>
    <t>SEP 2023</t>
  </si>
  <si>
    <t>100292</t>
  </si>
  <si>
    <t>10.1016/j.xops.2023.100292</t>
  </si>
  <si>
    <t>http://dx.doi.org/10.1016/j.xops.2023.100292</t>
  </si>
  <si>
    <t>N0KC9</t>
  </si>
  <si>
    <t>37025946</t>
  </si>
  <si>
    <t>WOS:001033999300001</t>
  </si>
  <si>
    <t>Zhang, S; Ye, DL; Xiu, YT; Liu, HF; Meng, FX; Zhang, XM; Wang, ZC; Yu, H; Han, YF; Chen, X; Sun, BS</t>
  </si>
  <si>
    <t>Purpose: Radiation proctitis (RP) is a common complication following radiotherapy for cervical cancer, for which accurate pre-treatment prediction remains challenging. This study aimed to develop and validate a multimodal machine learning model that incorporates habitat heterogeneity analysis from planning CT images to predict RP risk at the individual level. Methods: In this retrospective study, 100 patients with cervical cancer treated with radiotherapy were enrolled (53 RP-positive, 47 RP-negative). A comprehensive dataset of 2783 multimodal features was collected, encompassing sociodemographics, clinical parameters, dosimetry, conventional radiomics, and novel habitat heterogeneity features derived from planning CT images. Key predictors were identified using the Least Absolute Shrinkage and Selection Operator (LASSO) regression. Four machine learning models (Logistic Regression, Random Forest, XGBoost, LightGBM) were optimised and compared via 10-fold cross-validation. The best-performing model was validated on an independent test set (n = 30). Model interpretability was analysed using Shapley Additive exPlanations (SHAP), and a clinical nomogram was constructed for individualised risk assessment. Results: Logistic regression demonstrated the best predictive performance, achieving an area under the curve (AUC) of 0.929 on the training set (n = 70) and 0.869 on the independent test set. SHAP analysis identified Rectum-V50 as the most important predictor of RP, followed by habitat heterogeneity features such as Hab-itat2_Flatness. The model showed good calibration and provided significant clinical net benefit across a wide range of threshold probabilities (0.01-0.99) in decision curve analysis. The final nomogram, based on the 15 selected features, effectively stratified patients into low-, intermediate-, and high-risk groups. In the test set, all 15 patients (100%) stratified as high-risk developed RP. SHAP analysis confirmed intuitive, non-linear relationships between feature values and predicted risk. Conclusion: A multimodal machine learning model integrating features of habitat heterogeneity accurately predicts RP risk in patients with cervical cancer undergoing radiotherapy. The developed nomogram provides a clinically practical tool for individualised risk stratification, potentially facilitating early intervention.</t>
  </si>
  <si>
    <t>Zhang, Shuai; Ye, Dingli; Xiu, Yuting; Liu, Haifeng; Meng, Fanxu; Zhang, Xinmin; Wang, Zhicheng; Yu, Hong; Han, Yufei; Chen, Xi; Sun, Baosheng</t>
  </si>
  <si>
    <t>Sun, BS (corresponding author), Jilin Canc Hosp, Dept Radiat Oncol, Jinhu Rd 1066, Changchun 130012, Jilin, Peoples R China.</t>
  </si>
  <si>
    <t>1575164354@qq.com</t>
  </si>
  <si>
    <t>Jilin Province Clinical Medical Research Center for Radiation Therapy [YDZJ202502CXJD068]; National Cancer Center Climbing Foundation of China [NCC202407001]</t>
  </si>
  <si>
    <t>Jilin Province Clinical Medical Research Center for Radiation Therapy; National Cancer Center Climbing Foundation of China</t>
  </si>
  <si>
    <t>This work was supported by Jilin Province Clinical Medical Research Center for Radiation Therapy (YDZJ202502CXJD068) and National Cancer Center Climbing Foundation of China (NCC202407001) .</t>
  </si>
  <si>
    <t>[Zhang, Shuai; Ye, Dingli; Chen, Xi] Jilin Canc Hosp, Dept Radiol, Changchun, Jilin, Peoples R China; [Xiu, Yuting; Meng, Fanxu; Sun, Baosheng] Jilin Canc Hosp, Dept Radiat Oncol, Jinhu Rd 1066, Changchun 130012, Jilin, Peoples R China; [Liu, Haifeng] Jilin Canc Hosp, Dept Integrated Cardiooncol, Changchun, Jilin, Peoples R China; [Zhang, Xinmin] Jilin Univ, Sch Pharmaceut Sci, Dept Regenerat Med, Changchun, Jilin, Peoples R China; [Wang, Zhicheng] Jilin Univ, Sch Publ Hlth, Dept Radiat Biol, Changchun, Jilin, Peoples R China; [Yu, Hong] Jilin Canc Hosp, Jilin Prov Inst Canc Prevent &amp; Treatment, Changchun, Jilin, Peoples R China; [Han, Yufei] Changchun Univ Chinese Med, Changchun, Jilin, Peoples R China</t>
  </si>
  <si>
    <t>Jilin University; Jilin University; Changchun University of Chinese Medicine</t>
  </si>
  <si>
    <t>Habitat heterogeneity analysis of planning CT improves the prediction of radiation proctitis in cervical cancer: A multimodal machine learning study</t>
  </si>
  <si>
    <t>APPLIED RADIATION AND ISOTOPES</t>
  </si>
  <si>
    <t>Radiation proctitis; Cervical cancer; Machine learning; Multimodal; Habitat heterogeneity; Nomogram</t>
  </si>
  <si>
    <t>RADIOTHERAPY; ENTERITIS; TOXICITIES</t>
  </si>
  <si>
    <t>0969-8043</t>
  </si>
  <si>
    <t>1872-9800</t>
  </si>
  <si>
    <t>APPL RADIAT ISOTOPES</t>
  </si>
  <si>
    <t>Appl. Radiat. Isot.</t>
  </si>
  <si>
    <t>236</t>
  </si>
  <si>
    <t>112763</t>
  </si>
  <si>
    <t>10.1016/j.apradiso.2026.112763</t>
  </si>
  <si>
    <t>http://dx.doi.org/10.1016/j.apradiso.2026.112763</t>
  </si>
  <si>
    <t>Chemistry, Inorganic &amp; Nuclear; Nuclear Science &amp; Technology; Radiology, Nuclear Medicine &amp; Medical Imaging</t>
  </si>
  <si>
    <t>Chemistry; Nuclear Science &amp; Technology; Radiology, Nuclear Medicine &amp; Medical Imaging</t>
  </si>
  <si>
    <t>KS4AD</t>
  </si>
  <si>
    <t>42378931</t>
  </si>
  <si>
    <t>WOS:001814476400001</t>
  </si>
  <si>
    <t>Borsos, B; Allaart, CG; van Halteren, A</t>
  </si>
  <si>
    <t>Motivation: Acute ischemic stroke is one of the leading causes of morbidity and disability worldwide, often followed by a long rehabilitation period. To improve and personalize stroke rehabilitation, it is essential to provide a reliable prognosis to caregivers and patients. Deep learning techniques might improve the predictions by incorporating different data modalities. We present a multimodal approach to predict the functional status of acute ischemic stroke patients after their discharge based on tabular data and CT perfusion imaging.Methods: We conducted experiments on tabular, imaging, and multimodal deep learning architectures to predict dichotomized mRS scores 3 months after the event. The dataset was collected from a Dutch hospital and includes 98 CVA patients with a visible occlusion on their CT perfusion scan. Tabular data is based on the Dutch Acute Stroke Audit data, and imaging data consists of summed-up CT perfusion maps.Results: On the tabular data, TabNet outperformed our baselines with an AUC of 0.71, while ResNet-10 on the imaging data performed comparably with an AUC of 0.70. Our implementation of the multimodal DAFT architecture outperforms baselines as well as comparable studies by achieving an 0.75 AUC, and 0.80 F1 score. This was achieved with a final model of less than a hundred thousand optimizable parameters, and a dataset less than half the size of reference papers.Conclusion: Overall, we demonstrate the feasibility of predicting the functional outcome for ischemic stroke patients and the usability of multimodal deep learning architectures for this purpose.</t>
  </si>
  <si>
    <t>Borsos, Balazs; Allaart, Corinne G.; van Halteren, Aart</t>
  </si>
  <si>
    <t>Allaart, CG (corresponding author), Vrije Univ Amsterdam, De Boelelaan 1105, NL-1081 HV Amsterdam, Netherlands.</t>
  </si>
  <si>
    <t>c.g.allaart@vu.nl</t>
  </si>
  <si>
    <t>Dutch Research Council (NWO), Netherlands [628.011.028]</t>
  </si>
  <si>
    <t>Dutch Research Council (NWO), Netherlands</t>
  </si>
  <si>
    <t>We sincerely want to thank Paul van der Nat, Lea Dijksman, Pieter Hilkens and Lucianne Langezaal from the St. Antonius Hospital for their contributions. This publication is part of the project Enabling Personalized Interventions (EPI) with project number 628.011.028 of the research programme Commit2Data-Data2Person, which is (partly) financed by the Dutch Research Council (NWO), Netherlands.</t>
  </si>
  <si>
    <t>[Borsos, Balazs; Allaart, Corinne G.; van Halteren, Aart] Vrije Univ Amsterdam, De Boelelaan 1105, NL-1081 HV Amsterdam, Netherlands; [Borsos, Balazs; Allaart, Corinne G.] St Antonius Hosp, Koekoekslaan 1, NL-3435 CM Nieuwegein, Netherlands; [Borsos, Balazs; van Halteren, Aart] Philips Res, High Tech Campus 34, NL-5656 AE Eindhoven, Netherlands</t>
  </si>
  <si>
    <t>Vrije Universiteit Amsterdam; St. Antonius Hospital Utrecht</t>
  </si>
  <si>
    <t>Predicting stroke outcome: A case for multimodal deep learning methods with tabular and CT Perfusion data</t>
  </si>
  <si>
    <t>ARTIFICIAL INTELLIGENCE IN MEDICINE</t>
  </si>
  <si>
    <t>Deep learning; Multimodal data; Acute ischemic stroke; CT perfusion</t>
  </si>
  <si>
    <t>CARE; BENEFIT</t>
  </si>
  <si>
    <t>van Halteren, Aart/0000-0002-9631-0657; Allaart, CG/0000-0002-5262-3723; Borsos, Balazs/0009-0009-2523-9513</t>
  </si>
  <si>
    <t>0933-3657</t>
  </si>
  <si>
    <t>1873-2860</t>
  </si>
  <si>
    <t>ARTIF INTELL MED</t>
  </si>
  <si>
    <t>Artif. Intell. Med.</t>
  </si>
  <si>
    <t>102719</t>
  </si>
  <si>
    <t>10.1016/j.artmed.2023.102719</t>
  </si>
  <si>
    <t>http://dx.doi.org/10.1016/j.artmed.2023.102719</t>
  </si>
  <si>
    <t>Computer Science, Artificial Intelligence; Engineering, Biomedical; Medical Informatics</t>
  </si>
  <si>
    <t>CK2X3</t>
  </si>
  <si>
    <t>38184355</t>
  </si>
  <si>
    <t>WOS:001125092100001</t>
  </si>
  <si>
    <t>Gomaa, A; Huang, YX; Hagag, A; Schmitter, C; Höfler, D; Weissmann, T; Breininger, K; Schmidt, M; Stritzelberger, J; Delev, D; Coras, R; Dörfler, A; Schnell, O; Frey, B; Gaipl, US; Semrau, S; Bert, C; Hau, P; Fietkau, R; Putz, F</t>
  </si>
  <si>
    <t>Background This research aims to improve glioblastoma survival prediction by integrating MR images, clinical, and molecular-pathologic data in a transformer-based deep learning model, addressing data heterogeneity and performance generalizability.Methods We propose and evaluate a transformer-based nonlinear and nonproportional survival prediction model. The model employs self-supervised learning techniques to effectively encode the high-dimensional MRI input for integration with nonimaging data using cross-attention. To demonstrate model generalizability, the model is assessed with the time-dependent concordance index (Cdt) in 2 training setups using 3 independent public test sets: UPenn-GBM, UCSF-PDGM, and Rio Hortega University Hospital (RHUH)-GBM, each comprising 378, 366, and 36 cases, respectively.Results The proposed transformer model achieved a promising performance for imaging as well as nonimaging data, effectively integrating both modalities for enhanced performance (UCSF-PDGM test-set, imaging Cdt 0.578, multimodal Cdt 0.672) while outperforming state-of-the-art late-fusion 3D-CNN-based models. Consistent performance was observed across the 3 independent multicenter test sets with Cdt values of 0.707 (UPenn-GBM, internal test set), 0.672 (UCSF-PDGM, first external test set), and 0.618 (RHUH-GBM, second external test set). The model achieved significant discrimination between patients with favorable and unfavorable survival for all 3 datasets (log-rank P 1.9 x 10-8, 9.7 x 10-3, and 1.2 x 10-2). Comparable results were obtained in the second setup using UCSF-PDGM for training/internal testing and UPenn-GBM and RHUH-GBM for external testing (Cdt 0.670, 0.638, and 0.621).Conclusions The proposed transformer-based survival prediction model integrates complementary information from diverse input modalities, contributing to improved glioblastoma survival prediction compared to state-of-the-art methods. Consistent performance was observed across institutions supporting model generalizability.Glioblastoma is a common and very aggressive type of brain cancer. Predicting how long a patient with glioblastoma will live is challenging. Traditional statistical models usually rely on a single type of information and make assumptions that do not always match real-life scenarios. In this study, researchers wanted to improve the accuracy of these predictions. They combined different types of information, such as the patient's age and gender, genetic details of the tumor, and MRI data, using a special computer model that avoids the assumptions made by traditional models. This new approach was able to predict patient survival times with an accuracy of about %-71% across 3 different patient groups.</t>
  </si>
  <si>
    <t>Gomaa, Ahmed; Huang, Yixing; Hagag, Amr; Schmitter, Charlotte; Hoefler, Daniel; Weissmann, Thomas; Breininger, Katharina; Schmidt, Manuel; Stritzelberger, Jenny; Delev, Daniel; Coras, Roland; Doerfler, Arnd; Schnell, Oliver; Frey, Benjamin; Gaipl, Udo S.; Semrau, Sabine; Bert, Christoph; Hau, Peter; Fietkau, Rainer; Putz, Florian</t>
  </si>
  <si>
    <t>Huang, YX (corresponding author), Univ Hosp Erlangen, Dept Radiat Oncol, Univ Str 27, D-91054 Erlangen, Germany.</t>
  </si>
  <si>
    <t>yixing.huang@uk-erlangen.de</t>
  </si>
  <si>
    <t>Bavarian Cancer Research Center (BZKF)</t>
  </si>
  <si>
    <t>This work was partially funded by a grant of the Bavarian Cancer Research Center (BZKF).</t>
  </si>
  <si>
    <t>[Gomaa, Ahmed; Huang, Yixing; Hagag, Amr; Schmitter, Charlotte; Hoefler, Daniel; Weissmann, Thomas; Frey, Benjamin; Gaipl, Udo S.; Semrau, Sabine; Bert, Christoph; Fietkau, Rainer; Putz, Florian] Friedrich Alexander Univ Erlangen Nurnberg, Univ Hosp Erlangen, Dept Radiat Oncol, Erlangen, Germany; [Gomaa, Ahmed; Huang, Yixing; Hagag, Amr; Schmitter, Charlotte; Hoefler, Daniel; Weissmann, Thomas; Schmidt, Manuel; Stritzelberger, Jenny; Delev, Daniel; Coras, Roland; Doerfler, Arnd; Schnell, Oliver; Frey, Benjamin; Gaipl, Udo S.; Semrau, Sabine; Bert, Christoph; Fietkau, Rainer; Putz, Florian] Comprehens Canc Ctr Erlangen EMN CCC ER EMN, Erlangen, Germany; [Breininger, Katharina] Friedrich Alexander Univ Erlangen Nurnberg, Dept Artificial Intelligence Biomed Engn, Erlangen, Germany; [Schmidt, Manuel; Doerfler, Arnd] Friedrich Alexander Univ Erlangen Nurnberg, Univ Hosp Erlangen, Inst Neuroradiol, Erlangen, Germany; [Stritzelberger, Jenny] Friedrich Alexander Univ Erlangen Nurnberg, Univ Hosp Erlangen, Dept Neurol, Erlangen, Germany; [Delev, Daniel; Schnell, Oliver] Friedrich Alexander Univ Erlangen Nurnberg, Univ Hosp Erlangen, Dept Neurosurg, Erlangen, Germany; [Coras, Roland] Friedrich Alexander Univ Erlangen Nurnberg, Univ Hosp Erlangen, Inst Neuropathol, Erlangen, Germany; [Gomaa, Ahmed; Huang, Yixing; Schmidt, Manuel; Hau, Peter; Putz, Florian] Bavarian Canc Res Ctr BZKF, Erlangen, Germany; [Gaipl, Udo S.] Friedrich Alexander Univ FAU Erlangen Nurnberg, FAU Profile Ctr Immunomed FAU I MED, Erlangen, Germany</t>
  </si>
  <si>
    <t>University of Erlangen Nuremberg; University of Erlangen Nuremberg; University of Erlangen Nuremberg; University of Erlangen Nuremberg; University of Erlangen Nuremberg; University of Erlangen Nuremberg; University of Erlangen Nuremberg</t>
  </si>
  <si>
    <t>Comprehensive multimodal deep learning survival prediction enabled by a transformer architecture: A multicenter study in glioblastoma</t>
  </si>
  <si>
    <t>NEURO-ONCOLOGY ADVANCES</t>
  </si>
  <si>
    <t>deep learning; glioblastoma; MRI; multimodal data; prognosis; survival prediction</t>
  </si>
  <si>
    <t>MULTIFORME; GLIOMAS; CANCER; SYSTEM</t>
  </si>
  <si>
    <t>Delev, Daniel/PQW-8707-2026; Weissmann, Thomas/OYD-3866-2025; Schmidt, Manuel/HFZ-9950-2022; Frey, Benjamin/D-9565-2017; Huang, Yixing/AAL-7343-2021; Putz, Florian/GLT-8227-2022; Bert, Christoph/C-2585-2013; Breininger, Katharina/ACE-9793-2022</t>
  </si>
  <si>
    <t>Delev, Daniel/0000-0001-9444-0178; Weissmann, Thomas/0000-0002-1443-5422; Hau, Peter/0000-0003-3894-5053; Huang, Yixing/0000-0003-2627-3077; Putz, Florian/0000-0003-3966-2872</t>
  </si>
  <si>
    <t>2632-2498</t>
  </si>
  <si>
    <t>NEURO-ONCOL ADV</t>
  </si>
  <si>
    <t>Neuro-Oncol. Adv.</t>
  </si>
  <si>
    <t>AUG 16 2024</t>
  </si>
  <si>
    <t>vdae122</t>
  </si>
  <si>
    <t>10.1093/noajnl/vdae122</t>
  </si>
  <si>
    <t>http://dx.doi.org/10.1093/noajnl/vdae122</t>
  </si>
  <si>
    <t>C7V0J</t>
  </si>
  <si>
    <t>39156618</t>
  </si>
  <si>
    <t>WOS:001291399400001</t>
  </si>
  <si>
    <t>Shen, Y; Ding, BY; Li, J</t>
  </si>
  <si>
    <t>Objectives To evaluate a multimodal deep learning model integrating preoperative transvaginal ultrasound (TVUS)-based radiomics features and clinical indicators for predicting 1-year postoperative recurrence of endometrial polyps (EP) after hysteroscopic polypectomy. Methods A total of 116 patients with pathologically confirmed EP were assigned to a training cohort (n=81) and validation cohort (n=35). Radiomics features were extracted from TVUS images, and deep learning features were obtained using ResNet-based networks. These features, with clinical variables, were combined to build a multimodal model. Feature selection in the training cohort used reproducibility filtering (intraclass correlation coefficient [ICC] &gt;0.80), univariate analysis, Pearson correlation (|r|&gt;0.90), and least absolute shrinkage and selection operator (LASSO) regression. Model performance was evaluated by receiver operating characteristic (ROC) curves, area under the curve (AUC), calibration, and decision curve analysis (DCA). Results The multimodal model achieved AUCs of 0.941 (95 % CI: 0.897-0.985) and 0.922 (95 % CI: 0.852-0.992) in training and validation cohorts, outperforming clinical (0.812, 0.791) and radiomics-only models (0.871, 0.843). DeLong tests were significant (p&lt;0.05). DCA showed higher clinical net benefit. Conclusions This multimodal model effectively predicts 1-year recurrence after hysteroscopic EP resection, supporting individualized postoperative management.</t>
  </si>
  <si>
    <t>Shen, Yun; Ding, Boyang; Li, Juan</t>
  </si>
  <si>
    <t>Li, J (corresponding author), Hefei First Peoples Hosp, Dept Gynecol, Binhu Branch, Hefei, Peoples R China.</t>
  </si>
  <si>
    <t>lijuan@ocibe.com</t>
  </si>
  <si>
    <t>[Shen, Yun; Ding, Boyang; Li, Juan] Hefei First Peoples Hosp, Dept Gynecol, Binhu Branch, Hefei, Peoples R China</t>
  </si>
  <si>
    <t>Transvaginal ultrasound-based radiomics and integrated clinical indicators via multimodal deep learning for prediction of endometrial polyp recurrence after hysteroscopic surgery</t>
  </si>
  <si>
    <t>endometrial polyps; transvaginal ultrasound; radiomics; multimodal deep learning; recurrence prediction</t>
  </si>
  <si>
    <t>10.1515/bmt-2026-0223</t>
  </si>
  <si>
    <t>http://dx.doi.org/10.1515/bmt-2026-0223</t>
  </si>
  <si>
    <t>KB8SH</t>
  </si>
  <si>
    <t>42345405</t>
  </si>
  <si>
    <t>WOS:001803262300001</t>
  </si>
  <si>
    <t>Yang, Y; Jiang, HB; Yang, HT; Hou, XE; Wu, TT; Pan, Y; Xie, X</t>
  </si>
  <si>
    <t>Background: It is crucial to accurately predict the disease progression of systemic arterial hypertension in order to determine the most effective therapeutic strategy. To achieve this, we have employed a multimodal data-integration approach to predict the longitudinal progression of new-onset systemic arterial hypertension patients with suspected obstructive sleep apnea (OSA) at the individual level. Methods: We developed and validated a predictive nomogram model that utilizes multimodal data, consisting of clinical features, laboratory tests, and sleep monitoring data. We assessed the probabilities of major adverse cardiac and cerebrovascular events (MACCEs) as scores for participants in longitudinal cohorts who have systemic arterial hypertension and suspected OSA. In this cohort study, MACCEs were considered as a composite of cardiac mortality, acute coronary syndrome and nonfatal stroke. The least absolute shrinkage and selection operator (LASSO) regression and multiple Cox regression analyses were performed to identify independent risk factors for MACCEs among these patients. Results: 448 patients were randomly assigned to the training cohort while 189 were assigned to the verification cohort. Four clinical variables were enrolled in the constructed nomogram: age, diabetes mellitus, triglyceride, and apnea-hypopnea index (AHI). This model accurately predicted 2-year and 3-year MACCEs, achieving an impressive area under the receiver operating characteristic (ROC) curve of 0.885 and 0.784 in the training cohort, respectively. In the verification cohort, the performance of the nomogram model had good discriminatory power, with an area under the ROC curve of 0.847 and 0.729 for 2-year and 3-year MACCEs, respectively. The correlation between predicted and actual observed MACCEs was high, provided by a calibration plot, for training and verification cohorts. Conclusions: Our study yielded risk stratification for systemic arterial hypertension patients with suspected OSA, which can be quantified through the integration of multimodal data, thus highlighting OSA as a spectrum of disease. This prediction nomogram could be instrumental in defining the disease state and long-term clinical outcomes.</t>
  </si>
  <si>
    <t>Yang, Yi; Jiang, Haibing; Yang, Haitao; Hou, Xiangeng; Wu, Tingting; Pan, Ying; Xie, Xiang</t>
  </si>
  <si>
    <t>Xie, X (corresponding author), Xinjiang Med Univ, Affiliated Hosp 1, Dept Hypertens, Urumqi 830011, Xinjiang, Peoples R China.</t>
  </si>
  <si>
    <t>xiangxie999@sina.com</t>
  </si>
  <si>
    <t>[Yang, Yi; Yang, Haitao; Pan, Ying] Xinjiang Med Univ, Urumqi 830011, Xinjiang, Peoples R China; [Yang, Yi; Jiang, Haibing] Xinjiang Med Univ, Affiliated Hosp 4, Dept Cardiol, Urumqi 830099, Xinjiang, Peoples R China; [Hou, Xiangeng; Wu, Tingting; Xie, Xiang] Xinjiang Med Univ, Affiliated Hosp 1, Dept Hypertens, Urumqi 830011, Xinjiang, Peoples R China</t>
  </si>
  <si>
    <t>Xinjiang Medical University; Xinjiang Medical University; Xinjiang Medical University</t>
  </si>
  <si>
    <t>Multimodal Data Integration Enhance Longitudinal Prediction of New-Onset Systemic Arterial Hypertension Patients with Suspected Obstructive Sleep Apnea</t>
  </si>
  <si>
    <t>REVIEWS IN CARDIOVASCULAR MEDICINE</t>
  </si>
  <si>
    <t>obstructive sleep apnea syndrome; major adverse cardiac and cerebrovascular events; multimodal data integration; systemic arterial hypertension; apnea-hypopnea index; triglyceride glucose index</t>
  </si>
  <si>
    <t>INSIGHTS; RISK</t>
  </si>
  <si>
    <t>xie, xiang/AAG-2128-2021; Wu, tt/PCS-6274-2025</t>
  </si>
  <si>
    <t>IMR PRESS</t>
  </si>
  <si>
    <t>#07-07, 151 CHIN SWEE ROAD, MANHATTAN HOUSE, SINGAPORE, SINGAPORE</t>
  </si>
  <si>
    <t>1530-6550</t>
  </si>
  <si>
    <t>2153-8174</t>
  </si>
  <si>
    <t>REV CARDIOVASC MED</t>
  </si>
  <si>
    <t>Rev. Cardiovasc. Med.</t>
  </si>
  <si>
    <t>258</t>
  </si>
  <si>
    <t>10.31083/j.rcm2507258</t>
  </si>
  <si>
    <t>http://dx.doi.org/10.31083/j.rcm2507258</t>
  </si>
  <si>
    <t>C6B0Q</t>
  </si>
  <si>
    <t>39139418</t>
  </si>
  <si>
    <t>WOS:001290190400023</t>
  </si>
  <si>
    <t>Valanarasu, JMJ; Xu, HW; Usuyama, N; Kim, C; Wong, C; Argaw, P; Ben Shimol, R; Crabtree, A; Matlock, K; Bartlett, AQ; Bagga, J; Gu, Y; Zhang, S; Naumann, T; Fox, BA; Wright, B; Robicsek, A; Piening, B; Bifulco, C; Wang, S; Poon, H</t>
  </si>
  <si>
    <t>The tumor immune microenvironment (TIME) critically impacts cancer progression and immunotherapy response. Multiplex immunofluorescence (mIF) is a powerful imaging modality for deciphering TIME, but its applicability is limited by high cost and low throughput. We propose GigaTIME, a multimodal AI framework for population-scale TIME modeling by bridging cell morphology and states. GigaTIME learns a cross-modal translator to generate virtual mIF images from hematoxylin and eosin (H&amp;E) slides by training on 40 million cells with paired H&amp;E and mIF data across 21 proteins. We applied GigaTIMEto 14,256 patients from 51 hospitals and over 1,000 clinics across seven US states in Providence Health, generating 299,376 virtual mIF slides spanning 24 cancer types and 306 subtypes. This virtual population uncovered 1,234 statistically significant associations linking proteins, biomarkers, staging, and survival. Such analyses were previously infeasible due to the scarcity of mIF data. Independent validation on 10,200 TCGA patients further corroborated our findings.</t>
  </si>
  <si>
    <t>Valanarasu, Jeya Maria Jose; Xu, Hanwen; Usuyama, Naoto; Kim, Chanwoo; Wong, Cliff; Argaw, Peniel; Ben Shimol, Racheli; Crabtree, Angela; Matlock, Kevin; Bartlett, Alexandra Q.; Bagga, Jaspreet; Gu, Yu; Zhang, Sheng; Naumann, Tristan; Fox, Bernard A.; Wright, Bill; Robicsek, Ari; Piening, Brian; Bifulco, Carlo; Wang, Sheng; Poon, Hoifung</t>
  </si>
  <si>
    <t>Wang, S; Poon, H (corresponding author), Microsoft Res, Redmond, WA 98052 USA.; Wang, S (corresponding author), Univ Washington, Sch Comp Sci &amp; Engn, Seattle, WA 98195 USA.; Bifulco, C (corresponding author), Providence Genom, Portland, OR 97213 USA.; Bifulco, C (corresponding author), Providence Canc Inst, Earle A Chiles Res Inst, Portland, OR 97213 USA.</t>
  </si>
  <si>
    <t>carlo.bifulco@providence.org; swang@cs.washington.edu; hoifung@microsoft.com</t>
  </si>
  <si>
    <t>[Valanarasu, Jeya Maria Jose; Xu, Hanwen; Usuyama, Naoto; Kim, Chanwoo; Wong, Cliff; Argaw, Peniel; Bagga, Jaspreet; Gu, Yu; Zhang, Sheng; Naumann, Tristan; Wang, Sheng; Poon, Hoifung] Microsoft Res, Redmond, WA 98052 USA; [Xu, Hanwen; Kim, Chanwoo; Wang, Sheng] Univ Washington, Sch Comp Sci &amp; Engn, Seattle, WA 98195 USA; [Piening, Brian; Bifulco, Carlo] Providence Genom, Portland, OR 97213 USA; [Ben Shimol, Racheli; Crabtree, Angela; Matlock, Kevin; Bartlett, Alexandra Q.; Fox, Bernard A.; Piening, Brian; Bifulco, Carlo] Providence Canc Inst, Earle A Chiles Res Inst, Portland, OR 97213 USA; [Wright, Bill; Robicsek, Ari] Providence Res Network, Renton, WA USA; [Robicsek, Ari] Arclight Intelligence, Newton, MA USA</t>
  </si>
  <si>
    <t>Microsoft; University of Washington; University of Washington Seattle</t>
  </si>
  <si>
    <t>Multimodal AI generates virtual population for tumor microenvironment modeling</t>
  </si>
  <si>
    <t>CELL</t>
  </si>
  <si>
    <t>CANCER; ATLAS</t>
  </si>
  <si>
    <t>Usuyama, Naoto/NCV-1655-2025; Valanarasu, Jeya Maria Jose/ABB-3334-2021; Gu, Yu/LEL-7846-2024</t>
  </si>
  <si>
    <t>Matlock, Kevin/0009-0002-3199-2439; Piening, Brian/0000-0002-2683-8157</t>
  </si>
  <si>
    <t>0092-8674</t>
  </si>
  <si>
    <t>1097-4172</t>
  </si>
  <si>
    <t>Cell</t>
  </si>
  <si>
    <t>JAN 22 2026</t>
  </si>
  <si>
    <t>10.1016/j.cell.2025.11.016</t>
  </si>
  <si>
    <t>http://dx.doi.org/10.1016/j.cell.2025.11.016</t>
  </si>
  <si>
    <t>CY7YX</t>
  </si>
  <si>
    <t>41371214</t>
  </si>
  <si>
    <t>WOS:001677642200003</t>
  </si>
  <si>
    <t>Cheng, JX; Wang, SH; Zhang, ZQ; Gu, RX; Wu, X; Wang, YS; Sun, Y; Wang, N; Wang, XZ; Yu, HB</t>
  </si>
  <si>
    <t>Objective In hemodynamically stable patients with symptomatic abdominal aortic aneurysms (AAA), timely diagnosis of impending rupture remains a critical challenge. To address this, we developed and validated an interpretable multimodal deep learning model to assess rupture risk and support emergency decision-making.Methods This retrospective cohort study included 263 symptomatic AAA patients, with the most recent year's cases (n = 33) as an independent temporal test set. In the 230-patient development cohort, 75 impending rupture cases were matched 1:1 with 75 stable controls using propensity score for age, sex, and maximum aortic diameter. We developed a multimodal deep learning model that combines sequential CTA slices with six key clinical biomarkers through a bidirectional cross-attention (BCA) mechanism built on a ResNet-50 image encoder. For interpretability, we used Gradient-weighted Class Activation Mapping (Grad-CAM) and conducted pre-specified sensitivity analyses assessing robustness against endpoint decision-dependence, treatment-related data leakage, and domain shifts.Results In the matched development test set (n = 30), our multimodal model achieved an area under the curve (AUC) of 0.898 with sensitivity and negative predictive value (NPV) both at 93.3%, offering a high safety margin for ruling out rupture. It markedly outperformed two pragmatic clinical baselines (clinical-rule model AUC: 0.751; CTA-sign model 0.778). This strong performance persisted in the independent temporal validation cohort (n = 33), where it attained an AUC of 0.880, sensitivity of 92.9%, and NPV of 87.5%. The proposed BCA fusion outperformed alternative architectures, and Grad-CAM visualizations were anatomically plausible in 78.8% of cases, supporting model interpretability.Conclusion We developed and temporally validated an interpretable multimodal model that integrates CTA and clinical biomarkers to enable rapid AAA rupture risk stratification, offering a clinically relevant improvement in the safety and efficiency of emergency triage over current practice, pending prospective validation.</t>
  </si>
  <si>
    <t>Cheng, Jiaxin; Wang, Sihan; Zhang, Zhiqiang; Gu, Ruoxi; Wu, Xuan; Wang, Yasong; Sun, Yu; Wang, Nan; Wang, Xiaozeng; Yu, Haibo</t>
  </si>
  <si>
    <t>Wang, XZ; Yu, HB (corresponding author), Gen Hosp Northern Theater Command, Cardiovasc Res Inst, Natl Key Lab Frigid Zone Cardiovasc Dis, Shenyang, Liaoning, Peoples R China.; Wang, XZ; Yu, HB (corresponding author), Gen Hosp Northern Theater Command, Dept Cardiol, Shenyang, Liaoning, Peoples R China.</t>
  </si>
  <si>
    <t>wxiaozeng@163.com; yuhaibo_74@126.com</t>
  </si>
  <si>
    <t>Science and Technology Plan Joint Plan Project of Liaoning Province [2025JH2/101800031]</t>
  </si>
  <si>
    <t>Science and Technology Plan Joint Plan Project of Liaoning Province</t>
  </si>
  <si>
    <t>The author(s) declared that financial support was received for this work and/or its publication. This work was supported by the Science and Technology Plan Joint Plan Project of Liaoning Province (2025JH2/101800031).</t>
  </si>
  <si>
    <t>[Cheng, Jiaxin] Northeastern Univ, Coll Med &amp; Biol Informat Engn, Shenyang, Liaoning, Peoples R China; [Cheng, Jiaxin; Zhang, Zhiqiang; Gu, Ruoxi; Wu, Xuan; Wang, Yasong; Wang, Xiaozeng; Yu, Haibo] Gen Hosp Northern Theater Command, Cardiovasc Res Inst, Natl Key Lab Frigid Zone Cardiovasc Dis, Shenyang, Liaoning, Peoples R China; [Cheng, Jiaxin; Zhang, Zhiqiang; Gu, Ruoxi; Wu, Xuan; Wang, Yasong; Wang, Xiaozeng; Yu, Haibo] Gen Hosp Northern Theater Command, Dept Cardiol, Shenyang, Liaoning, Peoples R China; [Wang, Sihan] Chinese Acad Sci, Shenyang Inst Automat, State Key Lab Robot, Shenyang, Liaoning, Peoples R China; [Sun, Yu; Wang, Nan] Gen Hosp Northern Theater Command, Dept Radiol, Shenyang, Liaoning, Peoples R China</t>
  </si>
  <si>
    <t>Northeastern University - China; Chinese Academy of Sciences; Shenyang Institute of Automation, CAS</t>
  </si>
  <si>
    <t>A multimodal deep learning model for predicting impending rupture in symptomatic abdominal aortic aneurysms using CTA and clinical data</t>
  </si>
  <si>
    <t>abdominal aortic aneurysms; attention mechanism; explainable artificial intelligence; intervention timing; multimodal fusion</t>
  </si>
  <si>
    <t>Wang, Sihan/0009-0004-6486-5924</t>
  </si>
  <si>
    <t>APR 7 2026</t>
  </si>
  <si>
    <t>1771669</t>
  </si>
  <si>
    <t>10.3389/fcvm.2026.1771669</t>
  </si>
  <si>
    <t>http://dx.doi.org/10.3389/fcvm.2026.1771669</t>
  </si>
  <si>
    <t>GS7AG</t>
  </si>
  <si>
    <t>42022533</t>
  </si>
  <si>
    <t>WOS:001744129000001</t>
  </si>
  <si>
    <t>Zhang, XY; Bahri, A; Desrosiers, C; Liu, H; Bao, FX</t>
  </si>
  <si>
    <t>The accurate segmentation of brain tumors plays an important role in clinical diagnosis and treatment. Multimodal magnetic resonance imaging (MRI) can provide rich and complementary information for accurate brain tumor segmentation. However, the common problems of incomplete modalities and small samples in clinical practice seriously affect the performance of multimodal segmentation. In this work, we design a new framework, named M(2)SegMamba, using Mamba and Masked Autoencoder networks for both supervised and self-supervised learning, aimed at handling small sample brain tumor segmentation under various incomplete multimodality settings. We construct a masking strategy suitable for multimodal brain tumors to precisely extract image features, which serves as the foundation for image segmentation. By fully leveraging the capabilities of the Mamba network, we design a multi-traversal method to facilitate the interaction between inter-modal and cross-modal image features. Meanwhile, the introduction of TSmamba in skipping connections efficiently integrates multimodal features. Auxiliary regularizers are introduced in both the encoder and decoder to further enhance the model's robustness to incomplete modalities. We conducted experiments on the BraTS 2018 and BraTS 2020 datasets, and the results demonstrate that our method outperforms state-of-the-art brain tumor segmentation methods on most subsets of missing modalities.</t>
  </si>
  <si>
    <t>Zhang, Xinyue; Bahri, Ali; Desrosiers, Christian; Liu, Hui; Bao, Fangxun</t>
  </si>
  <si>
    <t>Desrosiers, C (corresponding author), Ecole Technol Super, Dept Software &amp; IT Engn, Montreal, PQ H3C 1K3, Canada.</t>
  </si>
  <si>
    <t>liuh_lh@sdufe.edu.cn; fxbao@sdu.edu.cn; christian.desrosiers@etsmtl.ca; 201911828@mail.sdu.edu.cn; ali.bahri.1@ens.etsmtl.ca</t>
  </si>
  <si>
    <t>National Key R&amp;D Program of China [2021YFA1000202]; National Natural Science Foundation of China [62372269]; Natural Science Foundation of Shandong Province [ZR2022MF245]</t>
  </si>
  <si>
    <t>National Key R&amp;D Program of China (National Key Research &amp; Development Program of China); National Natural Science Foundation of China (National Natural Science Foundation of China (NSFC)); Natural Science Foundation of Shandong Province (Natural Science Foundation of Shandong Province)</t>
  </si>
  <si>
    <t>This work was supported in part by the National Key R&amp;D Program of China under Grant 2021YFA1000202, in part by the National Natural Science Foundation of China under Grant 62372269, and in part by the Natural Science Foundation of Shandong Province under Grant ZR2022MF245.</t>
  </si>
  <si>
    <t>[Zhang, Xinyue; Bao, Fangxun] Shandong Univ, Sch Math, Jinan 250100, Peoples R China; [Bahri, Ali; Desrosiers, Christian] Ecole Technol Super, Dept Software &amp; IT Engn, Montreal, PQ H3C 1K3, Canada; [Liu, Hui] Shandong Univ Finance &amp; Econ, Dept Comp &amp; Artif Intelligence, Jinan 250014, Peoples R China</t>
  </si>
  <si>
    <t>Shandong University; University of Quebec; Ecole de Technologie Superieure - Canada; Shandong University of Finance &amp; Economics</t>
  </si>
  <si>
    <t>M2SegMamba: Mamba-Based Incomplete Multimodal Learning for Brain Tumor Segmentation With Few Samples</t>
  </si>
  <si>
    <t>Image segmentation; Brain tumors; Computational modeling; Image reconstruction; Feature extraction; Training; Three-dimensional displays; Decoding; Magnetic resonance imaging; Biomedical imaging; Brain tumor segmentation; hetero-modal learning; state-space model; masked image modeling</t>
  </si>
  <si>
    <t>2455</t>
  </si>
  <si>
    <t>2465</t>
  </si>
  <si>
    <t>10.1109/JBHI.2025.3600652</t>
  </si>
  <si>
    <t>http://dx.doi.org/10.1109/JBHI.2025.3600652</t>
  </si>
  <si>
    <t>ER7NM</t>
  </si>
  <si>
    <t>40833907</t>
  </si>
  <si>
    <t>WOS:001708168300024</t>
  </si>
  <si>
    <t>Ma, B; Ran, J; Pan, T; Yan, FL; Yue, ZC; Yao, YW; Li, YX; Nie, F</t>
  </si>
  <si>
    <t>Background and aim Deep learning has improved medical image analysis but often produces opaque decisions and correlation-driven predictions that may diverge from clinical reasoning. We hypothesize that a physiology-informed hybrid framework, which explicitly models placenta-pulmonary interactions and integrates multimodal data, could provide interpretable and reliable guidance for assessing fetal lung maturity (FLM) and optimizing antenatal glucocorticoids (GCs).Materials and methods In a prospective cohort study involving 320 pregnancies-including 160 with hypertensive disorders of pregnancy (HDP)-each with weekly acquisitions from 28 to 36 weeks, we combined 2D/3D ultrasound, shear-wave elastography, Doppler, and maternal plasma metabolomics. A biophysical placenta-pulmonary coupling model used the umbilical artery pulsatility index (PI) and a metabolomic hypoxia-steroid score to represent placental reserve, while backscatter integrals and elastography were used to characterize fetal lung properties. Constrained by this model, a dual-branch network was developed: (i) a cross-modal attention Transformer with self-supervised contrastive learning to generate unsupervised FLM stages from fused representations and (ii) a spatiotemporal convolution-LSTM network to predict individualized GC dosing and the optimal administration window. A composite loss penalized both projected respiratory distress syndrome (RDS) risk and the biomarker-derived neurotoxicity index.Results The cross-modal representations clustered into four distinct maturity stages matching biochemical benchmarks, with an inter-stage silhouette score of 0.72. A downstream classifier achieved 92.3% accuracy in discriminating early from late maturity. The dosing branch predicted the GC dose within +/- 0.5 mg of clinically prescribed regimens and reduced projected RDS risk by 27% compared to standard dosing, while maintaining the biomarker-derived neurotoxicity index below the prespecified threshold.Conclusion A mechanism-guided, multimodal AI framework constrained by placenta-pulmonary physiology transforms imaging features into traceable decision pathways that align with clinical cognition. This interpretable framework may enable non-invasive FLM staging and individualized GC therapy, providing hypothesis-generating decision support that warrants external validation and prospective trials.</t>
  </si>
  <si>
    <t>Ma, Bin; Ran, Jie; Pan, Ting; Yan, Feilei; Yue, Zhicheng; Yao, Yanwu; Li, Yongxin; Nie, Fang</t>
  </si>
  <si>
    <t>Nie, F (corresponding author), Lanzhou Univ, Ultrasound Med Ctr, Hosp 2, Lanzhou, Peoples R China.; Nie, F (corresponding author), Gansu Prov Clin Res Ctr Ultrasonog, Lanzhou, Peoples R China.</t>
  </si>
  <si>
    <t>ery_nief@lzu.edu.cn</t>
  </si>
  <si>
    <t>Gansu Province Clinical Research Center for Ultrasonography [2020-0411-SFC-0021]; The Gansu Provincial Natural Science Foundation [23JRRA1383]</t>
  </si>
  <si>
    <t>Gansu Province Clinical Research Center for Ultrasonography; The Gansu Provincial Natural Science Foundation</t>
  </si>
  <si>
    <t>The author(s) declared that financial support was received for this work and/or its publication. The Gansu Provincial Natural Science Foundation (No. 23JRRA1383) and Gansu Province Clinical Research Center for Ultrasonography (No. 2020-0411-SFC-0021)</t>
  </si>
  <si>
    <t>[Ma, Bin; Nie, Fang] Lanzhou Univ, Ultrasound Med Ctr, Hosp 2, Lanzhou, Peoples R China; [Ma, Bin; Nie, Fang] Gansu Prov Clin Res Ctr Ultrasonog, Lanzhou, Peoples R China; [Ma, Bin; Pan, Ting; Yan, Feilei; Yue, Zhicheng; Yao, Yanwu; Li, Yongxin] Gansu Prov Matern &amp; Child Care Hosp, Dept Ultrasound Diag, Lanzhou, Peoples R China; [Ran, Jie] Gansu Prov Matern &amp; Child Care Hosp, Ctr Diag &amp; Treatment Cerv Les, Lanzhou, Peoples R China</t>
  </si>
  <si>
    <t>Lanzhou University</t>
  </si>
  <si>
    <t>Placenta-pulmonary coupling-guided multimodal AI for fetal lung maturity staging and individualized glucocorticoid therapy</t>
  </si>
  <si>
    <t>cross-modal representation; fetal lung maturity; glucocorticoid dosing; multimodal ultrasound; self-supervised learning</t>
  </si>
  <si>
    <t>DEHYDROGENASE</t>
  </si>
  <si>
    <t>MAR 12 2026</t>
  </si>
  <si>
    <t>1791481</t>
  </si>
  <si>
    <t>10.3389/fmed.2026.1791481</t>
  </si>
  <si>
    <t>http://dx.doi.org/10.3389/fmed.2026.1791481</t>
  </si>
  <si>
    <t>FP0IT</t>
  </si>
  <si>
    <t>41907297</t>
  </si>
  <si>
    <t>WOS:001723992700001</t>
  </si>
  <si>
    <t>Puyol-Anton, E; Sidhu, BS; Gould, J; Porter, B; Elliott, MK; Mehta, V; Rinaldi, CA; King, AP</t>
  </si>
  <si>
    <t>A B S T R A C T We present a novel multimodal deep learning framework for cardiac resynchronisation therapy (CRT) re-sponse prediction from 2D echocardiography and cardiac magnetic resonance (CMR) data. The proposed method first uses the 'nnU-Net' segmentation model to extract segmentations of the heart over the full cardiac cycle from the two modalities. Next, a multimodal deep learning classifier is used for CRT re-sponse prediction, which combines the latent spaces of the segmentation models of the two modalities. At test time, this framework can be used with 2D echocardiography data only, whilst taking advantage of the implicit relationship between CMR and echocardiography features learnt from the model. We evaluate our pipeline on a cohort of 50 CRT patients for whom paired echocardiography/CMR data were available, and results show that the proposed multimodal classifier results in a statistically significant improvement in accuracy compared to the baseline approach that uses only 2D echocardiography data. The combina-tion of multimodal data enables CRT response to be predicted with 77.38% accuracy (83.33% sensitivity and 71.43% specificity), which is comparable with the current state-of-the-art in machine learning-based CRT response prediction. Our work represents the first multimodal deep learning approach for CRT re-sponse prediction. (c) 2022 The Author(s). Published by Elsevier B.V. This is an open access article under the CC BY license ( http://creativecommons.org/licenses/by/4.0/ )</t>
  </si>
  <si>
    <t>Puyol-Anton, Esther; Sidhu, Baldeep S.; Gould, Justin; Porter, Bradley; Elliott, Mark K.; Mehta, Vishal; Rinaldi, Christopher A.; King, Andrew P.</t>
  </si>
  <si>
    <t>Puyol-Anton, E (corresponding author), Kings Coll London, Sch Biomed Engn &amp; Imaging Sci, London, England.</t>
  </si>
  <si>
    <t>esther.puyol_anton@kcl.ac.uk</t>
  </si>
  <si>
    <t>EPSRC [EP/R005516/1, EP/P001009/1]; Wellcome/EPSRC Centre for Medical Engineering [WT203148/Z/16/Z]; NIHR Cardiovascular MedTech Co-operative award; Wellcome Trust; Department of Health through the National Institute for Health Research (NIHR) comprehensive Biomedical Research Centre; Kings College London; St Thomas NHS Foundation Trust; Engineering and Physical Sciences Research Council [EP/P001009/1] Funding Source: researchfish; Medical Research Council [MC_PC_17228, MC_qA137853] Funding Source: researchfish</t>
  </si>
  <si>
    <t>EPSRC (UK Research &amp; Innovation (UKRI), Engineering &amp; Physical Sciences Research Council (EPSRC)); Wellcome/EPSRC Centre for Medical Engineering (UK Research &amp; Innovation (UKRI), Engineering &amp; Physical Sciences Research Council (EPSRC), Wellcome Trust); NIHR Cardiovascular MedTech Co-operative award; Wellcome Trust (Wellcome Trust); Department of Health through the National Institute for Health Research (NIHR) comprehensive Biomedical Research Centre (National Institutes of Health Research (NIHR)); Kings College London (King's College London); St Thomas NHS Foundation Trust; Engineering and Physical Sciences Research Council (UK Research &amp; Innovation (UKRI), Engineering &amp; Physical Sciences Research Council (EPSRC)); Medical Research Council (UK Research &amp; Innovation (UKRI), Medical Research Council UK (MRC))</t>
  </si>
  <si>
    <t>This work was supported by the EPSRC (EP/R005516/1, EP/P001009/1) , by core funding from the Wellcome/EPSRC Centre for Medical Engineering (WT203148/Z/16/Z) , and by the NIHR Cardiovascular MedTech Co-operative award to the Guys and St Thomas NHS Foundation Trust. This research was funded in whole, or in part, by the Wellcome Trust WT203148/Z/16/Z. For the purpose of open access, the author has applied a CC BY public copy-right license to any author accepted manuscript version arising from this submission. EPA and APK acknowledge financial support from the Department of Health through the National Institute for Health Research (NIHR) comprehensive Biomedical Research Centre award to Guys &amp; St Thomas NHS Foundation Trust in partnership with Kings College London. The views expressed are those of the author (s) and not necessarily those of the NHS, the NIHR, EPSRC, or the Department of Health. This research has been conducted using the UK Biobank Resource (application number 17806) on a GPU generously donated by NVIDIA Corporation.</t>
  </si>
  <si>
    <t>[Puyol-Anton, Esther; Sidhu, Baldeep S.; Gould, Justin; Porter, Bradley; Elliott, Mark K.; Mehta, Vishal; Rinaldi, Christopher A.; King, Andrew P.] Kings Coll London, Sch Biomed Engn &amp; Imaging Sci, London, England; [Sidhu, Baldeep S.; Gould, Justin; Porter, Bradley; Elliott, Mark K.; Mehta, Vishal; Rinaldi, Christopher A.] Guys &amp; St ThomasHospital, London, England</t>
  </si>
  <si>
    <t>University of London; King's College London</t>
  </si>
  <si>
    <t>A multimodal deep learning model for cardiac resynchronisation therapy response prediction</t>
  </si>
  <si>
    <t>MEDICAL IMAGE ANALYSIS</t>
  </si>
  <si>
    <t>Multi-modality imaging; Cardiac resynchronisation therapy; Treatment response prediction; Multi -view deep learning</t>
  </si>
  <si>
    <t>RESYNCHRONIZATION THERAPY; ESC GUIDELINES; HEART-FAILURE; MOTION ATLAS; ECHOCARDIOGRAPHY; BIOMARKERS; CONSENSUS</t>
  </si>
  <si>
    <t>King, Andrew/A-6552-2009; Elliott, Mark/GWC-6204-2022</t>
  </si>
  <si>
    <t>Puyol Anton, Esther/0000-0002-9789-6629; King, Andrew/0000-0002-9965-7015; Mehta, Vishal/0000-0001-6140-068X; Sidhu, Baldeep/0000-0002-1999-7360; Elliott, Mark/0000-0003-2805-3043; Rinaldi, Christopher/0000-0002-3930-1957</t>
  </si>
  <si>
    <t>1361-8415</t>
  </si>
  <si>
    <t>1361-8423</t>
  </si>
  <si>
    <t>MED IMAGE ANAL</t>
  </si>
  <si>
    <t>Med. Image Anal.</t>
  </si>
  <si>
    <t>102465</t>
  </si>
  <si>
    <t>10.1016/j.media.2022.102465</t>
  </si>
  <si>
    <t>http://dx.doi.org/10.1016/j.media.2022.102465</t>
  </si>
  <si>
    <t>APR 2022</t>
  </si>
  <si>
    <t>Computer Science, Artificial Intelligence; Computer Science, Interdisciplinary Applications; Engineering, Biomedical; Radiology, Nuclear Medicine &amp; Medical Imaging</t>
  </si>
  <si>
    <t>Computer Science; Engineering; Radiology, Nuclear Medicine &amp; Medical Imaging</t>
  </si>
  <si>
    <t>1V6YI</t>
  </si>
  <si>
    <t>35487111</t>
  </si>
  <si>
    <t>WOS:000806232300002</t>
  </si>
  <si>
    <t>Yang, CS; Jia, ZF; Gao, WL; Xu, C; Zhang, LC; Li, JT</t>
  </si>
  <si>
    <t>BackgroundPatient satisfaction after one year of distal radius fracture fixation is influenced by various aspects such as the surgical approach, the patient's physical functioning, and psychological factors. Hence, a multimodal machine learning prediction model combining traditional rating scales and postoperative X-ray images of patients was developed to predict patient satisfaction one year after surgery for personalized clinical treatment.MethodsIn this study, we reviewed 385 patients who underwent internal fixation with a palmar plate or external fixation bracket fixation in 2018-2020. After one year of postoperative follow-up, 169 patients completed the patient wrist evaluation (PRWE), EuroQol5D (EQ-5D), and forgotten joint score-12 (FJS-12) questionnaires and were subjected to X-ray capture. The region of interest (ROI) of postoperative X-rays was outlined using 3D Slicer, and the training and test sets were divided based on the satisfaction of the patients. Python was used to extract 848 image features, and random forest embedding was used to reduce feature dimensionality. Also, a machine learning model combining the patient's functional rating scale with the downscaled X-ray-related image features was built, followed by hyperparameter debugging using the grid search method during the modeling process. The stability of the Radiomics and Integrated models was first verified using the five-fold cross-validation method, and then receiver operating characteristic curves, calibration curves, and decision curve analysis were used to evaluate the performance of the model on the training and test sets.ResultsThe feature dimensionality reduction yielded 16 imaging features. The accuracy of the two models was 0.831, 0.784 and 0.966, 0.804 on the training and test sets, respectively. The area under the curve (AUC) values for the Radiomics and Integrated model were 0.937, 0.673 and 0.997, 0.823 for the training and test sets, respectively. The calibration curves and decision curve analysis (DCA) of the Integrated model for the training and test sets had a more accurate prediction probability and clinical significance than the Radiomics model.ConclusionsA multimodal machine learning predictive model combining imaging and patient functional rating scales demonstrated optimal predictive performance for one-year postoperative satisfaction in patients with radial fractures, providing a basis for personalized postoperative patient management.</t>
  </si>
  <si>
    <t>Yang, Changsen; Jia, Zhengfeng; Gao, Weilu; Xu, Cheng; Zhang, Licheng; Li, Jiantao</t>
  </si>
  <si>
    <t>Zhang, LC; Li, JT (corresponding author), Chinese Peoples Liberat Army Gen Hosp, Dept Orthoped, Med Ctr 4, Beijing, Peoples R China.; Zhang, LC; Li, JT (corresponding author), Natl Clin Res Ctr Orthoped Sports Med &amp; Rehabil, Beijing, Peoples R China.</t>
  </si>
  <si>
    <t>lijiantao618@163.com; zhanglcheng218@126.com</t>
  </si>
  <si>
    <t>National Natural Science Foundation of China [82302788]; Special Funding of the National Clinical Research Center for Orthopedics, Sports Medicine and Rehabilitation</t>
  </si>
  <si>
    <t>National Natural Science Foundation of China (National Natural Science Foundation of China (NSFC)); Special Funding of the National Clinical Research Center for Orthopedics, Sports Medicine and Rehabilitation</t>
  </si>
  <si>
    <t>This work was supported by National Natural Science Foundation of China (Grant 82302788) and the Special Funding of the National Clinical Research Center for Orthopedics, Sports Medicine and Rehabilitation</t>
  </si>
  <si>
    <t>[Yang, Changsen; Jia, Zhengfeng; Gao, Weilu; Xu, Cheng; Zhang, Licheng; Li, Jiantao] Chinese Peoples Liberat Army Gen Hosp, Dept Orthoped, Med Ctr 4, Beijing, Peoples R China; [Yang, Changsen; Jia, Zhengfeng; Gao, Weilu; Xu, Cheng; Zhang, Licheng; Li, Jiantao] Natl Clin Res Ctr Orthoped Sports Med &amp; Rehabil, Beijing, Peoples R China; [Yang, Changsen; Jia, Zhengfeng; Gao, Weilu] Chinese PLA Hosp, Grad Sch, Med Sch, Beijing, Peoples R China</t>
  </si>
  <si>
    <t>Chinese People's Liberation Army General Hospital</t>
  </si>
  <si>
    <t>Combining radiomics of X-rays with patient functional rating scales for predicting satisfaction after radial fracture fixation: a multimodal machine learning predictive model</t>
  </si>
  <si>
    <t>BMC MUSCULOSKELETAL DISORDERS</t>
  </si>
  <si>
    <t>Radiomics; Machine learning; Distal radius fracture; Patient function rating scale; Postoperative satisfaction</t>
  </si>
  <si>
    <t>EXTERNAL FIXATION; DISTAL; PLATE; METAANALYSIS; MANAGEMENT</t>
  </si>
  <si>
    <t>jia, zhengfeng/V-4643-2019</t>
  </si>
  <si>
    <t>1471-2474</t>
  </si>
  <si>
    <t>BMC MUSCULOSKEL DIS</t>
  </si>
  <si>
    <t>BMC Musculoskelet. Disord.</t>
  </si>
  <si>
    <t>879</t>
  </si>
  <si>
    <t>10.1186/s12891-025-09160-3</t>
  </si>
  <si>
    <t>http://dx.doi.org/10.1186/s12891-025-09160-3</t>
  </si>
  <si>
    <t>Orthopedics; Rheumatology</t>
  </si>
  <si>
    <t>8DP2U</t>
  </si>
  <si>
    <t>41029613</t>
  </si>
  <si>
    <t>WOS:001586143600002</t>
  </si>
  <si>
    <t>Zhong, ZS; Zhang, HL; Fayad, FH; Lancaster, AC; Sollee, J; Kulkarni, S; Lin, CT; Li, J; Gao, XB; Collins, S; Greineder, CF; Ahn, SH; Bai, HX; Jiao, ZC; Atalay, MK</t>
  </si>
  <si>
    <t>Purpose:Pulmonary embolism (PE) is a significant cause of mortality in the United States. The objective of this study is to implement deep learning (DL) models using computed tomography pulmonary angiography (CTPA), clinical data, and PE Severity Index (PESI) scores to predict PE survival. Materials and Methods:In total, 918 patients (median age 64 y, range 13 to 99 y, 48% male) with 3978 CTPAs were identified via retrospective review across 3 institutions. To predict survival, an AI model was used to extract disease-related imaging features from CTPAs. Imaging features and clinical variables were then incorporated into independent DL models to predict survival outcomes. Cross-modal fusion CoxPH models were used to develop multimodal models from combinations of DL models and calculated PESI scores. Five multimodal models were developed as follows: (1) using CTPA imaging features only, (2) using clinical variables only, (3) using both CTPA and clinical variables, (4) using CTPA and PESI score, and (5) using CTPA, clinical variables, and PESI score. Performance was evaluated using the concordance index (c-index). Kaplan-Meier analysis was performed to stratify patients into high-risk and low-risk groups. Additional factor-risk analysis was conducted to account for right ventricular (RV) dysfunction. Results:For both data sets, the multimodal models incorporating CTPA features, clinical variables, and PESI score achieved higher c-indices than PESI alone. Following the stratification of patients into high-risk and low-risk groups by models, survival outcomes differed significantly (both P&lt;0.001). A strong correlation was found between high-risk grouping and RV dysfunction. Conclusions:Multiomic DL models incorporating CTPA features, clinical data, and PESI achieved higher c-indices than PESI alone for PE survival prediction.</t>
  </si>
  <si>
    <t>Zhong, Zhusi; Zhang, Helen; Fayad, Fayez H.; Lancaster, Andrew C.; Sollee, John; Kulkarni, Shreyas; Lin, Cheng Ting; Li, Jie; Gao, Xinbo; Collins, Scott; Greineder, Colin F.; Ahn, Sun H.; Bai, Harrison X.; Jiao, Zhicheng; Atalay, Michael K.</t>
  </si>
  <si>
    <t>Jiao, ZC (corresponding author), 593 Eddy St,3rd Floor, Providence, RI 02903 USA.</t>
  </si>
  <si>
    <t>hbai7@jhu.edu; fayez_fayad@brown.edu; scollins1@lifespan.org; helen_zhang2@brown.edu; coling@med.umich.edu; john_sollee@brown.edu; leejie@mail.xidian.edu.cn; atalay_99@yahoo.com; shreyas_kulkarni@brown.edu; xbgao@mail.xidian.edu.cn; clin97@jhmi.edu; sahn@lifespan.org; alancas4@jhmi.edu; zhusi_zhong@brown.edu; zhicheng_jiao@brown.edu</t>
  </si>
  <si>
    <t>[Zhong, Zhusi; Zhang, Helen; Fayad, Fayez H.; Sollee, John; Kulkarni, Shreyas; Collins, Scott; Ahn, Sun H.; Jiao, Zhicheng; Atalay, Michael K.] Rhode Isl Hosp, Dept Diagnost Radiol, Providence, RI USA; [Zhong, Zhusi; Zhang, Helen; Fayad, Fayez H.; Sollee, John; Kulkarni, Shreyas; Collins, Scott; Ahn, Sun H.; Jiao, Zhicheng; Atalay, Michael K.] Brown Univ, Warren Alpert Med Sch, Providence, RI USA; [Lancaster, Andrew C.] Johns Hopkins Univ, Sch Med, Baltimore, MD USA; [Lancaster, Andrew C.; Lin, Cheng Ting; Bai, Harrison X.] Johns Hopkins Univ, Sch Med, Dept Radiol &amp; Radiol Sci, Baltimore, MD USA; [Greineder, Colin F.] Univ Michigan, Dept Emergency Med, Ann Arbor, MI USA; [Zhong, Zhusi; Li, Jie; Gao, Xinbo] Xidian Univ, Sch Elect Engn, Xian, Peoples R China</t>
  </si>
  <si>
    <t>Lifespan Health Rhode Island; Rhode Island Hospital; Brown University; Johns Hopkins University; Johns Hopkins Medicine; Johns Hopkins University; Johns Hopkins Medicine; University of Michigan System; University of Michigan; Xidian University</t>
  </si>
  <si>
    <t>Pulmonary Embolism Survival Prediction Using Multimodal Learning Based on Computed Tomography Angiography and Clinical Data</t>
  </si>
  <si>
    <t>JOURNAL OF THORACIC IMAGING</t>
  </si>
  <si>
    <t>machine learning; artificial intelligence; pulmonary embolism; computed tomography angiography; multiomics</t>
  </si>
  <si>
    <t>PROGNOSTIC MODEL; VALIDATION</t>
  </si>
  <si>
    <t>Atalay, Michael/AAE-1600-2021; gao, xin/OGO-6492-2025</t>
  </si>
  <si>
    <t>Zhang, Helen/0000-0003-1023-0646; Bai, Harrison/0000-0002-7460-8866; Lin, Cheng Ting/0000-0003-0275-8037; Zhong, Zhusi/0009-0008-5371-1443</t>
  </si>
  <si>
    <t>0883-5993</t>
  </si>
  <si>
    <t>1536-0237</t>
  </si>
  <si>
    <t>J THORAC IMAG</t>
  </si>
  <si>
    <t>J. Thorac. Imaging</t>
  </si>
  <si>
    <t>e0831</t>
  </si>
  <si>
    <t>10.1097/RTI.0000000000000831</t>
  </si>
  <si>
    <t>http://dx.doi.org/10.1097/RTI.0000000000000831</t>
  </si>
  <si>
    <t>6KQ4A</t>
  </si>
  <si>
    <t>40200808</t>
  </si>
  <si>
    <t>WOS:001555619000004</t>
  </si>
  <si>
    <t>Alkan, M; Veldtman, G; Deligianni, F</t>
  </si>
  <si>
    <t>Cardiopulmonary exercise testing (CPET) provides a comprehensive assessment of functional capacity by measuring key physiological variables including oxygen consumption (\documentclass[12pt]{minimal} \usepackage{amsmath} \usepackage{wasysym} \usepackage{amsfonts} \usepackage{amssymb} \usepackage{amsbsy} \usepackage{mathrsfs} \usepackage{upgreek} \setlength{\oddsidemargin}{-69pt} \begin{document}$$VO_2$$\end{document}), carbon dioxide production (\documentclass[12pt]{minimal} \usepackage{amsmath} \usepackage{wasysym} \usepackage{amsfonts} \usepackage{amssymb} \usepackage{amsbsy} \usepackage{mathrsfs} \usepackage{upgreek} \setlength{\oddsidemargin}{-69pt} \begin{document}$$VCO_2$$\end{document}), and pulmonary ventilation (VE) during exercise. Previous research has identified peak \documentclass[12pt]{minimal} \usepackage{amsmath} \usepackage{wasysym} \usepackage{amsfonts} \usepackage{amssymb} \usepackage{amsbsy} \usepackage{mathrsfs} \usepackage{upgreek} \setlength{\oddsidemargin}{-69pt} \begin{document}$$VO_2$$\end{document} and \documentclass[12pt]{minimal} \usepackage{amsmath} \usepackage{wasysym} \usepackage{amsfonts} \usepackage{amssymb} \usepackage{amsbsy} \usepackage{mathrsfs} \usepackage{upgreek} \setlength{\oddsidemargin}{-69pt} \begin{document}$$VE/VCO_2$$\end{document} ratio as robust predictors of mortality risk in chronic heart failure (CHF) patients as well as in congenital heart disease (CHD). This study utilises CPET variables as surrogate mortality endpoints for patients with CHD. To our knowledge, this represents the first successful implementation of an advanced machine learning approach that predicts CPET outcomes by integrating electrocardiograms (ECGs) with information derived from clinical letters. Our methodology began with extracting unstructured patient information from clinical letters using natural language processing techniques, organising this data into a structured database. We then digitised ECGs to obtain quantifiable waveforms and established comprehensive data linkages. The core innovation of our approach lies in exploiting the Riemannian geometric properties of covariance matrices derived from both 12-lead ECGs and clinical text data to develop robust regression and classification models. Through extensive ablation studies, we demonstrated that the integration of ECG signals with clinical documentation, enhanced by covariance augmentation techniques in Riemannian space, consistently produced superior predictive performance compared to conventional approaches.</t>
  </si>
  <si>
    <t>Alkan, Muhammet; Veldtman, Gruschen; Deligianni, Fani</t>
  </si>
  <si>
    <t>Deligianni, F (corresponding author), Univ Glasgow, Sch Comp Sci, Glasgow, Scotland.</t>
  </si>
  <si>
    <t>fani.deligianni@glasgow.ac.uk</t>
  </si>
  <si>
    <t>Golden Jubilee National Hospital Research Department; EPSRC [EP/W01212X/1]; Milli Egbreve;itim Bakanligbreve;i; Academy of Medical Sciences [NGR1/1678]</t>
  </si>
  <si>
    <t>Golden Jubilee National Hospital Research Department; EPSRC (UK Research &amp; Innovation (UKRI), Engineering &amp; Physical Sciences Research Council (EPSRC)); Milli Egbreve;itim Bakanligbreve;i; Academy of Medical Sciences</t>
  </si>
  <si>
    <t>Fani Deligianni is supported by funding from EPSRC (EP/W01212X/1) and Academy of Medical Sciences (NGR1/1678). She is also a member of the research team for NIHR (NIHR158303). Prof. Veldtman was supported by the Golden Jubilee National Hospital Research Department. Muhammet Alkan was supported by the Turkish Ministry of National Education (MEB).</t>
  </si>
  <si>
    <t>[Alkan, Muhammet; Deligianni, Fani] Univ Glasgow, Sch Comp Sci, Glasgow, Scotland; [Veldtman, Gruschen] Golden Jubilee Natl Hosp, Glasgow, Scotland; [Veldtman, Gruschen] Corewell Hlth, Helen DeVos Childrens Hosp, Hosp, Michigan, ND USA</t>
  </si>
  <si>
    <t>University of Glasgow; Golden Jubilee Hospital</t>
  </si>
  <si>
    <t>Predicting cardiopulmonary exercise testing outcomes in congenital heart disease through multimodal data integration and geometric learning</t>
  </si>
  <si>
    <t>ECG; CHD; CPET; Riemannian space; Covariance; Augmentation; Fusion</t>
  </si>
  <si>
    <t>CENTER EXPERIENCE; PROGNOSTIC VALUE; CLASSIFICATION; ADULTS; SLOPE</t>
  </si>
  <si>
    <t>Deligianni, Fani/M-9116-2018; Alkan, Muhammet/GYJ-6415-2022</t>
  </si>
  <si>
    <t>FEB 19 2026</t>
  </si>
  <si>
    <t>9910</t>
  </si>
  <si>
    <t>10.1038/s41598-026-38687-1</t>
  </si>
  <si>
    <t>http://dx.doi.org/10.1038/s41598-026-38687-1</t>
  </si>
  <si>
    <t>FP1HV</t>
  </si>
  <si>
    <t>41714742</t>
  </si>
  <si>
    <t>WOS:001724057900009</t>
  </si>
  <si>
    <t>gold; Green Accepted; Green Submitted</t>
  </si>
  <si>
    <t>Meng-Papaxanthos, L; Zhang, R; Li, G; Cuturi, M; Noble, WS; Vert, JP</t>
  </si>
  <si>
    <t>Motivation: Modality matching in single-cell omics data analysis-i.e. matching cells across datasets collected using different types of genomic assays-has become an important problem, because unifying perspectives across different technologies holds the promise of yielding biological and clinical discoveries. However, single-cell dataset sizes can now reach hundreds of thousands to millions of cells, which remain out of reach for most multimodal computational methods.Results: We propose LSMMD-MA, a large-scale Python implementation of the MMD-MA method for multimodal data integration. In LSMMD-MA, we reformulate the MMD-MA optimization problem using linear algebra and solve it with KeOps, a CUDA framework for symbolic matrix computation in Python. We show that LSMMD-MA scales to a million cells in each modality, two orders of magnitude greater than existing implementations.</t>
  </si>
  <si>
    <t>Meng-Papaxanthos, Laetitia; Zhang, Ran; Li, Gang; Cuturi, Marco; Noble, William Stafford; Vert, Jean-Philippe</t>
  </si>
  <si>
    <t>Meng-Papaxanthos, L (corresponding author), Google, Brain Team, Google Res, Brandschenkestr 110, CH-8002 Zurich, Switzerland.; Vert, JP (corresponding author), Google, Brain Team, Google Res, 8 Rue Londres, F-75009 Paris, France.</t>
  </si>
  <si>
    <t>jean-philippe.vert@owkin.com; lpapaxanthos@google.com</t>
  </si>
  <si>
    <t>NIH award [UM1 HG011531]</t>
  </si>
  <si>
    <t>NIH award (United States Department of Health &amp; Human Services, National Institutes of Health (NIH) - USA)</t>
  </si>
  <si>
    <t>This work was supported by the NIH award UM1 HG011531.</t>
  </si>
  <si>
    <t>[Meng-Papaxanthos, Laetitia] Google, Brain Team, Google Res, Brandschenkestr 110, CH-8002 Zurich, Switzerland; [Zhang, Ran; Li, Gang; Noble, William Stafford] Univ Washington, Dept Genome Sci, 3720 15th Ave NE, Seattle, WA 98195 USA; [Zhang, Ran; Li, Gang] Univ Washington, Esci Inst, 3910 15th Ave NE, Seattle, WA 98195 USA; [Cuturi, Marco; Vert, Jean-Philippe] Google, Brain Team, Google Res, 8 Rue Londres, F-75009 Paris, France; [Cuturi, Marco] Apple, Apple ML Res, 7 Ave Iena, F-75116 Paris, France; [Noble, William Stafford] Univ Washington, Paul G Allen Sch Comp Sci &amp; Engn, 185 Stevens Way NE, Seattle, WA 98195 USA; [Vert, Jean-Philippe] Owkin Inc, 14-16 Bd Poissonniere, F-75009 Paris, France</t>
  </si>
  <si>
    <t>Alphabet Inc.; Google Incorporated; University of Washington; University of Washington Seattle; University of Washington; University of Washington Seattle; Alphabet Inc.; Google Incorporated; University of Washington; University of Washington Seattle</t>
  </si>
  <si>
    <t>LSMMD-MA: scaling multimodal data integration for single-cell genomics data analysis</t>
  </si>
  <si>
    <t>BIOINFORMATICS</t>
  </si>
  <si>
    <t>Noble, William/AEP-1001-2022</t>
  </si>
  <si>
    <t>Zhang, Ran/0000-0002-7630-1251; Noble, William/0000-0001-7283-4715; Cuturi, Marco/0000-0002-1934-0588; Vert, Jean-Philippe/0000-0001-9510-8441; Li, Gang/0000-0003-0759-9063</t>
  </si>
  <si>
    <t>1367-4803</t>
  </si>
  <si>
    <t>1367-4811</t>
  </si>
  <si>
    <t>Bioinformatics</t>
  </si>
  <si>
    <t>JUL 1 2023</t>
  </si>
  <si>
    <t>btad420</t>
  </si>
  <si>
    <t>10.1093/bioinformatics/btad420</t>
  </si>
  <si>
    <t>http://dx.doi.org/10.1093/bioinformatics/btad420</t>
  </si>
  <si>
    <t>Biochemical Research Methods; Biotechnology &amp; Applied Microbiology; Computer Science, Interdisciplinary Applications; Mathematical &amp; Computational Biology; Statistics &amp; Probability</t>
  </si>
  <si>
    <t>Biochemistry &amp; Molecular Biology; Biotechnology &amp; Applied Microbiology; Computer Science; Mathematical &amp; Computational Biology; Mathematics</t>
  </si>
  <si>
    <t>M1NR6</t>
  </si>
  <si>
    <t>37421399</t>
  </si>
  <si>
    <t>WOS:001027902500002</t>
  </si>
  <si>
    <t>Gong, W; Cui, QY; Fu, S; Wu, Y</t>
  </si>
  <si>
    <t>Objective: This study explores radiomics and deep learning for predicting pulmonary metastasis in head and neck Adenoid Cystic Carcinoma (ACC), assessing machine learning(ML) algorithms' model performance. Methods: The study retrospectively analyzed contrast-enhanced CT imaging data and clinical records from 130 patients with pathologically confirmed ACC in the head and neck region. The dataset was randomly split into training and test sets at a 7:3 ratio. Radiomic features and deep learning-derived features were extracted and subsequently integrated through multi-feature fusion. Z-score normalization was applied to training and test sets. Hypothesis testing selected significant features, followed by LASSO regression (5-fold CV) identifying 7 predictive features. Nine machine learning algorithms were employed to build predictive models for ACC pulmonary metastasis: ada, KNN, rf, NB, GLM, LDA, rpart, SVM-RBF, and GBM. Models were trained using the training set and tested on the test set. Model performance was evaluated using metrics such as recall, sensitivity, PPV, F1-score, precision, prevalence, NPV, specificity, accuracy, detection rate, detection prevalence, and balanced accuracy. Results: Machine learning models based on multi-feature fusion of enhanced CT, utilizing KNN, SVM, rpart, GBM, NB, GLM, and LDA, demonstrated AUC values in the test set of 0.687, 0.863, 0.737, 0.793, 0.763, 0.867, and 0.844, respectively. Rf and ada showed significant overfitting. Among these, GBM and GLM showed higher stability in predicting pulmonary metastasis of head and neck ACC. Conclusion: Radiomics and deep learning methods based on enhanced CT imaging can provide effective auxiliary tools for predicting pulmonary metastasis in head and neck ACC patients, showing promising potential for clinical application.</t>
  </si>
  <si>
    <t>Gong, Wei; Cui, Qingying; Fu, Shuai; Wu, Yong</t>
  </si>
  <si>
    <t>Wu, Y (corresponding author), Kunming Med Univ, Affiliated Stomatol Hosp, Yunnan Key Lab Stomatol, Kunming 650106, Peoples R China.; Wu, Y (corresponding author), Kunming Med Univ, Affiliated Stomatol Hosp, Dept Oral &amp; Maxillofacial Surg, Kunming 650106, Peoples R China.</t>
  </si>
  <si>
    <t>wuyong@kmmu.edu.cn</t>
  </si>
  <si>
    <t>Department of Science and Technology of Yunnan Province [202401AY070001-315]</t>
  </si>
  <si>
    <t>Department of Science and Technology of Yunnan Province</t>
  </si>
  <si>
    <t>We extend our sincere gratitude to Cui Qingying, Wu Yong, Fu Shuai as co-authors for their invaluable assistance and insightful suggestions throughout the research and manuscript preparation phases. This research was funded by the Department of Science and Technology of Yunnan Province [Project Number: 202401AY070001-315] .</t>
  </si>
  <si>
    <t>[Wu, Yong] Kunming Med Univ, Affiliated Stomatol Hosp, Yunnan Key Lab Stomatol, Kunming 650106, Peoples R China; [Wu, Yong] Kunming Med Univ, Affiliated Stomatol Hosp, Dept Oral &amp; Maxillofacial Surg, Kunming 650106, Peoples R China</t>
  </si>
  <si>
    <t>Kunming Medical University; Kunming Medical University</t>
  </si>
  <si>
    <t>Application of contrast-enhanced CT-driven multimodal machine learning models for pulmonary metastasis prediction in head and neck adenoid cystic carcinoma</t>
  </si>
  <si>
    <t>Contrast-enhanced CT; Adenoid cystic carcinoma; Pulmonary metastasis; Radiomics; Deep Learning</t>
  </si>
  <si>
    <t>fu, shuai/0009-0002-6899-7268</t>
  </si>
  <si>
    <t>112377</t>
  </si>
  <si>
    <t>10.1016/j.ejrad.2025.112377</t>
  </si>
  <si>
    <t>http://dx.doi.org/10.1016/j.ejrad.2025.112377</t>
  </si>
  <si>
    <t>6SW8P</t>
  </si>
  <si>
    <t>40857998</t>
  </si>
  <si>
    <t>WOS:001561228200001</t>
  </si>
  <si>
    <t>Lai, L; Chen, C; Zhou, YH; Wang, VY; Zhu, MJ; Jin, ZY; Wu, Y; Ma, CX; Zhang, Q; Chen, Q; Xu, D</t>
  </si>
  <si>
    <t>Background As the second deadly cancer affecting women globally, precise and timely classification of ovarian tumors plays an instrumental role in improving the rate of curing and reducing the rate of mortality. This study was set out to comprehensively investigate the effectiveness of deep learning model for classifying benign and malignant ovarian tumors, utilizing multimodal ultrasound images and clinical data, in comparison to traditional methods such as manual assessment by radiologists and those based on O-RADS. Methods This retrospective multicenter study recruited women diagnosed with ovarian tumors between January 2022 and June 2023, with histopathological examination results as the reference diagnoses. The dataset was divided into three subsets: training (70%), validation (10%), and test (20%). Employing the Dense Convolutional Network algorithm, we constructed and investigated two fusion models: DLM2F, integrating multimodal features extracted ultrasound (grayscale ultrasound, color Doppler flow imaging), and DLM3F, integrating DLM2F with clinical data (e.g. age, CA125, CA199, HE4, SCC, ROMA index, menopausal state, and mass volume). The outcome measure was the area under the receiver operating characteristic curve (AUC). We compared the models' performance in the test dataset against both radiologists, O-RADS and single-mode models. Results A total of 508 patients with ovarian tumors (mean age: 44.3 +/- 15.9 years) were enrolled, including 327 benign and 181 malignant tumors. In the test set, the DLM2F model demonstrated an AUC of 0.919, sensitivity of 0.865 and specificity of 0.879, while the DLM3F model showed an AUC of 0.951, sensitivity of 0.865 and specificity of 0.939. Comparatively, radiologists scored AUC of 896 (Expert level III) and 0.827 (Expert level I), while O-RADS was able to achieve an AUC of 0.835. Evaluation of confusion matrices revealed that DLM3F model exhibited almost identical accuracy as a level III expert, demonstrating its promising potential as an clinical diagnostic tool to assist junior radiologists. Conclusion The deep learning model integrating multimodal ultrasound images and clinical information is capable of discriminating between benign and malignant ovarian tumors, exceeding the diagnostic capabilities of both radiologists and O-RADS assessments.</t>
  </si>
  <si>
    <t>Lai, Lei; Chen, Chen; Zhou, Yahan; Wang, Vicky Yang; Zhu, Mengjiao; Jin, Zhiyan; Wu, Yan; Ma, Chenxia; Zhang, Qi; Chen, Qi; Xu, Dong</t>
  </si>
  <si>
    <t>Xu, D (corresponding author), Chinese Acad Sci, Zhejiang Canc Hosp, Hangzhou Inst Med HIM, Dept Diagnost Ultrasound Imaging &amp; Intervent Thera, Hangzhou 310022, Peoples R China.; Xu, D (corresponding author), Chinese Acad Sci, Hangzhou Inst Med HIM, Res Ctr Intervent Med &amp; Engn, Hangzhou 310018, Peoples R China.; Xu, D (corresponding author), Wenling Inst Big Data &amp; Artificial Intelligence Me, Taizhou 317502, Peoples R China.; Xu, D (corresponding author), Zhejiang Canc Hosp, Zhejiang Prov Res Ctr Innovat Technol &amp; Equipment, Hangzhou 310022, Zhejiang, Peoples R China.</t>
  </si>
  <si>
    <t>j2635044949@163.com; zyh122121104@163.com; pacific66@126.com; doctorzhangqi2017@126.com; cc929202@163.com; gaoyutian98@sina.com; xudong@zjcc.org.cn; chenqi1030446813@163.com; wangyang@waiim.org.cn; 821507565@qq.com; 1123287304@qq.com</t>
  </si>
  <si>
    <t>[Lai, Lei; Ma, Chenxia] Westlake Univ, Affiliated Hangzhou Peoples Hosp 1, Sch Med, Dept Hlth Management, Hangzhou 310022, Peoples R China; [Chen, Chen; Zhou, Yahan; Jin, Zhiyan; Xu, Dong] Chinese Acad Sci, Zhejiang Canc Hosp, Hangzhou Inst Med HIM, Dept Diagnost Ultrasound Imaging &amp; Intervent Thera, Hangzhou 310022, Peoples R China; [Chen, Chen; Zhou, Yahan; Xu, Dong] Chinese Acad Sci, Hangzhou Inst Med HIM, Res Ctr Intervent Med &amp; Engn, Hangzhou 310018, Peoples R China; [Wang, Vicky Yang; Xu, Dong] Wenling Inst Big Data &amp; Artificial Intelligence Me, Taizhou 317502, Peoples R China; [Zhu, Mengjiao; Wu, Yan] Zhejiang Chinese Med Univ, Affiliated Hosp 1, Zhejiang Prov Hosp Chinese Med, Dept Ultrasound Med, Hangzhou 310022, Peoples R China; [Zhang, Qi] Shaoxing Peoples Hosp, Dept Ultrasound Med, Shaoxing 312000, Peoples R China; [Chen, Qi] Hangzhou Med Coll, Xianju Peoples Hosp, Zhejiang Prov Peoples Hosp, Affiliated Xianjus Hosp,Dept Ultrasound Med, Zhejiang Southeast Campus, Xianju 317300, Peoples R China; [Chen, Chen; Zhou, Yahan; Xu, Dong] Zhejiang Canc Hosp, Zhejiang Prov Res Ctr Innovat Technol &amp; Equipment, Hangzhou 310022, Zhejiang, Peoples R China</t>
  </si>
  <si>
    <t>Westlake University; Chinese Academy of Sciences; Zhejiang Cancer Hospital; Hangzhou Institute of Medicine, CAS; Chinese Academy of Sciences; Hangzhou Institute of Medicine, CAS; Zhejiang Chinese Medical University; Hangzhou Medical College; Zhejiang Provincial People's Hospital; Zhejiang Cancer Hospital</t>
  </si>
  <si>
    <t>Investigation of multimodal deep learning models for predicting ovarian tumor malignancy based on ultrasound images and clinical information - a comprehensive comparative study against readers and O-RADS</t>
  </si>
  <si>
    <t>Ultrasonography; Ovarian tumors; Deep learning; O-RADS</t>
  </si>
  <si>
    <t>ADNEXAL MASSES; CANCER; DIAGNOSIS; VALIDATION</t>
  </si>
  <si>
    <t>10.1186/s12880-026-02312-4</t>
  </si>
  <si>
    <t>http://dx.doi.org/10.1186/s12880-026-02312-4</t>
  </si>
  <si>
    <t>IG0IF</t>
  </si>
  <si>
    <t>41942868</t>
  </si>
  <si>
    <t>WOS:001770812600001</t>
  </si>
  <si>
    <t>Bansal, HV; Gupta, P; Juneja, V</t>
  </si>
  <si>
    <t>Dementia and Alzheimer's Diseases (AD) has global health challenges especially due to the progressive nature and the impact these diseases put on elderly population. Early detection is vital to improve prognosis and initiate timely intervention so that lives can be saved. This paper proposes a novel multimodal diagnostic framework that integrates clinical data and MRI imaging for the early classification of dementia and AD. The clinical pathway employs the OASIS dataset; wherein numerical features undergo statistical filtering followed by metaheuristic feature selection using the Firefly Algorithm. For imaging-based diagnosis, a deep Convolutional Neural Network (CNN) architecture is developed using MRI data, further optimized via a hybrid ResNet101-Support Vector Machine (SVM) model to enhance classification accuracy. The decision-level fusion module integrates outputs from both modalities to mitigate inter-class confusion and enhance diagnostic precision. When benchmarked against state-of-the-art models, the proposed framework achieves superior performance with an Accuracy of 0.933 and F1-Score of 0.921, highlighting its effectiveness and reliability. The results underscore the significance of integrated optimization and hybrid decision logic in advancing early-stage Alzheimer's diagnosis.</t>
  </si>
  <si>
    <t>Bansal, Harsh Vardhan; Gupta, Pooja; Juneja, Vikas</t>
  </si>
  <si>
    <t>Bansal, HV (corresponding author), Amazon Web Serv, Analyt &amp; AI ML, Seattle, WA 98109 USA.</t>
  </si>
  <si>
    <t>oraharsh@yahoo.com</t>
  </si>
  <si>
    <t>[Bansal, Harsh Vardhan] Amazon Web Serv, Analyt &amp; AI ML, Seattle, WA 98109 USA; [Gupta, Pooja] Epik Solut, Date &amp; ML, New York, NY USA; [Juneja, Vikas] Seth Jai Parkash Mukand Lal Inst Engn &amp; Technol JM, Radaur 135133, India</t>
  </si>
  <si>
    <t>Amazon.com</t>
  </si>
  <si>
    <t>A Multimodal Deep Learning Framework Using ResNet-101 and Firefly-Based Feature Selection for Early Diagnosis of Dementia and Alzheimer's Disease</t>
  </si>
  <si>
    <t>Magnetic resonance imaging; Alzheimer's disease; Feature extraction; Accuracy; Deep learning; Classification algorithms; Convolutional neural networks; Predictive models; Neuroimaging; Transfer learning; Alzheimer's diseases; firefly algorithm; deep neural network; machine learning</t>
  </si>
  <si>
    <t>NEURAL-NETWORK; CLASSIFICATION; PREDICTION; PROGRESS</t>
  </si>
  <si>
    <t>Bansal, Harsh Vardhan/NDT-4454-2025; Juneja, Vikas/GXF-4643-2022</t>
  </si>
  <si>
    <t>Bansal, Harsh/0009-0001-5086-2245</t>
  </si>
  <si>
    <t>184709</t>
  </si>
  <si>
    <t>184721</t>
  </si>
  <si>
    <t>10.1109/ACCESS.2025.3621157</t>
  </si>
  <si>
    <t>http://dx.doi.org/10.1109/ACCESS.2025.3621157</t>
  </si>
  <si>
    <t>9HV8H</t>
  </si>
  <si>
    <t>WOS:001606717700020</t>
  </si>
  <si>
    <t>Falcone, A; Forestiero, A; Malivindi, R; Settino, M</t>
  </si>
  <si>
    <t>Purpose This study proposes a multimodal framework for retrospective short-term mortality prediction in intensive care unit patients by integrating structured admission data with semantic information extracted from discharge summaries. The objective is to improve patient characterization by combining complementary clinical data that are often analyzed separately.Methods Structured inputs, including demographics, administrative records, laboratory results, and clinical severity scores, were merged with semantic representations of clinical notes produced by a BERT-based encoder. The resulting embeddings were reduced in dimensionality and clustered with K-Means to obtain categorical semantic features reflecting thematic similarity among notes. These semantic cluster identifiers were then concatenated with tabular variables to create a unified multimodal representation, which was used to train five classical machine learning classifiers.Results The integration of semantic features consistently improved predictive performance compared with models trained only on structured data. Among the evaluated algorithms, Random Forest achieved the best discrimination, with an area under the receiver operating characteristic curve of 0.940 in the multimodal setting.Conclusion Combining structured clinical variables with unstructured admission notes enhances short-term mortality prediction and supports the development of interpretable multimodal decision-support tools for intensive care settings.</t>
  </si>
  <si>
    <t>Falcone, Alberto; Forestiero, Agostino; Malivindi, Rocco; Settino, Marzia</t>
  </si>
  <si>
    <t>Falcone, A (corresponding author), Italian Natl Res Council ICAR CNR, Inst High Performance Comp &amp; Networking, I-87036 Arcavacata Di Rende, Italy.</t>
  </si>
  <si>
    <t>alberto.falcone@icar.cnr.it</t>
  </si>
  <si>
    <t>[Falcone, Alberto; Forestiero, Agostino; Settino, Marzia] Italian Natl Res Council ICAR CNR, Inst High Performance Comp &amp; Networking, I-87036 Arcavacata Di Rende, Italy; [Malivindi, Rocco] Univ Calabria, Dept Pharm Hlth &amp; Nutr Sci, I-87036 Arcavacata Di Rende, Italy; [Malivindi, Rocco] Azienda Osped Cosenza Annunziata, Clin Lab Unit, I-87100 Cosenza, Italy</t>
  </si>
  <si>
    <t>University of Calabria</t>
  </si>
  <si>
    <t>ICU mortality prediction via multimodal learning on MIMIC-IV clinical data</t>
  </si>
  <si>
    <t>BIOINFORMATICS ADVANCES</t>
  </si>
  <si>
    <t>ORGAN DYSFUNCTION; SAPS-II; SCORE</t>
  </si>
  <si>
    <t>2635-0041</t>
  </si>
  <si>
    <t>BIOINFORM ADV</t>
  </si>
  <si>
    <t>Bioinform. Adv.</t>
  </si>
  <si>
    <t>vbag214</t>
  </si>
  <si>
    <t>10.1093/bioadv/vbag214</t>
  </si>
  <si>
    <t>http://dx.doi.org/10.1093/bioadv/vbag214</t>
  </si>
  <si>
    <t>MY6WH</t>
  </si>
  <si>
    <t>WOS:001854029800001</t>
  </si>
  <si>
    <t>Feng, FY; Smith, MR; Saad, F; Mobadersany, P; Tian, SK; Yip, SSF; Greshock, J; Khan, N; Yu, MK; Mccarthy, S; Brookman-May, SD; Bourla, AB; Todorovic, T; Yamashita, R; Huang, HC; Royce, TJ; Showalter, TN; Griffin, J; Mitani, A; Esteva, A; Small, EJ</t>
  </si>
  <si>
    <t>PURPOSEThe SPARTAN trial demonstrated that the addition of apalutamide to androgen deprivation therapy improves outcomes among patients with nonmetastatic castration-resistant prostate cancer (nmCRPC). We applied a previously reported digital histopathology-based multimodal artificial intelligence (MMAI) algorithm to estimate clinical outcomes in SPARTAN. METHODSPatients with available hematoxylin and eosin-stained slides from the primary tumor were included. Histopathology slides were digitized. MMAI scores ranging from 0 to 1 were generated from digital histopathology and baseline clinical parameters. Patients were categorized into MMAI non-high-risk and high-risk groups using previously validated cutoffs. Kaplan-Meier estimates were calculated for metastasis-free survival (MFS), second progression-free survival (PFS2), and overall survival (OS); comparisons were performed using Cox proportional hazards regression for treatment arms and MMAI risk. The interaction between treatment arm and risk group was evaluated using a Cox proportional hazards model. RESULTSThe study included 420 evaluable patients after excluding those with missing clinical data or inadequate histopathology images. Of these, 63% (n = 266) were MMAI high risk and 37% (n = 154) were non-high risk. MMAI risk score was associated with shorter MFS (hazard ratio [HR], 1.72; P &lt; .005), PFS2 (HR, 1.57; P &lt; .005), and OS (HR, 1.41; P = .02). MMAI high-risk patients receiving apalutamide demonstrated significant improvement in MFS (HR, 0.19; P &lt; .005), PFS2 (HR, 0.47; P &lt; .005), and OS (HR, 0.6; P = .01). The interaction between MMAI risk score and treatment for MFS (P = .01) and PFS2 (P = .03) was significant, indicating greater benefit from apalutamide treatment in MMAI high-risk patients. CONCLUSIONMMAI is a prognostic marker in nmCRPC and may serve as a predictive biomarker with high-risk patients deriving the greatest benefit from treatment with apalutamide. These results represent the first extension of an MMAI classifier to patients with castration-resistant prostate cancer, warranting additional validation.</t>
  </si>
  <si>
    <t>Feng, Felix Y.; Smith, Matthew R.; Saad, Fred; Mobadersany, Pooya; Tian, Shaozhou K.; Yip, Stephen S. F.; Greshock, Joel; Khan, Najat; Yu, Margaret K.; Mccarthy, Sharon; Brookman-May, Sabine D.; Bourla, Ariel B.; Todorovic, Tamara; Yamashita, Rikiya; Huang, Huei-Chung; Royce, Trevor J.; Showalter, Timothy N.; Griffin, Jacqueline; Mitani, Akinori; Esteva, Andre; Small, Eric J.</t>
  </si>
  <si>
    <t>Feng, FY (corresponding author), Univ Calif San Francisco, Helen Diller Family Comprehens Canc Ctr, San Francisco, CA 94143 USA.</t>
  </si>
  <si>
    <t>felix.feng@ucsf.edu</t>
  </si>
  <si>
    <t>[Feng, Felix Y.; Small, Eric J.] Univ Calif San Francisco, Helen Diller Family Comprehens Canc Ctr, San Francisco, CA 94143 USA; [Smith, Matthew R.] Massachusetts Gen Hosp, Canc Ctr, Boston, MA USA; [Saad, Fred] Univ Montreal, Ctr Hosp Univ Montreal, Montreal, PQ, Canada; [Mobadersany, Pooya; Tian, Shaozhou K.; Yip, Stephen S. F.; Greshock, Joel; Khan, Najat; Yu, Margaret K.; Mccarthy, Sharon; Brookman-May, Sabine D.; Bourla, Ariel B.] Janssen Res &amp; Dev, New Brunswick, NJ USA; [Brookman-May, Sabine D.] Univ Munich, LMU, Munich, Germany; [Todorovic, Tamara; Yamashita, Rikiya; Huang, Huei-Chung; Royce, Trevor J.; Showalter, Timothy N.; Griffin, Jacqueline; Mitani, Akinori; Esteva, Andre] Artera Inc, Los Altos, CA USA</t>
  </si>
  <si>
    <t>University of California System; University of California San Francisco; UCSF Medical Center; UCSF Helen Diller Family Comprehensive Cancer Center; Harvard University; Harvard University Medical Affiliates; Massachusetts General Hospital; Universite de Montreal; University of Munich</t>
  </si>
  <si>
    <t>Digital Pathology-Based Multimodal Artificial Intelligence Scores and Outcomes in a Randomized Phase III Trial in Men With Nonmetastatic Castration-Resistant Prostate Cancer</t>
  </si>
  <si>
    <t>JCO PRECISION ONCOLOGY</t>
  </si>
  <si>
    <t>APALUTAMIDE</t>
  </si>
  <si>
    <t>Brookman-May, Sabine/OUI-0660-2025; Saad, Fred/ADN-9925-2022</t>
  </si>
  <si>
    <t>Yu, Margaret/0009-0003-1697-3595</t>
  </si>
  <si>
    <t>2473-4284</t>
  </si>
  <si>
    <t>JCO PRECIS ONCOL</t>
  </si>
  <si>
    <t>JCO Precis. Oncol.</t>
  </si>
  <si>
    <t>e2400653</t>
  </si>
  <si>
    <t>10.1200/PO-24-00653</t>
  </si>
  <si>
    <t>http://dx.doi.org/10.1200/PO-24-00653</t>
  </si>
  <si>
    <t>U7P8G</t>
  </si>
  <si>
    <t>39889245</t>
  </si>
  <si>
    <t>WOS:001413675000001</t>
  </si>
  <si>
    <t>Tward, JD; Huang, HC; Esteva, A; Mohamad, O; van der Wal, D; Simko, JP; DeVries, S; Zhang, JB; Joun, S; Showalter, TN; Schaeffer, EM; Morgan, TM; Monson, JM; Wallace, JA; Bahary, JP; Sandler, HM; Spratt, DE; Rodgers, JP; Feng, FY; Tran, PT</t>
  </si>
  <si>
    <t>PURPOSE Current clinical risk stratification methods for localized prostate cancer are suboptimal, leading to over- and undertreatment. Recently, machine learning approaches using digital histopathology have shown superior prognostic ability in phase III trials. This study aims to develop a clinically usable risk grouping system using multimodal artificial intelligence (MMAI) models that outperform current National Comprehensive Cancer Network (NCCN) risk groups.MATERIALS AND METHODS The cohort comprised 9,787 patients with localized prostate cancer from eight NRG Oncology randomized phase III trials, treated with radiation therapy, androgen deprivation therapy, and/or chemotherapy. Locked MMAI models, which used digital histopathology images and clinical data, were applied to each patient. Expert consensus on cut points defined low-, intermediate-, and high-risk groups on the basis of 10-year distant metastasis rates of 3% and 10%, respectively. The MMAI's reclassification and prognostic performance were compared with the three-tier NCCN risk groups.RESULTS The median follow-up for censored patients was 7.9 years. According to NCCN risk categories, 30.4% of patients were low-risk, 25.5% intermediate-risk, and 44.1% high-risk. The MMAI risk classification identified 43.5% of patients as low-risk, 34.6% as intermediate-risk, and 21.8% as high-risk. MMAI reclassified 1,039 (42.0%) patients initially categorized by NCCN. Despite the MMAI low-risk group being larger than the NCCN low-risk group, the 10-year metastasis risks were comparable: 1.7% (95% CI, 0.2 to 3.2) for NCCN and 3.2% (95% CI, 1.7 to 4.7) for MMAI. The overall 10-year metastasis risk for NCCN high-risk patients was 16.6%, with MMAI further stratifying this group into low-, intermediate-, and high-risk, showing metastasis rates of 3.4%, 8.2%, and 26.3%, respectively.CONCLUSION The MMAI risk grouping system expands the population of men identified as having low metastatic risk and accurately pinpoints a high-risk subset with elevated metastasis rates. This approach aims to prevent both overtreatment and undertreatment in localized prostate cancer, facilitating shared decision making.</t>
  </si>
  <si>
    <t>Tward, Jonathan David; Huang, Huei-Chung; Esteva, Andre; Mohamad, Osama; van der Wal, Douwe; Simko, Jeffry P.; DeVries, Sandy; Zhang, Jingbin; Joun, Songwan; Showalter, Timothy N.; Schaeffer, Edward M.; Morgan, Todd M.; Monson, Jedidiah M.; Wallace, James A.; Bahary, Jean-Paul; Sandler, Howard M.; Spratt, Daniel E.; Rodgers, Joseph P.; Feng, Felix Y.; Tran, Phuoc T.</t>
  </si>
  <si>
    <t>Tward, JD (corresponding author), Univ Utah, Dept Radiat Oncol, Salt Lake City, UT 84112 USA.</t>
  </si>
  <si>
    <t>jonathan.tward@hci.utah.edu</t>
  </si>
  <si>
    <t>NCI NIH HHS [U24 CA196067, U10 CA180822, U10 CA180868, UG1 CA189867, UG1 CA233160, U54 CA273956] Funding Source: Medline</t>
  </si>
  <si>
    <t>NCI NIH HHS (United States Department of Health &amp; Human Services, National Institutes of Health (NIH) - USA, NIH National Cancer Institute (NCI))</t>
  </si>
  <si>
    <t>[Tward, Jonathan David] Univ Utah, Dept Radiat Oncol, Salt Lake City, UT 84112 USA; [Huang, Huei-Chung; Esteva, Andre; van der Wal, Douwe; Zhang, Jingbin; Joun, Songwan; Showalter, Timothy N.] Artera Inc, Los Altos, CA USA; [Mohamad, Osama; Feng, Felix Y.] Univ Calif San Francisco, Dept Radiat Oncol, San Francisco, CA USA; [Simko, Jeffry P.] Univ Calif San Francisco, Dept Urol, San Francisco, CA USA; [DeVries, Sandy] NRG Oncol Biospecimen Bank, San Francisco, CA USA; [Showalter, Timothy N.] Univ Virginia, Dept Radiat Oncol, Sch Med, Charlottesville, VA USA; [Schaeffer, Edward M.] Northwestern Univ, Dept Urol, Evanston, IL USA; [Morgan, Todd M.] Univ Michigan, Div Urol Oncol, Ctr Comprehens Canc, Ann Arbor, MI USA; [Monson, Jedidiah M.] St Agnes Med Ctr, Dept Radiat Oncol, Fresno, CA USA; [Wallace, James A.] Ingalls Mem Hosp, Harvey, IL USA; [Bahary, Jean-Paul] CHUM, Dept Radiat Oncol, Montreal, PQ, Canada; [Sandler, Howard M.] Cedars Sinai Med Ctr, Dept Radiat Oncol, Los Angeles, CA USA; [Spratt, Daniel E.] Case Western Reserve Univ, Univ Hosp Seidman Canc Ctr, Dept Radiat Oncol, Cleveland, OH USA; [Rodgers, Joseph P.] Amer Coll Radiol, NRG Oncol Stat &amp; Data Management Ctr, Philadelphia, PA USA; [Tran, Phuoc T.] Univ Maryland, Dept Radiat Oncol, Baltimore, MD USA</t>
  </si>
  <si>
    <t>Utah System of Higher Education; University of Utah; University of California System; University of California San Francisco; University of California System; University of California San Francisco; University of Virginia; University of Virginia (UVA) Health System; Northwestern University; Feinberg School of Medicine; University of Michigan System; University of Michigan; Universite de Montreal; Cedars Sinai Medical Center; University System of Ohio; Case Western Reserve University; American College of Radiology; University System of Maryland; University of Maryland Baltimore</t>
  </si>
  <si>
    <t>Prostate Cancer Risk Stratification in NRG Oncology Phase III Randomized Trials Using Multimodal Deep Learning With Digital Histopathology</t>
  </si>
  <si>
    <t>ANDROGEN SUPPRESSION; GENOMIC CLASSIFIER; RADIATION-THERAPY; RADIOTHERAPY; METASTASIS; SCORE; CHEMOTHERAPY; DEPRIVATION; PREDICTOR; DURATION</t>
  </si>
  <si>
    <t>Schaeffer, Edward/0000-0003-0699-1899; Morgan, Todd/0000-0002-1140-0603; Tward, Jonathan/0000-0001-7765-4473; van der Wal, Douwe/0000-0003-2323-1357</t>
  </si>
  <si>
    <t>e2400145</t>
  </si>
  <si>
    <t>10.1200/PO.24.00145</t>
  </si>
  <si>
    <t>http://dx.doi.org/10.1200/PO.24.00145</t>
  </si>
  <si>
    <t>P3J2L</t>
  </si>
  <si>
    <t>39447096</t>
  </si>
  <si>
    <t>WOS:001376907600001</t>
  </si>
  <si>
    <t>Addepalli, P; Addepalli, L; Sagar, SDV; Sawangsri, W; Ghani, SAC; Lloret, J</t>
  </si>
  <si>
    <t>In biomedical machining, proper tool wear monitoring is required as surface integrity and dimensional accuracy have a direct impact on the way of the implants to work and the safety of patients. Traditional monitoring methods that are based on single-modality data do not usually identify the presence of the subtle wear development in a complex cutting environment. In this research, the authors introduce a deep-learning methodology based on multimodality as Thermo-Edge Attention Network (TEA-Net) consisting of the fusion of thermal images, line maps, and statistical wear detection to obtain accurate tool-wear separation. The model uses multi-head attention to focus on local wear areas and combines similarities of complementary cues of various data modalities using a common fusion point. Experimental analyses on Austenitic Stainless Steel 316L (SS316L) and Zirconia (ZrO2) machining tools show that TEA-Net can be evaluated at 82.5 and 88.4 classification accuracy on direct comparison with conventional machine-learning models, and with standard convolutional networks, respectively, with 15-percent higher accuracy. This framework also has a high capability of discrimination whose Area Under the Receiver Operating Characteristic Curve (AUC) exceed 0.97 therefore showing the reliability in both ductile and brittle materials. The findings show that multimodal integration has a significant positive effect on interpretability and prediction stability despite the scanty data quantity. TEA-Net is therefore an effective and timely solution to intelligent tool-wear saving and predictive maintenance in biomedical manufacturing sector.</t>
  </si>
  <si>
    <t>Addepalli, Phanindra; Addepalli, Lavanya; Sagar, S. D. Vidya; Sawangsri, Worapong; Ghani, Saiful Anwar Che; Lloret, Jaime</t>
  </si>
  <si>
    <t>Addepalli, P (corresponding author), Kasetsart Univ, Fac Engn, Dept Mech Engn, Bangkok, Thailand.</t>
  </si>
  <si>
    <t>phanindra.a@ku.th</t>
  </si>
  <si>
    <t>Faculty of Engineering, KASETSART UNIVERSITY, BANGKOK, THAILAND</t>
  </si>
  <si>
    <t>The research is Funded By Faculty of Engineering, KASETSART UNIVERSITY, BANGKOK, THAILAND.</t>
  </si>
  <si>
    <t>[Addepalli, Phanindra; Sawangsri, Worapong] Kasetsart Univ, Fac Engn, Dept Mech Engn, Bangkok, Thailand; [Addepalli, Lavanya] Univ Politecn Valencia, Dept Commun &amp; Cultural Ind, Valencia, Spain; [Sagar, S. D. Vidya] NITTE Meenakshi Inst Technol, Dept Master Comp Applicat, Bengaluru, India; [Ghani, Saiful Anwar Che] Univ Malaysia Pahang Al Sultan Abdullah, Fac Mech &amp; Automot Engn, Pekan, Pahang, Malaysia; [Lloret, Jaime] Univ Politecn Valencia, Inst Invest Gest Integrada Zonas Costeras, Valencia, Spain</t>
  </si>
  <si>
    <t>Kasetsart University; Universitat Politecnica de Valencia; NITTE (Deemed to be University); Nitte Meenakshi Institute of Technology; Universiti Malaysia Pahang Al-Sultan Abdullah (UMPSA); Universitat Politecnica de Valencia</t>
  </si>
  <si>
    <t>TEA-net: A multimodal deep learning framework for tool wear classification in biomedical machining</t>
  </si>
  <si>
    <t>WEAR</t>
  </si>
  <si>
    <t>Tool wear analysis; Biomedical machining; SS316L and ZrO 2 tools; Machine learning classification; Thermal imaging in wear studies; Predictive wear modelling</t>
  </si>
  <si>
    <t>ONLINE; SYSTEM</t>
  </si>
  <si>
    <t>Addepalli, Lavanya/ACC-2329-2022; Sawangsri, Worapong/ABG-8127-2021; Lloret, Jaime/H-3994-2013</t>
  </si>
  <si>
    <t>Addepalli, Phanindra/0000-0001-8883-164X</t>
  </si>
  <si>
    <t>ELSEVIER SCIENCE SA</t>
  </si>
  <si>
    <t>PO BOX 564, 1001 LAUSANNE, SWITZERLAND</t>
  </si>
  <si>
    <t>0043-1648</t>
  </si>
  <si>
    <t>1873-2577</t>
  </si>
  <si>
    <t>Wear</t>
  </si>
  <si>
    <t>FEB 15 2026</t>
  </si>
  <si>
    <t>587</t>
  </si>
  <si>
    <t>206484</t>
  </si>
  <si>
    <t>10.1016/j.wear.2025.206484</t>
  </si>
  <si>
    <t>http://dx.doi.org/10.1016/j.wear.2025.206484</t>
  </si>
  <si>
    <t>Engineering, Mechanical; Materials Science, Multidisciplinary</t>
  </si>
  <si>
    <t>Engineering; Materials Science</t>
  </si>
  <si>
    <t>AO0DC</t>
  </si>
  <si>
    <t>WOS:001652653500001</t>
  </si>
  <si>
    <t>Xiong, X; Yang, M; Zheng, YH; Zhao, L; Li, K; Wang, J</t>
  </si>
  <si>
    <t>Objectives: This study aimed to develop and preliminarily validate a multimodal deep learning model based on two-dimensional maxillofacial imaging for screening temporomandibular joint (TMJ) degenerative joint disease (DJD). Methods: A total of 1000 TMJs from 500 orthodontic patients were retrospectively analyzed. TMJ DJD diagnoses based on cone-beam computed tomography served as the reference standard, with substantial interrater agreement. A fine-tuned YOLOv8 model was used to localize condyles on panoramic radiographs. EfficientNetV2 networks extracted features from panoramic radiographs and lateral cephalograms, which were fused with patient age and sex for final classification. Results: The YOLOv8 model achieved an mAP50 of 0.995 for condylar localization. The multimodal model demonstrated strong screening performance, achieving an AUC of 0.898, with notable sensitivity and specificity on the test set. Grad-CAM analyses indicated attention to clinically relevant structures, and panoramic radiographs and lateral cephalograms provided complementary diagnostic information. Integrating both 2D modalities improved performance compared with panoramic radiographs alone. Conclusions: This multimodal deep learning model enables effective, low-radiation, and cost-efficient screening for TMJ DJD using widely available 2D radiographs. Combining panoramic and lateral cephalometric imaging represents a promising approach for enhancing clinical screening accuracy. Larger multicenter studies are warranted for further validation.</t>
  </si>
  <si>
    <t>Xiong, Xin; Yang, Ming; Zheng, Yunhao; Zhao, Liang; Li, Kang; Wang, Jun</t>
  </si>
  <si>
    <t>Wang, J (corresponding author), Sichuan Univ, West China Hosp Stomatol, State Key Lab Oral Dis, Chengdu, Peoples R China.; Wang, J (corresponding author), Sichuan Univ, West China Hosp Stomatol, Natl Ctr Stomatol, Chengdu, Peoples R China.; Wang, J (corresponding author), Sichuan Univ, West China Hosp Stomatol, Natl Clin Res Ctr Oral Dis, Chengdu, Peoples R China.; Li, K (corresponding author), Sichuan Univ, West China Biomed Big Data Ctr, Medx Ctr Informat, Chengdu, Peoples R China.</t>
  </si>
  <si>
    <t>likang@wchscu.cn; wangjunv@scu.edu.cn</t>
  </si>
  <si>
    <t>Natural Science Foundation of Sichuan Province of China [2025ZNSFSC1586]; the National Natural Science Foundation of China [82301129, 82471024]</t>
  </si>
  <si>
    <t>Natural Science Foundation of Sichuan Province of China; the National Natural Science Foundation of China (National Natural Science Foundation of China (NSFC))</t>
  </si>
  <si>
    <t>This work was supported by the Clinical Research Project of West China Hospital of Stomatology, Sichuan University (LCYJ-2023-YY-2), and the National Natural Science Foundation of China (82301129).</t>
  </si>
  <si>
    <t>[Xiong, Xin; Yang, Ming; Zheng, Yunhao; Wang, Jun] Sichuan Univ, West China Hosp Stomatol, State Key Lab Oral Dis, Chengdu, Peoples R China; [Xiong, Xin; Yang, Ming; Zheng, Yunhao; Wang, Jun] Sichuan Univ, West China Hosp Stomatol, Natl Ctr Stomatol, Chengdu, Peoples R China; [Xiong, Xin; Yang, Ming; Zheng, Yunhao; Wang, Jun] Sichuan Univ, West China Hosp Stomatol, Natl Clin Res Ctr Oral Dis, Chengdu, Peoples R China; [Zhao, Liang] Dyania Hlth, Jersey, NJ USA; [Li, Kang] Sichuan Univ, West China Biomed Big Data Ctr, Medx Ctr Informat, Chengdu, Peoples R China</t>
  </si>
  <si>
    <t>Sichuan University; Sichuan University; Sichuan University; Sichuan University</t>
  </si>
  <si>
    <t>Multimodal Deep Learning-Based Screening of Degenerative Temporomandibular Joint Disease Using 2D Radiography: A Cost-Effective and Low-Radiation Approach</t>
  </si>
  <si>
    <t>ORAL DISEASES</t>
  </si>
  <si>
    <t>artificial intelligence; deep learning; lateral cephalogram; multimodal radiography; panoramic radiograph; temporomandibular joint degenerative joint disease</t>
  </si>
  <si>
    <t>PAIN</t>
  </si>
  <si>
    <t>Wang, Jun/ABB-1429-2020; Zhao, Liang/JEF-0353-2023</t>
  </si>
  <si>
    <t>Xiong, Xin/0000-0003-2175-0970; Vivares, Annie/0000-0002-8631-4910</t>
  </si>
  <si>
    <t>1354-523X</t>
  </si>
  <si>
    <t>1601-0825</t>
  </si>
  <si>
    <t>ORAL DIS</t>
  </si>
  <si>
    <t>Oral Dis.</t>
  </si>
  <si>
    <t>10.1111/odi.70268</t>
  </si>
  <si>
    <t>http://dx.doi.org/10.1111/odi.70268</t>
  </si>
  <si>
    <t>ES1NZ</t>
  </si>
  <si>
    <t>41795130</t>
  </si>
  <si>
    <t>WOS:001708440100001</t>
  </si>
  <si>
    <t>Zeng, L; Ma, PC; Li, ZY; Liang, SX; Wu, CK; Hong, C; Li, Y; Cui, H; Li, RN; Wang, JR; He, JZ; Li, WY; Xiao, LS; Liu, L</t>
  </si>
  <si>
    <t>Hyperuricemia (HUA) has emerged as the second most prevalent metabolic disorder characterized by prolonged and asymptomatic period, triggering gout and metabolism-related outcomes. Early detection and prognosis prediction for HUA and gout are crucial for pre-emptive interventions. Integrating genetic and clinical data from 421287 UK Biobank and 8900 Nanfang Hospital participants, a stacked multimodal machine learning model is developed and validated to synthesize its probabilities as an in-silico quantitative marker for hyperuricemia (ISHUA). The model demonstrates satisfactory performance in detecting HUA, exhibiting area under the curves (AUCs) of 0.859, 0.836, and 0.779 within the train, internal, and external test sets, respectively. ISHUA is significantly associated with gout and metabolism-related outcomes, effectively classifying individuals into low- and high-risk groups for gout in the train (AUC, 0.815) and internal test (AUC, 0.814) sets. The high-risk group shows increased susceptibility to metabolism-related outcomes, and participants with intermediate or favorable lifestyle profiles have hazard ratios of 0.75 and 0.53 for gout compared with those with unfavorable lifestyles. Similar trends are observed for other metabolism-related outcomes. The multimodal machine learning-based ISHUA marker enables personalized risk stratification for gout and metabolism-related outcomes, and it is unveiled that lifestyle changes can ameliorate these outcomes within high-risk group, providing guidance for preventive interventions.This study constructed a novel multimodal machine-learning model to synthesize an insilico quantitative marker for hyperuricemia (ISHUA). ISHUA enables personalized risk stratification for metabolism-related outcomes, facilitating stratifying individuals into low- and high-risk groups for incident gout. Further, it is unveiled that metabolism-related outcomes within high-risk group can be ameliorated through lifestyle changes, providing valuable insights for effective preventive interventions. image</t>
  </si>
  <si>
    <t>Zeng, Lin; Ma, Pengcheng; Li, Zeyang; Liang, Shengxing; Wu, Chengkai; Hong, Chang; Li, Yan; Cui, Hao; Li, Ruining; Wang, Jiaren; He, Jingzhe; Li, Wenyuan; Xiao, Lushan; Liu, Li</t>
  </si>
  <si>
    <t>Liu, L (corresponding author), Southern Med Univ, Nanfang Hosp, Dept Hlth Management, Guangzhou 510515, Peoples R China.; Xiao, LS; Liu, L (corresponding author), Southern Med Univ, Nanfang Hosp, Dept Infect Dis, Guangdong Prov Key Lab Viral Hepatitis Res, Guangzhou 510515, Peoples R China.</t>
  </si>
  <si>
    <t>xls@smu.edu.cn; liuli@i.smu.edu.cn</t>
  </si>
  <si>
    <t>National Key R&amp;D Program of China [2021YFC2500805]; National Nature Science Foundation of China [81972897, 82172751]; Guangdong Natural Science Foundation [2022A1515110656, 92668]</t>
  </si>
  <si>
    <t>National Key R&amp;D Program of China (National Key Research &amp; Development Program of China); National Nature Science Foundation of China (National Natural Science Foundation of China (NSFC)); Guangdong Natural Science Foundation (National Natural Science Foundation of Guangdong Province)</t>
  </si>
  <si>
    <t>This work was supported by the National Key R&amp;D Program of China (No. 2021YFC2500805), the National Nature Science Foundation of China (No. 81972897, 82172751), and the Guangdong Natural Science Foundation (No. 2022A1515110656). This research has been conducted using the UK Biobank Resource under Application Number 92668. The authors thank all the genetics consortiums for making the GWAS summary data publicly available. The authors thank Prof. Hao Liu from Southern Medical University for consultation and critical comments to improve this article. The authors thank BioRender.com for providing the tools to create the ToC figure. The authors also thank Editage () for English-language refinement.</t>
  </si>
  <si>
    <t>[Zeng, Lin; Liu, Li] Southern Med Univ, Nanfang Hosp, Dept Hlth Management, Guangzhou 510515, Peoples R China; [Zeng, Lin; Hong, Chang; Li, Yan; Cui, Hao; Li, Ruining; Wang, Jiaren; He, Jingzhe; Xiao, Lushan; Liu, Li] Southern Med Univ, Nanfang Hosp, Dept Infect Dis, Guangdong Prov Key Lab Viral Hepatitis Res, Guangzhou 510515, Peoples R China; [Ma, Pengcheng; Liang, Shengxing; Wu, Chengkai] Southern Med Univ, Sch Publ Hlth, Guangzhou 510515, Peoples R China; [Ma, Pengcheng; Li, Zeyang; Wu, Chengkai] Southern Med Univ, Sch Hlth Management, Guangzhou 510515, Peoples R China; [Ma, Pengcheng; Li, Zeyang; Liang, Shengxing; Li, Wenyuan] Southern Med Univ, Nanfang Hosp, Guangzhou 510515, Peoples R China</t>
  </si>
  <si>
    <t>Southern Medical University - China; Southern Medical University - China; Southern Medical University - China; Southern Medical University - China; Southern Medical University - China</t>
  </si>
  <si>
    <t>Multimodal Machine Learning-Based Marker Enables Early Detection and Prognosis Prediction for Hyperuricemia</t>
  </si>
  <si>
    <t>gout; hyperuricemia; machine learning; multimodal; prognosis; stratification</t>
  </si>
  <si>
    <t>URIC-ACID LEVELS; CARDIOVASCULAR-DISEASE; RISK; HYPERTENSION; ASSOCIATIONS; CONSUMPTION; POPULATION; PREVALENCE; GUANGDONG; JAPANESE</t>
  </si>
  <si>
    <t>LI, ZEYANG/LIF-0029-2024; Wang, Jiaren/JNE-4751-2023; Ma, Pengcheng/JNR-2466-2023; Wu, Chengkai/LWI-0712-2024</t>
  </si>
  <si>
    <t>Ma, Pengcheng/0000-0001-8206-9236; Xiao, Lu-shan/0000-0002-8387-6336</t>
  </si>
  <si>
    <t>10.1002/advs.202404047</t>
  </si>
  <si>
    <t>http://dx.doi.org/10.1002/advs.202404047</t>
  </si>
  <si>
    <t>H2P4L</t>
  </si>
  <si>
    <t>38976552</t>
  </si>
  <si>
    <t>WOS:001264155100001</t>
  </si>
  <si>
    <t>Jiang, ZZ; Shen, YW</t>
  </si>
  <si>
    <t>Introduction Single-photon emission computed tomography/computed tomography (SPECT/CT) imaging plays a critical role in sports injury diagnosis by offering both anatomical and functional insights. However, traditional SPECT/CT techniques often suffer from poor image quality, low spatial resolution, and limited capacity for integrating multiple data sources, which can hinder accurate diagnosis and intervention.Methods To address these limitations, this study proposes a novel multimodal learning framework that enhances SPECT/CT imaging through biomechanical data integration and deep learning. Our method introduces a hybrid model combining convolutional neural networks for spatial feature extraction and transformer-based temporal attention for sequential pattern recognition. This study further incorporates a biomechanics-aware injury detection module (BID-Net), which leverages kinematic signals, motion data, and physiological context to refine lesion detection accuracy.Results Experimental results on a curated sports injury dataset demonstrate that our framework significantly improves image clarity, diagnostic precision, and interpretability over traditional approaches.Discussion The integration of biomechanical constraints and adaptive attention mechanisms not only enhances SPECT/CT imaging quality but also bridges the gap between AI-driven analytics and clinical practice in sports medicine. Our study presents a promising direction for intelligent, real-time diagnostic tools capable of supporting injury prevention, early detection, and rehabilitation planning in athletic care.</t>
  </si>
  <si>
    <t>Jiang, Zhengzheng; Shen, Yawen</t>
  </si>
  <si>
    <t>Jiang, ZZ (corresponding author), Shandong Sports Univ, Sports Coll, Rizhao, Shandong, Peoples R China.</t>
  </si>
  <si>
    <t>muerseinu@hotmail.com</t>
  </si>
  <si>
    <t>[Jiang, Zhengzheng] Shandong Sports Univ, Sports Coll, Rizhao, Shandong, Peoples R China; [Shen, Yawen] Zhongyuan Univ Technol, Zhengzhou, Peoples R China</t>
  </si>
  <si>
    <t>Shandong Sport University; Zhongyuan University of Technology</t>
  </si>
  <si>
    <t>Multimodal learning for enhanced SPECT/CT imaging in sports injury diagnosis</t>
  </si>
  <si>
    <t>SPECT/CT imaging; multimodal learning; sports injury diagnosis; deep learning; biomechanics-aware analysis</t>
  </si>
  <si>
    <t>JUL 29 2025</t>
  </si>
  <si>
    <t>1605426</t>
  </si>
  <si>
    <t>10.3389/fphys.2025.1605426</t>
  </si>
  <si>
    <t>http://dx.doi.org/10.3389/fphys.2025.1605426</t>
  </si>
  <si>
    <t>5YK9D</t>
  </si>
  <si>
    <t>40800735</t>
  </si>
  <si>
    <t>WOS:001547321400001</t>
  </si>
  <si>
    <t>Wang, L; Yang, G</t>
  </si>
  <si>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planning.Abstract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data.Our framework and code will be made publicly available to support reproducibility and future research.</t>
  </si>
  <si>
    <t>Wang, Lin; Yang, Guang</t>
  </si>
  <si>
    <t>Wang, L (corresponding author), Univ Exeter, Fac Hlth &amp; Life Sci, Dept Sports &amp; Publ Hlth, Exeter EX1 2LU, England.; Wang, L (corresponding author), Guilin Univ Elect Technol, Dept Phys Educ, Guilin 541004, Peoples R China.</t>
  </si>
  <si>
    <t>lw679@exeter.ac.uk; guang.yang@eng.ox.ac.uk</t>
  </si>
  <si>
    <t>[Wang, Lin] Univ Exeter, Fac Hlth &amp; Life Sci, Dept Sports &amp; Publ Hlth, Exeter EX1 2LU, England; [Wang, Lin] Guilin Univ Elect Technol, Dept Phys Educ, Guilin 541004, Peoples R China; [Yang, Guang] Univ Oxford, Inst Biomed Engn, Dept Engn Sci, Oxford OX3 7DQ, England</t>
  </si>
  <si>
    <t>University of Exeter; Guilin University of Electronic Technology; University of Oxford</t>
  </si>
  <si>
    <t>ViT-BiLSTM Multimodal Learning for Paediatric ADHD Recognition: Integrating Wearable Sensor Data with Clinical Profiles</t>
  </si>
  <si>
    <t>multimodal deep learning; ADHD prediction; Vision Transformer (ViT); accelerometer-based activity data; cross-attention fusion</t>
  </si>
  <si>
    <t>Wang, Lin/0000-0003-1850-3303</t>
  </si>
  <si>
    <t>OCT 18 2025</t>
  </si>
  <si>
    <t>6459</t>
  </si>
  <si>
    <t>10.3390/s25206459</t>
  </si>
  <si>
    <t>http://dx.doi.org/10.3390/s25206459</t>
  </si>
  <si>
    <t>9BZ2Y</t>
  </si>
  <si>
    <t>41157512</t>
  </si>
  <si>
    <t>WOS:001602721500001</t>
  </si>
  <si>
    <t>Pan, YF; Zhao, FM; Chen, XJ; Ren, JJ</t>
  </si>
  <si>
    <t>Background: Sarcopenia, an age-related syndrome marked by progressive loss of skeletal muscle mass and function, is associated with frailty, disability, falls, and increased mortality among older adults. However, existing diagnostic methods, such as dual-energy X-ray absorptiometry (DXA) and physical performance tests, are often inaccessible in routine clinical practice due to equipment and time constraints. Objective: This study aimed to develop and validated a multimodal, explainable AI model for identifying sarcopenia using routinely available chest CT scans and outpatient clinical data in older adults. Methods: A total of 290 participants (mean age 67.6 +/- 5.8 years; 38.9% female) were included. A weakly supervised segmentation framework combining the Segment Anything Model (SAM) and Contrastive Language-Image Pretraining (CLIP) was employed to extract muscle features at the T12 level. Clinical variables, including anthropometric indices, lifestyle behaviors, and biochemical markers, were encoded and fused with imaging-derived features. A multi-layer perceptron (MLP) was trained to classify sarcopenia based on 2019 AWGS criteria. Model interpretability was assessed using SHAP (Shapley Additive Explanations) values. Results: The model achieved an AUC of 0.88 (95% CI: 0.83-0.92), accuracy of 0.85 (95% CI 0.82-0.89), sensitivity of 0.79 (95% CI: 0.70-0.987), and specificity of 0.88 (95% CI: 0.83-0.92). SHAP analysis revealed that gender, total triiodothyronine, creatine kinase, body mass index and creatinine were the most influential predictors. The fusion of weakly supervised learning and multimodal data enabled effective muscle region segmentation and improved diagnostic performance. Conclusion: In summary, we developed and internally validated an explainable multimodal AI model that integrates chest CT-derived muscle features with routine outpatient clinical variables for sarcopenia detection in older adults. The model demonstrated strong diagnostic performance and interpretability, highlighting its potential for opportunistic risk stratification in routine clinical workflows. Future multicenter validation and prospective studies are warranted to confirm its generalizability and long-term clinical utility.</t>
  </si>
  <si>
    <t>Pan, Yunfei; Zhao, Feimin; Chen, Xiaojun; Ren, Jingjing</t>
  </si>
  <si>
    <t>Ren, JJ (corresponding author), Zhejiang Univ, Affiliated Hosp 1, Dept Gen Med, Sch Med, Hangzhou, Peoples R China.</t>
  </si>
  <si>
    <t>3204092@zju.edu.cn</t>
  </si>
  <si>
    <t>Zhejiang medicine and health science and technology project [2023KY312]</t>
  </si>
  <si>
    <t>Zhejiang medicine and health science and technology project</t>
  </si>
  <si>
    <t>Funding This work was supported by Zhejiang medicine and health science and technology project under Grant No. 2023KY312.</t>
  </si>
  <si>
    <t>[Pan, Yunfei] Zhejiang Univ, Affiliated Huzhou Hosp, Sch Med, Dept Gen Med, Huzhou, Peoples R China; [Zhao, Feimin] Huzhou Cent Hosp, Dept Geriatr Med, Huzhou, Peoples R China; [Chen, Xiaojun] Zhejiang Univ, RealDoctor AI Res Ctr, Hangzhou, Peoples R China; [Ren, Jingjing] Zhejiang Univ, Affiliated Hosp 1, Dept Gen Med, Sch Med, Hangzhou, Peoples R China</t>
  </si>
  <si>
    <t>Zhejiang University; Huzhou Normal University; Zhejiang University; Zhejiang University</t>
  </si>
  <si>
    <t>Multimodal AI Model for Sarcopenia Detection: Integrating Chest CT and Clinical Parameters in Older Adults</t>
  </si>
  <si>
    <t>CLINICAL INTERVENTIONS IN AGING</t>
  </si>
  <si>
    <t>sarcopenia; deep learning; chest CT; multimodal fusion; segment anything model; CLIP; SHAP; older adults; weakly supervised learning</t>
  </si>
  <si>
    <t>1178-1998</t>
  </si>
  <si>
    <t>CLIN INTERV AGING</t>
  </si>
  <si>
    <t>Clin. Interv. Aging</t>
  </si>
  <si>
    <t>590955</t>
  </si>
  <si>
    <t>10.2147/CIA.S590955</t>
  </si>
  <si>
    <t>http://dx.doi.org/10.2147/CIA.S590955</t>
  </si>
  <si>
    <t>GW7BG</t>
  </si>
  <si>
    <t>42027806</t>
  </si>
  <si>
    <t>WOS:001746849300001</t>
  </si>
  <si>
    <t>Jodlowska-Siewert, E; Liu, LM; Yang, KF; Ostroushko, D; Lutsey, PL; Chekouo, T; Safo, SE</t>
  </si>
  <si>
    <t>Background: Mild cognitive impairment (MCI) is an intermediate stage between normal aging and Alzheimer's disease (AD). Because there is no treatment for AD, it is vital to establish which patients are at a higher risk of disease progression, and might benefit from early intervention. Objective: This study investigates whether a score based on clusters of MRI and lipidomic variables can predict the time to moderate progression in MCI. Methods: We analyzed MRI and lipidomics data from 480 individuals with MCI (mean age 72.14 years, range 55-90 years). Moderate progression was defined as a &gt;= 2.5-point increase in the Clinical Dementia Rating Scale Sum of Boxes (baseline mean CDR-SB of 1.2, range 0-10 points). Multi-source data integration and clustering methods were used to derive predictive scores. Results: The MRI-based score outperformed the lipidomics score (c-index: 0.754 versus 0.666). A 1-unit increase in the MRI score was linked to a 13% higher risk of moderate progression. Individuals in the top 25% of MRI scores had a 3-fold greater risk of decline. Conclusions: An MRI-based score offers a simple, effective tool to predict moderate MCI progression and identify high-risk individuals for AD.</t>
  </si>
  <si>
    <t>Jodlowska-Siewert, Elzbieta; Liu, Limeng; Yang, Kaifeng; Ostroushko, Denis; Lutsey, Pamela L.; Chekouo, Thierry; Safo, Sandra E.</t>
  </si>
  <si>
    <t>Jodlowska-Siewert, E; Safo, SE (corresponding author), Univ Minnesota, Sch Publ Hlth, Div Biostat &amp; Hlth Data Sci, 2221 Univ Ave SE,Suite 200, Minneapolis, MN 55414 USA.</t>
  </si>
  <si>
    <t>ssafo@umn.edu; jodlowska.elzbieta@gmail.com</t>
  </si>
  <si>
    <t>National Heart, Lung, and Blood Institute [K24 HL159246]; National Institute of General Medical Sciences [1R35GM142695, R35GM150537]</t>
  </si>
  <si>
    <t>National Heart, Lung, and Blood Institute; National Institute of General Medical Sciences</t>
  </si>
  <si>
    <t>The authors disclosed receipt of the following financial support for the research, authorship, and/or publication of this article: Sandra E. Safo and Elzbieta Jodlowska-Siewert were partially supported by the National Institute of General Medical Sciences (NIGMS) of the National Institutes of Health (NIH) under Award Number 1R35GM142695. Thierry Chekouo was partially supported by the NIGMS of the NIH under Award Number R35GM150537. Pamela L. Lutsey is partially supported by NHLBI K24 HL159246. These findings do not represent the views of the funding agencies.</t>
  </si>
  <si>
    <t>[Jodlowska-Siewert, Elzbieta; Liu, Limeng; Yang, Kaifeng; Ostroushko, Denis; Chekouo, Thierry; Safo, Sandra E.] Univ Minnesota, Sch Publ Hlth, Div Biostat &amp; Hlth Data Sci, 2221 Univ Ave SE,Suite 200, Minneapolis, MN 55414 USA; [Lutsey, Pamela L.] Univ Minnesota, Sch Publ Hlth, Div Epidemiol &amp; Community Hlth, Minneapolis, MN USA</t>
  </si>
  <si>
    <t>University of Minnesota System; University of Minnesota Twin Cities; University of Minnesota System; University of Minnesota Twin Cities; University of Minnesota Hospital</t>
  </si>
  <si>
    <t>Alzheimers Dis Neuroimaging Initiative</t>
  </si>
  <si>
    <t>A score based on MRI imaging variables can predict time to moderate progression in mild cognitive impairment: Multimodal data integration study</t>
  </si>
  <si>
    <t>Alzheimer's disease; Alzheimer's Disease Neuroimaging Initiative; data integration; lipidomics data; magnetic resonance imaging; mild cognitive impairment</t>
  </si>
  <si>
    <t>POSTERIOR CINGULATE GYRUS; CORTICAL THICKNESS; DEMENTIA; LANGUAGE; DISEASE; ASSOCIATION; CONTRIBUTES; SIGNATURE; DIAGNOSIS; ATROPHY</t>
  </si>
  <si>
    <t>113</t>
  </si>
  <si>
    <t>377</t>
  </si>
  <si>
    <t>10.1177/13872877261469162</t>
  </si>
  <si>
    <t>http://dx.doi.org/10.1177/13872877261469162</t>
  </si>
  <si>
    <t>NA5CY</t>
  </si>
  <si>
    <t>42541425</t>
  </si>
  <si>
    <t>WOS:001837999200001</t>
  </si>
  <si>
    <t>Balaji, N; Sathya, V; Sirenjeevi, P; Sarveshwaran, V</t>
  </si>
  <si>
    <t>Neuroimaging technologies such as magnetic resonance imaging (MRI), functional MRI (fMRI), and positron emission tomography (PET) play a critical role in diagnosing and monitoring neurological disorders. However, the growing scale and complexity of multimodal neuroimaging data, combined with the strict privacy requirements in healthcare, pose significant barriers to centralized machine learning approaches. This research work proposes a Federated Multimodal Transformer (FMT) architecture that aims to improve predictive modeling in distributed medical centers while maintaining data privacy. By utilizing attention-weighted fusion mechanisms, the model combines structural MRI (sMRI), resting-state fMRI (rs-fMRI), and diffusion MRI (dMRI) modalities to learn intricate inter-modal interactions. The architecture employs homomorphic encryption (HE) in secure federated learning protocols. Benchmarked on benchmark datasets and compared with recent state-of-theart models like FedHealthNet, MMFL, and MedFuseFL, the introduced FMT has the best accuracy of 92.80% and AUC of 0.964, surpassing the current methods by as much as 7.4% in accuracy and 5.4% in AUC. These results validate the efficacy and robustness of FMT in processing privacy-sensitive, multimodal neuroimaging tasks.</t>
  </si>
  <si>
    <t>Balaji, N.; Sathya, V.; Sirenjeevi, P.; Sarveshwaran, Velliangiri</t>
  </si>
  <si>
    <t>Sarveshwaran, V (corresponding author), SRM Inst Sci &amp; Technol, Dept Computat Intelligence, Kattankulathur 603203, Tamil Nadu, India.</t>
  </si>
  <si>
    <t>velliangiris@gmail.com</t>
  </si>
  <si>
    <t>[Balaji, N.] SRM Inst Sci &amp; Technol, Dept Math, Kattankulathur 603203, TN, India; [Sathya, V.] Vel Tech Rangarajan Dr Sagunthala R&amp;D Inst Science, Dept CSE, Chennai 600062, India; [Sirenjeevi, P.] St Josephs Coll Engn, Dept Informat Technol, Chennai, Tamil Nadu, India; [Sarveshwaran, Velliangiri] SRM Inst Sci &amp; Technol, Dept Computat Intelligence, Kattankulathur 603203, Tamil Nadu, India</t>
  </si>
  <si>
    <t>SRM Institute of Science &amp; Technology Chennai; Vel Tech Rangarajan Dr Sagunthala R&amp;D Institute of Science &amp; Technology; St. Joseph's College of Engineering, Chennai; SRM Institute of Science &amp; Technology Chennai</t>
  </si>
  <si>
    <t>Secure Federated Multimodal Learning with Attention-Weighted Transformers and Homomorphic Encryption for Privacy-Preserving Neuroimaging Analysis</t>
  </si>
  <si>
    <t>Alzheimer'sDisease; FederatedLearning; ExplainableAI; MultimodalFusion; Transformer; HomomorphicEncryption; AttentionMechanism</t>
  </si>
  <si>
    <t>Velliangiri, Sarveshwaran/A-1239-2019; Pullaiah, Sirenjeevi/LKJ-8332-2024</t>
  </si>
  <si>
    <t>Velliangiri, Sarveshwaran/0000-0001-9273-8181</t>
  </si>
  <si>
    <t>SEP 1 2026</t>
  </si>
  <si>
    <t>110550</t>
  </si>
  <si>
    <t>10.1016/j.bspc.2026.110550</t>
  </si>
  <si>
    <t>http://dx.doi.org/10.1016/j.bspc.2026.110550</t>
  </si>
  <si>
    <t>IH0FP</t>
  </si>
  <si>
    <t>WOS:001771482800001</t>
  </si>
  <si>
    <t>Han, KT; Zhou, CH; Zeng, LY; Lai, XY; Liang, B; Xu, ZF; Yang, YJ</t>
  </si>
  <si>
    <t>Objectives: Achieving a pathological complete response (pCR) following neoadjuvant chemoradiotherapy (nCRT) in patients with locally advanced rectal cancer (LARC) enables organ preservation and may obviate the need for radical surgery. This study aimed to develop an interpretable magnetic resonance imaging (MRI)-based clinical deep learning radiomics (DLR) model to noninvasively predict treatment response before therapy. Material and methods: This retrospective cohort enrolled 180 LARC patients who received surgery following nCRT at a tertiary care center. And then they were assigned into a training cohort (Center 1, n = 92) and an external validation cohort (Centers 2 and 3, n = 88) for model development and independent evaluation. In total, 428 quantitative radiomics features and 320 deep learning (DL) features (from ResNet50, GoogLeNet, ResNet18, and VGG16) were obtained per patient from pre-nCRT and post-nCRT T2-weighted (T2WI) and diffusion-weighted imaging (DWI) sequences. The predictive performance of the model was quantified by the area under the receiver operating characteristic curve (AUC), and differences among models were statistically assessed with the DeLong test. To enhance interpretability, the Shapley Additive explanations (SHAP) analysis and Gradientweighted Class Activation Mapping (Grad-CAM) approach were employed to validate and visualize the contribution of individual features. Results: The DLR fusion model, which integrated radiomics features with ResNet50-derived deep learning features, demonstrated higher predictive performance for pCR in LARC patients after nCRT, yielding AUCs of 0.838 in the training cohort and 0.786 in the external validation cohort-surpassing the performance of other DLR models. The clinical DLR (CDLR) model achieved higher performance (AUCs: 0.923 and 0.866, respectively). SHAP analysis highlighted DL_26_T2WI_post as a key predictor of pCR. Conclusion: The interpretable CDLR fusion model based on pre-nCRT and post-nCRT multiparametric MRI offers a reliable, noninvasive approach for the prediction of pCR in LARC patients after receiving nCRT and shows potential for guiding individualized clinical decision-making.</t>
  </si>
  <si>
    <t>Han, Kaiting; Zhou, Caihong; Zeng, Lingyu; Lai, Xiaoyu; Liang, Bo; Xu, Zhifeng; Yang, Yunjun</t>
  </si>
  <si>
    <t>Xu, ZF; Yang, YJ (corresponding author), Southern Univ Sci &amp; Technol, Peoples Hosp Foshan 1, Sch Med, Dept Radiol,Foshan Hosp, Foshan, Peoples R China.</t>
  </si>
  <si>
    <t>yangyunjun111@163.com; xuzf83@126.com</t>
  </si>
  <si>
    <t>Science and technology innovation project of Foshan [2420001004459]; Medical Scientific Research Foundation of Guangdong Province [B2025808]</t>
  </si>
  <si>
    <t>Science and technology innovation project of Foshan; Medical Scientific Research Foundation of Guangdong Province</t>
  </si>
  <si>
    <t>We appreciate the Onekey AI platform for their code consultation of this study. This study was supported in part by Science and technology innovation project of Foshan (2420001004459) , Medical Scientific Research Foundation of Guangdong Province (B2025808) .</t>
  </si>
  <si>
    <t>[Han, Kaiting; Lai, Xiaoyu; Xu, Zhifeng; Yang, Yunjun] Southern Univ Sci &amp; Technol, Peoples Hosp Foshan 1, Sch Med, Dept Radiol,Foshan Hosp, Foshan, Peoples R China; [Zhou, Caihong] Yuebei Peoples Hosp, Dept Radiol, Shaoguan, Peoples R China; [Zeng, Lingyu; Liang, Bo] Maoming Peoples Hosp, Dept MRI, Maoming, Peoples R China</t>
  </si>
  <si>
    <t>Southern University of Science &amp; Technology; Shantou University</t>
  </si>
  <si>
    <t>MRI-driven multimodal deep learning approach for predicting pathological complete response after neoadjuvant chemoradiotherapy in locally advanced rectal cancer: A multicenter study</t>
  </si>
  <si>
    <t>EJSO</t>
  </si>
  <si>
    <t>Radiomics; Deep learning; Rectal cancer; Neoadjuvant chemoradiotherapy; Pathological complete response</t>
  </si>
  <si>
    <t>0748-7983</t>
  </si>
  <si>
    <t>1532-2157</t>
  </si>
  <si>
    <t>EJSO-EUR J SURG ONC</t>
  </si>
  <si>
    <t>111796</t>
  </si>
  <si>
    <t>10.1016/j.ejso.2026.111796</t>
  </si>
  <si>
    <t>http://dx.doi.org/10.1016/j.ejso.2026.111796</t>
  </si>
  <si>
    <t>GY0NG</t>
  </si>
  <si>
    <t>41996781</t>
  </si>
  <si>
    <t>WOS:001747762900001</t>
  </si>
  <si>
    <t>Aksu, F; Gelardi, F; Chiti, A; Soda, P</t>
  </si>
  <si>
    <t>Accurate classification of histological subtypes of non-small cell lung cancer (NSCLC) is essential in the era of precision medicine, yet current invasive techniques are not always feasible and may lead to clinical complications. This study presents MINT, a Multi-stage INTermediate fusion approach to classify NSCLC subtypes from CT and PET images. Our method integrates the two modalities at different stages of feature extraction, using voxel-wise fusion to exploit complementary information across varying abstraction levels while preserving spatial correlations. We compare our method against unimodal approaches using only CT or PET images to demonstrate the benefits of modality fusion, and further benchmark it against early and late fusion techniques to highlight the advantages of intermediate fusion during feature extraction. Additionally, we compare our model with the only existing intermediate fusion method for histological subtype classification using PET/CT images. Our results demonstrate that the proposed method outperforms all alternatives across key metrics, with an accuracy and AUC equal to 0.724 and 0.681, respectively. This non-invasive approach has the potential to significantly improve diagnostic accuracy, facilitate more informed treatment decisions, and advance personalized care in lung cancer management.</t>
  </si>
  <si>
    <t>Aksu, Fatih; Gelardi, Fabrizia; Chiti, Arturo; Soda, Paolo</t>
  </si>
  <si>
    <t>Soda, P (corresponding author), Umea Univ, Dept Diag &amp; Intervent, Radiat Phys, Umea, Sweden.</t>
  </si>
  <si>
    <t>fatih.aksu@st.hunimed.eu; gelardi.fabrizia@hsr.it; chiti.arturo@hsr.it; paolo.soda@umu.se</t>
  </si>
  <si>
    <t>PNRR MUR project [PE0000013-FAIR]; PRIN 2022 MUR [20228MZFAA-AIDA, CUP C53D23003620008]; PRIN PNRR 2022 MUR [P2022P3CXJ-PICTURE, CUP C53D23009280001]; Swedish Research Council [2022-06725, 2018-05973]</t>
  </si>
  <si>
    <t>PNRR MUR project; PRIN 2022 MUR (Ministry of Education, Universities and Research (MIUR), Research Projects of National Relevance (PRIN)); PRIN PNRR 2022 MUR (Ministry of Education, Universities and Research (MIUR), Research Projects of National Relevance (PRIN)); Swedish Research Council (Swedish Research Council)</t>
  </si>
  <si>
    <t>Fatih Aksu is a Ph.D. student enrolled in the National PhD in Artificial Intelligence, XXXVII cycle, course on Health and life sciences, organized by University Campus Bio-Medico di Roma. This work was partially supported by : (i) PNRR MUR project PE0000013-FAIR, (ii) PRIN 2022 MUR 20228MZFAA-AIDA (CUP C53D23003620008) , (iii) PRIN PNRR 2022 MUR P2022P3CXJ-PICTURE (CUP C53D23009280001) , (iv) PNRR-MCNT2-2023-12377755. Resources are provided by the Swedish National Academic Infrastructure for Supercomputing and by National Infrastructure for Computing (SNIC) at Alvis @ C3SE, funded by the Swedish Research Council through grant agreements no. 2022-06725 and no. 2018-05973.</t>
  </si>
  <si>
    <t>[Aksu, Fatih] Humanitas Univ, Dept Biomed Sci, Milan, Italy; [Gelardi, Fabrizia; Chiti, Arturo] Univ Vita Salute San Raffaele, Milan, Italy; [Gelardi, Fabrizia; Chiti, Arturo] IRCCS Osped San Raffaele, Milan, Italy; [Soda, Paolo] Univ Campus Biomed Roma, Dept Engn, Unit Comp Syst &amp; Bioinformat, Rome, Italy; [Soda, Paolo] Umea Univ, Dept Diag &amp; Intervent, Radiat Phys, Umea, Sweden</t>
  </si>
  <si>
    <t>Humanitas University; Vita-Salute San Raffaele University; Vita-Salute San Raffaele University; IRCCS Ospedale San Raffaele; University Campus Bio-Medico - Rome Italy; Umea University</t>
  </si>
  <si>
    <t>Multi-stage intermediate fusion for multimodal learning to classify non-small cell lung cancer subtypes from CT and PET</t>
  </si>
  <si>
    <t>PATTERN RECOGNITION LETTERS</t>
  </si>
  <si>
    <t>Medical image analysis; Multimodal deep learning; Intermediate fusion; Multi-stage fusion; Histological subtype classification</t>
  </si>
  <si>
    <t>CLASSIFICATION; IMPACT; STAGE</t>
  </si>
  <si>
    <t>gelardi, fabrizia/AAB-7339-2022; Chiti, Arturo/K-6524-2016</t>
  </si>
  <si>
    <t>Aksu, Fatih/0000-0001-5677-2024; gelardi, fabrizia/0000-0001-7120-333X; Chiti, Arturo/0000-0002-5806-1856</t>
  </si>
  <si>
    <t>0167-8655</t>
  </si>
  <si>
    <t>1872-7344</t>
  </si>
  <si>
    <t>PATTERN RECOGN LETT</t>
  </si>
  <si>
    <t>Pattern Recognit. Lett.</t>
  </si>
  <si>
    <t>193</t>
  </si>
  <si>
    <t>86</t>
  </si>
  <si>
    <t>93</t>
  </si>
  <si>
    <t>10.1016/j.patrec.2025.04.001</t>
  </si>
  <si>
    <t>http://dx.doi.org/10.1016/j.patrec.2025.04.001</t>
  </si>
  <si>
    <t>2HA8G</t>
  </si>
  <si>
    <t>WOS:001482467000001</t>
  </si>
  <si>
    <t>Yin, H; Li, L; Huang, GH; Yang, QH; Gan, DH; Zhu, SQ; Huang, FR</t>
  </si>
  <si>
    <t>Manual microscopic examination of blood smears presents reliability and efficiency challenges. Existing automated methods predominantly rely on whole-image analysis, limiting the quantitative assessment of blast cell proportions. This study proposes an automated framework integrating microscopic hyperspectral imaging (MHSI) with deep learning to precisely classify blood smears as normal, acute myeloid leukemia (AML), or acute lymphoblastic leukemia (ALL). We acquired hyperspectral data from 110 blood smears, applied U2-Net to segment individual cells, and for each cell extracted both spectral features and 63 phenotypic features (morphology, texture, color). To address class imbalance, we introduced data augmentation using a Wasserstein generative adversarial network with gradient penalty (WGAN-GP), and found that two one-dimensional convolutional neural network (1D-CNN) models (1D-GoogLeNet and 1D-ResNet) both achieved their best performance on a Balanced dataset in which class distributions were equalized. For spectral features, 1D-ResNet performed best, yielding a cellular-level classification accuracy of 89.52 %, while for phenotypic features, 1DGoogLeNet performed best, with an accuracy of 89.05 %. Based on the 1D-ResNet and 1D-GoogLeNet architectures, we further conducted a systematic evaluation of three multimodal fusion strategies: data-level fusion, feature-level fusion, and decision-level fusion. The results showed that the data-level fusion model achieved a cellular-level classification accuracy of 85.24 %, and the feature-level fusion model achieved 89.52 %, whereas decision-level fusion outperformed both, with the best model reaching a cellular-level classification accuracy of 94.76 %. In an external validation set of 15 independent clinical samples, the model achieved 92.90 % accuracy at the cellular level and, by quantifying the proportions of different white blood cell (WBC) types, reached 100 % accuracy at the smear level. This study demonstrates that integrating MHSI technology with quantitative cell proportion analysis provides an efficient and accurate automated approach for leukemia diagnosis, offering new insights into leukemia classification.</t>
  </si>
  <si>
    <t>Yin, Hai; Li, Li; Huang, Gehua; Yang, Qihang; Gan, Danhui; Zhu, Siqi; Huang, Furong</t>
  </si>
  <si>
    <t>Zhu, SQ; Huang, FR (corresponding author), Jinan Univ, Dept Optoelect Engn, Guangzhou 510632, Guangdong, Peoples R China.; Gan, DH (corresponding author), Jinan Univ, Affiliated Hosp 1, Guangzhou 510630, Guangdong, Peoples R China.</t>
  </si>
  <si>
    <t>miya_gan@foxmail.com; furong_huang@jnu.edu.cn; tzhusiqi@jnu.edu.cn</t>
  </si>
  <si>
    <t>Guizhou Province Science and Technology Support Program (Qian Science and Technology Support) [[2024] General Project 108]; Guangdong Basic and Applied Basic Research Foundation [2024A1515010002]; National Natural Science Foundation of China [61975069]; Bijie City New Building Materials and Smart Construction Scientist Workstation (BiKeHe Platform) [9]</t>
  </si>
  <si>
    <t>Guizhou Province Science and Technology Support Program (Qian Science and Technology Support); Guangdong Basic and Applied Basic Research Foundation (Guangdong Basic and Applied Basic Research Foundation); National Natural Science Foundation of China (National Natural Science Foundation of China (NSFC)); Bijie City New Building Materials and Smart Construction Scientist Workstation (BiKeHe Platform)</t>
  </si>
  <si>
    <t>This work was supported by the Guizhou Province Science and Technology Support Program (Qian Science and Technology Support [2024] General Project 108) ; Guangdong Basic and Applied Basic Research Foundation (2024A1515010002) ; the National Natural Science Foundation of China (61975069) ; Bijie City New Building Materials and Smart Construction Scientist Workstation (BiKeHe Platform [2025] No. 9) .</t>
  </si>
  <si>
    <t>[Yin, Hai; Huang, Gehua; Yang, Qihang; Zhu, Siqi; Huang, Furong] Jinan Univ, Dept Optoelect Engn, Guangzhou 510632, Guangdong, Peoples R China; [Li, Li; Gan, Danhui] Jinan Univ, Affiliated Hosp 1, Guangzhou 510630, Guangdong, Peoples R China; [Zhu, Siqi; Huang, Furong] Guangdong Prov Key Lab Opt Fiber Sensing &amp; Commun, Guangzhou 510632, Guangdong, Peoples R China; [Zhu, Siqi; Huang, Furong] Jinan Univ, Int Cooperat Joint Lab Optoelect Hybrid Integrated, Guangzhou 510632, Guangdong, Peoples R China</t>
  </si>
  <si>
    <t>Jinan University; Jinan University; Jinan University</t>
  </si>
  <si>
    <t>An automated classification method for acute leukemia in blood smears based on microscopic hyperspectral imaging and multimodal deep learning</t>
  </si>
  <si>
    <t>SENSORS AND ACTUATORS B-CHEMICAL</t>
  </si>
  <si>
    <t>Microscopic hyperspectral imaging (MHSI); Acute leukemia; Deep learning; Blood smears; Data fusion</t>
  </si>
  <si>
    <t>HEALTH-ORGANIZATION CLASSIFICATION</t>
  </si>
  <si>
    <t>0925-4005</t>
  </si>
  <si>
    <t>SENSOR ACTUAT B-CHEM</t>
  </si>
  <si>
    <t>Sens. Actuator B-Chem.</t>
  </si>
  <si>
    <t>FEB 1 2026</t>
  </si>
  <si>
    <t>448</t>
  </si>
  <si>
    <t>139048</t>
  </si>
  <si>
    <t>10.1016/j.snb.2025.139048</t>
  </si>
  <si>
    <t>http://dx.doi.org/10.1016/j.snb.2025.139048</t>
  </si>
  <si>
    <t>Chemistry, Analytical; Electrochemistry; Instruments &amp; Instrumentation</t>
  </si>
  <si>
    <t>Chemistry; Electrochemistry; Instruments &amp; Instrumentation</t>
  </si>
  <si>
    <t>9PO6I</t>
  </si>
  <si>
    <t>WOS:001611983300001</t>
  </si>
  <si>
    <t>Shivasree, Y; Ravisankar, V</t>
  </si>
  <si>
    <t>This study proposes an end-to-end multimodal learning framework for early skin disease detection, incorporating both their spatial, temporal, and semantic information across heterogeneous patient data. The framework is composed of three key modules: (i)EfficientNet-B4 that extracts rich visual features from dermoscopic images, (ii) aBiLSTM enhanced with temporal attentionto model symptom evolvement from sensor-based time-series signals, and (iii) ClinicalBERT, a domain-specific transformer that generates contextual embeddings from patient clinical narratives. Modality-specific features are combined with a multi-head cross-attention mechanism to aggregate inter-dependency of input patterns and then fed into a Graph Attention Network (GAT) to capture inter-patient relationships according to feature affinity. This joint framework produces context-aware representations that can be used for classification. Experimental results show that the model can achieve predictive accuracy of 89.6 % and F1-score of 0.886 on average, which is superior to the state-of-the-art CNN-based baselines. Through simultaneously optimizing spatial detail, temporal dynamics, and clinical context, the Proposed SkinHarmoNet Model provides reliable and interpretable predictions, and its performance establishes the new state-of-the-art for multimodal dermatologic AI in a clinical setting. center dot Multimodal fusion: spatial, temporal, and semantic Modalities center dot Cross-attention and GAT: enhanced interaction of features center dot High performance: 89.6\ % accuracy, F1= 0.886</t>
  </si>
  <si>
    <t>Shivasree, Yerrabati; Ravisankar, V.</t>
  </si>
  <si>
    <t>Shivasree, Y (corresponding author), GITAM Deemed Univ, Dept Comp Sci &amp; Engn, Hyderabad, Telangana, India.</t>
  </si>
  <si>
    <t>syerraba@gitam.in</t>
  </si>
  <si>
    <t>GITAM Deemed to be University, Hyderabad</t>
  </si>
  <si>
    <t>The authors gratefully acknowledge the support of the GITAM Deemed to be University, Hyderabad. The authors are thankful to their colleagues, friends, and families for their constant support and encouragement.</t>
  </si>
  <si>
    <t>[Shivasree, Yerrabati; Ravisankar, V.] GITAM Deemed Univ, Dept Comp Sci &amp; Engn, Hyderabad, Telangana, India</t>
  </si>
  <si>
    <t>Gandhi Institute of Technology &amp; Management (GITAM)</t>
  </si>
  <si>
    <t>Design of an iterative hybrid multimodal deep learning method for early skin disease detection with cross-attention and graph-based fusions</t>
  </si>
  <si>
    <t>Skin disease detection; Multimodal learning; Clinicalbert; Temporal attention; Graph neural networks; Scenarios</t>
  </si>
  <si>
    <t>103584</t>
  </si>
  <si>
    <t>10.1016/j.mex.2025.103584</t>
  </si>
  <si>
    <t>http://dx.doi.org/10.1016/j.mex.2025.103584</t>
  </si>
  <si>
    <t>6ZT3D</t>
  </si>
  <si>
    <t>40949827</t>
  </si>
  <si>
    <t>WOS:001565897200004</t>
  </si>
  <si>
    <t>Liu, ST; Qin, P; Wang, ZY; Liu, Y</t>
  </si>
  <si>
    <t>Purpose: Strokes are severe cardiovascular and circulatory diseases with two main types: ischemic and hemorrhagic. Clinically, brain images such as computed tomography (CT) and computed tomography angiography (CTA) are widely used to recognize stroke types. However, few studies have combined imaging and clinical data to classify stroke or consider a factor as an Independent etiology. Methods: In this work, we propose a classification model that automatically distinguishes stroke types with hypertension as an independent etiology based on brain imaging and clinical data. We first present a preprocessing workflow for head axial CT angiograms, including noise reduction and feature enhancement of the images, followed by an extraction of regions of interest. Next, we develop a multi-scale feature fusion model that combines the location information of position features and the semantic information of deep features. Furthermore, we integrate brain imaging with clinical information through a multimodal learning model to achieve more reliable results. Results: Experimental results show our proposed models outperform state-of-the-art models on real imaging and clinical data, which reveals the potential of multimodal learning in brain disease diagnosis. Conclusion: The proposed methodologies can be extended to create AI-driven diagnostic assistance technology for categorizing strokes.</t>
  </si>
  <si>
    <t>Liu, Shuting; Qin, Pan; Wang, Zeyuan; Liu, Yi</t>
  </si>
  <si>
    <t>Liu, Y (corresponding author), Dalian Univ Technol, Cent Hosp, Dalian 116033, Liaoning, Peoples R China.</t>
  </si>
  <si>
    <t>liushuting@mail.dlut.edu.cn</t>
  </si>
  <si>
    <t>Dalian Science Innovation Project [2021JJ13SN64]; Dalian Key Specialties in Medicine ''Summit Plan''-Neuro-medicine Center [2023ZZ010]; LiaoNing Revitalization Talents Program [XLYC 1807083]</t>
  </si>
  <si>
    <t>Dalian Science Innovation Project; Dalian Key Specialties in Medicine ''Summit Plan''-Neuro-medicine Center; LiaoNing Revitalization Talents Program (Liaoning Revitalization Talents Program)</t>
  </si>
  <si>
    <t>This work was supported by the Dalian Science Innovation Project (grant number 2021JJ13SN64), Dalian Key Specialties in Medicine ''Summit Plan''-Neuro-medicine Center (grant number 2023ZZ010), and LiaoNing Revitalization Talents Program (grant number XLYC 1807083).</t>
  </si>
  <si>
    <t>[Liu, Shuting; Qin, Pan; Wang, Zeyuan] Dalian Univ Technol, Sch Control Sci &amp; Engn, Dalian 116024, Liaoning, Peoples R China; [Liu, Yi] Dalian Univ Technol, Cent Hosp, Dalian 116033, Liaoning, Peoples R China</t>
  </si>
  <si>
    <t>Dalian University of Technology; Dalian University of Technology</t>
  </si>
  <si>
    <t>Improved hypertensive stroke classification based on multi-scale feature fusion of head axial CT angiogram and multimodal learning</t>
  </si>
  <si>
    <t>PHYSICA MEDICA-EUROPEAN JOURNAL OF MEDICAL PHYSICS</t>
  </si>
  <si>
    <t>Feature extraction; Computed tomography angiography; Multimodal learning; Stroke classification</t>
  </si>
  <si>
    <t>HEMORRHAGE DETECTION; RACIAL-DIFFERENCES</t>
  </si>
  <si>
    <t>, Zeyuan/0009-0000-0669-1701; Qin, Pan/0000-0003-0545-3044; Liu, Yi/0000-0002-6835-3713</t>
  </si>
  <si>
    <t>1120-1797</t>
  </si>
  <si>
    <t>1724-191X</t>
  </si>
  <si>
    <t>PHYS MEDICA</t>
  </si>
  <si>
    <t>Phys. Medica</t>
  </si>
  <si>
    <t>103359</t>
  </si>
  <si>
    <t>10.1016/j.ejmp.2024.103359</t>
  </si>
  <si>
    <t>http://dx.doi.org/10.1016/j.ejmp.2024.103359</t>
  </si>
  <si>
    <t>ST8Q6</t>
  </si>
  <si>
    <t>38688073</t>
  </si>
  <si>
    <t>WOS:001236793600001</t>
  </si>
  <si>
    <t>Sun, QQ; Zhang, Q; Xiao, YB; Pei, XH</t>
  </si>
  <si>
    <t>Introduction Breast cancer brain metastases (BCBMs) represent a severe neurological complication affecting 10-20% of patients with metastatic breast cancer, with significant implications for treatment planning and prognosis. Accurate determination of hormone receptor (HR) status is critical for guiding personalized therapeutic strategies. However, traditional biopsy-based assessment is invasive, carries procedural risks, and may not capture the molecular heterogeneity of multiple metastatic lesions. Non-invasive methods for predicting HR status from brain MRI could transform clinical practice, yet existing approaches face three critical limitations: incomplete information utilization from single-modal features, ignored biological correlations among hormone receptors, and underexploited anatomical position information.Methods We developed a novel multi-modal deep learning (DL) framework leveraging the BCBM-RadioGenomics dataset from The Cancer Imaging Archive (TCIA), comprising 268 MRI studies from 165 patients with expert-validated tumor segmentations, 107 PyRadiomics-derived radiomic features, and clinical HR status. Our framework introduces three key methodological components: (1) a three-modal complementary fusion architecture integrating 3D DL features extracted from tumor regions of interest using a 3D ResNet, radiomic features, and anatomical position encoding representing tumor location through hemisphere and brain region one-hot encoding; (2) a multi-task collaborative learning framework with hard parameter sharing to simultaneously predict ER, PR, and HER2 status, employing a weighted loss function to address class imbalance; and (3) a lesion-level sampling strategy to maximize data utilization while preventing data leakage.Results The proposed model achieved area under the curve (ROC-AUC) values of 0.8763 +/- 0.0393 for HER2, 0.8621 +/- 0.0304 for ER, and 0.8993 +/- 0.0192 for PR prediction, outperforming traditional machine learning baselines. The multi-task learning framework demonstrated improvements for the challenging PR prediction task, while the three-modal fusion architecture consistently outperformed single-modal approaches across all tasks.Discussion This study demonstrates the feasibility and clinical potential of non-invasive molecular profiling of BCBMs using a multi-modal DL approach. These findings might offer a promising tool for treatment planning and patient management, reducing the need for invasive biopsies while enabling more accurate and comprehensive molecular characterization of brain metastases.</t>
  </si>
  <si>
    <t>Sun, Qiqi; Zhang, Qiong; Xiao, Yabo; Pei, Xiaohua</t>
  </si>
  <si>
    <t>Pei, XH (corresponding author), Beijing Univ Chinese Med, Affiliated Hosp 3, Beijing, Peoples R China.; Pei, XH (corresponding author), Beijing Univ Chinese Med, Sch Clin Med, Beijing, Peoples R China.; Pei, XH (corresponding author), Xiamen Hosp Tradit Chinese Med, Xiamen, Peoples R China.</t>
  </si>
  <si>
    <t>pxh_127@163.com</t>
  </si>
  <si>
    <t>Clinical Collaboration Project for Major and Difficult Diseases of Integrated Traditional Chinese and Western Medicine [ZDYN-2024-A-080]</t>
  </si>
  <si>
    <t>Clinical Collaboration Project for Major and Difficult Diseases of Integrated Traditional Chinese and Western Medicine</t>
  </si>
  <si>
    <t>The author(s) declared that financial support was received for this work and/or its publication. This work was supported by the Clinical Collaboration Project for Major and Difficult Diseases of Integrated Traditional Chinese and Western Medicine (Grant No. ZDYN-2024-A-080).</t>
  </si>
  <si>
    <t>[Sun, Qiqi; Zhang, Qiong; Pei, Xiaohua] Beijing Univ Chinese Med, Affiliated Hosp 3, Beijing, Peoples R China; [Sun, Qiqi; Zhang, Qiong; Pei, Xiaohua] Beijing Univ Chinese Med, Sch Clin Med, Beijing, Peoples R China; [Xiao, Yabo] Beijing Univ Posts &amp; Telecommun, Sch Elect Engn, Beijing, Peoples R China; [Pei, Xiaohua] Xiamen Hosp Tradit Chinese Med, Xiamen, Peoples R China</t>
  </si>
  <si>
    <t>Beijing University of Chinese Medicine; Beijing University of Chinese Medicine; Beijing University of Posts &amp; Telecommunications</t>
  </si>
  <si>
    <t>Prediction of hormone receptor status in breast cancer brain metastases using an MRI-based multimodal deep learning framework</t>
  </si>
  <si>
    <t>FRONTIERS IN HUMAN NEUROSCIENCE</t>
  </si>
  <si>
    <t>anatomical position encoding; breast cancer brain metastases; hormone receptor prediction; MRI; multi-modal DL; multi-task learning; radiomics</t>
  </si>
  <si>
    <t>1662-5161</t>
  </si>
  <si>
    <t>FRONT HUM NEUROSCI</t>
  </si>
  <si>
    <t>Front. Hum. Neurosci.</t>
  </si>
  <si>
    <t>JUN 15 2026</t>
  </si>
  <si>
    <t>1858163</t>
  </si>
  <si>
    <t>10.3389/fnhum.2026.1858163</t>
  </si>
  <si>
    <t>http://dx.doi.org/10.3389/fnhum.2026.1858163</t>
  </si>
  <si>
    <t>Neurosciences; Psychology</t>
  </si>
  <si>
    <t>Neurosciences &amp; Neurology; Psychology</t>
  </si>
  <si>
    <t>KG4IX</t>
  </si>
  <si>
    <t>42376235</t>
  </si>
  <si>
    <t>WOS:001806353300001</t>
  </si>
  <si>
    <t>Liu, BG; Zhang, FJ; Guo, JM; Lu, W; Zhu, ZJ; Liu, Y; Yin, CW</t>
  </si>
  <si>
    <t>Objective: To develop a multimodal artificial intelligence (AI) fusion model predicting abnormal fetal brain development from magnetic resonance imaging (MRI). Methods: Using fetal brain MRI data and clinical indicators from pregnant women (from January 2021 to December 2023), who were split 7:3 into training and validation sets. In the training set, key predictors were identified via univariate analysis and multivariate logistic regression, including both clinical indicators and continuous MRI biometric parameters. Three multimodal AI fusion models,including Convolutional Neural Network-Recurrent Neural Network (CNN-RNN) model, attention mechanism-based model, and feature concatenation model were developed. Performance was assessed by accuracy, precision, recall, F1-score, and the area under the receiver operating characteristic curve (AUC). Results: Among the total 806 participants, 108 cases (19.15 %) had fetal brain abnormalities in the training set (n = 564), 45 cases (18.59 %) in the validation set (n = 242). Multivariate logistic regression analysis showed that gestational age, gestational diabetes mellitus, alpha-fetoprotein, lateral ventricular width, and sulcation development score were independent risk factors for fetal brain abnormalities. The attention mechanism fusion model achieved the highest AUC in both the training set (0.876) and the validation set (0.869), significantly outperforming the CNN-RNN fusion model (AUC in training set: 0.776; AUC in validation set: 0.718) and the feature concatenation fusion model (AUC in training set: 0.754; AUC in validation set: 0.720). Conclusion: The multimodal AI fusion model, particularly using attention mechanisms, effectively identifies high-risk fetal brain abnormalities, offering potential for early clinical intervention and improved prenatal counseling to enhance detection and prognosis of neurological disorders.</t>
  </si>
  <si>
    <t>Liu, BingGuang; Zhang, FangJing; Guo, JiMin; Lu, Wei; Zhu, ZhiJun; Liu, Yang; Yin, ChenWang</t>
  </si>
  <si>
    <t>Liu, BG (corresponding author), Southern Med Univ, Shenzhen Matern &amp; Child Healthcare Hosp, Women &amp; Childrens Med Ctr, Dept Radiol, 2004 Hongli Rd, Shenzhen, Guangdong, Peoples R China.</t>
  </si>
  <si>
    <t>18923835825@163.com</t>
  </si>
  <si>
    <t>[Liu, BingGuang; Zhang, FangJing; Guo, JiMin; Lu, Wei; Zhu, ZhiJun; Liu, Yang; Yin, ChenWang] Southern Med Univ, Shenzhen Matern &amp; Child Healthcare Hosp, Women &amp; Childrens Med Ctr, Dept Radiol, 2004 Hongli Rd, Shenzhen, Guangdong, Peoples R China</t>
  </si>
  <si>
    <t>Shenzhen Maternity &amp; Child Healthcare Hospital; Southern Medical University - China</t>
  </si>
  <si>
    <t>Construction and clinical validation of a fetal brain magnetic resonance imaging-prediction model based on multimodal AI fusion algorithm</t>
  </si>
  <si>
    <t>BRAIN &amp; DEVELOPMENT</t>
  </si>
  <si>
    <t>Fetal cranium; Magnetic resonance imaging; Artificial intelligence; Prediction model; Clinical validation</t>
  </si>
  <si>
    <t>Liu, Bingguang/PGS-9353-2026</t>
  </si>
  <si>
    <t>Liu, Bingguang/0009-0007-8708-6036</t>
  </si>
  <si>
    <t>0387-7604</t>
  </si>
  <si>
    <t>1872-7131</t>
  </si>
  <si>
    <t>BRAIN DEV-JPN</t>
  </si>
  <si>
    <t>Brain Dev.</t>
  </si>
  <si>
    <t>104492</t>
  </si>
  <si>
    <t>10.1016/j.braindev.2025.104492</t>
  </si>
  <si>
    <t>http://dx.doi.org/10.1016/j.braindev.2025.104492</t>
  </si>
  <si>
    <t>Clinical Neurology; Pediatrics</t>
  </si>
  <si>
    <t>Neurosciences &amp; Neurology; Pediatrics</t>
  </si>
  <si>
    <t>W7950</t>
  </si>
  <si>
    <t>41380657</t>
  </si>
  <si>
    <t>WOS:001639960700001</t>
  </si>
  <si>
    <t>Wang, TJ; Zhu, QL; Yu, TX; Leonov, D; Shi, XR; Zhou, ZH; Lv, K; Xiao, MS; Li, JC</t>
  </si>
  <si>
    <t>Objectives: To propose a multimodal deep learning method for the classification of benign and malignant breast non-mass lesions (NMLs) using grayscale and color Doppler ultrasound and to compare the performance of multi-modality and single-modality breast ultrasound (BUS) models. Methods: This retrospective study collected 248 pathologically confirmed NMLs from 241 female patients comprising grayscale and color Doppler BUS images from March 2018 to November 2024. Three types of convolutional neural networks (CNNs), including ResNet50, ResNet18, and VGG16, were evaluated as single-modality (grayscale or color Doppler) models via five-fold cross-validations. The optimal model for each single-modality approach was chosen as the backbone network for multimodal deep learning. Features extracted from grayscale and color Doppler BUS images were then concatenated to predict the probabilities of benignity and malignancy. The diagnostic efficacy of the multi-modality BUS models was comparatively evaluated against single-modality counterparts. Results: The single-modality VGG16 models outperformed the other two CNN types for both grayscale and color Doppler BUS using five-fold cross-validations. Additionally, single-modality grayscale models outperformed single-modality color Doppler models. With a mean accuracy of 91.54%, sensitivity of 94.15%, specificity of 87.30%, F1 score of 0.93, and area under the receiver operating characteristic curve (AUC) of 0.96, the multimodal VGG16 models performed better than single-modality counterparts. Conclusions: VGG 16-based multimodal ultrasound deep learning showed excellent diagnostic efficacy in distinguishing between benign and malignant NMLs, indicating therapeutic potential to help radiologists assess NMLs.</t>
  </si>
  <si>
    <t>Wang, Tianjiao; Zhu, Qingli; Yu, Tianxiang; Leonov, Denis; Shi, Xinran; Zhou, Zhuhuang; Lv, Ke; Xiao, Mengsu; Li, Jianchu</t>
  </si>
  <si>
    <t>Xiao, MS; Li, JC (corresponding author), Chinese Acad Med Sci &amp; Peking Union Med Coll, Peking Union Med Coll Hosp, Dept Ultrasound, Beijing 100730, Peoples R China.</t>
  </si>
  <si>
    <t>lvke@163.com; wangtianjiao_19@163.com; zqlpumch@126.com; ytx_pedestrian@163.com; zhouzh@bjut.edu.cn; xiaomengsu_2000@sina.com; jianchuli_0301@163.com; strat89@mail.ru; shixinran09@163.com</t>
  </si>
  <si>
    <t>National High Level Hospital Clinical Research Funding [2022-PUMCH-B-065]; National Natural Science Foundation of China [82171967]</t>
  </si>
  <si>
    <t>National High Level Hospital Clinical Research Funding; National Natural Science Foundation of China (National Natural Science Foundation of China (NSFC))</t>
  </si>
  <si>
    <t>This research was funded by the National Natural Science Foundation of China (grant number: 82171967) and the National High Level Hospital Clinical Research Funding (grant number: 2022-PUMCH-B-065).</t>
  </si>
  <si>
    <t>[Wang, Tianjiao; Zhu, Qingli; Lv, Ke; Xiao, Mengsu; Li, Jianchu] Chinese Acad Med Sci &amp; Peking Union Med Coll, Peking Union Med Coll Hosp, Dept Ultrasound, Beijing 100730, Peoples R China; [Yu, Tianxiang; Shi, Xinran; Zhou, Zhuhuang] Beijing Univ Technol, Coll Chem &amp; Life Sci, Dept Biomed Engn, Beijing 100124, Peoples R China; [Leonov, Denis] Moscow Hlth Care Dept, Res &amp; Pract Clin Ctr Diagnost &amp; Telemed Technol, Res &amp; Educ Lab, Moscow 127051, Russia; [Leonov, Denis] Moscow Power Engn Inst, Dept Fundamentals Radio Engn, Moscow 111250, Russia; [Leonov, Denis] Russian Acad Sci, Fed Res Ctr Comp Sci &amp; Control, Dept 41, Moscow 119333, Russia</t>
  </si>
  <si>
    <t>Chinese Academy of Medical Sciences - Peking Union Medical College; Peking Union Medical College; Peking Union Medical College Hospital; Beijing University of Technology; Moscow Power Engineering Institute; Russian Academy of Sciences; Federal Research Center Computer Science &amp; Control of RAS</t>
  </si>
  <si>
    <t>Multimodal Deep Learning-Based Classification of Breast Non-Mass Lesions Using Gray Scale and Color Doppler Ultrasound</t>
  </si>
  <si>
    <t>breast disease; breast non-mass lesion; ultrasound imaging; artificial intelligence; computer-aided diagnosis</t>
  </si>
  <si>
    <t>SHEAR-WAVE ELASTOGRAPHY; DIFFERENTIAL-DIAGNOSIS</t>
  </si>
  <si>
    <t>Wang, Tianjiao/KHZ-7567-2024; ZHU, QINGLI/ITU-6591-2023; Leonov, Denis/HPH-4318-2023; Zhou, Zhuhuang/M-3301-2019</t>
  </si>
  <si>
    <t>Lv, Ke/0000-0001-8779-9860; Leonov, Denis/0000-0003-0916-6552; Zhou, Zhuhuang/0000-0003-0570-8473</t>
  </si>
  <si>
    <t>NOV 22 2025</t>
  </si>
  <si>
    <t>2967</t>
  </si>
  <si>
    <t>10.3390/diagnostics15232967</t>
  </si>
  <si>
    <t>http://dx.doi.org/10.3390/diagnostics15232967</t>
  </si>
  <si>
    <t>R4077</t>
  </si>
  <si>
    <t>41374348</t>
  </si>
  <si>
    <t>WOS:001635561700001</t>
  </si>
  <si>
    <t>Zhang, YN; Pei, YG; Meng, T; Wang, Y; Zhong, Y; Liang, YX</t>
  </si>
  <si>
    <t>The prediction of treatment resistance in myeloperoxidase (MPO)-anti-neutrophil cytoplasmic antibody (ANCA)-associated vasculitis (MPO-AAV) with lung involvement is critical, as a significant number of patients develop resistance to existing therapies, resulting in more severe consequences. Previous methods leverage radiomics analysis to extract features from CT images, which are then combined with clinical information for prediction. However, these methods rely on radiologists to manually delineate regions of interest (ROIs) for CT images, a process that is time-consuming and labor-intensive, and their performance is constrained by a simple linear fusion of radiomic features and clinical information. In this paper, we propose a novel multimodal learning method for predicting treatment resistance in MPO-AAV with lung involvement. We first introduce the lesion-aware re-embedding (LARE) module and the cross-slice interaction (CSI) module to adapt the powerful vision foundation model (VFM) for extracting visual representation from CT images, thereby eliminating the dependence on lesion ROIs during inference. Furthermore, we utilize Transformer to extract high-level semantic information from raw clinical data and incorporate a learnable multimodal feature fusion module (MFFM) to enhance the interaction and integration of multimodal features. We construct experiments on a dual-center dataset. The experimental results show that our proposed method achieves superior performance, exceeding previous methods by a clear margin. Additionally, we visualize the perception map of lesion ROIs generated by the LARE module and assess the importance of clinical attributes, qualitatively analyzing the performance of the proposed method. The code and trained models are publicly available at https://github.com/CVIU-CSU/PTRNet.</t>
  </si>
  <si>
    <t>Zhang, Yinan; Pei, Yigang; Meng, Ting; Wang, Yu; Zhong, Yong; Liang, Yixiong</t>
  </si>
  <si>
    <t>Zhong, Y; Liang, YX (corresponding author), Cent South Univ, Sch Comp Sci &amp; Engn, Changsha 410083, Hunan, Peoples R China.</t>
  </si>
  <si>
    <t>zhongyong121@csu.edu.cn; yxliang@csu.edu.cn</t>
  </si>
  <si>
    <t>Health Commission of Hunan Province [A202303050036]; 'YiluqihangShenmingyuanyang' Medical Development and Scientific Research Fund project on Kidney Diseases [SMYY202 20301001, kq2402227]</t>
  </si>
  <si>
    <t>Health Commission of Hunan Province; 'YiluqihangShenmingyuanyang' Medical Development and Scientific Research Fund project on Kidney Diseases</t>
  </si>
  <si>
    <t>This manuscript was supported in part by the National Key Research and Development Program of China under Grant 2023YFC3904201, the Natural Science Foundation of China under Grant 62473385, the Key Research and Development Program of Hunan Province under Grant 2023SK2029, the Natural Science Foundation of Hunan Province, China under Grant 2024JJ5444 and 2023JJ30699, the Healthcare Commission Project of Hunan Province under Grant 20233006, the Project ofHealth Commission of Hunan Province under Grant A202303050036, the 'YiluqihangShenmingyuanyang' Medical Development and Scientific Research Fund project on Kidney Diseases under Grant SMYY202 20301001, the Changsha Municipal Natural Science Foundation der Grant kq2402227. The authors wish to acknowledge the High Performance Computing Center of Central South University for computational resources.</t>
  </si>
  <si>
    <t>[Zhang, Yinan; Zhong, Yong; Liang, Yixiong] Cent South Univ, Sch Comp Sci &amp; Engn, Changsha 410083, Hunan, Peoples R China; [Pei, Yigang; Wang, Yu] Cent South Univ, XiangYa Hosp, Dept Radiol, Changsha 410008, Hunan, Peoples R China; [Pei, Yigang] Cent South Univ, Xiangya Hosp, Natl Clin Res Ctr Geriatr Disorders, Changsha 410083, Hunan, Peoples R China; [Meng, Ting; Zhong, Yong] Cent South Univ, Xiangya Hosp, Dept Nephrol, Changsha 410083, Hunan, Peoples R China; [Zhong, Yong] Cent South Univ, Xiangya Hosp, Key Lab Biol Nanotechnol, Natl Hlth Commiss, Changsha 410083, Hunan, Peoples R China; [Zhong, Yong] Hunan Int Sci &amp; Technol Cooperat Base Diag &amp; Treat, Changsha 410083, Hunan, Peoples R China</t>
  </si>
  <si>
    <t>Central South University; Central South University; Central South University; Central South University; Central South University</t>
  </si>
  <si>
    <t>A novel multimodal learning method for predicting treatment resistance in MPO-AAV with lung involvement</t>
  </si>
  <si>
    <t>Treatment resistance in MPO-AAV; Multimodal learning method; Vision foundation model; Lesion-aware re-embedding; Multimodal feature fusion</t>
  </si>
  <si>
    <t>ANTIBODY-ASSOCIATED VASCULITIS; RELAPSE; GRANULOMATOSIS; CLASSIFICATION; SYSTEM; CT</t>
  </si>
  <si>
    <t>, Yixiong/AAQ-2023-2020</t>
  </si>
  <si>
    <t>MAY 15 2026</t>
  </si>
  <si>
    <t>109643</t>
  </si>
  <si>
    <t>10.1016/j.bspc.2026.109643</t>
  </si>
  <si>
    <t>http://dx.doi.org/10.1016/j.bspc.2026.109643</t>
  </si>
  <si>
    <t>CY3RU</t>
  </si>
  <si>
    <t>WOS:001677351600001</t>
  </si>
  <si>
    <t>Maki, S; Furuya, T; Katsumi, K; Nakajima, H; Honjoh, K; Watanabe, S; Kaito, T; Takenaka, S; Kanie, Y; Iwasaki, M; Furuya, M; Inoue, G; Miyagi, M; Ikeda, S; Imagama, S; Nakashima, H; Ito, S; Takahashi, H; Kawaguchi, Y; Futakawa, H; Murata, K; Yoshii, T; Hirai, T; Koda, M; Ohtori, S; Yamazaki, M</t>
  </si>
  <si>
    <t>Study Design. A retrospective analysis. Objective. This research sought to develop a predictive model for surgical outcomes in patients with cervical ossification of the posterior longitudinal ligament (OPLL) using deep learning and machine learning (ML) techniques. Summary of Background Data. Determining surgical outcomes assists surgeons in communicating prognosis to patients and setting their expectations. Deep learning and ML are computational models that identify patterns from large data sets and make predictions. Methods. Of the 482 patients, 288 patients were included in the analysis. A minimal clinically important difference (MCID) was defined as gain in Japanese Orthopaedic Association (JOA) score of 2.5 points or more. The predictive model for MCID achievement at 1 year postsurgery was constructed using patient background, clinical symptoms, and preoperative imaging features (x-ray, CT, MRI) analyzed through LightGBM and deep learning with RadImagenet. Results. The median preoperative JOA score was 11.0 (IQR: 9.0-12.0), which significantly improved to 14.0 (IQR: 12.0-15.0) at 1 year after surgery (P &lt; 0.001, Wilcoxon signed-rank test). The average improvement rate of the JOA score was 44.7%, and 60.1% of patients achieved the MCID. Our model exhibited an area under the receiver operating characteristic curve of 0.81 and the accuracy of 71.9% in predicting MCID at 1 year. Preoperative JOA score and certain preoperative imaging features were identified as the most significant factors in the predictive models. Conclusion. A predictive ML and deep learning model for surgical outcomes in OPLL patients is feasible, suggesting promising applications in spinal surgery. Level of evidence.4</t>
  </si>
  <si>
    <t>Maki, Satoshi; Furuya, Takeo; Katsumi, Keiichi; Nakajima, Hideaki; Honjoh, Kazuya; Watanabe, Shuji; Kaito, Takashi; Takenaka, Shota; Kanie, Yuya; Iwasaki, Motoki; Furuya, Masayuki; Inoue, Gen; Miyagi, Masayuki; Ikeda, Shinsuke; Imagama, Shiro; Nakashima, Hiroaki; Ito, Sadayuki; Takahashi, Hiroshi; Kawaguchi, Yoshiharu; Futakawa, Hayato; Murata, Kazuma; Yoshii, Toshitaka; Hirai, Takashi; Koda, Masao; Ohtori, Seiji; Yamazaki, Masashi</t>
  </si>
  <si>
    <t>Maki, S (corresponding author), Chiba Univ, Grad Sch Med, Dept Orthopaed Surg, 1-8-1 Inohana,Chuou Ku, Chiba, Chiba 2608670, Japan.</t>
  </si>
  <si>
    <t>sohtori@faculty.chiba-u.jp; miwasaki2014@gmail.com; kaz.mur26@gmail.com; yoshii.orth@tmd.ac.jp; shujiw@u-fukui.ac.jp; furuya-takeo@chiba-u.jp; hayato2589hayato@gmail.com; hirai.orth@tmd.ac.jp; satoshimaki@gmail.com; imagama@med.nagoya-u.ac.jp; hirochann@syd.odn.ne.jp; masayuki008@gmail.com; kazuya@u-fukui.ac.jp; ikedashinsuke2020@gmail.com; ginoue@kitasato-u.ac.jp; masaokod@gmail.com; masashiy@md.tsukuba.ac.jp; zenji@med.u-toyama.ac.jp; kkatsu_os@yahoo.co.jp; sadaito@med.nagoya-u.ac.jp; hirospine@med.nagoya-u.ac.jp; nhideaki@u-fukui.ac.jp; takashikaito@gmail.com; show710216@gmail.com; ykanie@ort.med.osaka-u.ac.jp; buruburu19821019@yahoo.co.jp</t>
  </si>
  <si>
    <t>Japanese Orthopedic Association; Japan Agency for Medical Research and Development [JP 22ek0109541]; Japanese Health Labour Sciences Research [40]; JSPS KAKENHI [JP22K16734, 24K12366]; Grants-in-Aid for Scientific Research [23K08666, 22K16763] Funding Source: KAKEN</t>
  </si>
  <si>
    <t>Japanese Orthopedic Association; Japan Agency for Medical Research and Development (Japan Agency for Medical Research and Development (AMED)); Japanese Health Labour Sciences Research; JSPS KAKENHI (Ministry of Education, Culture, Sports, Science and Technology, Japan (MEXT), Japan Society for the Promotion of Science, Grants-in-Aid for Scientific Research (KAKENHI)); Grants-in-Aid for Scientific Research (Ministry of Education, Culture, Sports, Science and Technology, Japan (MEXT), Japan Society for the Promotion of Science, Grants-in-Aid for Scientific Research (KAKENHI))</t>
  </si>
  <si>
    <t>This work was supported by a research grant funded by the Japanese Orthopedic Association, Japan Agency for Medical Research and Development Grant Number JP 22ek0109541, Japanese Health Labour Sciences Research Grant Number 40, and JSPS KAKENHI Grant Number JP22K16734 and 24K12366</t>
  </si>
  <si>
    <t>[Maki, Satoshi; Furuya, Takeo; Ohtori, Seiji] Chiba Univ, Grad Sch Med, Dept Orthopaed Surg, 1-8-1 Inohana,Chuou Ku, Chiba, Chiba 2608670, Japan; [Maki, Satoshi; Furuya, Takeo; Katsumi, Keiichi; Nakajima, Hideaki; Honjoh, Kazuya; Watanabe, Shuji; Kaito, Takashi; Takenaka, Shota; Kanie, Yuya; Iwasaki, Motoki; Furuya, Masayuki; Inoue, Gen; Miyagi, Masayuki; Ikeda, Shinsuke; Imagama, Shiro; Nakashima, Hiroaki; Ito, Sadayuki; Takahashi, Hiroshi; Kawaguchi, Yoshiharu; Futakawa, Hayato; Murata, Kazuma; Yoshii, Toshitaka; Hirai, Takashi; Koda, Masao; Ohtori, Seiji; Yamazaki, Masashi] Japanese Soc Thrombosis &amp; Hemostasis, Tokyo, Japan; [Katsumi, Keiichi] Niigata Univ, Med &amp; Dent Gen Hosp, Dept Orthoped Surg, Chuo Ku, Niigata, Japan; [Nakajima, Hideaki; Honjoh, Kazuya; Watanabe, Shuji] Univ Fukui, Fac Med Sci, Dept Orthopaed &amp; Rehabil Med, Fukui, Japan; [Kaito, Takashi; Takenaka, Shota; Kanie, Yuya; Furuya, Masayuki] Osaka Univ, Grad Sch Med, Dept Orthoped Surg, Suita, Osaka, Japan; [Kaito, Takashi; Iwasaki, Motoki] Osaka Rosai Hosp, Dept Orthoped Surg, Sakai, Osaka, Japan; [Takenaka, Shota] JCHO Osaka Hosp, Dept Otorhinolaryngol, Fukushima Ku, Osaka 5530003, Japan; [Inoue, Gen; Miyagi, Masayuki; Ikeda, Shinsuke] Kitasato Univ, Sch Med, Dept Orthopead Surg, Sagamihara, Kanagawa 2288555, Japan; [Imagama, Shiro; Nakashima, Hiroaki; Ito, Sadayuki] Nagoya Univ, Grad Sch Med, Dept Orthopaed Surg, Nagoya, Aichi, Japan; [Takahashi, Hiroshi; Koda, Masao; Yamazaki, Masashi] Univ Tsukuba, Inst Med, Dept Orthopaed Surg, Ibaraki, Japan; [Kawaguchi, Yoshiharu; Futakawa, Hayato] Toyama Univ, Fac Med, Dept Orthoped Surg, Toyama 9300194, Japan; [Murata, Kazuma] Tokyo Med Univ, Dept Orthoped Surg, Shinjuku Ku, Tokyo, Japan; [Yoshii, Toshitaka; Hirai, Takashi] Tokyo Med &amp; Dent Univ, Dept Orthoped Surg, Bunkyo Ku, Tokyo, Japan</t>
  </si>
  <si>
    <t>Chiba University; Niigata University; University of Fukui; University of Osaka; Osaka Rosai Hospital; Kitasato University; Nagoya University; University of Tsukuba; University of Toyama; Tokyo Medical University; Institute of Science Tokyo; Tokyo Medical &amp; Dental University (TMDU)</t>
  </si>
  <si>
    <t>Multimodal Deep Learning-based Radiomics Approach for Predicting Surgical Outcomes in Patients with Cervical Ossification of the Posterior Longitudinal Ligament</t>
  </si>
  <si>
    <t>SPINE</t>
  </si>
  <si>
    <t>Cervical ossification of the posterior longitudinal ligament (OPLL); deep learning; machine learning; predictive modeling</t>
  </si>
  <si>
    <t>SAGITTAL ALIGNMENT; MYELOPATHY; SURGERY; LAMINOPLASTY; IMPACT</t>
  </si>
  <si>
    <t>Kanie, Yuya/OBO-1739-2025; Kaito, Takashi/AAJ-3892-2020; Yamazaki, Masashi/OEO-0749-2025; Yoshii, Toshitaka/HTL-9865-2023; IMAGAMA, Shiro/I-7419-2014; 宏彰, 中島/AAM-6809-2021; Ikeda, Shinsuke/AAH-4092-2020</t>
  </si>
  <si>
    <t>Kanie, Yuya/0000-0001-5977-1959</t>
  </si>
  <si>
    <t>0362-2436</t>
  </si>
  <si>
    <t>1528-1159</t>
  </si>
  <si>
    <t>NOV 15 2024</t>
  </si>
  <si>
    <t>1561</t>
  </si>
  <si>
    <t>1569</t>
  </si>
  <si>
    <t>10.1097/BRS.0000000000005088</t>
  </si>
  <si>
    <t>http://dx.doi.org/10.1097/BRS.0000000000005088</t>
  </si>
  <si>
    <t>K5W1P</t>
  </si>
  <si>
    <t>38975742</t>
  </si>
  <si>
    <t>WOS:001344566200004</t>
  </si>
  <si>
    <t>Jang, M; Kim, D; Yoon, S; Lee, H</t>
  </si>
  <si>
    <t>Introduction: Firefighters constitute a high-risk occupational cohort for alcohol use disorder (AUD) due to chronic trauma exposure, yet traditional screening methodologies relying on self-report instruments remain compromised by systematic underreporting attributable to occupational stigma and career preservation concerns. This cross-sectional investigation developed and validated a multimodal deep learning framework integrating T1-weighted structural magnetic resonance imaging with standardized neuropsychological assessments to enable objective AUD risk stratification without necessitating computationally intensive functional neuroimaging protocols. Methods: Analysis of 689 active-duty firefighters (mean age 43.3 +/- 8.8 years; 93% male) from a nationwide occupational cohort incorporated high-resolution three-dimensional T1-weighted structural MRI acquisition alongside comprehensive neuropsychological evaluation utilizing the Grooved Pegboard Test for visual-motor coordination assessment and Trail Making Test for executive function quantification. The novel computational architecture synergistically combined ResNet-50 convolutional neural networks for hierarchical morphological feature extraction, Vision Transformer modules for global neuroanatomical pattern recognition, and multilayer perceptron integration of clinical variables, with model interpretability assessed through Gradient-weighted Class Activation Mapping and SHapley Additive exPlanations methodologies. Performance evaluation employed stratified three-fold cross-validation with DeLong's test for statistical comparison of receiver operating characteristic curves. Results: The multimodal framework achieved 79.88% classification accuracy with area under the receiver operating characteristic curve of 79.65%, representing statistically significant performance enhancement relative to clinical-only (62.53%; p&lt;0.001) and neuroimaging-only (61.53%; p&lt;0.001) models, demonstrating a 17.35 percentage-point improvement attributable to synergistic cross-modal integration rather than simple feature concatenation. Interpretability analyses revealed stochastic activation patterns in unimodal neuroimaging models lacking neuroanatomically coherent feature localization, while clinical feature importance hierarchically prioritized biological sex and motor coordination metrics as primary predictive indicators. The framework maintained robust calibration across probability thresholds, supporting operational feasibility for clinical deployment. Discussion: This investigation establishes that structural neuroimaging combined with targeted neuropsychological assessment achieves classification performance comparable to complex multimodal protocols while substantially reducing acquisition time and computational requirements, offering a pragmatic pathway for implementing objective AUD screening in high-risk occupational populations with broader implications for psychiatric risk stratification in trauma-exposed professions.</t>
  </si>
  <si>
    <t>Jang, MyeongGyun; Kim, DongOk; Yoon, Sujung; Lee, Hwamin</t>
  </si>
  <si>
    <t>Lee, H (corresponding author), Korea Univ, Coll Med, Dept Biomed Informat, Seoul, South Korea.; Yoon, S (corresponding author), Ewha Womans Univ, Ewha Brain Inst, Seoul, South Korea.; Yoon, S (corresponding author), Ewha Womans Univ, Dept Brain &amp; Cognit Sci, Seoul, South Korea.</t>
  </si>
  <si>
    <t>hwamin@korea.ac.kr; sujungjyoon@ewha.ac.kr</t>
  </si>
  <si>
    <t>National Research Foundation of Korea [RS-2024-00457381, RS-2024-00440371]</t>
  </si>
  <si>
    <t>The author(s) declare financial support was received for the research and/or publication of this article. This work was supported by the National Research Foundation of Korea (NRF) grant funded by the Korea government (MSIT)(RS-2024-00457381 and RS-2024-00440371).</t>
  </si>
  <si>
    <t>[Jang, MyeongGyun; Kim, DongOk; Lee, Hwamin] Korea Univ, Coll Med, Dept Biomed Informat, Seoul, South Korea; [Yoon, Sujung] Ewha Womans Univ, Ewha Brain Inst, Seoul, South Korea; [Yoon, Sujung] Ewha Womans Univ, Dept Brain &amp; Cognit Sci, Seoul, South Korea</t>
  </si>
  <si>
    <t>Korea University; Korea University Medicine (KU Medicine); Ewha Womans University; Ewha Womans University</t>
  </si>
  <si>
    <t>Predicting alcohol use disorder risk in firefighters using a multimodal deep learning model: a cross-sectional study</t>
  </si>
  <si>
    <t>FRONTIERS IN PSYCHIATRY</t>
  </si>
  <si>
    <t>alcohol use disorder; firefighters; multimodal deep learning; structural MRI; occupational psychiatry; neuroimaging biomarkers</t>
  </si>
  <si>
    <t>FUSION; HEALTH</t>
  </si>
  <si>
    <t>Jang, MyeongGyun/0009-0003-8812-4509</t>
  </si>
  <si>
    <t>1664-0640</t>
  </si>
  <si>
    <t>FRONT PSYCHIATRY</t>
  </si>
  <si>
    <t>Front. Psychiatry</t>
  </si>
  <si>
    <t>NOV 3 2025</t>
  </si>
  <si>
    <t>1643552</t>
  </si>
  <si>
    <t>10.3389/fpsyt.2025.1643552</t>
  </si>
  <si>
    <t>http://dx.doi.org/10.3389/fpsyt.2025.1643552</t>
  </si>
  <si>
    <t>9WR3Y</t>
  </si>
  <si>
    <t>41256950</t>
  </si>
  <si>
    <t>WOS:001616818500001</t>
  </si>
  <si>
    <t>Zhang, RX; Wang, KT; Wang, SW; Wang, CJ; Cao, TT; Ci, C; Xu, MS; Ge, M</t>
  </si>
  <si>
    <t>Background Proper stratification of recurrence risk in breast cancer is crucial for guiding treatment decisions. This study aims to predict the recurrence risk of breast cancer patients using a multimodal deep learning model that integrates multiple sequence MRI imaging features with clinicopathologic characteristics. Methods In this retrospective study, we enrolled 574 patients with non-metastatic invasive breast cancer from two Chinese institutions between September 2012 and July 2019. We developed a multimodal deep learning (MDL) model by constructing a multi-instance learning framework based on convolutional neural networks. We integrated imaging features from T2WI, DWI, and DCE-MRI sequences with clinicopathologic features for breast cancer recurrence risk stratification. Subsequently, the performance of the MDL model was evaluated using receiver operating characteristic (ROC) curves, the Hosmer-Lemeshow test, calibration curves, and decision curve analysis (DCA). Survival analysis was conducted with Kaplan-Meier survival curves to stratify breast cancer patients into high and low-recurrence risk groups. Time-dependent ROC curves were used to assess 3-year, 5-year, and 7-year recurrence-free survival (RFS) for breast cancer patients. Additionally, we performed differential and enrichment analyses on Oncotype DX genes. We correlated these genes with clinicopathologic features and deep-learning radiographic features using univariate Cox regression and Pearson correlation analysis. Results The MDL model demonstrated good performance in predicting breast cancer recurrence risk and accurately differentiated between high- and low-recurrence risk groups, with an AUC as high as 0.915 (95% CI 0.8448-0.9856). The C-index of prediction models was 0.803 in the testing cohort. The AUCs for 5-year and 7-year RFS were 0.936 (95% CI 0.876-0.997) and 0.956 (95% CI 0.902-1.000) in the validation cohort. In the testing cohort, these AUCs were 0.836 (95% CI 0.763-0.909) and 0.783 (95% CI 0.676-0.891). This study found a significant correlation between Oncotype DX gene expression, clinicopathologic features, and deep-learning radiographic features (p &lt; 0.05). Conclusions This study validated the robust predictive accuracy of the MDL model in identifying high- and low-risk groups for recurrence. The correlations identified between Oncotype DX genes, clinicopathologic features, and deep-learning radiographic features offer novel insights for future biomarker research in breast cancer.</t>
  </si>
  <si>
    <t>Zhang, Ruixin; Wang, Kaiting; Wang, Shiwei; Wang, Chunjie; Cao, Tingting; Ci, Ce; Xu, Maosheng; Ge, Min</t>
  </si>
  <si>
    <t>Xu, MS; Ge, M (corresponding author), Zhejiang Chinese Med Univ, Zhejiang Prov Hosp Chinese Med, Dept Radiol, Affiliated Hosp 1, 54 Youdian Rd, Hangzhou, Zhejiang, Peoples R China.; Xu, MS; Ge, M (corresponding author), Zhejiang Chinese Med Univ, Sch Clin Med 1, Hangzhou, Zhejiang, Peoples R China.</t>
  </si>
  <si>
    <t>xums166@zcmu.edu.cn; 20163065@zcmu.edu.cn</t>
  </si>
  <si>
    <t>Medical and Health Science and Technology Plan of Zhejiang Province</t>
  </si>
  <si>
    <t>Not applicable.</t>
  </si>
  <si>
    <t>[Zhang, Ruixin; Wang, Kaiting; Wang, Shiwei; Cao, Tingting; Xu, Maosheng; Ge, Min] Zhejiang Chinese Med Univ, Zhejiang Prov Hosp Chinese Med, Dept Radiol, Affiliated Hosp 1, 54 Youdian Rd, Hangzhou, Zhejiang, Peoples R China; [Zhang, Ruixin; Wang, Kaiting; Wang, Shiwei; Cao, Tingting; Xu, Maosheng; Ge, Min] Zhejiang Chinese Med Univ, Sch Clin Med 1, Hangzhou, Zhejiang, Peoples R China; [Wang, Chunjie] Hangzhou First Peoples Hosp, Dept Radiol, Hangzhou, Zhejiang, Peoples R China; [Ci, Ce] Xiangfu Lab, Jiashan, Zhejiang, Peoples R China</t>
  </si>
  <si>
    <t>Zhejiang Chinese Medical University; Zhejiang Chinese Medical University</t>
  </si>
  <si>
    <t>Multimodal deep learning model for prediction of breast cancer recurrence risk and correlation with oncotype DX</t>
  </si>
  <si>
    <t>BREAST CANCER RESEARCH</t>
  </si>
  <si>
    <t>Breast cancer; Deep learning; Oncotype DX; Recurrence; Survival; Magnetic resonance imaging</t>
  </si>
  <si>
    <t>Tingting, Cao/ABF-8358-2021; Xu, Maosheng/AAA-1426-2022; Zhang, Ruixin/LBI-2317-2024</t>
  </si>
  <si>
    <t>1465-5411</t>
  </si>
  <si>
    <t>1465-542X</t>
  </si>
  <si>
    <t>BREAST CANCER RES</t>
  </si>
  <si>
    <t>Breast Cancer Res.</t>
  </si>
  <si>
    <t>OCT 14 2025</t>
  </si>
  <si>
    <t>10.1186/s13058-025-02129-z</t>
  </si>
  <si>
    <t>http://dx.doi.org/10.1186/s13058-025-02129-z</t>
  </si>
  <si>
    <t>8PP8Q</t>
  </si>
  <si>
    <t>41088266</t>
  </si>
  <si>
    <t>WOS:001594314800001</t>
  </si>
  <si>
    <t>Dentamaro, V; Impedovo, D; Musti, L; Pirlo, G; Taurisano, P</t>
  </si>
  <si>
    <t>Parkinson's is the second most common neurodegenerative disease, affecting nearly 8.5M people and steadily increasing. In this research, Multimodal Deep Learning is investigated for the Prodromal stage detection of Parkinson's Disease (PD), combining different 3D architectures with the novel Excitation Network (EN) and supported by Explainable Artificial Intelligence (XAI) techniques. Utilizing data from the Parkinson's Progression Markers Initiative, this study introduces a joint co-learning approach for multimodal fusion, enabling end-to-end training of deep neural networks and facilitating the learning of complementary information from both imaging and clinical modalities. DenseNet with EN outperformed other models, showing a substantial increase in accuracy when supplemented with clinical data. XAI methods, such as Integrated Gradients for ResNet and DenseNet, and Attention Heatmaps for Vision Transformer (ViT), revealed that DenseNet focused on brain regions believed to be critical to prodromal pathophysiology, including the right temporal and left pre-frontal areas. Similarly, ViT highlighted the lateral ventricles associated with cognitive decline, indicating their potential in the Prodromal stage. These findings underscore the potential of these regions as early-stage PD biomarkers and showcase the proposed framework's efficacy in predicting subtypes of PD and aiding in early diagnosis, paving the way for innovative diagnostic tools and precision medicine.</t>
  </si>
  <si>
    <t>Dentamaro, Vincenzo; Impedovo, Donato; Musti, Luca; Pirlo, Giuseppe; Taurisano, Paolo</t>
  </si>
  <si>
    <t>Dentamaro, V (corresponding author), Univ Bari Aldo Moro, Dipartimento Informat, I-70125 Bari, Italy.</t>
  </si>
  <si>
    <t>vincenzo.dentamaro@uniba.it</t>
  </si>
  <si>
    <t>DARE - DigitAl lifelong pRevEntion [D.D. 931, 06/06/2022, PNC0000002, CUP B53C22006420001]; Complementary National Plan PNC-I.1 "Research initiatives for innovative technologies and pathways in the health and welfare sector"</t>
  </si>
  <si>
    <t>DARE - DigitAl lifelong pRevEntion; Complementary National Plan PNC-I.1 "Research initiatives for innovative technologies and pathways in the health and welfare sector"</t>
  </si>
  <si>
    <t>This research was co-funded by the Complementary National Plan PNC-I.1 "Research initiatives for innovative technologies and pathways in the health and welfare sector" D.D. 931 of 06/06/2022, DARE-DigitAl lifelong pRevEntion initiative, code PNC0000002, CUP B53C22006420001.</t>
  </si>
  <si>
    <t>[Dentamaro, Vincenzo; Impedovo, Donato; Musti, Luca; Pirlo, Giuseppe] Univ Bari Aldo Moro, Dipartimento Informat, I-70125 Bari, Italy; [Taurisano, Paolo] Univ Bari Aldo Moro, Dipartimento Biomed Traslaz &amp; Neurosci DiBraiN, Bari, Italy</t>
  </si>
  <si>
    <t>Universita degli Studi di Bari Aldo Moro; Universita degli Studi di Bari Aldo Moro</t>
  </si>
  <si>
    <t>Enhancing early Parkinson's disease detection through multimodal deep learning and explainable AI: insights from the PPMI database</t>
  </si>
  <si>
    <t>COGNITIVE IMPAIRMENT; DIAGNOSIS; FEATURES; RISK</t>
  </si>
  <si>
    <t>Taurisano, Paolo/U-1828-2017; Dentamaro, Vincenzo/HLP-9943-2023; Pirlo, Giuseppe/I-1967-2012; Musti, Luca/KJL-4546-2024; Impedovo, Donato/S-5864-2019</t>
  </si>
  <si>
    <t>Taurisano, Paolo/0000-0001-6140-9326; Dentamaro, Vincenzo/0000-0003-1148-332X; Musti, Luca/0009-0008-8337-1275</t>
  </si>
  <si>
    <t>SEP 9 2024</t>
  </si>
  <si>
    <t>20941</t>
  </si>
  <si>
    <t>10.1038/s41598-024-70165-4</t>
  </si>
  <si>
    <t>http://dx.doi.org/10.1038/s41598-024-70165-4</t>
  </si>
  <si>
    <t>J1B8M</t>
  </si>
  <si>
    <t>39251639</t>
  </si>
  <si>
    <t>WOS:001334500800020</t>
  </si>
  <si>
    <t>Koyner, JL; Martin, J; Carey, KA; Caskey, J; Edelson, DP; Mayampurath, A; Dligach, D; Afshar, M; Churpek, MM</t>
  </si>
  <si>
    <t>Background Prior models for the early identification of AKI have used structured data (e.g., vital signs and laboratory values). We aimed to develop and validate a deep learning model to predict moderate to severe AKI by combining structured data and information from unstructured notes. Methods Adults (18 years or older) admitted to the University of Wisconsin (2009-2020) and the University of Chicago Medicine (2016-2022) were eligible for inclusion. Patients were excluded if they had no documented serum creatinine (SCr), ESKD, an admission SCr &gt;= 3.0 mg/dl, developed &gt;= stage 2 AKI before reaching the wards or intensive care unit, or required dialysis (KRT) within the first 48 hours. Text from unstructured notes was mapped to standardized concept unique identifiers to create predictor variables, and structured data variables were also included. An intermediate fusion deep learning recurrent neural network architecture was used to predict &gt;= stage 2 AKI within the next 48 hours. This multimodal model was developed in the first 80% of the data and temporally validated in the next 20%. Results There were 339,998 admissions in the derivation cohort and 84,581 in the validation cohort, with 12,748 (3%) developing &gt;= stage 2 AKI. Patients with &gt;= stage 2 AKI were older, more likely to be male, had higher baseline SCr, and were more commonly in the intensive care unit (P &lt; 0.001 for all). The multimodal model outperformed a model based only on structured data for all outcomes, with an area under the receiver operating characteristic curve (95% confidence interval) of 0.88 (0.88 to 0.88) for predicting &gt;= stage 2 AKI and 0.93 (0.93 to 0.94) for receiving KRT. The area under the precision-recall-curve for &gt;= stage 2 AKI was 0.20. The results were similar during external validation. Conclusions We developed and validated a multimodal deep learning model using structured and unstructured data that predicts the development of severe AKI across the hospital stay for earlier intervention.</t>
  </si>
  <si>
    <t>Koyner, Jay L.; Martin, Jennie; Carey, Kyle A.; Caskey, John; Edelson, Dana P.; Mayampurath, Anoop; Dligach, Dmitriy; Afshar, Majid; Churpek, Matthew M.</t>
  </si>
  <si>
    <t>Koyner, JL (corresponding author), Univ Chicago, Dept Med, Chicago, IL 60637 USA.</t>
  </si>
  <si>
    <t>jkoyner@bsd.uchicago.edu</t>
  </si>
  <si>
    <t>National Institute of Diabetes and Digestive and Kidney Diseases</t>
  </si>
  <si>
    <t>National Institute of Diabetes and Digestive and Kidney Diseases (United States Department of Health &amp; Human Services, National Institutes of Health (NIH) - USA, NIH National Institute of Diabetes &amp; Digestive &amp; Kidney Diseases (NIDDK))</t>
  </si>
  <si>
    <t>The authors thank Madeline Oguss for her administrative support. Additionally, we are grateful to Graham Willis and Micheal Chao of UW and Soma Choudhary and John Moses of the University of Chicago for their technical assistance on this project and the clinical implementation of this risk score.</t>
  </si>
  <si>
    <t>[Koyner, Jay L.; Carey, Kyle A.; Edelson, Dana P.] Univ Chicago, Dept Med, Chicago, IL 60637 USA; [Martin, Jennie; Caskey, John; Mayampurath, Anoop; Afshar, Majid; Churpek, Matthew M.] Univ Wisconsin Madison, Dept Med, Madison, WI USA; [Mayampurath, Anoop; Afshar, Majid; Churpek, Matthew M.] Univ Wisconsin Madison, Dept Biostat &amp; Med Informat, Madison, WI USA; [Dligach, Dmitriy] Loyola Univ Chicago, Dept Comp Sci, Chicago, IL USA</t>
  </si>
  <si>
    <t>University of Chicago; University of Wisconsin System; University of Wisconsin Madison; University of Wisconsin System; University of Wisconsin Madison; Loyola University Chicago</t>
  </si>
  <si>
    <t>Multicenter Development and Validation of a Multimodal Deep Learning Model to Predict Moderate to Severe AKI</t>
  </si>
  <si>
    <t>CLINICAL JOURNAL OF THE AMERICAN SOCIETY OF NEPHROLOGY</t>
  </si>
  <si>
    <t>acute kidney failure; AKI; clinical nephrology; dialysis; kidney failure; mortality risk; renal replacement therapy; risk factors; AKI and critical care; biomarkers</t>
  </si>
  <si>
    <t>ACUTE KIDNEY INJURY; SERUM CREATININE; MORTALITY; SYSTEM; RISK</t>
  </si>
  <si>
    <t>Afshar, Majid/AAD-8365-2019</t>
  </si>
  <si>
    <t>Afshar, Majid/0000-0002-6368-4652; Churpek, Matthew/0000-0002-4030-5250; Caskey, John/0000-0001-5665-524X; Mayampurath, Anoop/0000-0002-3010-6960; koyner, jay/0000-0001-6873-8712; Martin, Jennie/0009-0004-8488-2887</t>
  </si>
  <si>
    <t>AMER SOC NEPHROLOGY</t>
  </si>
  <si>
    <t>1401 H Street NW, Suite 900, WASHINGTON, DC 20005, UNITED STATES</t>
  </si>
  <si>
    <t>1555-9041</t>
  </si>
  <si>
    <t>1555-905X</t>
  </si>
  <si>
    <t>CLIN J AM SOC NEPHRO</t>
  </si>
  <si>
    <t>Clin. J. Am. Soc. Nephrol.</t>
  </si>
  <si>
    <t>766</t>
  </si>
  <si>
    <t>778</t>
  </si>
  <si>
    <t>10.2215/CJN.0000000695</t>
  </si>
  <si>
    <t>http://dx.doi.org/10.2215/CJN.0000000695</t>
  </si>
  <si>
    <t>3NT4T</t>
  </si>
  <si>
    <t>40232856</t>
  </si>
  <si>
    <t>WOS:001504732600001</t>
  </si>
  <si>
    <t>Wang, J; Wang, JJ; Peng, YY; Hou, F; Zhang, XC; Jin, H</t>
  </si>
  <si>
    <t>Objective To develop and evaluate a multimodal deep learning model that integrates first- and second-trimester ultrasound images with first-trimester maternal serum biomarkers for early prediction of severe fetal growth restriction (FGR).Materials and methods In this prospective study, 13,991 pregnant women were initially recruited, and after applying inclusion and exclusion criteria, 598 singleton pregnancies (299 with severe FGR and 299 controls) were analyzed. Severe FGR was diagnosed at or after 24 weeks' gestation and defined as an estimated fetal weight (EFW) or abdominal circumference (AC) below the 3rd percentile. Seven ultrasound views were collected (first-trimester crown-rump length, nuchal translucency; second-trimester head and abdominal circumference, femur length, umbilical artery S/D ratio, and amniotic fluid depth), along with maternal age and first-trimester serum markers (PAPP-A and free beta-hCG, expressed as MoM). A convolutional neural network (CNN) with multi-level attention and dynamic convolution modules was trained end-to-end using stochastic gradient descent with cross-entropy loss. Model performance was evaluated with five-fold cross-validation.Results The integrated model achieved high predictive accuracy for severe FGR, with an AUC of approximately 0.96, accuracy of 91%, and F1-score of 0.912. Matthews correlation coefficient (MCC) was 0.798. The model outperformed single-modality baselines, such as a ResNet-50 CNN trained on images alone. Ablation experiments showed that adding maternal serum biomarkers and advanced CNN modules significantly improved performance. The model demonstrated excellent discrimination between severe FGR and control cases, with high sensitivity and precision in classification.Conclusions A deep learning model combining routine ultrasound and first-trimester serum biomarkers can accurately predict severe FGR before clinical signs appear. This model significantly enhances early severe FGR risk stratification and suggests potential for AI-based prediction tools in prenatal care to guide earlier surveillance and intervention.</t>
  </si>
  <si>
    <t>Wang, Jin; Wang, Junjun; Peng, Yingying; Hou, Fei; Zhang, Xinche; Jin, Hua</t>
  </si>
  <si>
    <t>Jin, H (corresponding author), Jinan Matern &amp; Child Care Hosp Affiliated Shandong, Prenatal Diag Ctr, 22029 Jing Shi Rd, Shizhong Dist, Jinan 250000, Shandong, Peoples R China.</t>
  </si>
  <si>
    <t>prenatal123@163.com</t>
  </si>
  <si>
    <t>Shandong Province Medical and Health Science and Technology Project [202305020433]; the Science and Technology Development Project of Jinan [202430065, 202328021]; Ji Nan Health High-Caliber Talent Project [202512]</t>
  </si>
  <si>
    <t>Shandong Province Medical and Health Science and Technology Project; the Science and Technology Development Project of Jinan; Ji Nan Health High-Caliber Talent Project</t>
  </si>
  <si>
    <t>This research was funded by the Science and Technology Development Project of Jinan (No. 202430065, 202328021), the Shandong Province Medical and Health Science and Technology Project (No.202305020433) and the Ji Nan Health High-Caliber Talent Project (No.202512).</t>
  </si>
  <si>
    <t>[Wang, Jin; Peng, Yingying; Hou, Fei; Jin, Hua] Jinan Matern &amp; Child Care Hosp Affiliated Shandong, Prenatal Diag Ctr, Jinan, Peoples R China; [Wang, Junjun] Jinan Matern &amp; Child Care Hosp Affiliated Shandong, Ultrasound Dept, Jinan, Peoples R China; [Peng, Yingying; Jin, Hua] Shandong First Med Univ, Grad Sch, Jinan, Peoples R China; [Zhang, Xinche] Tsinghua Univ, Sch Biomed Engn, Beijing, Peoples R China; [Jin, Hua] Jinan Matern &amp; Child Care Hosp Affiliated Shandong, Prenatal Diag Ctr, 22029 Jing Shi Rd, Shizhong Dist, Jinan 250000, Shandong, Peoples R China</t>
  </si>
  <si>
    <t>Shandong First Medical University &amp; Shandong Academy of Medical Sciences; Tsinghua University</t>
  </si>
  <si>
    <t>Early detection of severe fetal growth restriction using multimodal deep learning based on ultrasound and prenatal biomarkers</t>
  </si>
  <si>
    <t>ANNALS OF MEDICINE</t>
  </si>
  <si>
    <t>Fetal growth restriction; ultrasound; deep learning; multimodal prediction; prenatal screening; serum biomarkers</t>
  </si>
  <si>
    <t>0785-3890</t>
  </si>
  <si>
    <t>1365-2060</t>
  </si>
  <si>
    <t>ANN MED</t>
  </si>
  <si>
    <t>Ann. Med.</t>
  </si>
  <si>
    <t>DEC 31 2026</t>
  </si>
  <si>
    <t>2688297</t>
  </si>
  <si>
    <t>10.1080/07853890.2026.2688297</t>
  </si>
  <si>
    <t>http://dx.doi.org/10.1080/07853890.2026.2688297</t>
  </si>
  <si>
    <t>KP7KY</t>
  </si>
  <si>
    <t>42403100</t>
  </si>
  <si>
    <t>WOS:001812672200001</t>
  </si>
  <si>
    <t>Wu, YJ; Wang, YX; Huang, XS; Wang, HF; Yang, F; Sun, WW; Su, SW; Ling, SH</t>
  </si>
  <si>
    <t>This paper focuses on the task of survival time analysis for lung cancer. Despite significant progress in recent years, the performance of existing methods is still far from satisfactory. Traditional and some deep learning- based approaches for lung cancer survival time analysis primarily rely on textual clinical information such as staging, age, and histology, etc. Unlike these existing methods that predicting on the single modality, we observe that human clinicians usually consider multimodal data, such as textual clinical parameters and visual scans when estimating survival time. Motivated by this observation, we propose Lite-ProSENet, a smart cross-modality network for survival analysis that simulates human decision-making. Specifically, Lite-ProSENet adopts a two-tower architecture that takes the clinical parameters and the CT scans as inputs to produce survival prediction. The textural tower is responsible for modeling the clinical parameters. We build alight transformer using multi-head self-attention as our textural tower. The visual tower, ProSENet, is designed to extract features from CT scans. The backbone of ProSENet is a 3D ResNet that works together with several repeatable building blocks named 3D-SE Resblocks for compact feature extraction. Our 3D-SE Resblock is composed of a 3D channel "Squeeze-and-Excitation"(SE) block and a temporal SE block. The purpose of 3D-SE Resblock is to adaptively select valuable features from CT scans. Besides, to further filter out the redundant information in the CT scans, we developed a simple yet effective frame difference mechanism, which boost the performance of our model to achieve new state-of-the-art results. Extensive experiments were conducted using data from 422 NSCLC patients from The Cancer Imaging Archive (TCIA). The results show that our Lite-ProSENet outperforms favorably against all comparison methods and achieves anew state-of-the-art concordance score of 89.3%. Our code is available at: https://github.com/wangyxxjtu/Lite_ProTrans.</t>
  </si>
  <si>
    <t>Wu, Yujiao; Wang, Yaxiong; Huang, Xiaoshui; Wang, Haofei; Yang, Fan; Sun, Wenwen; Su, Steven W.; Ling, Sai Ho</t>
  </si>
  <si>
    <t>Su, SW (corresponding author), Shandong First Med Univ, Coll Med Informat &amp; Artificial Intelligence, Tai An, Shandong, Peoples R China.</t>
  </si>
  <si>
    <t>Steve.Ling@uts.edu.au; yangfan@wpeony.com; wangyx@hfut.edu.cn; huangxiaoshui@sjtu.edu.cn; suweidong@sdfmu.edu.cn; wanghf@pcl.ac.cn; yujiao.wu@csiro.au; 412416074@qq.com</t>
  </si>
  <si>
    <t>[Wu, Yujiao] CSIRO, Hobart, Tas 7004, Australia; [Wang, Yaxiong] Hefei Univ Technol, Sch Comp Sci &amp; Informat Engn, Hefei, Peoples R China; [Huang, Xiaoshui] Shanghai Jiao Tong Univ, Sch Med, Sch Publ Hlth, Shanghai, Peoples R China; [Wang, Haofei] Peng Cheng Lab, Shenzhen, Peoples R China; [Yang, Fan] Shenzhen Peini Med Technol Co Ltd, Shenzhen, Peoples R China; [Sun, Wenwen] Southern Med Univ, Affiliated Shenzhen Matern &amp; Child Healthcare Hosp, Dept Dermatol, Shenzhen, Peoples R China; [Su, Steven W.] Shandong First Med Univ, Coll Med Informat &amp; Artificial Intelligence, Tai An, Shandong, Peoples R China; [Ling, Sai Ho] Univ Technol Sydney, Sch Elect &amp; Data Engn, Sydney, NSW, Australia</t>
  </si>
  <si>
    <t>Commonwealth Scientific &amp; Industrial Research Organisation (CSIRO); Hefei University of Technology; Shanghai Jiao Tong University; Peng Cheng Laboratory; Southern Medical University - China; Shandong First Medical University &amp; Shandong Academy of Medical Sciences; University of Technology Sydney</t>
  </si>
  <si>
    <t>Multimodal learning for non-small cell lung cancer prognosis</t>
  </si>
  <si>
    <t>Multimodal learning; NSCLC; Survival analysis; Transformer</t>
  </si>
  <si>
    <t>SURVIVAL PREDICTION; VARIABLE SELECTION; REGRESSION; MODELS</t>
  </si>
  <si>
    <t>Su, Steven/G-2564-2017; Wang, Meng/AEZ-9059-2022; Huang, Xiaoshui/HPG-0735-2023</t>
  </si>
  <si>
    <t>Su, Steven/0000-0002-5720-8852; Yang, Fan/0000-0003-4017-4577; Ling, Sai Ho/0000-0003-0849-5098; Huang, Xiaoshui/0000-0002-3579-538X</t>
  </si>
  <si>
    <t>106</t>
  </si>
  <si>
    <t>107663</t>
  </si>
  <si>
    <t>10.1016/j.bspc.2025.107663</t>
  </si>
  <si>
    <t>http://dx.doi.org/10.1016/j.bspc.2025.107663</t>
  </si>
  <si>
    <t>Y7B0T</t>
  </si>
  <si>
    <t>WOS:001433619600001</t>
  </si>
  <si>
    <t>Tozzi, F; Park, HM; Mousavi, SA; Van Liefferinge, M; Moon, D; Fadaei, S; Wang, JJ; Ganjouei, AA; Romero-Hernandez, F; Alseidi, A; Adam, MA; Ceelen, W; Willaert, W; De Neve, W; Rashidian, N</t>
  </si>
  <si>
    <t>Background:Staging laparoscopy (SL) is an essential procedure for peritoneal metastasis (PM) detection. Although surgeons are expected to differentiate between benign and malignant lesions intraoperatively, this task remains difficult and error-prone. The aim of this study was to develop a novel multimodal machine learning (MML) model to differentiate PM from benign lesions by integrating morphologic characteristics with intraoperative SL images.Materials and Methods:Deep learning (DL) models were trained to classify peritoneal lesions in video frames of patients undergoing SL for suspected PM. Two expert surgeons blinded to the pathology results performed an objective morphologic evaluation of these lesions. Traditional machine learning (ML) models were trained to predict tumors based on their morphology. A combined MML model was developed by integrating the best-performing morphology- and image-based models. The MML model was evaluated using an independent test set, and its predictions were compared with those of 13 oncologic surgeons.Results:The cohort included videos of 67 patients, with 453 consecutive biopsied lesions (benign: n = 197; malignant: n = 256). The MML model achieved an area under the curve (AUC) of 0.88 [95% confidence interval (CI), 0.77-0.96], outperforming the best image-based DL model [AUC = 0.72 (95% CI, 0.54-0.87)], the best morphology-based ML [AUC = 0.86 (95% CI, 0.71-0.95)], and the surgeons' predictions [AUC = 0.78 (95% CI, 0.53-1.00)].Conclusions:A novel MML model combining the visual and morphologic characteristics of peritoneal lesions was developed and internally validated, demonstrating good discriminative power for classifying PM during SL. This model shows promise as an intraoperative decision-support tool for surgeons, enhancing PM recognition and potentially reducing unnecessary biopsies.</t>
  </si>
  <si>
    <t>Tozzi, Francesca; Park, Ho-Min; Mousavi, Seyed Amir; Van Liefferinge, Matthias; Moon, Dongin; Fadaei, Sharareh; Wang, Jaeyun J.; Ganjouei, Amir Ashraf; Romero-Hernandez, Fernanda; Alseidi, Adnan; Adam, Mohamed Abdelgadir; Ceelen, Wim; Willaert, Wouter; De Neve, Wesley; Rashidian, Niki</t>
  </si>
  <si>
    <t>Rashidian, N (corresponding author), Dept Gen HPB Surg &amp; Liver Transplantat, Corneel Heymanslaan 10, B-9000 Ghent, Belgium.</t>
  </si>
  <si>
    <t>homin.park@ghent.ac.kr; matthias.vanliefferinge@ugent.be; sharareh.fadaei@ugent.be; seyedamir.mousavi@ghent.ac.kr; maria.romerohernandez@ucsf.edu; mohamed.adam@ucsf.edu; wim.ceelen@ugent.be; francesca.tozzi@ugent.be; dongin.moon@ghent.ac.kr; nikdokht.rashidian@ugent.be; amir.ashrafganjouei@ucsf.edu; wouter.willaert@ugent.be; wesley.deneve@ghent.ac.kr; adnan.alseidi@ucsf.edu; jaeyunjane.wang@ucsf.edu</t>
  </si>
  <si>
    <t>Special Research Fund (BOF) of Ghent University for Interdisciplinary Research Projects [BOF/IOP/2022/049]</t>
  </si>
  <si>
    <t>Special Research Fund (BOF) of Ghent University for Interdisciplinary Research Projects</t>
  </si>
  <si>
    <t>This research has received the Special Research Fund (BOF) of Ghent University for Interdisciplinary Research Projects (BOF/IOP/2022/049). F.T. and S.A.M. are supported by this grant.</t>
  </si>
  <si>
    <t>[Tozzi, Francesca; Van Liefferinge, Matthias; Ceelen, Wim; Willaert, Wouter; Rashidian, Niki] Univ Ghent, Fac Med, Dept Human Struct &amp; Repair, Ghent, Belgium; [Park, Ho-Min; Mousavi, Seyed Amir; Moon, Dongin; De Neve, Wesley] Univ Ghent, Ctr Biosyst &amp; Biotech Data Sci, Global Campus, Incheon, South Korea; [Park, Ho-Min; Mousavi, Seyed Amir; De Neve, Wesley] Univ Ghent, Dept Elect &amp; Informat Syst, Internet Technol &amp; Data Sci Lab, Ghent, Belgium; [Fadaei, Sharareh] Ghent Univ Hosp, Dept Pathol, Ghent, Belgium; [Wang, Jaeyun J.; Ganjouei, Amir Ashraf; Romero-Hernandez, Fernanda] Univ Calif San Francisco, Dept Surg, San Francisco, CA USA; [Alseidi, Adnan; Adam, Mohamed Abdelgadir] Univ Calif San Francisco, Div Surg Oncol, San Francisco, CA USA; [Ceelen, Wim] Univ Ghent, Expt Surg Lab SurgX, Ghent, Belgium; [Ceelen, Wim] Canc Res Inst Ghent CRIG, Ghent, Belgium; [Rashidian, Niki] Ghent Univ Hosp, Dept Gen &amp; HPB Surg &amp; Liver Transplantat, Ghent, Belgium</t>
  </si>
  <si>
    <t>Ghent University; Ghent University; Ghent University; Ghent University; Ghent University Hospital; University of California System; University of California San Francisco; University of California System; University of California San Francisco; Ghent University; Ghent University; Ghent University; Ghent University Hospital</t>
  </si>
  <si>
    <t>Multimodal machine learning for staging laparoscopy: a combined image analysis and morphologic tool for the discrimination of peritoneal metastasis</t>
  </si>
  <si>
    <t>classification tasks; computer vision; decision support tool; multimodal machine learning; peritoneal lesion or metastasis; staging laparoscopy</t>
  </si>
  <si>
    <t>CONVOLUTIONAL NEURAL-NETWORK; OVARIAN-CANCER; SKIN-LESIONS; SURGERY; FUTURE</t>
  </si>
  <si>
    <t>ceelen, wim/H-9816-2014; Tozzi, Francesca/KMA-4613-2024; De Neve, Wesley/C-6480-2008; Willaert, Wouter/LXV-3009-2024; Rashidian, Nikdokht/KBC-0081-2024; Park, Homin/MCJ-6171-2025</t>
  </si>
  <si>
    <t>ceelen, wim/0000-0001-7692-4419</t>
  </si>
  <si>
    <t>373</t>
  </si>
  <si>
    <t>383</t>
  </si>
  <si>
    <t>10.1097/JS9.0000000000003448</t>
  </si>
  <si>
    <t>http://dx.doi.org/10.1097/JS9.0000000000003448</t>
  </si>
  <si>
    <t>DH2RZ</t>
  </si>
  <si>
    <t>40928288</t>
  </si>
  <si>
    <t>WOS:001683384100019</t>
  </si>
  <si>
    <t>Boehm, KM; Aherne, EA; Ellenson, L; Nikolovski, I; Alghamdi, M; Vázquez-García, I; Zamarin, D; Roche, KL; Liu, Y; Patel, D; Aukerman, A; Pasha, A; Rose, D; Selenica, P; Andrieu, PIC; Fong, C; Capanu, M; Reis, JS; Vanguri, R; Veeraraghavan, H; Gangai, N; Sosa, R; Leung, S; McPherson, A; Gao, JJ; Lakhman, Y; Shah, SHP</t>
  </si>
  <si>
    <t>Shah and colleagues develop a multimodal data integration framework that interprets genomic, digital histopathology, radiomics and clinical data using machine learning to improve diagnosis of patients with high-grade ovarian serous carcinoma.Patients with high-grade serous ovarian cancer suffer poor prognosis and variable response to treatment. Known prognostic factors for this disease include homologous recombination deficiency status, age, pathological stage and residual disease status after debulking surgery. Recent work has highlighted important prognostic information captured in computed tomography and histopathological specimens, which can be exploited through machine learning. However, little is known about the capacity of combining features from these disparate sources to improve prediction of treatment response. Here, we assembled a multimodal dataset of 444 patients with primarily late-stage high-grade serous ovarian cancer and discovered quantitative features, such as tumor nuclear size on staining with hematoxylin and eosin and omental texture on contrast-enhanced computed tomography, associated with prognosis. We found that these features contributed complementary prognostic information relative to one another and clinicogenomic features. By fusing histopathological, radiologic and clinicogenomic machine-learning models, we demonstrate a promising path toward improved risk stratification of patients with cancer through multimodal data integration.</t>
  </si>
  <si>
    <t>Boehm, Kevin M.; Aherne, Emily A.; Ellenson, Lora; Nikolovski, Ines; Alghamdi, Mohammed; Vazquez-Garcia, Ignacio; Zamarin, Dmitriy; Roche, Kara Long; Liu, Ying; Patel, Druv; Aukerman, Andrew; Pasha, Arfath; Rose, Doori; Selenica, Pier; Causa Andrieu, Pamela I.; Fong, Chris; Capanu, Marinela; Reis-Filho, Jorge S.; Vanguri, Rami; Veeraraghavan, Harini; Gangai, Natalie; Sosa, Ramon; Leung, Samantha; McPherson, Andrew; Gao, JianJiong; Lakhman, Yulia; Shah, Sohrab P.</t>
  </si>
  <si>
    <t>Shah, SHP (corresponding author), Mem Sloan Kettering Canc Ctr, Computat Oncol, Dept Epidemiol &amp; Biostat, 1275 York Ave, New York, NY 10021 USA.; Lakhman, Y (corresponding author), Mem Sloan Kettering Canc Ctr, Dept Radiol, 1275 York Ave, New York, NY 10021 USA.</t>
  </si>
  <si>
    <t>shahs3@mskcc.org; lakhmany@mskcc.org</t>
  </si>
  <si>
    <t>Nicholls-Biondi endowed chair in Computational Oncology; Susan G. Komen Scholars program; National Cancer Institute of the National Institutes of Health (NIH) [F30CA257414]; Jonathan Grayer Fellowship of the Gerstner Sloan Kettering Graduate School of Biomedical Sciences; Medical Scientist Training Program Grant from the National Institute of General Medical Sciences of the NIH [T32GM007739]; Cycle for Survival; NIH/National Cancer Institute Cancer Center Support Grant [P30CA008748]; National Cancer Institute [P30CA008748, F30CA257414] Funding Source: NIH RePORTER; National Institute of General Medical Sciences [T32GM007739] Funding Source: NIH RePORTER</t>
  </si>
  <si>
    <t>Nicholls-Biondi endowed chair in Computational Oncology; Susan G. Komen Scholars program (Susan G. Komen Breast Cancer Foundation); National Cancer Institute of the National Institutes of Health (NIH) (United States Department of Health &amp; Human Services, National Institutes of Health (NIH) - USA, NIH National Cancer Institute (NCI)); Jonathan Grayer Fellowship of the Gerstner Sloan Kettering Graduate School of Biomedical Sciences; Medical Scientist Training Program Grant from the National Institute of General Medical Sciences of the NIH; Cycle for Survival; NIH/National Cancer Institute Cancer Center Support Grant; National Cancer Institute (United States Department of Health &amp; Human Services, National Institutes of Health (NIH) - USA, NIH National Cancer Institute (NCI)); National Institute of General Medical Sciences (United States Department of Health &amp; Human Services, National Institutes of Health (NIH) - USA, NIH National Institute of General Medical Sciences (NIGMS))</t>
  </si>
  <si>
    <t>We thank N. Rusk for helpful comments on the manuscript. S.P.S. is supported by the Nicholls-Biondi endowed chair in Computational Oncology and the Susan G. Komen Scholars program. K.M.B. is supported by the National Cancer Institute of the National Institutes of Health (NIH) under award no. F30CA257414, the Jonathan Grayer Fellowship of the Gerstner Sloan Kettering Graduate School of Biomedical Sciences and a Medical Scientist Training Program Grant from the National Institute of General Medical Sciences of the NIH under award no. T32GM007739 to the Weill Cornell/Rockefeller/Sloan Kettering Tri-Institutional MD-PhD Program. MSK MIND is generously supported by Cycle for Survival. All authors are supported by the NIH/National Cancer Institute Cancer Center Support Grant P30CA008748. We also thank the Molecular Diagnostics Service in the Department of Pathology and the Marie-Josee and Henry R. Kravis Center for Molecular Oncology.</t>
  </si>
  <si>
    <t>[Boehm, Kevin M.; Vazquez-Garcia, Ignacio; Patel, Druv; Aukerman, Andrew; Pasha, Arfath; Rose, Doori; Fong, Chris; Vanguri, Rami; Leung, Samantha; McPherson, Andrew; Gao, JianJiong; Shah, Sohrab P.] Mem Sloan Kettering Canc Ctr, Computat Oncol, Dept Epidemiol &amp; Biostat, 1275 York Ave, New York, NY 10021 USA; [Boehm, Kevin M.] Weill Cornell Rockefeller, Sloan Kettering Tri Institut MD PhD Program, New York, NY USA; [Aherne, Emily A.; Nikolovski, Ines; Causa Andrieu, Pamela I.; Gangai, Natalie; Sosa, Ramon; Lakhman, Yulia] Mem Sloan Kettering Canc Ctr, Dept Radiol, 1275 York Ave, New York, NY 10021 USA; [Ellenson, Lora; Alghamdi, Mohammed] Mem Sloan Kettering Canc Ctr, Dept Pathol, 1275 York Ave, New York, NY 10021 USA; [Vazquez-Garcia, Ignacio] Columbia Univ, Irving Inst Canc Dynam, New York, NY USA; [Zamarin, Dmitriy; Liu, Ying] Mem Sloan Kettering Canc Ctr, Dept Med Oncol, 1275 York Ave, New York, NY 10021 USA; [Liu, Ying] Weill Cornell Med, Dept Med, New York, NY USA; [Roche, Kara Long] Mem Sloan Kettering Canc Ctr, Dept Surg Oncol, 1275 York Ave, New York, NY 10021 USA; [Selenica, Pier; Reis-Filho, Jorge S.] Mem Sloan Kettering Canc Ctr, Human Oncol &amp; Pathogenesis Program, 1275 York Ave, New York, NY 10021 USA; [Capanu, Marinela] Mem Sloan Kettering Canc Ctr, Dept Epidemiol &amp; Biostat, 1275 York Ave, New York, NY 10021 USA; [Veeraraghavan, Harini] Mem Sloan Kettering Canc Ctr, Dept Med Phys, 1275 York Ave, New York, NY 10021 USA; [Gao, JianJiong] Mem Sloan Kettering Canc Ctr, Kravis Ctr Mol Oncol, 1275 York Ave, New York, NY 10021 USA</t>
  </si>
  <si>
    <t>Memorial Sloan Kettering Cancer Center; Memorial Sloan Kettering Cancer Center; Memorial Sloan Kettering Cancer Center; Columbia University; Memorial Sloan Kettering Cancer Center; Cornell University; Weill Cornell Medicine; Memorial Sloan Kettering Cancer Center; Memorial Sloan Kettering Cancer Center; Memorial Sloan Kettering Cancer Center; Memorial Sloan Kettering Cancer Center; Memorial Sloan Kettering Cancer Center</t>
  </si>
  <si>
    <t>MSK MIND Consortium</t>
  </si>
  <si>
    <t>Multimodal data integration using machine learning improves risk stratification of high-grade serous ovarian cancer</t>
  </si>
  <si>
    <t>NATURE CANCER</t>
  </si>
  <si>
    <t>DISCOVERY; SURVIVAL</t>
  </si>
  <si>
    <t>Vázquez-García, Ignacio/I-8814-2019; Capanu, Marinela/NFT-3625-2025; Reis, Joao/KLD-5318-2024; Selenica, Pier/GQY-8678-2022; Alghamdi, Mohammed/ISU-9198-2023; McPherson, Andrew/J-6552-2015; Veeraraghavan, Harini/M-1986-2018; causa, pamela/AAM-8609-2020; Al-Ghamdi, Mohammed/ISU-9198-2023; Zamarin, Dmitriy/L-9774-2019; Gao, JianJiong/B-5673-2016</t>
  </si>
  <si>
    <t>Vázquez-García, Ignacio/0000-0003-0427-2639; Alghamdi, Mohammed/0000-0002-8723-0858; Veeraraghavan, Harini/0000-0002-4054-5529; Al-Ghamdi, Mohammed/0000-0002-9794-554X; Zamarin, Dmitriy/0000-0002-0094-0161; Liu, Ying/0000-0001-5790-851X; Boehm, Kevin/0000-0003-2426-5436; Patel, uv/0000-0002-5596-4961</t>
  </si>
  <si>
    <t>324</t>
  </si>
  <si>
    <t>153</t>
  </si>
  <si>
    <t>2662-1347</t>
  </si>
  <si>
    <t>NAT CANCER</t>
  </si>
  <si>
    <t>Nat. Cancer</t>
  </si>
  <si>
    <t>723</t>
  </si>
  <si>
    <t>10.1038/s43018-022-00388-9</t>
  </si>
  <si>
    <t>http://dx.doi.org/10.1038/s43018-022-00388-9</t>
  </si>
  <si>
    <t>2O4CY</t>
  </si>
  <si>
    <t>35764743</t>
  </si>
  <si>
    <t>WOS:000819009500006</t>
  </si>
  <si>
    <t>Wang, F; Chen, QQ; Chen, YA; Zhu, YJ; Zhang, YY; Cao, D; Zhou, W; Liang, X; Yang, YJ; Lin, LF; Hu, HJ</t>
  </si>
  <si>
    <t>Background: Accurate preoperative identification of the microvascular invasion (MVI) can relieve the pressure from personalized treatment adaptation and improve the poor prognosis for hepatocellular carcinoma (HCC). This study aimed to develop and validate a novel multimodal deep learning (DL) model for predicting MVI based on multi-parameter magnetic resonance imaging (MRI) and contrast-enhanced computed tomography (CT).Methods: A total of 397 HCC patients underwent both CT and MRI examinations before surgery. We established the radiological models (RCT, RMRI) by support vector machine (SVM), DL models (DLCT_ALL, DLMRI_ALL, DLCT thorn MRI) by ResNet18. The comprehensive model (CALL) involving multi-modality DL features and clinical and radiological features was constructed using SVM. Model performance was quantified by the area under the receiver operating characteristic curve (AUC) and compared by net reclassification index (NRI) and integrated discrimination improvement (IDI).Results: The DLCT thorn MRI model exhibited superior predicted efficiency over single-modality models, especially over the DLCT_ALL model (AUC: 0.819 vs. 0.742, NRI &gt; 0, IDI &gt; 0). The DLMRI_ALL model improved the performance over the RMRI model (AUC: 0.794 vs. 0.766, NRI &gt; 0, IDI &lt; 0), but no such difference was found between the DLCT_ALLmodel and RCT model (AUC: 0.742 vs. 0.710, NRI &lt; 0, IDI &lt; 0). Furthermore, both the DLCT thorn MRI and CALL models revealed the prognostic power in recurrence-free survival stratifi-cation (P &lt; 0.001).Conclusion: The proposed DLCT thorn MRI model showed robust capability in predicting MVI and outcomes for HCC. Besides, the identification ability of the multi-modality DL model was better than any single mo-dality, especially for CT.(c) 2022 Published by Elsevier Ltd.</t>
  </si>
  <si>
    <t>Wang, Fang; Chen, Qingqing; Chen, Yinan; Zhu, Yajing; Zhang, Yuanyuan; Cao, Dan; Zhou, Wei; Liang, Xiao; Yang, Yunjun; Lin, Lanfen; Hu, Hongjie</t>
  </si>
  <si>
    <t>Hu, HJ (corresponding author), Zhejiang Univ, Sir Run Run Shaw Hosp, Dept Radiol, Sch Med, Hangzhou 310016, Peoples R China.; Yang, YJ (corresponding author), Wenzhou Med Univ, Affiliated Hosp 1, Dept Radiol, Wenzhou 325000, Peoples R China.; Lin, LF (corresponding author), Zhejiang Univ, Coll Comp Sci &amp; Technol, Hangzhou 310027, Peoples R China.</t>
  </si>
  <si>
    <t>yyjunjim@163.com; hongjiehu@zju.edu.cn; llf@zju.edu.cn; wangfang11@zju.edu.cn</t>
  </si>
  <si>
    <t>National Natural Science Foundation of China [82071988]; Key Research and Development Program of Zhejiang Province [2019C03064]; Province and Ministry [WKJ-ZJ-1926]; Fundamental Research Funds for the Central Universities [2021FZZX003-02-17, 226-2022-00160]; Public Welfare Applied Research Project of Huzhou [2020GY06]</t>
  </si>
  <si>
    <t>National Natural Science Foundation of China (National Natural Science Foundation of China (NSFC)); Key Research and Development Program of Zhejiang Province; Province and Ministry; Fundamental Research Funds for the Central Universities (Fundamental Research Funds for the Central Universities); Public Welfare Applied Research Project of Huzhou</t>
  </si>
  <si>
    <t>This work was supported by Grant 82071988 from National Natural Science Foundation of China, Grant 2019C03064 from Key Research and Development Program of Zhejiang Province, Grant WKJ-ZJ-1926 from Program Co -sponsored by Province and Ministry, Grant 2021FZZX003-02-17 and 226-2022-00160 from the Fundamental Research Funds for the Central Universities, Grant 2020GY06 from Public Welfare Applied Research Project of Huzhou.</t>
  </si>
  <si>
    <t>[Wang, Fang; Chen, Qingqing; Zhang, Yuanyuan; Cao, Dan; Hu, Hongjie] Zhejiang Univ, Sir Run Run Shaw Hosp, Dept Radiol, Sch Med, Hangzhou 310016, Peoples R China; [Chen, Yinan; Zhu, Yajing] SenseTime Res, Shanghai 200030, Peoples R China; [Zhang, Yuanyuan] Shaoxing Univ, Med Coll, Shaoxing 312000, Peoples R China; [Cao, Dan] Zhejiang Univ, Affiliated Hosp 4, Int Inst Med, Dept Radiol,Sch Med, Yiwu, Peoples R China; [Zhou, Wei] Huzhou Univ, Huzhou Cent Hosp, Dept Radiol, Huzhou 313000, Peoples R China; [Liang, Xiao] Zhejiang Univ Sch Med, Sir Run Run Shaw Hosp, Dept Gen Surg, Huzhou, Hangzhou 310016, Peoples R China; [Yang, Yunjun] Wenzhou Med Univ, Affiliated Hosp 1, Dept Radiol, Wenzhou 325000, Peoples R China; [Lin, Lanfen] Zhejiang Univ, Coll Comp Sci &amp; Technol, Hangzhou 310027, Peoples R China</t>
  </si>
  <si>
    <t>Zhejiang University; Shaoxing University; Zhejiang University; Huzhou Normal University; Wenzhou Medical University; Zhejiang University</t>
  </si>
  <si>
    <t>A novel multimodal deep learning model for preoperative prediction of microvascular invasion and outcome in hepatocellular carcinoma</t>
  </si>
  <si>
    <t>Hepatocellular carcinoma; Microvascular invasion; Multimodal; Deep learning</t>
  </si>
  <si>
    <t>LIVER-TRANSPLANTATION; RADIOMICS NOMOGRAM; RESECTION</t>
  </si>
  <si>
    <t>Chen, Qingqing/QTV-3322-2026; Cao, Dan/GLU-5169-2022; Hu, Hongjie/PEX-6320-2025</t>
  </si>
  <si>
    <t>Zhou, Wei/0000-0003-2434-4644; Wang, Fang/0000-0001-8979-1520</t>
  </si>
  <si>
    <t>164</t>
  </si>
  <si>
    <t>10.1016/j.ejso.2022.08.036</t>
  </si>
  <si>
    <t>http://dx.doi.org/10.1016/j.ejso.2022.08.036</t>
  </si>
  <si>
    <t>8K8SA</t>
  </si>
  <si>
    <t>36333180</t>
  </si>
  <si>
    <t>WOS:000923363400001</t>
  </si>
  <si>
    <t>Zheng, BW; Xia, C; Tang, M; Huang, W; Zheng, BY; Niu, HQ; Li, J; Zhang, TL; Zhou, H; Zou, MX</t>
  </si>
  <si>
    <t>Endoplasmic reticulum stress-related cancer-associated fibroblasts (ERS-CAF) remodel the tumor microenvironment and drive immune exclusion and therapy resistance in chordoma, yet routine and non-invasive readouts of this biology are lacking. We hypothesized that standard pre-operative MRI and H&amp;E whole-slide images (WSI) encode image-based surrogates of ERS-CAF-driven immunoregulation that can be learned and generalized across cancers. Three bulk-transcriptomic reference scores were defined for surrogate supervision, capturing ERS-program activity, ERS-CAF-immuneligand-receptor crosstalk and microenvironmental heterogeneity. In 126 chordoma cases, a stage-wise multimodal framework integrating calibrated WSI attention, gated radiopathomic fusion and domain alignment showed strong concordance with molecular profiles, independent prognostic value and biologically specific localization to fibrotic immune-excluded regions. These associations were generalized in zero-shot analyses to the TCGA pan-cancer. An MRI-only distilled model preserved most predictive performance with substantial gains in efficiency, supporting scalable non-invasive clinical application.</t>
  </si>
  <si>
    <t>Zheng, Bo-Wen; Xia, Chao; Tang, Ming; Huang, Wei; Zheng, Bo-Yv; Niu, Hua-Qing; Li, Jing; Zhang, Tao-Lan; Zhou, Hong; Zou, Ming-Xiang</t>
  </si>
  <si>
    <t>Zou, MX (corresponding author), Univ South China, Affiliated Hosp 1, Hengyang Med Sch, Dept Spine Surg, Hengyang, Hunan, Peoples R China.; Zhang, TL (corresponding author), Univ South China, Affiliated Hosp 1, Hengyang Med Sch, Dept Pharm, Hengyang, Hunan, Peoples R China.; Zhou, H (corresponding author), Univ South China, Affiliated Hosp 1, Hengyang Med Sch, Dept Radiol, Hengyang, Hunan, Peoples R China.</t>
  </si>
  <si>
    <t>TaolZhan@usc.edu.cn; zoumx_spine@usc.edu.cn; hongzhou@usc.edu.cn</t>
  </si>
  <si>
    <t>China Scholarship Council [202106370071]; Medical-Engineering Interdisciplinary Research Program of the First Affiliated Hospital, University of South China [IRP-ME-2025-06]; Henan Province Science and Technology Research Project [252102311060]; the Science and Technology Innovation Program of Hunan Province [2023RC3172]; National Natural Science Foundation of China [82404690, 82473965, 82002364]; Hubei Province High-Level Postdoctoral Talent Introduction Program [2025-18]; Xiaohe Technology Talent Project of Hengyang city; Project for Clinical Research of Hunan Provincial Health Commission [20201962, 20201978, 20201956]; Excellent &amp; Innovative Talent Program, Union Hospital, Tongji Medical College, Huazhong University of Science and Technology [082550320]; Natural Science Foundation of Hunan Province [2023JJ40587, 2021JJ40509]; Research Foundation of Education Bureau of Hunan Province [22B0441]; Clinical Research 4310 Program of the First Affiliated Hospital of the University of South China [20224310NHYCG04, 20224310NHYCG03]; Hunan Provincial Natural Science Foundation for Excellent Youth Scholars [2023JJ20035]</t>
  </si>
  <si>
    <t>China Scholarship Council (China Scholarship Council); Medical-Engineering Interdisciplinary Research Program of the First Affiliated Hospital, University of South China; Henan Province Science and Technology Research Project; the Science and Technology Innovation Program of Hunan Province; National Natural Science Foundation of China (National Natural Science Foundation of China (NSFC)); Hubei Province High-Level Postdoctoral Talent Introduction Program; Xiaohe Technology Talent Project of Hengyang city; Project for Clinical Research of Hunan Provincial Health Commission; Excellent &amp; Innovative Talent Program, Union Hospital, Tongji Medical College, Huazhong University of Science and Technology; Natural Science Foundation of Hunan Province (Natural Science Foundation of Hunan Province); Research Foundation of Education Bureau of Hunan Province; Clinical Research 4310 Program of the First Affiliated Hospital of the University of South China; Hunan Provincial Natural Science Foundation for Excellent Youth Scholars</t>
  </si>
  <si>
    <t>Department of Spine Surgery, The First Affiliated Hospital, Hengyang Medical School, University of South China, and Department of Orthopedics, Wuhan Union Hospital, Tongji Medical College, Huazhong University of Science and Technology, contributed equally as first affiliation. We gratefully acknowledge Professor Yongbin Liu from the School of Computer Science at the University of South China, as well as Master's students Kefan Wu and Yangji Chen, for their contributions to the AI modeling and validation aspects of this research. This work was supported by the National Natural Science Foundation of China (W2523095, 82003802 and 82473965 to T.L.Z., 82404690 to C.X. and 82002364 to M.X.Z.), China Scholarship Council (202106370071 to B.W.Z.), China Postdoctoral Science Foundation (2025M782004 to BWZ), Excellent &amp; Innovative Talent Program, Union Hospital, Tongji Medical College, Huazhong University of Science and Technology (082550320 to B.W.Z.), Hubei Province High-Level Postdoctoral Talent Introduction Program (2005HBBHJD018 to B.W.Z.), Natural Science Foundation of Hunan Province (2019JJ50542 and 2023JJ50156 to T.L.Z., 2023JJ40596 to C.X., 2023JJ40587 to W.H. and 2021JJ40509 to M.X.Z.), Hunan Provincial Natural Science Foundation for Excellent Youth Scholars (2023JJ20035 to M.X.Z.), the Science and Technology Innovation Program of Hunan Province (2023RC3172 to M.X.Z.), Clinical Research 4310 Program of the First Affiliated Hospital of the University of South China (20224310NHYCG04 to T.L.Z. and 20224310NHYCG03 to H.Z.), Project for Clinical Research of Hunan Provincial Health Commission (20201978 to T.L.Z., 20201962 to C.X., and 20201956 to M.X.Z.), Research Foundation of Education Bureau of Hunan Province (22B0441 to W.H.), Medical-Engineering Interdisciplinary Research Program of the First Affiliated Hospital, University of South China (IRP-M&amp;E-2025-06 to M.X.Z.), Henan Province Key Science and Technology Research Project (252102311060 to H.Q.N.) and Xiaohe Technology Talent Project of Hengyang city (C.X.).</t>
  </si>
  <si>
    <t>[Zheng, Bo-Wen; Xia, Chao; Tang, Ming; Zou, Ming-Xiang] Univ South China, Affiliated Hosp 1, Hengyang Med Sch, Dept Spine Surg, Hengyang, Hunan, Peoples R China; [Zheng, Bo-Wen] Huazhong Univ Sci &amp; Technol, Wuhan Union Hosp, Tongji Med Coll, Dept Orthoped, Wuhan, Hubei, Peoples R China; [Zheng, Bo-Wen] Peking Univ, Peking Univ Peoples Hosp, Musculoskeletal Tumor Ctr, Beijing, Peoples R China; [Tang, Ming; Li, Jing] Cent South Univ, Xiangya Hosp 2, Dept Spine Surg, Changsha, Hunan, Peoples R China; [Huang, Wei] First Affiliated Hosp, Hlth Management Ctr, Hengyang Med Sch, Hengyang, Hunan, Peoples R China; [Zheng, Bo-Yv] Gen Hosp Cent Theater Command, Dept Orthoped Surg, Wuhan, Hubei, Peoples R China; [Niu, Hua-Qing] Zhengzhou Univ, Affiliated Hosp 2, Dept Ophthalmol, Zhengzhou, Henan, Peoples R China; [Zhang, Tao-Lan] Univ South China, Affiliated Hosp 1, Hengyang Med Sch, Dept Pharm, Hengyang, Hunan, Peoples R China; [Zhou, Hong] Univ South China, Affiliated Hosp 1, Hengyang Med Sch, Dept Radiol, Hengyang, Hunan, Peoples R China</t>
  </si>
  <si>
    <t>University of South China; Huazhong University of Science &amp; Technology; Peking University; Central South University; Zhengzhou University; University of South China; University of South China</t>
  </si>
  <si>
    <t>Decoding the ERS-CAF immunoregulatory axis via multimodal AI and its pan-cancer prognostic and therapeutic predictive value</t>
  </si>
  <si>
    <t>FIBROBLASTS</t>
  </si>
  <si>
    <t>Zheng, Bo-Wen/ABU-4355-2022; Zou, Ming-Xiang/M-5267-2019</t>
  </si>
  <si>
    <t>JAN 30 2026</t>
  </si>
  <si>
    <t>199</t>
  </si>
  <si>
    <t>10.1038/s41746-026-02388-w</t>
  </si>
  <si>
    <t>http://dx.doi.org/10.1038/s41746-026-02388-w</t>
  </si>
  <si>
    <t>EO7PB</t>
  </si>
  <si>
    <t>41617967</t>
  </si>
  <si>
    <t>WOS:001706132100001</t>
  </si>
  <si>
    <t>Szanto, D; Erekat, A; Woods, B; Wang, JK; Garvin, M; Johnson, B; Kardon, R; Wall, M; Linton, E; Kupersmith, MJ</t>
  </si>
  <si>
    <t>PURPOSE. Optic nerve head (ONH) swelling, a critical feature in idiopathic intracranial hypertension (IIH) and non-arteritic anterior ischemic optic neuropathy (NAION), can present diagnostic challenges. We explored a multimodal deep learning (DL) approach integrating optical coherence tomography (OCT) scans and fundus photographs to enhance diagnostic accuracy for differentiating IIH, NAION, and healthy eyes. METHODS. We developed two separate models using 7019 OCT scans (3D-ResNet-18) and 17,657 fundus photos (ResNet-50) to classify eyes with papilledema (2315 OCT, 6349 fundus), NAION (841 OCT, 1814 fundus), and healthy eyes (3863 OCT, 9494 fundus). We arranged the dataset so that the test set consisted entirely of same-day OCT scans and fundus photos, with each modality (OCT and fundus) contributing at least 15% of the data for each class. We combined output probabilities from both models using two methods: an F1-weighted sum by class (F1WS), as well as an XGBoost model. Performance of each was evaluated with AUC-ROC, accuracy, precision, recall, and F1 scores. RESULTS. The OCT model alone achieved a test accuracy of 93.5%, with the fundus photo model reaching 93.9%. The multimodal F1WS and XGBoost models achieved an accuracy of 97.5% and 98.3%, respectively. CONCLUSIONS. Combining OCT and fundus photographs improves the classification of IIH, NAION, and healthy eyes, showing the value of using complementary imaging modalities. This approach supports the use of DL to aid diagnosis and clinical management of optic nerve head swelling. It may also be extended to leverage DL from additional data sources, such as macular scans or visual field tests.</t>
  </si>
  <si>
    <t>Szanto, David; Erekat, Asala; Woods, Brian; Wang, Jui-Kai; Garvin, Mona; Johnson, Brett; Kardon, Randy; Wall, Michael; Linton, Edward; Kupersmith, Mark J.</t>
  </si>
  <si>
    <t>Kupersmith, MJ (corresponding author), New York Eye &amp; Ear Infirm Mt Sinai, Dept Ophthalmol, 235 Pk Ave So, New York, NY 10003 USA.</t>
  </si>
  <si>
    <t>mark.kupersmith@mountsinai.org</t>
  </si>
  <si>
    <t>Iowa Healthy Eyes; New York Eye and Ear Infirmary Foundation, New York, N.Y.; NEI [R01 EY015473]; Research to Prevent Blindness, Inc., New York, NY - Health Research Board [ICAT-2022-001]; ICAT Programme; National Center for Advancing Translational Sciences of the National Institutes of Health [NIH CTSA UL1TR002537, UL1TR003163]; NIH (NEI) [R01 EY034194-02]; Research to Prevent Blindness Challenge Grant at UTSW [P30 EY030413]; VA Merit Review Grant [I01 RX-001821-01A1]; Department of Veteran Affairs (VA) Center for the Prevention and Treatment of Visual Loss, Rehabilitation Research and Development [(RRD) I50 RX003002]; VA RRD [I01RX003797, 5IK1RX005029]; Department of Veterans Affairs [RRD CDA-1, 1IK1RX005029-01]; Department of Veterans Affairs, Veterans Health Administration, Office of Research and Development; Barry Family Center for Ophthalmic Artificial Intelligence and Human Health</t>
  </si>
  <si>
    <t>Iowa Healthy Eyes; New York Eye and Ear Infirmary Foundation, New York, N.Y.; NEI (United States Department of Health &amp; Human Services, National Institutes of Health (NIH) - USA, NIH National Eye Institute (NEI)); Research to Prevent Blindness, Inc., New York, NY - Health Research Board (Research to Prevent Blindness (RPB)); ICAT Programme; National Center for Advancing Translational Sciences of the National Institutes of Health (United States Department of Health &amp; Human Services, National Institutes of Health (NIH) - USA, NIH National Center for Advancing Translational Sciences (NCATS)); NIH (NEI) (United States Department of Health &amp; Human Services, National Institutes of Health (NIH) - USA, NIH National Eye Institute (NEI)); Research to Prevent Blindness Challenge Grant at UTSW; VA Merit Review Grant (US Department of Veterans Affairs); Department of Veteran Affairs (VA) Center for the Prevention and Treatment of Visual Loss, Rehabilitation Research and Development (US Department of Veterans Affairs); VA RRD; Department of Veterans Affairs (US Department of Veterans Affairs); Department of Veterans Affairs, Veterans Health Administration, Office of Research and Development (US Department of Veterans Affairs); Barry Family Center for Ophthalmic Artificial Intelligence and Human Health</t>
  </si>
  <si>
    <t>The authors thank Anushi Wijayagunaratne, for her invaluable assistance with chart review of the Iowa Healthy Eyes dataset. Supported by the New York Eye and Ear Infirmary Foundation, New York, N.Y.; NEI EY032522; Research to Prevent Blindness, Inc., New York, NY unrestricted grant to the Department of Ophthalmology; Shulman Family NAION Fund at Icahn School of Medicine at Mount Sinai; This research was partially funded by the Health Research Board (ICAT-2022-001) and the ICAT Programme; Research reported in this publication was supported in part by the National Center for Advancing Translational Sciences of the National Institutes of Health under Award Number NIH CTSA UL1TR002537 and UL1TR003163. NIH (NEI) Grant Number: 1R01EY031544-01. Also supported by NIH (NEI) R01 EY034194-02. The content is solely the responsibility of the authors and does not necessarily represent the official views of the NIH. Research to Prevent Blindness Challenge Grant at UTSW, and NIH P30 EY030413. This study was supported by a VA Merit Review Grant 5 I01 RX000140-03. NEI R01 EY015473; Department of Veteran Affairs (VA) Center for the Prevention and Treatment of Visual Loss, Rehabilitation Research and Development (RR&amp;D) I50 RX003002; VA RR&amp;D I01RX003797; 5IK1RX005029. Department of Veterans Affairs, RR&amp;D CDA-1 grant 1IK1RX005029-01. Supported by a VA Merit Review Grant (#I01 RX-001821-01A1) . This material is based upon work supported (or supported in part) by the Department of Veterans Affairs, Veterans Health Administration, Office of Research and Development. The views expressed in this article are those of the authors and do not necessarily reflect the position or policy of the Department of Veterans Affairs or the United States Government. The Barry Family Center for Ophthalmic Artificial Intelligence and Human Health.</t>
  </si>
  <si>
    <t>[Szanto, David; Kupersmith, Mark J.] New York Eye &amp; Ear Infirm Mt Sinai, Dept Ophthalmol, 235 Pk Ave So, New York, NY 10003 USA; [Erekat, Asala] Icahn Sch Med Mt Sinai, Dept Neurol, New York, NY USA; [Woods, Brian] Galway Univ Hosp, Dept Ophthalmol, Irish Clin Acad Training Programme, Galway, Ireland; [Woods, Brian] Univ Galway, Sch Nat Sci, Phys Dept, Galway, Ireland; [Wang, Jui-Kai] Univ Texas Southwestern Med Ctr Dallas, Dept Ophthalmol, Dallas, TX USA; [Garvin, Mona; Kardon, Randy] Iowa City VA Hlth Syst, Ctr Prevent &amp; Treatment Visual Loss, Iowa City, IA USA; [Garvin, Mona] Univ Iowa, Dept Elect &amp; Comp Engn, Iowa City, IA USA; [Garvin, Mona; Johnson, Brett; Kardon, Randy; Wall, Michael; Linton, Edward] Univ Iowa, Dept Ophthalmol &amp; Visual Sci, Iowa City, IA USA; [Kardon, Randy] Univ Iowa, Carver Coll Med, Iowa City, IA USA; [Wall, Michael; Linton, Edward] Univ Iowa Hosp &amp; Clin, Iowa City, IA USA</t>
  </si>
  <si>
    <t>New York Eye &amp; Ear Infirmary of Mount Sinai; Icahn School of Medicine at Mount Sinai; Ollscoil na Gaillimhe-University of Galway; Ollscoil na Gaillimhe-University of Galway; University of Texas System; University of Texas Southwestern Medical Center; US Department of Veterans Affairs; Veterans Health Administration (VHA); Iowa City VA Health Care System; University of Iowa; University of Iowa; University of Iowa; University of Iowa</t>
  </si>
  <si>
    <t>Multimodal Deep Learning Differentiates Papilledema and Non-Arteritic Anterior Ischemic Optic Neuropathy From Healthy Eyes</t>
  </si>
  <si>
    <t>INVESTIGATIVE OPHTHALMOLOGY &amp; VISUAL SCIENCE</t>
  </si>
  <si>
    <t>corneal stroma; fibrosis; TSP1; A2M; CGRP</t>
  </si>
  <si>
    <t>CHOROIDAL THICKNESS</t>
  </si>
  <si>
    <t>Garvin, Mona/F-9275-2011; Wall, Michael/AGO-7744-2022; Wang, Jui-Kai/ABF-2986-2021</t>
  </si>
  <si>
    <t>Wall, Michael/0000-0002-9802-4806; Szanto, David/0000-0002-4640-4655; Kardon, Randy/0000-0002-3173-7123</t>
  </si>
  <si>
    <t>0146-0404</t>
  </si>
  <si>
    <t>1552-5783</t>
  </si>
  <si>
    <t>INVEST OPHTH VIS SCI</t>
  </si>
  <si>
    <t>Invest. Ophthalmol. Vis. Sci.</t>
  </si>
  <si>
    <t>10.1167/iovs.67.1.12</t>
  </si>
  <si>
    <t>http://dx.doi.org/10.1167/iovs.67.1.12</t>
  </si>
  <si>
    <t>AY2AT</t>
  </si>
  <si>
    <t>41533910</t>
  </si>
  <si>
    <t>WOS:001659577500002</t>
  </si>
  <si>
    <t>Yang, YC; Wu, JJ; Shi, F; Ren, QG; Gao, P; Meng, XS</t>
  </si>
  <si>
    <t>Purpose This study intends to develop and validate a multiclass system that efficiently integrates complementary information from patients' multimodal data (clinical, imaging, and pathological) to identify individuals at a high risk of 5-year postoperative recurrence among patients with clear cell renal cell carcinoma (ccRCC).Methods This retrospective multicenter study enrolled 270 clear cell renal cell carcinoma (ccRCC) patients, allocating 215 (79.6%) for model development/validation and 55 (20.4%) to an independent test cohort. Patients were categorized into recurrence and non-recurrence groups based on whether tumor recurrence occurred within 5 years after surgery. The final included case in this cohort underwent surgery in July 2018. Single-modality models were created using radiomics, deep learning (ResNet34), and deep features-based radiomics. Subsequently, multi-modality models were constructed by combining the predicted probabilities from the single-modality models and transferring them to another classifier. All models was assessed using the area under the receiver operating characteristic curve (AUROC).Results A total of 25 classification models were constructed. Notably, single-modality fusion models generally outperform their radiomics and deep learning-based radiomics (DL) counterparts. Among five single-modality fusion models, the Fused_Non-enhanced model demonstrates best predictive performance, achieving an AUROC value of 0.837 (95% confidence interval [CI]: 0.729-0.946). Similarly, multi-modality radiomics or DL models exhibit superior performance compared to single-modality counterparts. The multi-modality radiomics-DL model demonstrates the highest prediction performance, achieving an AUROC value of 0.967 (95% CI: 0.929-1.0) in the independent testing dataset.Conclusion The multi-modality radiomics-DL model demonstrates high accuracy in predicting the 5-year postoperative recurrence risk of clear cell renal cell carcinoma (ccRCC).</t>
  </si>
  <si>
    <t>Yang, Youchang; Wu, Jiaojiao; Shi, Feng; Ren, Qingguo; Gao, Peng; Meng, Xiangshui</t>
  </si>
  <si>
    <t>Meng, XS (corresponding author), Shandong Univ, Qilu Hosp Qingdao, Cheeloo Coll Med, Dept Radiol, Shandong, Peoples R China.; Gao, P (corresponding author), Shandong Univ, Qilu Hosp, Dept Radiol, Jinan, Peoples R China.</t>
  </si>
  <si>
    <t>mengxiangshui2021@126.com; gaopeng@sdu.edu.cn</t>
  </si>
  <si>
    <t>Natural Science Foundation of Shandong Province [ZR2023MH042]; Shandong Provincial Healthcare Workers' Technological Innovation Collaborative Project [SDYWZGKCJHLH202434]; Qingdao Key Clinical Specialty Project Fund [QDZDZK-2024-067]</t>
  </si>
  <si>
    <t>Natural Science Foundation of Shandong Province (Natural Science Foundation of Shandong Province); Shandong Provincial Healthcare Workers' Technological Innovation Collaborative Project; Qingdao Key Clinical Specialty Project Fund</t>
  </si>
  <si>
    <t>The author(s) declared financial support was received for this work and/or its publication. This work was supported by the Natural Science Foundation of Shandong Province (ZR2023MH042), Shandong Provincial Healthcare Workers' Technological Innovation Collaborative Project (SDYWZGKCJHLH202434), Qingdao Key Clinical Specialty Project Fund (QDZDZK-2024-067).</t>
  </si>
  <si>
    <t>[Yang, Youchang; Ren, Qingguo; Meng, Xiangshui] Shandong Univ, Qilu Hosp Qingdao, Cheeloo Coll Med, Dept Radiol, Shandong, Peoples R China; [Wu, Jiaojiao; Shi, Feng] United Imaging Intelligence, Dept Res &amp; Dev, Shanghai, Peoples R China; [Gao, Peng] Shandong Univ, Qilu Hosp, Dept Radiol, Jinan, Peoples R China</t>
  </si>
  <si>
    <t>Shandong University; Shandong University</t>
  </si>
  <si>
    <t>Multimodal deep learning for prediction of postoperative recurrence in clear cell renal cell carcinoma: a clinical-radiologic-pathologic approach</t>
  </si>
  <si>
    <t>clear cell renal cell carcinoma; multi-classifier system; prediction; radiomics; recurrence</t>
  </si>
  <si>
    <t>IMMUNOTHERAPY; SURVIVAL; GRADE; STAGE; RISK</t>
  </si>
  <si>
    <t>AUG 6 2026</t>
  </si>
  <si>
    <t>1831252</t>
  </si>
  <si>
    <t>10.3389/fonc.2026.1831252</t>
  </si>
  <si>
    <t>http://dx.doi.org/10.3389/fonc.2026.1831252</t>
  </si>
  <si>
    <t>MX2WG</t>
  </si>
  <si>
    <t>WOS:001853076100001</t>
  </si>
  <si>
    <t>Yoon, HK; Ahn, JH; Kim, BY; Lee, H; Jo, WY; Yoon, SH; Park, HP; Lee, HC</t>
  </si>
  <si>
    <t>Background:Major adverse cardiovascular and cerebrovascular events (MACCEs) after noncardiac surgery can lead to substantial morbidity, mortality, and health care costs. Therefore, accurate and rapid risk prediction is crucial for targeted perioperative management. This study aimed to develop and validate a minimally burdensome multimodal deep learning model integrating demographic data, the International Classification of Diseases (ICD)-10 procedure codes, and raw preoperative 12-lead electrocardiogram (ECG) waveforms to predict 30-day MACCEs and to compare its performance with the established risk indices.Materials and Methods:This retrospective cohort study at a single tertiary academic center included adult patients who underwent noncardiac surgery under regional or general anesthesia from 2006 to 2020. Preoperative 12-lead ECGs were acquired within 3 months before surgery. A transformer-based deep neural network processed raw ECG signals, while a gradient boosting machine (GBM) combined ECG-derived latent features with basic demographic variables (age and sex) and simplified ICD-10 procedure codes. The primary outcome was 30-day MACCEs (cardiac arrest, acute myocardial infarction, congestive heart failure, new arrhythmia, angina, stroke, or cardiovascular/cerebrovascular death). Model performance was assessed using the area under the receiver operating characteristic curve (AUROC), precision-recall curves, sensitivity, specificity, F1 scores, and calibration metrics.Results:Among the 165 577 cases, 54.5% were female, the median age was 56 years, and 0.6% developed 30-day MACCEs. The multimodal GBM model demonstrated a significantly higher AUROC of 0.902 [95% confidence interval (CI), 0.898-0.906] than the baseline GBM [0.842 (0.838-0.847)]. It also outperformed the Revised Cardiac Risk Index [0.812 (0.807-0.818)] and the American Society of Anesthesiologists class [0.759 (0.753-0.765)].Conclusion:A multimodal deep learning model combining raw ECG waveforms with minimal clinical data yielded superior 30-day MACCE risk prediction compared to that of the conventional indices. This approach could facilitate broad clinical adoption by minimizing data collection requirements while enhancing perioperative risk stratification.</t>
  </si>
  <si>
    <t>Yoon, Hyun-Kyu; Ahn, Jang Ho; Kim, Byeol Yi; Lee, Hyeonhoon; Jo, Woo-Young; Yoon, Soo-Hyuk; Park, Hee-Pyoung; Lee, Hyung-Chul</t>
  </si>
  <si>
    <t>Lee, HC (corresponding author), Seoul Natl Univ, Seoul Natl Univ Hosp, Coll Med, Dept Anesthesiol &amp; Pain Med, 101 Daehak Ro, Seoul 03080, South Korea.</t>
  </si>
  <si>
    <t>bybykim45@gmail.com; oskumd00@gmail.com; yoonsh3152@gmail.com; hppark@snu.ac.kr; hhoon@snu.ac.kr</t>
  </si>
  <si>
    <t>Ministry of Science and ICT (MSIT), South Korea [2022R1C1C101275313]</t>
  </si>
  <si>
    <t>Ministry of Science and ICT (MSIT), South Korea</t>
  </si>
  <si>
    <t>The National Research Foundation of Korea (NRF) grant funded by the Ministry of Science and ICT (MSIT), South Korea (No. 2022R1C1C101275313).</t>
  </si>
  <si>
    <t>[Yoon, Hyun-Kyu; Ahn, Jang Ho; Kim, Byeol Yi; Jo, Woo-Young; Yoon, Soo-Hyuk; Park, Hee-Pyoung; Lee, Hyung-Chul] Seoul Natl Univ Hosp, Dept Anesthesiol &amp; Pain Med, Seoul, South Korea; [Yoon, Hyun-Kyu; Yoon, Soo-Hyuk; Park, Hee-Pyoung; Lee, Hyung-Chul] Seoul Natl Univ, Coll Med, Dept Anesthesiol &amp; Pain Med, Seoul, South Korea; [Yoon, Hyun-Kyu; Lee, Hyeonhoon; Lee, Hyung-Chul] Seoul Natl Univ Hosp, Healthcare AI Res Inst, Seoul, South Korea; [Lee, Hyeonhoon] Seoul Natl Univ, Coll Med, Dept Med, Seoul, South Korea</t>
  </si>
  <si>
    <t>Seoul National University (SNU); Seoul National University Hospital; Seoul National University (SNU); Seoul National University Hospital; Seoul National University (SNU); Seoul National University Hospital; Seoul National University (SNU)</t>
  </si>
  <si>
    <t>Multimodal deep learning to predict postoperative major adverse cardiac and cerebrovascular events after noncardiac surgery</t>
  </si>
  <si>
    <t>deep learning; electrocardiography; noncardiac surgery; postoperative complications; prediction algorithms</t>
  </si>
  <si>
    <t>ROUTINE PREOPERATIVE ELECTROCARDIOGRAPHY; PHYSICAL STATUS CLASSIFICATION; CARDIOVASCULAR OUTCOMES; MYOCARDIAL-INFARCTION; ATRIAL-FIBRILLATION; RISK; DYSFUNCTION; VALIDATION; MORTALITY; SOCIETY</t>
  </si>
  <si>
    <t>Park, Hee/J-5500-2012; Lee, Hyeonhoon/AFY-5192-2022</t>
  </si>
  <si>
    <t>Lee, Hyeonhoon/0000-0002-9426-823X</t>
  </si>
  <si>
    <t>111</t>
  </si>
  <si>
    <t>9400</t>
  </si>
  <si>
    <t>9410</t>
  </si>
  <si>
    <t>10.1097/JS9.0000000000003143</t>
  </si>
  <si>
    <t>http://dx.doi.org/10.1097/JS9.0000000000003143</t>
  </si>
  <si>
    <t>AM9KJ</t>
  </si>
  <si>
    <t>40865965</t>
  </si>
  <si>
    <t>WOS:001651925700017</t>
  </si>
  <si>
    <t>Guez, I; Focht, G; Greer, MLC; Cytter-Kuint, R; Pratt, LT; Castro, DA; Turner, D; Griffiths, AM; Freiman, M</t>
  </si>
  <si>
    <t>Background and Objective: Recurrent attentive non-invasive observation of intestinal inflammation is essential for the proper management of Crohn's disease (CD). The goal of this study was to develop and evaluate a multi-modal machine-learning (ML) model to assess ileal CD endoscopic activity by integrating information from Magnetic Resonance Enterography (MRE) and biochemical biomarkers. Methods: We obtained MRE, biochemical and ileocolonoscopy data from the multi-center ImageKids study database. We developed an optimized multimodal fusion ML model to non-invasively assess terminal ileum (TI) endoscopic disease activity in CD from MRE data. We determined the most informative features for model development using a permutation feature importance technique. We assessed model performance in comparison to the clinically recommended linear-regression MRE model in an experimental setup that consisted of stratified 2-fold validation, repeated 50 times, with the ileocolonoscopy-based Simple Endoscopic Score for CD at the TI (TI SES-CD) as a reference. We used the predictions' meansquared-error (MSE) and the receiver operation characteristics (ROC) area under curve (AUC) for active disease classification (TI SEC-CD=3) as performance metrics. Results: 121 subjects out of the 240 subjects in the ImageKids study cohort had all required information (Non-active CD: 62 [51%], active CD: 59 [49%]). Length of disease segment and normalized biochemical biomarkers were the most informative features. The optimized fusion model performed better than the clinically recommended model determined by both a better median test MSE distribution (7.73 vs. 8.8, Wilcoxon test, p &lt;1e-5) and a better aggregated AUC over the folds (0.84 vs. 0.8, DeLong's test, p&lt;1e-9). Conclusions: Optimized ML models for ileal CD endoscopic activity assessment have the potential to enable accurate and non-invasive attentive observation of intestinal inflammation in CD patients. The presented model is available at https://tcmlbme.github.io/ML_SESCD.html. (c) 2022 Elsevier B.V. All rights reserved.</t>
  </si>
  <si>
    <t>Guez, Itai; Focht, Gili; Greer, Mary-Louise C.; Cytter-Kuint, Ruth; Pratt, Li-Tal; Castro, Denise A.; Turner, Dan; Griffiths, Anne M.; Freiman, Moti</t>
  </si>
  <si>
    <t>Guez, I (corresponding author), Technion Israel Inst Technol, Fac Ind Engn, Haifa, Israel.</t>
  </si>
  <si>
    <t>itaijj2@gmail.com</t>
  </si>
  <si>
    <t>Abbvie; Janssen; Pfizer; Hospital for Sick Children; Ferring; Takeda; Atlantic Health; Shire; Celgene; Lilly; Roche; ThermoFisher; BMS; Samsung</t>
  </si>
  <si>
    <t>Abbvie (AbbVie); Janssen (Johnson &amp; Johnson, Johnson &amp; Johnson USA, Janssen Biotech Inc); Pfizer (Pfizer); Hospital for Sick Children (University of Toronto); Ferring (Ferring Pharmaceuticals); Takeda (Takeda Pharmaceutical Company Ltd); Atlantic Health; Shire; Celgene (Bristol-Myers Squibb, Celgene Corporation); Lilly (Eli Lilly); Roche (Roche Holding); ThermoFisher; BMS (Bristol-Myers Squibb); Samsung (Samsung)</t>
  </si>
  <si>
    <t>The ImageKids study was supported by an educational grant from AbbVie who were not involved in any part of the study design, conduct, analysis, or writing. The authors declare no competing non-financial interests but the following competing financial interests: I.G -None. G.F received last 3 years consultation fee from Abbvie and Lilly M.L.C.G received in the past 3 years AbbVie investigator-initiated research grant and honoraria, Samsung honoraria. R.C.K -None. L.P -None. D.A.C - None. D.T - received last 3 years consultation fee, research grant, royalties, or honorarium from Janssen, Pfizer, Hospital for Sick Children, Ferring, Abbvie, Takeda, Atlantic Health, Shire, Celgene, Lilly, Roche, ThermoFisher, BMS. A.M.G received during the past 3 years consultant fees from Abbvie, Amgen, BristolMyersSquibb,Lilly, Janssen, Merck, Pfizer; speaker fees from Abbvie, Janssen, NestlE; investigator-initiated research grant from Abbvie. M.F - None.</t>
  </si>
  <si>
    <t>[Guez, Itai] Technion Israel Inst Technol, Fac Ind Engn, Haifa, Israel; [Focht, Gili; Cytter-Kuint, Ruth; Turner, Dan] Shaare Zedek Med Ctr, Jerusalem, Israel; [Greer, Mary-Louise C.; Griffiths, Anne M.] Hosp Sick Children, Toronto, ON, Canada; [Pratt, Li-Tal; Castro, Denise A.] Queens Univ, Kingston Hlth Sci Ctr, Kingston, ON, Canada; [Freiman, Moti] Technion Israel Inst Technol, Fac Biomed Engn, Haifa, Israel</t>
  </si>
  <si>
    <t>Technion Israel Institute of Technology; Hebrew University of Jerusalem; Shaare Zedek Medical Center; University of Toronto; Hospital for Sick Children (SickKids); Queens University - Canada; Technion Israel Institute of Technology</t>
  </si>
  <si>
    <t>Development of a multimodal machine-learning fusion model to non-invasively assess ileal Crohn's disease endoscopic activity</t>
  </si>
  <si>
    <t>Machine-learning; Multimodal Learning in Medical Imaging and Informatics; Crohn's disease; Magnetic Resonance Enterography</t>
  </si>
  <si>
    <t>MAGNETIC-RESONANCE ENTEROGRAPHY; INFLAMMATORY-BOWEL-DISEASE; GLOBAL SCORE MEGS; CALPROTECTIN; RELIABILITY; VALIDATION; RECOMMENDATIONS; MUCOSAL</t>
  </si>
  <si>
    <t>GRIFFITHS, ANNE/GLU-8439-2022; Guez, Itai/KGK-5177-2024; Greer, Mary-Louise/AAF-4387-2020; Turner, Dan/KHT-2166-2024</t>
  </si>
  <si>
    <t>Griffiths, Anne/0000-0001-8623-4665; Guez, Itai/0000-0002-7536-8614</t>
  </si>
  <si>
    <t>227</t>
  </si>
  <si>
    <t>107207</t>
  </si>
  <si>
    <t>10.1016/j.cmpb.2022.107207</t>
  </si>
  <si>
    <t>http://dx.doi.org/10.1016/j.cmpb.2022.107207</t>
  </si>
  <si>
    <t>M1ZM4</t>
  </si>
  <si>
    <t>36375417</t>
  </si>
  <si>
    <t>WOS:001028233400002</t>
  </si>
  <si>
    <t>Xiong, J; Li, F; Song, DP; Tang, GX; He, JJ; Gao, K; Zhang, HL; Cheng, WJ; Song, YH; Lin, FB; Hu, K; Wang, PY; Li, JPO; Aung, T; Qiao, Y; Zhang, XL; Ting, D</t>
  </si>
  <si>
    <t>Purpose: To develop and validate a multimodal artificial intelligence algorithm, FusionNet, using the pattern deviation probability plots from visual field (VF) reports and circular peripapillary OCT scans to detect glaucomatous optic neuropathy (GON).Design: Cross-sectional study.Subjects: Two thousand four hundred sixty-three pairs of VF and OCT images from 1083 patients.Methods: FusionNet based on bimodal input of VF and OCT paired data was developed to detect GON. Visual field data were collected using the Humphrey Field Analyzer (HFA). OCT images were collected from 3 types of devices (DRI-OCT, Cirrus OCT, and Spectralis). Two thousand four hundred sixty-three pairs of VF and OCT images were divided into 4 datasets: 1567 for training (HFA and DRI-OCT), 441 for primary validation (HFA and DRI-OCT), 255 for the internal test (HFA and Cirrus OCT), and 200 for the external test set (HFA and Spectralis). GON was defined as retinal nerve fiber layer thinning with corresponding VF defects.Main Outcome Measures: Diagnostic performance of FusionNet compared with that of VFNet (with VF data as input) and OCTNet (with OCT data as input).Results: FusionNet achieved an area under the receiver operating characteristic curve (AUC) of 0.950 (0.931-0.968) and outperformed VFNet (AUC, 0.868 [95% confidence interval (CI), 0.834-0.902]), OCTNet (AUC, 0.809 [95% CI, 0.768-0.850]), and 2 glaucoma specialists (glaucoma specialist 1: AUC, 0.882 [95% CI, 0.847-0.917]; glaucoma specialist 2: AUC, 0.883 [95% CI, 0.849-0.918]) in the primary validation set. In the internal and external test sets, the performances of FusionNet were also superior to VFNet and OCTNet (FusionNet vs VFNet vs OCTNet: internal test set 0.917 vs 0.854 vs 0.811; external test set 0.873 vs 0.772 vs 0.785). No significant difference was found between the 2 glaucoma specialists and FusionNet in the internal and external test sets, except for glaucoma specialist 2 (AUC, 0.858 [95% CI, 0.805-0.912]) in the internal test set.Conclusions: FusionNet, developed using paired VF and OCT data, demonstrated superior performance to both VFNet and OCTNet in detecting GON, suggesting that multimodal machine learning models are valuable in detecting GON. (C) 2021 by the American Academy of Ophthalmology</t>
  </si>
  <si>
    <t>Xiong, Jian; Li, Fei; Song, Diping; Tang, Guangxian; He, Junjun; Gao, Kai; Zhang, Hengli; Cheng, Weijing; Song, Yunhe; Lin, Fengbin; Hu, Kun; Wang, Peiyuan; Li, Ji-Peng Olivia; Aung, Tin; Qiao, Yu; Zhang, Xiulan; Ting, Daniel</t>
  </si>
  <si>
    <t>Zhang, XL (corresponding author), Sun Yat Sen Univ, Zhongshan Ophthalm Ctr, State Key Lab Ophthalmol, 7 Jinsui Rd, Guangzhou 510060, Peoples R China.; Aung, T (corresponding author), Singapore Natl Eye Ctr, Singapore Eye Res Inst, 11 Third Hosp Ave, Singapore 168751, Singapore.; Aung, T (corresponding author), Duke NUS Med Sch, 11 Third Hosp Ave, Singapore 168751, Singapore.; Qiao, Y (corresponding author), Chinese Acad Sci, Shenzhen Inst Adv Technol, 1068 Xueyuan Ave, Shenzhen 518055, Peoples R China.</t>
  </si>
  <si>
    <t>zhangxl2@mail.sysu.edu; yu.qiao@siat.ac.cn; aung.tin@singhealth.com.sg</t>
  </si>
  <si>
    <t>National Key RD Project [2018YFC0116500]; High-Level Hospital Construction Project, Zhongshan Ophthalmic Center, Sun Yat-sen University, Guangzhou, People's Republic of China [303020104]</t>
  </si>
  <si>
    <t>National Key RD Project; High-Level Hospital Construction Project, Zhongshan Ophthalmic Center, Sun Yat-sen University, Guangzhou, People's Republic of China</t>
  </si>
  <si>
    <t>Supported by the National Key R&amp;D Project (grant no.: 2018YFC0116500); and the High-Level Hospital Construction Project, Zhongshan Ophthalmic Center, Sun Yat-sen University, Guangzhou, People's Republic of China (grant no.: 303020104).</t>
  </si>
  <si>
    <t>[Xiong, Jian; Li, Fei; Gao, Kai; Cheng, Weijing; Song, Yunhe; Lin, Fengbin; Hu, Kun; Wang, Peiyuan; Zhang, Xiulan] Sun Yat Sen Univ, Zhongshan Ophthalm Ctr, State Key Lab Ophthalmol, 7 Jinsui Rd, Guangzhou 510060, Peoples R China; [Xiong, Jian] Nanchang Univ, Affiliated Hosp 2, Dept Ophthalmol, Nanchang, Jiangxi, Peoples R China; [Song, Diping; Qiao, Yu] Chinese Acad Sci, Shenzhen Inst Adv Technol, ShenZhen Key Lab Comp Vis &amp; Pattern Recognit, Shenzhen, Peoples R China; [Song, Diping; He, Junjun] Univ Chinese Acad Sci, Beijing, Peoples R China; [Tang, Guangxian; Zhang, Hengli] First Hosp Shijiazhuang City, Shijiazhuang, Hebei, Peoples R China; [He, Junjun; Qiao, Yu] Shanghai AI Lab, Shanghai, Peoples R China; [He, Junjun] Shanghai Jiao Tong Univ, Shanghai, Peoples R China; [Li, Ji-Peng Olivia] Moorfields Eye Hosp NHS Fdn Trust, London, England; [Aung, Tin] Singapore Natl Eye Ctr, Singapore Eye Res Inst, 11 Third Hosp Ave, Singapore 168751, Singapore; [Aung, Tin] Duke NUS Med Sch, 11 Third Hosp Ave, Singapore 168751, Singapore; [Aung, Tin; Ting, Daniel] Natl Univ Singapore, Yong Loo Lin Sch Med, Singapore, Singapore</t>
  </si>
  <si>
    <t>Sun Yat Sen University; Nanchang University; Chinese Academy of Sciences; Shenzhen Institute of Advanced Technology, CAS; Chinese Academy of Sciences; University of Chinese Academy of Sciences, CAS; Shanghai Artificial Intelligence Laboratory; Shanghai Jiao Tong University; University of London; University College London; Moorfields Eye Hospital NHS Foundation Trust; Singapore National Eye Center; National University of Singapore; National University of Singapore; National University of Singapore</t>
  </si>
  <si>
    <t>Multimodal Machine Learning Using Visual Fields and Peripapillary Circular OCT Scans in Detection of Glaucomatous Optic Neuropathy</t>
  </si>
  <si>
    <t>Bimodal data; Deep learning; Glaucoma; Glaucomatous optic neuropathy</t>
  </si>
  <si>
    <t>RETINAL NERVE-FIBER; VARIABILITY; LAYER</t>
  </si>
  <si>
    <t>Aung, Tin/B-6521-2009; Li, Fei/ABB-7789-2021; Ting, Daniel/QOC-0597-2026; tang, gx/KDP-3027-2024</t>
  </si>
  <si>
    <t>熊, 健/0000-0003-3820-8432; Bidwai, Pooja Vishal/0000-0002-3077-4395; Aung, Tin/0000-0002-7916-0589; Song, Yunhe/0000-0003-3106-6945; Peiyuan, Wang/0000-0001-8491-2995; Cheng, Weijing/0000-0003-1522-2653; Zhang, Xiulan/0000-0002-9288-0767</t>
  </si>
  <si>
    <t>82</t>
  </si>
  <si>
    <t>FEB 2022</t>
  </si>
  <si>
    <t>171</t>
  </si>
  <si>
    <t>10.1016/j.ophtha.2021.07.032</t>
  </si>
  <si>
    <t>http://dx.doi.org/10.1016/j.ophtha.2021.07.032</t>
  </si>
  <si>
    <t>JAN 2022</t>
  </si>
  <si>
    <t>YO2JD</t>
  </si>
  <si>
    <t>34339778</t>
  </si>
  <si>
    <t>WOS:000747770500010</t>
  </si>
  <si>
    <t>Nelson, M; Alotaibi, Y; Rajendran, S; Jibinsingh, BR</t>
  </si>
  <si>
    <t>Neonatal sepsis is a life-threatening condition that requires early and reliable detection to reduce mortality and improve clinical outcomes in Neonatal Intensive Care Units (NICUs). Conventional diagnostic approaches based on biomarkers and clinical observations often fail to capture complex temporal and multimodal interactions present in heterogeneous clinical data. This study proposes a Brain-Inspired Graph Neural Network (Bi-GNN) framework that integrates EEG waveform signals and structured electronic clinical records (ECR) derived from the MIMIC-III waveform database for neonatal sepsis prediction. EEG signals are encoded into spike sequences and mapped onto anatomically grounded graph structures, while clinical features are modeled as complementary graph nodes, enabling effective multimodal fusion. A Forward-Forward Graph Convolutional Network with biologically inspired synaptic plasticity is employed to learn temporal and spatial dependencies without backpropagation through time. The proposed framework achieves an accuracy of 94.54%, precision of 94.58%, recall of 93.78%, and an F1-score of 94.00%, demonstrating robust and reliable performance. Comparative evaluation against baseline and state-of-the-art models confirms the effectiveness of the proposed approach. Furthermore, graph-based representations and attention mechanisms enhance interpretability by highlighting clinically relevant neural and physiological patterns, supporting trustworthy and explainable neonatal sepsis assessment in critical care environments.</t>
  </si>
  <si>
    <t>Nelson, Madhusundar; Alotaibi, Youseef; Rajendran, Surendran; Jibinsingh, Betshrine Rachel</t>
  </si>
  <si>
    <t>Rajendran, S (corresponding author), Saveetha Inst Med &amp; Tech Sci, Saveetha Sch Engn, Dept Comp Sci &amp; Engn, Chennai 602105, India.</t>
  </si>
  <si>
    <t>surendran.phd.it@gmail.com</t>
  </si>
  <si>
    <t>Umm Al-Qura University, Saudi Arabia [25UQU4281768GSSR06]</t>
  </si>
  <si>
    <t>Umm Al-Qura University, Saudi Arabia (Umm Al-Qura University)</t>
  </si>
  <si>
    <t>This research work was funded by Umm Al-Qura University, Saudi Arabia under grant number: 25UQU4281768GSSR06</t>
  </si>
  <si>
    <t>[Nelson, Madhusundar; Rajendran, Surendran] Saveetha Inst Med &amp; Tech Sci, Saveetha Sch Engn, Dept Comp Sci &amp; Engn, Chennai 602105, India; [Alotaibi, Youseef] Umm Al Qura Univ, Coll Comp, Dept Software Engn, Mecca 21955, Saudi Arabia; [Jibinsingh, Betshrine Rachel] Anna Univ, Ramanujan Comp Ctr Alumni, Chennai 600025, India</t>
  </si>
  <si>
    <t>Saveetha Institute of Medical &amp; Technical Science; Saveetha School of Engineering; Umm Al-Qura University; Anna University; Anna University Chennai</t>
  </si>
  <si>
    <t>Multimodal learning for neonatal sepsis detection in the NICU using brain-inspired graph neural networks</t>
  </si>
  <si>
    <t>RESULTS IN ENGINEERING</t>
  </si>
  <si>
    <t>Neonatal sepsis; Brain-inspired GNN; Multimodal learning; Deep learning; Healthcare; NICU</t>
  </si>
  <si>
    <t>Alotaibi, Youseef/AIC-8431-2022; Rajendran, Surendran/AAC-8702-2021; JIBINSINGH, BETSHRINE RACHEL/MXL-6609-2025</t>
  </si>
  <si>
    <t>Rajendran, Surendran/0000-0002-6945-8461</t>
  </si>
  <si>
    <t>2590-1230</t>
  </si>
  <si>
    <t>RESULTS ENG</t>
  </si>
  <si>
    <t>Results Eng.</t>
  </si>
  <si>
    <t>109072</t>
  </si>
  <si>
    <t>10.1016/j.rineng.2026.109072</t>
  </si>
  <si>
    <t>http://dx.doi.org/10.1016/j.rineng.2026.109072</t>
  </si>
  <si>
    <t>CX5YE</t>
  </si>
  <si>
    <t>WOS:001676826100001</t>
  </si>
  <si>
    <t>Wang, YF; Gao, RT; Wei, T; Johnston, L; Yuan, X; Zhang, Y; Yu, ZS</t>
  </si>
  <si>
    <t>BackgroundIdentifying individuals with mild cognitive impairment (MCI) at risk of progressing to Alzheimer's disease (AD) provides a unique opportunity for early interventions. Therefore, accurate and long-term prediction of the conversion from MCI to AD is desired but, to date, remains challenging. Here, we developed an interpretable deep learning model featuring a novel design that incorporates interaction effects and multimodality to improve the prediction accuracy and horizon for MCI-to-AD progression.MethodsThis multi-center, multi-cohort retrospective study collected structural magnetic resonance imaging (sMRI), clinical assessments, and genetic polymorphism data of 252 patients with MCI at baseline from the Alzheimer's Disease Neuroimaging Initiative (ADNI) database. Our deep learning model was cross-validated on the ADNI-1 and ADNI-2/GO cohorts and further generalized in the ongoing ADNI-3 cohort. We evaluated the model performance using the area under the receiver operating characteristic curve (AUC), accuracy, sensitivity, specificity, and F1 score.ResultsOn the cross-validation set, our model achieved superior results for predicting MCI conversion within 4 years (AUC, 0.962; accuracy, 92.92%; sensitivity, 88.89%; specificity, 95.33%) compared to all existing studies. In the independent test, our model exhibited consistent performance with an AUC of 0.939 and an accuracy of 92.86%. Integrating interaction effects and multimodal data into the model significantly increased prediction accuracy by 4.76% (P = 0.01) and 4.29% (P = 0.03), respectively. Furthermore, our model demonstrated robustness to inter-center and inter-scanner variability, while generating interpretable predictions by quantifying the contribution of multimodal biomarkers.ConclusionsThe proposed deep learning model presents a novel perspective by combining interaction effects and multimodality, leading to more accurate and longer-term predictions of AD progression, which promises to improve pre-dementia patient care.</t>
  </si>
  <si>
    <t>Wang, Yifan; Gao, Ruitian; Wei, Ting; Johnston, Luke; Yuan, Xin; Zhang, Yue; Yu, Zhangsheng</t>
  </si>
  <si>
    <t>Yu, ZS (corresponding author), Shanghai Jiao Tong Univ, Sch Life Sci &amp; Biotechnol, Dept Bioinformat &amp; Biostat, 800 Dongchuan Rd, Shanghai 200240, Peoples R China.; Yu, ZS (corresponding author), Shanghai Jiao Tong Univ, SJTU Yale Joint Ctr Biostat &amp; Data Sci, Shanghai, Shanghai, Peoples R China.; Yu, ZS (corresponding author), Shanghai Jiao Tong Univ, Sch Math Sci, Shanghai, Peoples R China.; Yu, ZS (corresponding author), Shanghai Jiao Tong Univ, Clin Res Inst, Sch Med, Shanghai, Peoples R China.</t>
  </si>
  <si>
    <t>National Natural Science Foundation of China; Alzheimer's Disease Neuroimaging Initiative (ADNI) database (adni.loni.usc.edu)</t>
  </si>
  <si>
    <t>National Natural Science Foundation of China (National Natural Science Foundation of China (NSFC)); Alzheimer's Disease Neuroimaging Initiative (ADNI) database (adni.loni.usc.edu)</t>
  </si>
  <si>
    <t>Data used in preparation of this article were obtained from the Alzheimer's Disease Neuroimaging Initiative (ADNI) database (adni.loni.usc.edu). As such, the investigators within the ADNI contributed to the design and implementation of ADNI and/or provided data but did not participate in analysis or writing of this report. A complete listing of ADNI investigators can be found at: http://adni.loni.usc.edu/wp-content/uploads/how_to_apply/ADNI_Acknowledgement_List.pdf.</t>
  </si>
  <si>
    <t>[Wang, Yifan; Gao, Ruitian; Wei, Ting; Yuan, Xin; Zhang, Yue; Yu, Zhangsheng] Shanghai Jiao Tong Univ, Sch Life Sci &amp; Biotechnol, Dept Bioinformat &amp; Biostat, 800 Dongchuan Rd, Shanghai 200240, Peoples R China; [Wang, Yifan; Gao, Ruitian; Wei, Ting; Yuan, Xin; Zhang, Yue; Yu, Zhangsheng] Shanghai Jiao Tong Univ, SJTU Yale Joint Ctr Biostat &amp; Data Sci, Shanghai, Shanghai, Peoples R China; [Johnston, Luke; Yu, Zhangsheng] Shanghai Jiao Tong Univ, Sch Math Sci, Shanghai, Peoples R China; [Yu, Zhangsheng] Shanghai Jiao Tong Univ, Clin Res Inst, Sch Med, Shanghai, Peoples R China</t>
  </si>
  <si>
    <t>Predicting long-term progression of Alzheimer's disease using a multimodal deep learning model incorporating interaction effects</t>
  </si>
  <si>
    <t>Artificial intelligence; Deep learning; Alzheimer's disease; Early diagnosis; Multimodal biomarkers</t>
  </si>
  <si>
    <t>MILD COGNITIVE IMPAIRMENT; GENOME-WIDE ASSOCIATION; DIAGNOSTIC GUIDELINES; NATIONAL INSTITUTE; MRI; RECOMMENDATIONS; WORKGROUPS; VARIANTS; DEMENTIA; LOCI</t>
  </si>
  <si>
    <t>Yuan, Xin/0000-0001-5293-003X; Yu, Zhangsheng/0000-0002-8189-5330</t>
  </si>
  <si>
    <t>MAR 11 2024</t>
  </si>
  <si>
    <t>10.1186/s12967-024-05025-w</t>
  </si>
  <si>
    <t>http://dx.doi.org/10.1186/s12967-024-05025-w</t>
  </si>
  <si>
    <t>KU4S9</t>
  </si>
  <si>
    <t>38468358</t>
  </si>
  <si>
    <t>WOS:001182471500003</t>
  </si>
  <si>
    <t>Yao, JH; Su, ZH; Jian, C; Lin, G; Gao, ZJ; Su, CY; Xu, S; Chen, Y; Cai, DZ</t>
  </si>
  <si>
    <t>Developmental Dysplasia of the Hip (DDH) is a common pediatric orthopedic disorder in which early diagnosis is essential to prevent lifelong disability. However, automated DDH diagnosis from X-ray images remains challenging due to the high cost of annotated data, anatomical ambiguity, and projection variations caused by posture differences. To address these issues, this study develops a self-supervised representation transfer framework tailored for low-annotation medical imaging scenarios, where only a small portion of data is annotated while the majority remains unlabeled. The proposed end-to-end pipeline also incorporates multimodal data and structural enhancement modules for robust DDH diagnosis. First, we adopt a BYOL-based self-supervised learning scheme to extract global feature representations from a large set of unlabeled pelvic X-ray images. These representations are transferred into a target detector and fine-tuned using a small subset of labeled data, thereby significantly reducing the dependence on large-scale annotations. Second, to enhance feature recognition under low-quality imaging and complex backgrounds, we design a self-attention Multi-Scale Efficient Module (SMEM) to emphasize critical anatomical structures. Third, age and gender information are embedded into the image feature stream, enhancing the model's robustness to developmental variations. Finally, the extracted anatomical indices are fed into a Kolmogorov-Arnold Network (KAN), which adaptively models their nonlinear relationships with DDH severity for precise and interpretable diagnostic classification. We established a pediatric pelvic X-ray dataset spanning patients aged 6 months to 16 years to evaluate the proposed framework. Experimental results demonstrate superior performance in both detection and classification, with high label efficiency and strong robustness to postural variation.</t>
  </si>
  <si>
    <t>Yao, Jinghui; Su, Zhihong; Jian, Can; Lin, Gan; Gao, Zijun; Su, Chengyue; Xu, Sheng; Chen, Yun; Cai, Daozhang</t>
  </si>
  <si>
    <t>Chen, Y (corresponding author), Southern Med Univ, Affiliated Hosp 3, Sch Nursing, Guangzhou 510630, Peoples R China.; Xu, S (corresponding author), Guangdong Univ Technol, Sch Phys &amp; Optoelect Engn, Guangzhou 510006, Peoples R China.; Cai, DZ (corresponding author), Southern Med Univ, Affiliated Hosp 3, Sch Clin Med 3, Dept Joint Surg,Ctr Orthoped Surg, Guangzhou 510630, Peoples R China.</t>
  </si>
  <si>
    <t>cysu@gdut.edu.cn; gaozijun66@163.com; lg010625@163.com; 3123008732@mail2.gdut.edu.cn; chenyun88@smu.edu.cn; xusheng@gdut.edu.cn; 3223008748@mail2.gdut.edu.cn; yaojinghui@smu.edu.cn; cdz@smu.edu.cn</t>
  </si>
  <si>
    <t>National Natural Science Foundation of China [32271996]; Directors' Fund Project of the Third Affiliated Hospital of Southern Medical University [YH202207]</t>
  </si>
  <si>
    <t>National Natural Science Foundation of China (National Natural Science Foundation of China (NSFC)); Directors' Fund Project of the Third Affiliated Hospital of Southern Medical University</t>
  </si>
  <si>
    <t>This work was supported in part by the National Natural Science Foundation of China (Grant No. 32271996) and in part by the Directors' Fund Project of the Third Affiliated Hospital of Southern Medical University (Grant No. YH202207) .</t>
  </si>
  <si>
    <t>[Yao, Jinghui; Gao, Zijun] Guangdong Univ Technol, Inst Innovat &amp; Interdisciplinary Res, Guangzhou 510006, Peoples R China; [Yao, Jinghui; Gao, Zijun] Southern Med Univ, Affiliated Hosp 3, Ctr Orthoped Surg, Sch Clin Med 3,Dept Pediat Orthoped, Guangzhou 510630, Peoples R China; [Su, Zhihong; Jian, Can; Su, Chengyue] Guangdong Univ Technol, Sch Adv Mfg, Jieyang 522000, Peoples R China; [Lin, Gan; Chen, Yun] Southern Med Univ, Affiliated Hosp 3, Sch Nursing, Guangzhou 510630, Peoples R China; [Xu, Sheng] Guangdong Univ Technol, Sch Phys &amp; Optoelect Engn, Guangzhou 510006, Peoples R China; [Cai, Daozhang] Southern Med Univ, Affiliated Hosp 3, Sch Clin Med 3, Dept Joint Surg,Ctr Orthoped Surg, Guangzhou 510630, Peoples R China</t>
  </si>
  <si>
    <t>Guangdong University of Technology; Southern Medical University - China; Guangdong University of Technology; Southern Medical University - China; Guangdong University of Technology; Southern Medical University - China</t>
  </si>
  <si>
    <t>A self-supervised representation-transfer multimodal learning for automated diagnosis of Developmental Dysplasia of the Hip</t>
  </si>
  <si>
    <t>Developmental Dysplasia of the Hip; Automated diagnosis; Self-supervised learning; Representation transfer; Multi-scale attention; Adaptive classifier</t>
  </si>
  <si>
    <t>RADIOGRAPHIC CLASSIFICATION; LANDMARK DETECTION; DDH</t>
  </si>
  <si>
    <t>/ABG-9350-2020</t>
  </si>
  <si>
    <t>109868</t>
  </si>
  <si>
    <t>10.1016/j.bspc.2026.109868</t>
  </si>
  <si>
    <t>http://dx.doi.org/10.1016/j.bspc.2026.109868</t>
  </si>
  <si>
    <t>ED0AL</t>
  </si>
  <si>
    <t>WOS:001698150300001</t>
  </si>
  <si>
    <t>Habets, PC; Thomas, RM; Milaneschi, Y; Jansen, R; Pool, R; Peyrot, WJ; Penninx, BWJH; Meijer, OC; van Wingen, GA; Vinkers, CH</t>
  </si>
  <si>
    <t>BACKGROUND: The ability to predict the disease course of individuals with major depressive disorder (MDD) is essential for optimal treatment planning. Here, we used a data-driven machine learning approach to assess the predictive value of different sets of biological data (whole-blood proteomics, lipid metabolomics, transcriptomics, genetics), both separately and added to clinical baseline variables, for the longitudinal prediction of 2-year remission status in MDD at the individual-subject level. METHODS: Prediction models were trained and cross-validated in a sample of 643 patients with current MDD (2-year remission n = 325) and subsequently tested for performance in 161 individuals with MDD (2-year remission n = 82). RESULTS: Proteomics data showed the best unimodal data predictions (area under the receiver operating characteristic curve = 0.68). Adding proteomic to clinical data at baseline significantly improved 2-year MDD remission predictions (area under the receiver operating characteristic curve = 0.63 vs. 0.78, p = .013), while the addition of other omics data to clinical data did not yield significantly improved model performance. Feature importance and enrichment analysis revealed that proteomic analytes were involved in inflammatory response and lipid metabolism, with fibrinogen levels showing the highest variable importance, followed by symptom severity. Machine learning models outperformed psychiatrists' ability to predict 2-year remission status (balanced CONCLUSIONS: This study showed the added predictive value of combining proteomic data, but not other omics data, with clinical data for the prediction of 2-year remission status in MDD. Our results reveal a novel multimodal signature of 2-year MDD remission status that shows clinical potential for individual MDD disease course predictions from baseline measurements.</t>
  </si>
  <si>
    <t>Habets, Philippe C.; Thomas, Rajat M.; Milaneschi, Yuri; Jansen, Rick; Pool, Rene; Peyrot, Wouter J.; Penninx, Brenda W. J. H.; Meijer, Onno C.; van Wingen, Guido A.; Vinkers, Christiaan H.</t>
  </si>
  <si>
    <t>Habets, PC (corresponding author), Vrije Univ, Amsterdam Univ, Dept Anat &amp; Neurosci, Med Ctr, Amsterdam, Netherlands.; Habets, PC (corresponding author), Vrije Univ, Amsterdam Univ, Dept Psychiat, Amsterdam Neurosci,Med Ctr, Amsterdam, Netherlands.; Habets, PC (corresponding author), Leiden Univ, Dept Internal Med, Sect Endocrinol, Med Ctr, Leiden, Netherlands.</t>
  </si>
  <si>
    <t>p.c.habets@amsterdamumc.nl</t>
  </si>
  <si>
    <t>Netherlands Organization for Health Research and Development [10-000-1002]; Universities and mental health care organizations; Vrije Universiteit University Medical Center; GGZ inGeest; Arkin; Leiden University Medical Center; GGZ Rivierduinen; University Medical Center Groningen; Lentis; GGZ Friesland; GGZ Drenthe; Institute for Quality of Health Care; Netherlands Institute for Health Services Research; Netherlands Institute of Mental Health and Addiction; Healthw Holland (Topsector Life Sciences Health); Animal Genetics</t>
  </si>
  <si>
    <t>Netherlands Organization for Health Research and Development (Netherlands Organization for Health Research and Development); Universities and mental health care organizations; Vrije Universiteit University Medical Center; GGZ inGeest; Arkin; Leiden University Medical Center; GGZ Rivierduinen; University Medical Center Groningen (University of Groningen); Lentis; GGZ Friesland; GGZ Drenthe; Institute for Quality of Health Care; Netherlands Institute for Health Services Research; Netherlands Institute of Mental Health and Addiction; Healthw Holland (Topsector Life Sciences Health); Animal Genetics</t>
  </si>
  <si>
    <t>This work was supported by the Geestkracht program of the Netherlands Organization for Health Research and Development (Grant No. 10-000-1002 [to BWJHP] ) and is also supported by participating universities and mental health care organizations (Vrije Universiteit University Medical Center, GGZ inGeest, Arkin, Leiden University Medical Center, GGZ Rivierduinen, University Medical Center Groningen, Lentis, GGZ Friesland, GGZ Drenthe, Institute for Quality of Health Care, Netherlands Institute for Health Services Research, and Netherlands Institute of Mental Health and Addiction) . The collaboration project is cofunded by the public-private partnerships Allowance made available by Healthw Holland (Topsector Life Sciences &amp; Health) to stimulate public-private partnerships (to CHV) . We thank Animal Genetics for their partnership and funding contribution. We thank Dr. E. Bosdriesz and Dr. F. Bennis for their valuable input on the machine learning analysis and Dr. J. Tijdink and Dr. J. Luykx for their aid in complementing human predictions. The authors report no biomedical financial interests or potential conflicts of interest.</t>
  </si>
  <si>
    <t>[Habets, Philippe C.; Thomas, Rajat M.; Jansen, Rick; van Wingen, Guido A.; Vinkers, Christiaan H.] Vrije Univ, Amsterdam Univ, Dept Anat &amp; Neurosci, Med Ctr, Amsterdam, Netherlands; [Habets, Philippe C.; Milaneschi, Yuri; Jansen, Rick; Penninx, Brenda W. J. H.; Vinkers, Christiaan H.] Vrije Univ, Amsterdam Univ, Dept Psychiat, Amsterdam Neurosci,Med Ctr, Amsterdam, Netherlands; [Habets, Philippe C.; Meijer, Onno C.] Leiden Univ, Dept Internal Med, Sect Endocrinol, Med Ctr, Leiden, Netherlands; [Pool, Rene] Vrije Univ Amsterdam, Dept Biol Psychol, Neurosci Campus Amsterdam, Amsterdam, Netherlands; [Peyrot, Wouter J.] Vrije Univ, Ctr Neurogenom &amp; Cognit Res, Dept Complex Traits Genet, Amsterdam Neurosci, Amsterdam, Netherlands</t>
  </si>
  <si>
    <t>University of Amsterdam; Vrije Universiteit Amsterdam; Vrije Universiteit Amsterdam; University of Amsterdam; Leiden University - Excl LUMC; Leiden University; Leiden University Medical Center (LUMC); Vrije Universiteit Amsterdam; Vrije Universiteit Amsterdam</t>
  </si>
  <si>
    <t>Multimodal Data Integration Advances Longitudinal Prediction of the Naturalistic Course of Depression and Reveals a Multimodal Signature of Remission During 2-Year Follow-up</t>
  </si>
  <si>
    <t>BIOLOGICAL PSYCHIATRY</t>
  </si>
  <si>
    <t>ANXIETY; OUTCOMES; INDIVIDUALS; NETHERLANDS; INVENTORY; MULTISITE; INTERVIEW; DISORDER</t>
  </si>
  <si>
    <t>Penninx, Brenda/S-7627-2017; van Wingen, Guido/AAK-8462-2021; Vinkers, Christiaan/AAV-1720-2020; Thomas, Rajat/B-7105-2014; Pool, René/AFO-8147-2022; Meijer, Onno/D-8070-2018</t>
  </si>
  <si>
    <t>Vinkers, Christiaan/0000-0003-3698-0744; Milaneschi, Yuri/0000-0002-3697-6617; Habets, Philippe/0000-0001-5831-9020; Pool, René/0000-0001-5579-0933; Meijer, Onno/0000-0002-8394-6859</t>
  </si>
  <si>
    <t>0006-3223</t>
  </si>
  <si>
    <t>1873-2402</t>
  </si>
  <si>
    <t>BIOL PSYCHIAT</t>
  </si>
  <si>
    <t>Biol. Psychiatry</t>
  </si>
  <si>
    <t>DEC 15 2023</t>
  </si>
  <si>
    <t>948</t>
  </si>
  <si>
    <t>958</t>
  </si>
  <si>
    <t>10.1016/j.biopsych.2023.05.024</t>
  </si>
  <si>
    <t>http://dx.doi.org/10.1016/j.biopsych.2023.05.024</t>
  </si>
  <si>
    <t>Neurosciences; Psychiatry</t>
  </si>
  <si>
    <t>Z7EI6</t>
  </si>
  <si>
    <t>37330166</t>
  </si>
  <si>
    <t>WOS:001113664500001</t>
  </si>
  <si>
    <t>Feng, YJ; Guo, YS; Liu, QY; Liu, F; Shen, JF; Shen, JF</t>
  </si>
  <si>
    <t>Accurate color matching is essential to achieving aesthetically realistic outcomes in dental crown and bridge restorations. Traditional visual methods, however, are often affected by lighting variations and observer subjectivity. These limitations can lead to metamerism and inconsistent clinical outcomes. In this paper, we propose a deep learning-based snapshot spectral reflectance prediction framework by incorporating multimodal optical priors into a physics-informed modular reconstruction pipeline. Architecturally, it employs dual subnetworks integrated with attention mechanisms to enhance both spectral and spatial fidelity. A dedicated dataset consisting of over 4000 RGB-hyperspectral image pairs of dental samples is constructed under diverse lighting conditions using a custom-built acquisition setup, enabling robust reflectance restoration. Quantitative evaluations demonstrate that the mean squared error of the reconstructed spectral reflectance is 0.002, with the structural similarity index measure achieving 0.8496. The proposed spectral reflectance reconstruction framework is fast, reliable, and robust, offering a physically consistent and clinically applicable solution for accurate color matching. Furthermore, its modular design provides flexibility, suggesting potential for adaptation and broader applicability across various biomedical imaging domains.</t>
  </si>
  <si>
    <t>Feng, Yujun; Guo, Yushan; Liu, Qingyi; Liu, Fei; Shen, Jiefei; Shen, Junfei</t>
  </si>
  <si>
    <t>Shen, JF (corresponding author), Sichuan Univ, Coll Elect &amp; Informat Engn, Chengdu, Peoples R China.</t>
  </si>
  <si>
    <t>shenjunfei@scu.edu.cn</t>
  </si>
  <si>
    <t>Research and Develop Program, West China Hospital, Sichuan University [RD-03-202408]; Sichuan "Tianfu Emei Plan" talent project [A0103602]; Young Elite Scientists Sponsorship Program by China Association for Science and Technology [2022QNRC001]; National Key Research and Development Program of China [2022YFC2410102]; Sichuan Science and Technology Program [2025YFHZ0333]</t>
  </si>
  <si>
    <t>Research and Develop Program, West China Hospital, Sichuan University; Sichuan "Tianfu Emei Plan" talent project; Young Elite Scientists Sponsorship Program by China Association for Science and Technology; National Key Research and Development Program of China (National Key Research &amp; Development Program of China); Sichuan Science and Technology Program (Sichuan Science and Technology Program)</t>
  </si>
  <si>
    <t>The authors would like to thank West China Hospital of Stomatology Sichuan University for providing the dental samples used in this study. This research was funded by the National Key Research and Development Program of China (2022YFC2410102); Sichuan Science and Technology Program (2025YFHZ0333); Research and Develop Program, West China Hospital, Sichuan University (RD-03-202408); Young Elite Scientists Sponsorship Program by China Association for Science and Technology (CAST) (2022QNRC001); Sichuan "Tianfu Emei Plan" talent project (A0103602).</t>
  </si>
  <si>
    <t>[Feng, Yujun; Guo, Yushan; Liu, Qingyi; Shen, Junfei] Sichuan Univ, Coll Elect &amp; Informat Engn, Chengdu, Peoples R China; [Liu, Fei; Shen, Jiefei] Sichuan Univ, West China Hosp Stomatol, Dept Prosthodont, Chengdu, Peoples R China</t>
  </si>
  <si>
    <t>Sichuan University; Sichuan University</t>
  </si>
  <si>
    <t>Physics-informed multimodal learning for snapshot dental spectral reflectance prediction</t>
  </si>
  <si>
    <t>QUANTITATIVE BIOLOGY</t>
  </si>
  <si>
    <t>color matching; hyperspectral reconstruction; physical priors</t>
  </si>
  <si>
    <t>Shen, Jiefei/PBU-9092-2025</t>
  </si>
  <si>
    <t>2095-4689</t>
  </si>
  <si>
    <t>2095-4697</t>
  </si>
  <si>
    <t>QUANT BIOL</t>
  </si>
  <si>
    <t>Quant. Biol.</t>
  </si>
  <si>
    <t>e70030</t>
  </si>
  <si>
    <t>10.1002/qub2.70030</t>
  </si>
  <si>
    <t>http://dx.doi.org/10.1002/qub2.70030</t>
  </si>
  <si>
    <t>FM9ZZ</t>
  </si>
  <si>
    <t>WOS:001722610100007</t>
  </si>
  <si>
    <t>Oulia, F; Charton, P; Kabir, M; Gardebien, F; Damour, C; Cadet, F</t>
  </si>
  <si>
    <t>Glioblastoma multiforme (GBM) is the most aggressive primary brain tumor in adults, with a median survival of 14.6 months under standard radiotherapy and temozolomide (TMZ) chemotherapy. The methylation status of the O-6-methylguanine-DNA methyltransferase (MGMT) promoter is a critical biomarker predicting TMZ response; however, its determination currently requires invasive tissue sampling. Non-invasive prediction of MGMT promoter methylation from multiparametric MRI (mpMRI) through deep learning represents a compelling alternative, yet its clinical feasibility remains unresolved. Using the BraTS 2021 dataset (582 patients, four MRI sequences: FLAIR, T1w, T1wCE, T2w), we conducted a systematic comparative study of unimodal and multimodal deep learning approaches based on VGG-16, exploring 1,380 experimental configurations (unimodal: 192; multimodal: 1,188) across three imaging planes, eight slice counts, and three multimodal fusion strategies (early, intermediate, and late fusion). In the unimodal setting, the best model trained on T2w coronal images (32 slices, no transfer learning) achieved an accuracy of 0.6458 and an AUC of 0.6422 on the validation set, but dropped to 0.5586 and 0.5533 on the independent test set, revealing substantial overfitting attributable to limited dataset size. Strikingly, multimodal fusion consistently failed to outperform the best unimodal model, with all three fusion strategies plateauing at similar to 0.64 accuracy and similar to 0.64 AUC on validation data. Transfer learning improved generalization across train/test distributions at the cost of peak performance. These findings suggest, for the tested framework in this study, that MGMT methylation status prediction from mpMRI remains fundamentally constrained by dataset heterogeneity and size, irrespective of modality combination strategy, and that T2w coronal acquisitions could be more interesting in future data collection efforts.</t>
  </si>
  <si>
    <t>Oulia, Freddy; Charton, Philippe; Kabir, Muhammad; Gardebien, Fabrice; Damour, Cedric; Cadet, Frederic</t>
  </si>
  <si>
    <t>Cadet, F (corresponding author), Univ Paris City, BIGR, Inserm, U1134, Paris, France.; Cadet, F (corresponding author), Univ Reun, Fac Sci &amp; Technol, DSIMB,U1134, BIGR,Inserm, St Denis, France.; Cadet, F (corresponding author), PEACCEL, AI Biol, Paris, France.</t>
  </si>
  <si>
    <t>cedric.damour@univ-reunion.fr</t>
  </si>
  <si>
    <t>Region Reunion and European Union (FEDER) under European Operational Program FEDER-FSE+ REUNION euro;" 2021/2027 [2021037, tiers 227180]</t>
  </si>
  <si>
    <t>Region Reunion and European Union (FEDER) under European Operational Program FEDER-FSE+ REUNION euro;" 2021/2027</t>
  </si>
  <si>
    <t>Freddy Oulia is supported by a PhD grant from the Region Reunion and European Union (FEDER) under European Operational Program FEDER-FSE+ REUNION -2021/2027 file number 2021037, tiers 227180. The funders had no role in study design, data collection and analysis, decision to publish, or preparation of the manuscript.</t>
  </si>
  <si>
    <t>[Oulia, Freddy; Charton, Philippe; Gardebien, Fabrice; Cadet, Frederic] Univ Paris City, BIGR, Inserm, U1134, Paris, France; [Oulia, Freddy; Charton, Philippe; Gardebien, Fabrice; Cadet, Frederic] Univ Reun, Fac Sci &amp; Technol, DSIMB,U1134, BIGR,Inserm, St Denis, France; [Kabir, Muhammad] Univ Management &amp; Technol, Dept Comp Sci, Lahore, Pakistan; [Damour, Cedric] Univ Reunion, Fac Sci &amp; Technol, ENERGYLab, St Denis, France; [Cadet, Frederic] PEACCEL, AI Biol, Paris, France</t>
  </si>
  <si>
    <t>Institut National de la Sante et de la Recherche Medicale (Inserm); Universite Paris Cite; Institut National de la Sante et de la Recherche Medicale (Inserm); Universite Paris Cite; University of Management &amp; Technology (UMT); University of La Reunion</t>
  </si>
  <si>
    <t>Unimodal vs. multimodal deep learning for non-invasive MGMT promoter methylation prediction in glioblastoma: A systematic evaluation on the BraTS 2021 dataset</t>
  </si>
  <si>
    <t>MALIGNANT GLIOMAS; MRI; CLASSIFICATION; TEMOZOLOMIDE</t>
  </si>
  <si>
    <t>/D-8923-2013; Kabir, Muhammad/P-3384-2016</t>
  </si>
  <si>
    <t>OULIA, Freddy/0000-0003-2497-6983</t>
  </si>
  <si>
    <t>JUN 12 2026</t>
  </si>
  <si>
    <t>e0351405</t>
  </si>
  <si>
    <t>10.1371/journal.pone.0351405</t>
  </si>
  <si>
    <t>http://dx.doi.org/10.1371/journal.pone.0351405</t>
  </si>
  <si>
    <t>JM0ZK</t>
  </si>
  <si>
    <t>42284289</t>
  </si>
  <si>
    <t>WOS:001792566300026</t>
  </si>
  <si>
    <t>Yu, CT; Wang, TL; Gao, Y; Wu, ZH; Chen, YZ; Shi, L; Liu, B; Zhang, H; Xu, HW; Chen, WG; Gao, SG; Yang, JL; Wang, LW; Han, L</t>
  </si>
  <si>
    <t>Background Early detection of esophageal squamous cell carcinoma (ESCC) is critical for optimizing patient outcomes. Magnifying endoscopy and endoscopic ultrasonography (EUS) serve as established diagnostic modalities. The multimodal ultrasound and magnifying endoscopic algorithm for early ESCC diagnostics (MUMA-EDx) integrates deep learning-based magnifying endoscopy and EUS imaging to improve early-stage ESCC identification and invasion depth assessment.&lt;br /&gt; Methods Model development and internal validation used a retrospective dataset; external validation used a prospective cohort. MUMA-EDx developed two TResNet_m-based classifiers (magnifying endoscopy/EUS) followed by feature-level fusion. Model performance was evaluated using area under the receiver operating characteristic curve (AUROC), accuracy, sensitivity, specificity, positive predictive value, and negative predictive value.&lt;br /&gt; Results MUMA-EDx was developed and validated using a retrospective dataset comprising 358 patients (18 420 images) and subsequently tested prospectively on an independent cohort of 122 patients (8711 images). The feature-level multimodal approach significantly outperformed single-modality models. For tumor discrimination, the model achieved an AUC of 0.94 (95%CI 0.92-0.96) in retrospective validation and a perfect patient-level AUC of 1.00 (95%CI 1.00-1.00) in prospective testing. For the more complex task of multiclass invasion depth classification, it achieved a retrospective AUC of 0.95 (95%CI 0.88-0.99), which remained strong at 0.80 (95%CI 0.67-0.87) in the prospective cohort. In a comparative study on invasion depth classification, MUMA-EDx's performance exceeded that of novice endoscopists and was comparable to expert-level diagnostics.&lt;br /&gt; Conclusion MUMA-EDx demonstrably delivers exceptional early ESCC detection and robust invasion depth classification, achieving performance comparable to expert endoscopists and is poised to significantly enhance diagnostic precision and patient outcomes.</t>
  </si>
  <si>
    <t>Yu, Chu-Ting; Wang, Ting-Lu; Gao, Ye; Wu, Zhi-Han; Chen, Ying-Zhou; Shi, Lei; Liu, Biao; Zhang, Hui; Xu, Hong-Wei; Chen, Wei-Gang; Gao, She-Gan; Yang, Jin-Lin; Wang, Luo-Wei; Han, Lin</t>
  </si>
  <si>
    <t>Han, L (corresponding author), Changhai Hosp, Gastroenterol, Shanghai, Peoples R China.</t>
  </si>
  <si>
    <t>babyhan831@aliyun.com</t>
  </si>
  <si>
    <t>China University Industry-Research Innovation Fund - Huaton Medical Research Special Program [2023HT064]; Shanghai Municipal Health Commission Fund [202240357]</t>
  </si>
  <si>
    <t>China University Industry-Research Innovation Fund - Huaton Medical Research Special Program; Shanghai Municipal Health Commission Fund</t>
  </si>
  <si>
    <t>China University Industry-Research Innovation Fund - Huaton Medical Research Special Program | 2023HT064Grants from Shanghai Municipal Health Commission Fund |202240357</t>
  </si>
  <si>
    <t>[Yu, Chu-Ting; Wang, Ting-Lu; Gao, Ye; Wang, Luo-Wei; Han, Lin] Changhai Hosp, Gastroenterol, Shanghai, Peoples R China; [Yu, Chu-Ting; Wang, Ting-Lu; Gao, Ye; Wang, Luo-Wei; Han, Lin] Natl Clin Res Ctr Digest Dis Shanghai, Shanghai, Peoples R China; [Wu, Zhi-Han; Chen, Ying-Zhou; Yang, Jin-Lin] Sichuan Univ, West China Hosp, Gastroenterol, Chengdu, Peoples R China; [Shi, Lei; Xu, Hong-Wei] Shandong First Med Univ, Shandong Prov Hosp, Gastroenterol, Jinan, Peoples R China; [Liu, Biao; Gao, She-Gan] Henan Univ Sci &amp; Technol, Affiliated Hosp 1, Gastroenterol, Luoyang, Peoples R China; [Zhang, Hui; Chen, Wei-Gang] Shihezi Univ, Affiliated Hosp 1, Sch Med, Gastroenterol, Shihezi, Peoples R China</t>
  </si>
  <si>
    <t>Naval Medical University; Sichuan University; Shandong First Medical University &amp; Shandong Academy of Medical Sciences; Henan University of Science &amp; Technology; Shihezi University</t>
  </si>
  <si>
    <t>Development and validation of a multimodal deep learning model for early esophageal squamous neoplasia detection and invasion depth prediction</t>
  </si>
  <si>
    <t>ENDOSCOPY</t>
  </si>
  <si>
    <t>GEORG THIEME VERLAG KG</t>
  </si>
  <si>
    <t>STUTTGART</t>
  </si>
  <si>
    <t>Oswald-Hesse-Strasse 50, D-70469 STUTTGART, GERMANY</t>
  </si>
  <si>
    <t>0013-726X</t>
  </si>
  <si>
    <t>1438-8812</t>
  </si>
  <si>
    <t>Endoscopy</t>
  </si>
  <si>
    <t>05</t>
  </si>
  <si>
    <t>467</t>
  </si>
  <si>
    <t>480</t>
  </si>
  <si>
    <t>10.1055/a-2780-0974</t>
  </si>
  <si>
    <t>http://dx.doi.org/10.1055/a-2780-0974</t>
  </si>
  <si>
    <t>GW7UW</t>
  </si>
  <si>
    <t>41468904</t>
  </si>
  <si>
    <t>WOS:001705834000001</t>
  </si>
  <si>
    <t>Park, D; Lee, Y; Eo, T; An, HJ; Kang, H; Park, E; Cha, YJ; Park, H; Kwon, D; Kwon, SY; Jung, HR; Shin, SJ; Park, H; Lee, Y; Park, S; Kim, JM; Choi, SE; Cho, NH; Hwang, D</t>
  </si>
  <si>
    <t>In breast cancer management, predicting axillary lymph node (ALN) metastasis using whole-slide images (WSIs) of primary tumor biopsies is a challenging and underexplored task for pathologists. We developed METACANS, an multimodal artificial intelligence (AI) model that integrates WSIs with clinicopathological features to predict ALN metastasis. METACANS was trained on 1991 cases and externally validated across five cohorts with a total of 2166 cases. Across all validation cohorts, METACANS achieved an area under the curve (AUC) of 0.733 (95% CI, 0.711-0.755), with an overall negative predictive value of 0.846, sensitivity of 0.820, specificity of 0.504, and balanced accuracy of 0.662. Without additional annotations, METACANS identified pathological imaging patterns linked to metastatic status, such as micropapillary growth, infiltrative patterns, and necrosis. While its predictive performance may not yet support immediate clinical application, METACANS addresses the task of predicting ALN metastasis using WSIs and clinicopathological features, and demonstrates the feasibility of multimodal AI approaches for preoperative axillary staging in breast cancer.</t>
  </si>
  <si>
    <t>Park, Doohyun; Lee, Yong-Moon; Eo, Taejoon; An, Hee Jung; Kang, Haeyoun; Park, Eunhyang; Cha, Yoon Jin; Park, Heejung; Kwon, Dohee; Kwon, Sun Young; Jung, Hye-Ra; Shin, Su-Jin; Park, Hyunjin; Lee, Yangkyu; Park, Sanghui; Kim, Ji Min; Choi, Sung-Eun; Cho, Nam Hoon; Hwang, Dosik</t>
  </si>
  <si>
    <t>Hwang, D (corresponding author), Yonsei Univ, Sch Elect &amp; Elect Engn, Seoul, South Korea.; Cho, NH (corresponding author), Yonsei Univ, Coll Med, Dept Pathol, Seoul, South Korea.; Hwang, D (corresponding author), Korea Inst Sci &amp; Technol KIST, Artificial Intelligence &amp; Robot Inst, 5 Hwarang Ro 14 Gil, Seoul 02792, South Korea.; Hwang, D (corresponding author), Yonsei Univ, Coll Dent, Dept Oral &amp; Maxillofacial Radiol, Seoul, South Korea.; Hwang, D (corresponding author), Yonsei Univ, Coll Med, Dept Radiol, Seoul, South Korea.; Hwang, D (corresponding author), Yonsei Univ, Coll Med, Ctr Clin Imaging Data Sci CCIDS, Seoul, South Korea.</t>
  </si>
  <si>
    <t>dosik.hwang@yonsei.ac.kr; cho1988@yuhs.ac</t>
  </si>
  <si>
    <t>Ministry of Health and Welfare (Ministry of Health, Welfare and Family Affairs) [HI21C0977]; Korea Health Industry Development Institute - Korea government (Ministry of Health and Welfare) [2021R1C1C2008773, 2022R1A2C2008983]; Basic Science Research Program through the National Research Foundation of Korea [RS-2020-II201361]; Artificial Intelligence Graduate School Program, Yonsei University [2E33801, 2E33800, 2024-22-0161]; KIST Institutional Program</t>
  </si>
  <si>
    <t>Ministry of Health and Welfare (Ministry of Health, Welfare and Family Affairs); Korea Health Industry Development Institute - Korea government (Ministry of Health and Welfare); Basic Science Research Program through the National Research Foundation of Korea (National Research Foundation of Korea); Artificial Intelligence Graduate School Program, Yonsei University; KIST Institutional Program (Korea Institute of Science &amp; Technology (KIST))</t>
  </si>
  <si>
    <t>This study was supported by a grant from the Korea Health Industry Development Institute funded by the Korea government (Ministry of Health and Welfare) (HI21C0977); the Basic Science Research Program through the National Research Foundation of Korea funded by the Ministry of Science and ICT (2021R1C1C2008773, 2022R1A2C2008983); Artificial Intelligence Graduate School Program, Yonsei University (RS-2020-II201361), the KIST Institutional Program (Project No. 2E33801, 2E33800); Yonsei Signature Research Cluster Program of 2024 (2024-22-0161). The funder played no role in study design, data collection, analysis, and interpretation of data, or the writing of this manuscript.</t>
  </si>
  <si>
    <t>[Park, Doohyun; Eo, Taejoon; Hwang, Dosik] Yonsei Univ, Sch Elect &amp; Elect Engn, Seoul, South Korea; [Lee, Yong-Moon] Dankook Univ, Coll Med, Dept Pathol, Cheonan, South Korea; [Eo, Taejoon] Probe Med Inc, Seoul, South Korea; [An, Hee Jung; Kang, Haeyoun] CHA Univ, CHA Bundang Med Ctr, Dept Pathol, Seongnam Si, Kyeonggi Do, South Korea; [Park, Eunhyang; Park, Heejung; Kwon, Dohee] Yonsei Univ, Coll Med, Severance Hosp, Dept Pathol, Seoul, South Korea; [Cha, Yoon Jin; Shin, Su-Jin; Park, Hyunjin; Lee, Yangkyu] Yonsei Univ, Coll Med, Gangnam Severance Hosp, Dept Pathol, Seoul, South Korea; [Cha, Yoon Jin; Lee, Yangkyu] Yonsei Univ, Coll Med, Inst Breast Canc Precis Med, Seoul, South Korea; [Kwon, Sun Young; Jung, Hye-Ra] Keimyung Univ, Sch Med, Dongsan Hosp, Dept Pathol, Daegu, South Korea; [Park, Sanghui; Kim, Ji Min] Ewha Womans Univ, Coll Med, Dept Pathol, Seoul, South Korea; [Choi, Sung-Eun] CHA Univ, CHA Bundang Med Ctr, Dept Pathol, Sch Med, Seongnam, South Korea; [Cho, Nam Hoon] Yonsei Univ, Coll Med, Dept Pathol, Seoul, South Korea; [Hwang, Dosik] Korea Inst Sci &amp; Technol KIST, Artificial Intelligence &amp; Robot Inst, 5 Hwarang Ro 14 Gil, Seoul 02792, South Korea; [Hwang, Dosik] Yonsei Univ, Coll Dent, Dept Oral &amp; Maxillofacial Radiol, Seoul, South Korea; [Hwang, Dosik] Yonsei Univ, Coll Med, Dept Radiol, Seoul, South Korea; [Hwang, Dosik] Yonsei Univ, Coll Med, Ctr Clin Imaging Data Sci CCIDS, Seoul, South Korea</t>
  </si>
  <si>
    <t>Yonsei University; Dankook University; Pochon Cha University; Yonsei University; Severance Hospital; Yonsei University Health System; Yonsei University; Severance Hospital; Yonsei University Health System; Yonsei University; Yonsei University Health System; Keimyung University; Ewha Womans University; Pochon Cha University; Yonsei University; Yonsei University Health System; Korea Institute of Science &amp; Technology (KIST); Yonsei University; Yonsei University Health System; Yonsei University; Yonsei University Health System; Yonsei University; Yonsei University Health System</t>
  </si>
  <si>
    <t>Multimodal AI model for preoperative prediction of axillary lymph node metastasis in breast cancer using whole slide images</t>
  </si>
  <si>
    <t>CORE NEEDLE-BIOPSY; DISSECTION; CARCINOMA; MORBIDITY</t>
  </si>
  <si>
    <t>Lee, Yong-Moon/ABD-9213-2021; Park, Eunhyang/LTF-3616-2024; Park, Doohyun/MDT-8347-2025</t>
  </si>
  <si>
    <t>Lee, Yong-Moon/0000-0002-4302-9263; Park, Eunhyang/0000-0003-2658-5054; 조, 남훈/0000-0002-0045-6441; Kwon, Sun Young/0000-0002-8410-0185; Cha, Yoon Jin/0000-0002-5967-4064; Park, Doohyun/0000-0001-6237-468X</t>
  </si>
  <si>
    <t>MAY 6 2025</t>
  </si>
  <si>
    <t>131</t>
  </si>
  <si>
    <t>10.1038/s41698-025-00914-9</t>
  </si>
  <si>
    <t>http://dx.doi.org/10.1038/s41698-025-00914-9</t>
  </si>
  <si>
    <t>2HM1R</t>
  </si>
  <si>
    <t>40328953</t>
  </si>
  <si>
    <t>WOS:001482763400002</t>
  </si>
  <si>
    <t>Cui, M; Liu, YY; He, Q; Xiong, WM; Liu, Y; Xu, L; Deng, YB; Tan, XW</t>
  </si>
  <si>
    <t>Background Early prediction of functional outcomes after surgery for spontaneous supratentorial deep intracerebral hemorrhage (sICH) remains difficult. This study developed and validated multimodal machine-learning models incorporating clinical, imaging, physiological, and biomarker data, including temperature management strategies, and explored interpretability using SHAP.Methods This prospective multicenter cohort enrolled 285 surgically treated sICH patients. Outcome was defined as favorable (mRS 0-3) vs. unfavorable (mRS 4-6). Data were split by stratified random sampling into a training set (n = 199) and a test set (n = 86). LASSO with 10-fold cross-validation (1-SE rule) selected key predictors. Five classifiers (Random Forest, neural network, decision tree, k-nearest neighbors, na &amp; iuml;ve Bayes) were trained with 10-fold cross-validation and evaluated on the test set. Performance was assessed using AUC (95% CI) and standard classification metrics; AUCs were compared by DeLong's test. SHAP was applied to the best model.Results LASSO identified eight predictors: admission GCS, hematoma volume, TNF-alpha, GFAP, IL-1 beta, admission NIHSS, mean body temperature, and peak ICP. On the test set, Random Forest achieved the highest performance (AUC 0.883, 95% CI 0.829-0.937; accuracy 0.824; F1-score 0.836), with no significant AUC difference versus the neural network (AUC 0.867; P = 0.312). SHAP ranked admission GCS and hematoma volume as the most important features, followed by TNF-alpha and GFAP.Conclusions A multimodal Random Forest model provided good discrimination for predicting postoperative functional outcomes in surgically treated sICH, and SHAP improved interpretability by quantifying feature contributions.</t>
  </si>
  <si>
    <t>Cui, Min; Liu, Yanyi; He, Qi; Xiong, Weiming; Liu, Yang; Xu, Lei; Deng, Yongbing; Tan, Xingwei</t>
  </si>
  <si>
    <t>Tan, XW (corresponding author), Chongqing Med Univ, Affiliated Hosp 3, FangDa Hosp, Dept Neurol Dis Ctr, Chongqing, Peoples R China.</t>
  </si>
  <si>
    <t>651747@hospital.cqmu.edu.cn</t>
  </si>
  <si>
    <t>Chongqing Science and Health Joint Medical Research Project [2025MSXM111]</t>
  </si>
  <si>
    <t>Chongqing Science and Health Joint Medical Research Project</t>
  </si>
  <si>
    <t>The author(s) declared that financial support was received for this work and/or its publication. This research was supported by the Chongqing Science and Health Joint Medical Research Project (Grant Number: 2025MSXM111).</t>
  </si>
  <si>
    <t>[Cui, Min; He, Qi; Xiong, Weiming; Liu, Yang; Xu, Lei; Deng, Yongbing] Chongqing Univ, Chongqing Emergency Med Ctr, Dept Neurosurg, Cent Hosp, Chongqing, Peoples R China; [Liu, Yanyi] Chongqing Med Univ, Yongchuan Hosp, Dept Neurosurg, Chongqing, Peoples R China; [Tan, Xingwei] Chongqing Med Univ, Affiliated Hosp 3, FangDa Hosp, Dept Neurol Dis Ctr, Chongqing, Peoples R China</t>
  </si>
  <si>
    <t>Chongqing University; Chongqing Medical University; Chongqing Medical University</t>
  </si>
  <si>
    <t>Multimodal machine learning for predicting postoperative functional outcomes in surgically treated supratentorial deep intracerebral hemorrhage: a prospective multicenter study</t>
  </si>
  <si>
    <t>biomarkers; intracerebral hemorrhage; machine learning; modified rankin scale; random forest; SHAP; supratentorial deep hemorrhage</t>
  </si>
  <si>
    <t>MAR 5 2026</t>
  </si>
  <si>
    <t>1774621</t>
  </si>
  <si>
    <t>10.3389/fneur.2026.1774621</t>
  </si>
  <si>
    <t>http://dx.doi.org/10.3389/fneur.2026.1774621</t>
  </si>
  <si>
    <t>FG6JJ</t>
  </si>
  <si>
    <t>41868497</t>
  </si>
  <si>
    <t>WOS:001718284100001</t>
  </si>
  <si>
    <t>Rahim, N; El-Sappagh, S; Ali, S; Muhammad, K; Del Ser, J; Abuhmed, T</t>
  </si>
  <si>
    <t>Alzheimer's disease (AD) is a neurological illness that causes cognitive impairment and has no known treatment. The premise for delivering timely therapy is the early diagnosis of AD before clinical symptoms appear. Mild cognitive impairment is an intermediate stage in which cognitively normal patients can be distinguished from those with AD. In this study, we propose a hybrid multimodal deep-learning framework consisting of a 3D convolutional neural network (3D CNN) followed by a bidirectional recurrent neural network (BRNN). The proposed 3D CNN captures intra-slice features from each 3D magnetic resonance imaging (MRI) volume, whereas the BRNN module identifies the inter-sequence patterns that lead to AD. This study is conducted based on longitudinal 3D MRI volumes collected over a six-months time span. We further investigate the effect of fusing MRI with cross-sectional biomarkers, such as patients' demographic and cognitive scores from their baseline visit. In addition, we present a novel explainability approach that helps domain experts and practitioners to understand the end output of the proposed multimodal. Extensive experiments reveal that the accuracy, preci-sion, recall, and area under the receiver operating characteristic curve of the proposed framework are 96%, 99%, 92%, and 96%, respectively. These results are based on the fusion of MRI and demographic features and indicate that the proposed framework becomes more stable when exposed to a more complete set of longitudinal data. Moreover, the explainability module provides extra support for the progression claim by more accurately identifying the brain regions that domain experts commonly report during diagnoses.</t>
  </si>
  <si>
    <t>Rahim, Nasir; El-Sappagh, Shaker; Ali, Sajid; Muhammad, Khan; Del Ser, Javier; Abuhmed, Tamer</t>
  </si>
  <si>
    <t>El-Sappagh, S; Abuhmed, T (corresponding author), Sungkyunkwan Univ, Coll Comp &amp; Informat, Dept Comp Sci &amp; Engn, Informat Lab InfoLab, Suwon 16419, South Korea.; El-Sappagh, S (corresponding author), Galala Univ, Fac Comp Sci &amp; Engn, Suez 435611, Egypt.; El-Sappagh, S (corresponding author), Benha Univ, Fac Comp &amp; Artificial Intelligence, Informat Syst Dept, Banha 13518, Egypt.; Muhammad, K (corresponding author), Sungkyunkwan Univ, Coll Comp &amp; Informat, Sch Convergence, Dept Appl Artificial Intelligence, Seoul 03063, South Korea.</t>
  </si>
  <si>
    <t>shaker@skku.edu; khan.muhammad@ieee.org; tamer@skku.edu</t>
  </si>
  <si>
    <t>Ministry of Science and ICT (MSIT) , Korea, under the ICT Creative Consilience Program [IITP-2021-2020-0-01821]; National Research Foundation of Korea (NRF) - Korea government (MSIT) [2021R1A2C1011198]</t>
  </si>
  <si>
    <t>Ministry of Science and ICT (MSIT) , Korea, under the ICT Creative Consilience Program; National Research Foundation of Korea (NRF) - Korea government (MSIT) (National Research Foundation of Korea, Ministry of Science &amp; ICT (MMSTI))</t>
  </si>
  <si>
    <t>This research was supported by the Ministry of Science and ICT (MSIT) , Korea, under the ICT Creative Consilience Program (IITP-2021-2020-0-01821) , supervised by the Institute for Information &amp; communications Technology Planning &amp; Evaluation (IITP) , and the National Research Foundation of Korea (NRF) grant funded by the Korea government (MSIT) (No. 2021R1A2C1011198) .</t>
  </si>
  <si>
    <t>[Rahim, Nasir; El-Sappagh, Shaker; Abuhmed, Tamer] Sungkyunkwan Univ, Coll Comp &amp; Informat, Dept Comp Sci &amp; Engn, Informat Lab InfoLab, Suwon 16419, South Korea; [El-Sappagh, Shaker] Galala Univ, Fac Comp Sci &amp; Engn, Suez 435611, Egypt; [El-Sappagh, Shaker] Benha Univ, Fac Comp &amp; Artificial Intelligence, Informat Syst Dept, Banha 13518, Egypt; [Ali, Sajid] Sungkyunkwan Univ, Coll Informat &amp; Commun Engn, Dept Elect &amp; Comp Engn, Informat Lab InfoLab, Suwon 16419, South Korea; [Muhammad, Khan] Sungkyunkwan Univ, Coll Comp &amp; Informat, Sch Convergence, Dept Appl Artificial Intelligence, Seoul 03063, South Korea; [Del Ser, Javier] TECNALIA, Basque Res &amp; Technol Alliance BRTA, Derio 48160, Spain; [Del Ser, Javier] Univ Basque Country UPV EHU, Dept Commun Engn, Bilbao 48013, Spain</t>
  </si>
  <si>
    <t>Sungkyunkwan University (SKKU); Galala University; Egyptian Knowledge Bank (EKB); Benha University; Sungkyunkwan University (SKKU); Sungkyunkwan University (SKKU); University of Basque Country</t>
  </si>
  <si>
    <t>Prediction of Alzheimer's progression based on multimodal Deep-Learning-based fusion and visual Explainability of time-series data</t>
  </si>
  <si>
    <t>AD progression detection; 3D CNN; Multimodal information fusion; Time-series data analysis; Explainable AI</t>
  </si>
  <si>
    <t>MILD COGNITIVE IMPAIRMENT; DISEASE PROGRESSION; NEURAL-NETWORKS; CLASSIFICATION; ATROPHY; DIAGNOSIS; MODEL; MRI; HIPPOCAMPAL; INFORMATION</t>
  </si>
  <si>
    <t>ABUHMED, Tamer/AAQ-9890-2020; Rahim, Nasir/JWP-7813-2024; El-Sappagh, Shaker/E-3799-2019; Del Ser, Javier/J-2187-2014; Muhammad, Khan/IXN-8470-2023</t>
  </si>
  <si>
    <t>ABUHMED, Tamer/0000-0001-9232-4843; Ali, Sajid/0000-0002-8412-0450; Rahim, Nasir/0000-0001-6274-2593; Muhammad, Khan/0000-0002-5302-1150</t>
  </si>
  <si>
    <t>92</t>
  </si>
  <si>
    <t>363</t>
  </si>
  <si>
    <t>388</t>
  </si>
  <si>
    <t>10.1016/j.inffus.2022.11.028</t>
  </si>
  <si>
    <t>http://dx.doi.org/10.1016/j.inffus.2022.11.028</t>
  </si>
  <si>
    <t>7Q9JV</t>
  </si>
  <si>
    <t>WOS:000909699400001</t>
  </si>
  <si>
    <t>Wang, R; Wang, HJ; Zhou, C; Li, ZW; Chen, DK; Zhu, YQ; Liu, J; Wang, XY; Li, TT; Xie, P</t>
  </si>
  <si>
    <t>Background: Obstructive coronary artery disease (OCAD) is among the most life-threatening cardiovascular diseases in the world. Dynamic single-photon emission computed tomography (D-SPECT) offers a noninvasive technique for visualizing the perfusion of the heart and the functional state of the myocardium. However, computer-aided diagnostic models for OCAD mainly focus on analyzing medical images and neglect the potential benefits of integrating functional parameters derived from quantitative gated single-photon emission computed tomography (QGS) obtained within the same imaging system. The objective of this study was to develop a two-stage multimodal learning framework that integrates D-SPECT images and QGS-derived functional data to enhance diagnostic accuracy and support a one-stop, imaging-based diagnostic workflow for OCAD. Methods: We developed a two-stage multimodal learning framework for automated OCAD diagnosis using both D-SPECT images and QGS-derived functional data. In stage I, cardiac slices along multiple axial dimensions were extracted as regions of interest (ROIs). In stage II, a multimodal learning network was constructed to extract, fuse, and classify features from both inputs. Furthermore, a feature adaptation weighting mechanism (FAWM) was introduced to adaptively allocate the contributions of different modalities during training. Finally, the performance of the proposed model was evaluated on a dataset of 298 D-SPECT scans. Results: The multimodal method achieved an accuracy of 81.67%, outperforming models trained with single inputs (D-SPECT images only: 75%, P=0.12; QGS-derived data only: 70.00%, P&lt;0.05; paired t-test). Conclusions: The integration of D-SPECT imaging and QGS-derived functional parameters within a unified multimodal framework significantly improves diagnostic performance for OCAD. This approach demonstrates the feasibility of serving as a one-stop, image-based diagnostic workflow for clinical practice.</t>
  </si>
  <si>
    <t>Wang, Rong; Wang, Haijun; Zhou, Chuan; Li, Zhongwei; Chen, Dekui; Zhu, Yueqian; Liu, Jing; Wang, Xingyu; Li, Tongtong; Xie, Ping</t>
  </si>
  <si>
    <t>Xie, P (corresponding author), Lanzhou Univ, Sch Clin Med 1, 1 Donggang West Rd, Lanzhou 730000, Peoples R China.; Xie, P (corresponding author), Gansu Prov Hosp, Dept Cardiol, 204 Donggang West Rd, Lanzhou 730000, Peoples R China.; Li, TT (corresponding author), Lanzhou Univ, Sch Informat Sci &amp; Engn, 222 South Tianshui Rd, Lanzhou 730000, Peoples R China.</t>
  </si>
  <si>
    <t>1160023677@qq.com; ttli2022@lzu.edu.cn</t>
  </si>
  <si>
    <t>National Natural Science Foundation of China [82460051]; Gansu Natural Science Found [23JRRA1315]; Science Foundation of Gansu Provincial Hospital [22GSSYD-13]; Department of Education of Gansu Province, "Innovation Star" Project for Excellent Postgraduates [2025 CXZX-050]</t>
  </si>
  <si>
    <t>National Natural Science Foundation of China (National Natural Science Foundation of China (NSFC)); Gansu Natural Science Found; Science Foundation of Gansu Provincial Hospital; Department of Education of Gansu Province, "Innovation Star" Project for Excellent Postgraduates</t>
  </si>
  <si>
    <t>This work was supported by the National Natural Science Foundation of China (No. 82460051) ; in part by the Gansu Natural Science Found (No. 23JRRA1315) ; and in part by the Science Foundation of Gansu Provincial Hospital (No. 22GSSYD-13) , and in part by the Department of Education of Gansu Province, "Innovation Star" Project for Excellent Postgraduates (No. 2025 CXZX-050) .</t>
  </si>
  <si>
    <t>[Wang, Rong; Xie, Ping] Lanzhou Univ, Sch Clin Med 1, 1 Donggang West Rd, Lanzhou 730000, Peoples R China; [Wang, Rong; Wang, Haijun; Chen, Dekui; Zhu, Yueqian; Liu, Jing; Wang, Xingyu] Gansu Prov Hosp, Dept Nucl Med, Lanzhou, Peoples R China; [Zhou, Chuan] Univ Elect Sci &amp; Technol China, Sichuan Prov Peoples Hosp, Dept Geriatr Gen Surg, Chengdu, Peoples R China; [Li, Zhongwei; Xie, Ping] Gansu Prov Hosp, Dept Cardiol, 204 Donggang West Rd, Lanzhou 730000, Peoples R China; [Li, Tongtong] Lanzhou Univ, Sch Informat Sci &amp; Engn, 222 South Tianshui Rd, Lanzhou 730000, Peoples R China</t>
  </si>
  <si>
    <t>Lanzhou University; University of Electronic Science &amp; Technology of China; Sichuan Provincial People's Hospital; Lanzhou University</t>
  </si>
  <si>
    <t>A two-stage multimodal learning framework for the automated diagnosis of obstructive coronary artery disease based on dynamic single-photon emission computed tomography</t>
  </si>
  <si>
    <t>Computer-aided diagnosis; obstructive coronary artery disease (OCAD); dynamic single-photon emission computed tomography (D-SPECT); deep learning; multimodal fusion</t>
  </si>
  <si>
    <t>10.21037/qims-2025-617</t>
  </si>
  <si>
    <t>http://dx.doi.org/10.21037/qims-2025-617</t>
  </si>
  <si>
    <t>AZ8PO</t>
  </si>
  <si>
    <t>41522053</t>
  </si>
  <si>
    <t>WOS:001660704800007</t>
  </si>
  <si>
    <t>Kang, D; Jeon, HJ; Kim, JH; Oh, SI; Seong, YS; Jang, JY; Kim, JW; Kim, JS; Nam, SJ; Bang, CS; Choi, HS</t>
  </si>
  <si>
    <t>Objectives: The accurate prediction of lymph node metastasis (LNM) and lymphovascular invasion (LVI) is crucial for determining treatment strategies for early gastric cancer (EGC). This study aimed to develop and validate a deep learning-based clinical decision support system (CDSS) to predict LNM including LVI in EGC using real-world data. Methods: A deep learning-based CDSS was developed by integrating endoscopic images, demographic data, biopsy pathology, and CT findings from the data of 2927 patients with EGC across five institutions. We compared a transformer-based model to an image-only (basic convolutional neural network (CNN)) model and a multimodal classification (CNN with random forest) model. Internal testing was conducted on 449 patients from the five institutions, and external validation was performed on 766 patients from two other institutions. Model performance was assessed using the area under the receiver operating characteristic curve (AUC), probability density function, and clinical utility curve. Results: In the training, internal, and external validation cohorts, LNM/LVI was observed in 379 (12.95%), 49 (10.91%), 15 (9.09%), and 41 (6.82%) patients, respectively. The transformer-based model achieved an AUC of 0.9083, sensitivity of 85.71%, and specificity of 90.75%, outperforming the CNN (AUC 0.5937) and CNN with random forest (AUC 0.7548). High sensitivity and specificity were maintained in internal and external validations. The transformer model distinguished 91.8% of patients with LNM in the internal validation dataset, and 94.0% and 89.1% in the two different external datasets. Conclusions: We propose a deep learning-based CDSS for predicting LNM/LVI in EGC by integrating real-world data, potentially guiding treatment strategies in clinical settings.</t>
  </si>
  <si>
    <t>Kang, Donghoon; Jeon, Han Jo; Kim, Jie-Hyun; Oh, Sang-Il; Seong, Ye Seul; Jang, Jae Young; Kim, Jung-Wook; Kim, Joon Sung; Nam, Seung-Joo; Bang, Chang Seok; Choi, Hyuk Soon</t>
  </si>
  <si>
    <t>Kim, JH (corresponding author), Yonsei Univ, Coll Med, Gangnam Severance Hosp, Dept Internal Med, Seoul 06273, South Korea.</t>
  </si>
  <si>
    <t>jyjang@khu.ac.kr; iloveact@hanmail.net; kijoons@hanmail.net; roadstar82@naver.com; sangil.oh@waycen.com; xochipilli@yuhs.ac; otilia94@yuhs.ac; pinetrees@hanmail.net; etiria@catholic.ac.kr; csbang@hallym.ac.kr; mdkorea@gmail.com</t>
  </si>
  <si>
    <t>Korean College of Helicobacter and Upper Gastrointestinal Research Foundation</t>
  </si>
  <si>
    <t>This work was supported by the Korean College of Helicobacter and Upper Gastrointestinal Research Foundation Grant (KCHUGR-202001004).</t>
  </si>
  <si>
    <t>[Kang, Donghoon] Catholic Univ Korea, Seoul St Marys Hosp, Coll Med, Dept Internal Med, Seoul 06591, South Korea; [Jeon, Han Jo; Choi, Hyuk Soon] Korea Univ, Anam Hosp, Dept Internal Med, Coll Med, Seoul 02841, South Korea; [Kim, Jie-Hyun; Seong, Ye Seul] Yonsei Univ, Coll Med, Gangnam Severance Hosp, Dept Internal Med, Seoul 06273, South Korea; [Oh, Sang-Il] Waycen Inc, Seoul 06167, South Korea; [Jang, Jae Young; Kim, Jung-Wook] Kyung Hee Univ, Coll Med, Med Ctr, Dept Internal Med, Seoul 05278, South Korea; [Kim, Joon Sung] Catholic Univ Korea, Incheon St Marys Hosp, Coll Med, Dept Internal Med, Incheon 21431, South Korea; [Nam, Seung-Joo] Kangwon Natl Univ, Kangwon Natl Univ Hosp, Dept Internal Med, Sch Med, Chunchon 24289, South Korea; [Bang, Chang Seok] Hallym Univ, Coll Med, Dept Internal Med, Chuncheon Sacred Heart Hosp, Chunchon 24253, South Korea</t>
  </si>
  <si>
    <t>Seoul St. Mary's Hospital; Catholic University of Korea; Korea University; Korea University Medicine (KU Medicine); Yonsei University; Severance Hospital; Yonsei University Health System; Kyung Hee University; Catholic University of Korea; Kangwon National University; Kangwon National University Hospital; Hallym University</t>
  </si>
  <si>
    <t>Enhancing Lymph Node Metastasis Risk Prediction in Early Gastric Cancer Through the Integration of Endoscopic Images and Real-World Data in a Multimodal AI Model</t>
  </si>
  <si>
    <t>stomach cancer; artificial intelligence; lymph node metastasis; clinical decision support system; multimodal artificial intelligence</t>
  </si>
  <si>
    <t>NON-CURATIVE RESECTION; SUBMUCOSAL DISSECTION; INVASION; DEPTH; ULTRASONOGRAPHY</t>
  </si>
  <si>
    <t>KIM, JIE-HYUN/Q-9061-2019; Bang, Chang Seok/I-9689-2019; Oh, Sang-Il/B-8508-2016; Nam, Seung-Joo/IQT-1909-2023; Kim, Jung-Wook/AAI-1668-2020</t>
  </si>
  <si>
    <t>Choi, Hyuk Soon/0000-0002-4343-6950; KIM, JIE-HYUN/0000-0002-9198-3326; Kang, Donghoon/0000-0002-7278-2174; Bang, Chang Seok/0000-0003-4908-5431; Oh, Sang-Il/0000-0002-3972-5119; Jeon, Han Jo/0000-0003-2258-1216</t>
  </si>
  <si>
    <t>869</t>
  </si>
  <si>
    <t>10.3390/cancers17050869</t>
  </si>
  <si>
    <t>http://dx.doi.org/10.3390/cancers17050869</t>
  </si>
  <si>
    <t>0AO4C</t>
  </si>
  <si>
    <t>40075715</t>
  </si>
  <si>
    <t>WOS:001442786700001</t>
  </si>
  <si>
    <t>Fang, QF; Guo, YY; Chen, LK; Li, YL; Cai, QL; Zhang, JS; Ma, XY; Zeng, Y; Bai, GH</t>
  </si>
  <si>
    <t>Background: Accurate, non-invasive prediction of cerebral amyloid-beta (A beta) pathology in mild cognitive impairment (MCI) remains challenging yet critical for early intervention. Objective: To develop a multimodal machine learning model integrating clinical features, plasma biomarkers, and structural MRI metrics for non-invasive A beta prediction. Methods: Data were obtained from the Alzheimer's Disease Neuroimaging Initiative. Participants with concurrent plasma biomarkers, 3D T1-weighted MRI, and amyloid assessments were included. Logistic Regression, Decision Tree, and Support Vector Machine models were constructed using clinical, plasma, MRI, and combined features. Performance was evaluated via internal validation and external testing in a cognitively unimpaired cohort using AUC, calibration curves, and decision curve analysis. The prognostic value of the model-derived A beta risk probability was assessed using Cox regression in an independent longitudinal MCI cohort. Results: The optimal Logistic Regression model incorporatedAPOE epsilon 4 status, Mini-Mental State Examination score, plasma p-Tau217, A beta(42)/A beta(40)ratio, and bilateral hippocampal and left amygdalar volumes. The combined model achieved an AUC of 0.875 in internal validation and maintained robust performance in the external unimpaired cohort (AUC = 0.883), outperforming single-modality models. The predicted A beta-positive risk probability effectively stratified disease progression risk in MCI patients (C-index = 0.771). Conclusions: A multimodal model integrating plasma and MRI features accurately predicts A beta pathology and progression risk, offering a practical non-invasive tool for early Alzheimer's disease screening and risk stratification.</t>
  </si>
  <si>
    <t>Fang, Qiaofang; Guo, Yunyu; Chen, Linkai; Li, Youling; Cai, Qiuling; Zhang, Junshen; Ma, Xinyu; Zeng, Yan; Bai, Guanghui</t>
  </si>
  <si>
    <t>Bai, GH (corresponding author), Wenzhou Med Univ, Affiliated Hosp &amp; Yuying Childrens Hosp 2, Dept Radiol, Wenzhou, Zhejiang, Peoples R China.</t>
  </si>
  <si>
    <t>bghu79@126.com</t>
  </si>
  <si>
    <t>[Fang, Qiaofang; Guo, Yunyu; Chen, Linkai; Li, Youling; Cai, Qiuling; Zhang, Junshen; Ma, Xinyu; Bai, Guanghui] Wenzhou Med Univ, Affiliated Hosp &amp; Yuying Childrens Hosp 2, Dept Radiol, Wenzhou, Zhejiang, Peoples R China; [Fang, Qiaofang; Guo, Yunyu; Chen, Linkai; Li, Youling; Cai, Qiuling; Zhang, Junshen; Ma, Xinyu; Bai, Guanghui] Key Lab Struct Malformat Children Zhejiang Prov, Wenzhou, Zhejiang, Peoples R China; [Zeng, Yan] Shanghai United Imaging Intelligence Co Ltd, Dept Res Ctr, Shanghai, Peoples R China</t>
  </si>
  <si>
    <t>A multimodal machine learning model integrating plasma biomarkers and MRI metrics for non-invasive prediction of amyloid-β pathology in mild cognitive impairment</t>
  </si>
  <si>
    <t>Alzheimer's disease; machine learning; magnetic resonance imaging; mild cognitive impairment</t>
  </si>
  <si>
    <t>ALZHEIMER-DISEASE; ATROPHY; RISK</t>
  </si>
  <si>
    <t>114</t>
  </si>
  <si>
    <t>10.1177/13872877261465672</t>
  </si>
  <si>
    <t>http://dx.doi.org/10.1177/13872877261465672</t>
  </si>
  <si>
    <t>42486687</t>
  </si>
  <si>
    <t>WOS:001837765700001</t>
  </si>
  <si>
    <t>Pinajala, J; Chandaka, PS; Kolukula, NR</t>
  </si>
  <si>
    <t>Diabetic Retinopathy (DR) is a progressive retinal disorder caused by chronic diabetes and can lead to irreversible vision loss if not detected early. Existing automated detection approaches often focus solely on lesion classification or binary diagnosis, lacking an integrated system that simultaneously performs severity-level segmentation and classification. To address this limitation, this study proposes an end-to-end framework termed Graph Pyramidal Convolution Orangutan U-Net based Split-Attention Networks (GPCO-SAN) for comprehensive DR lesion segmentation and severity assessment. The framework employs customized data augmentation to simulate diverse lesion patterns and utilizes the Fast Discrete Curvelet Transform with WRapPing (FDCT-WRP) to extract multiscale directional features crucial for identifying subtle retinal abnormalities. A generative transformer with N-tuple contrastive learning produces clinically meaningful semantic embeddings, while stacked Siamese networks enable shared representation learning from multimodal inputs, including retinal imagery and clinical metadata. GPCO-SAN performs pixel-level lesion segmentation alongside stage-wise severity classification, enabling accurate detection of both early and advanced DR stages. To enhance interpretability, Local Interpretable Model-Agnostic Explanations (LIME) are integrated to generate lesion-specific visual explanations that support clinical decision-making. Experimental evaluations demonstrate high classification accuracies of 98.7% on APTOS 2019, 99.0% on Messidor-2, and 99.4% on IDRiD, indicating strong generalization performance. The proposed framework establishes an effective and interpretable multimodal deep learning solution for comprehensive diabetic retinopathy assessment.</t>
  </si>
  <si>
    <t>Pinajala, Jayasree; Chandaka, Pavan Sathish; Kolukula, Nitalaksheswara Rao</t>
  </si>
  <si>
    <t>Pinajala, J (corresponding author), Godavari Global Univ, Comp Sci &amp; Engn, Rajamahendravaram 533296, Andhra Pradesh, India.</t>
  </si>
  <si>
    <t>pavansatishch@gmail.com; kolukulanitla@gmail.com; jayasreep4@gmail.com</t>
  </si>
  <si>
    <t>[Pinajala, Jayasree] Godavari Global Univ, Comp Sci &amp; Engn, Rajamahendravaram 533296, Andhra Pradesh, India; [Chandaka, Pavan Sathish] Chaitanya Engn Coll, Comp Sci &amp; Engn, Visakhapatnam 530048, Andhra Pradesh, India; [Kolukula, Nitalaksheswara Rao] GITAM Deemed Be Univ, Comp Sci &amp; Syst Engn, Visakhapatnam 530045, Andhra Pradesh, India</t>
  </si>
  <si>
    <t>An explainable multimodal deep learning framework for diabetic retinopathy using graph pyramidal convolution orangutan U-Net based Split-Attention Networks</t>
  </si>
  <si>
    <t>Diabetic retinopathy; Fundus images; Multimodal fusion; Stacked Siamese network; Local interpretable model-agnostic explanations</t>
  </si>
  <si>
    <t>Kolukula, Dr. Nitalaksheswara/ADB-3419-2022</t>
  </si>
  <si>
    <t>110579</t>
  </si>
  <si>
    <t>10.1016/j.bspc.2026.110579</t>
  </si>
  <si>
    <t>http://dx.doi.org/10.1016/j.bspc.2026.110579</t>
  </si>
  <si>
    <t>IE3DT</t>
  </si>
  <si>
    <t>WOS:001769648600001</t>
  </si>
  <si>
    <t>Chandra, G; Gandhi, TK; Singh, B</t>
  </si>
  <si>
    <t>Parkinson's disease (PD) is a long-term degenerative disorder that affects the nervous system over time predominantly marked by motor dysfunction, with hand tremors being among the earliest and most diagnostically significant symptoms. Conventional PD diagnosis relies heavily on subjective clinical evaluations, which often lack precision and consistency. This article proposes a novel advanced fusion-based deep learning framework that integrates multimodal hand tremor data specifically, kinematic signals from accelerometers and gyroscopes, spiral drawing images, and video-based hand-motion recordings to enhance robust and generalizable PD diagnosis with significant potential for early stage detection. Specialized neural subnetworks are employed to analyze each modality: stacked long short-term memory (LSTM) layers for temporal sensor data, 2-D convolutional neural networks (CNNs) for spatial characteristics from spiral drawings, and 3-D CNNs for spatiotemporal video evaluation. The extracted feature representations are unified in a cohesive architecture and trained end-to-end using a hybrid gated recurrent unit (GRU)-longand short-term time-series network (LSTNet) model enhanced with a bottleneck attention module (BAM). Experimental results demonstrate that the proposed model significantly outperforms both unimodal deep learning approaches and traditional machine learning benchmarks, accomplishing an accuracy of 94.0%, precision of 93.8%, recall of 94.2%, and F1-score of 94.0%. This work highlights the potency of integrating multiple data modalities for accurately identifying complex motor dysfunction patterns attributed with PD, providing a scalable and highly accurate diagnostic solution.</t>
  </si>
  <si>
    <t>Chandra, Gauri; Gandhi, Tapan Kumar; Singh, Bhim</t>
  </si>
  <si>
    <t>Chandra, G (corresponding author), Indian Inst Technol Delhi, Dept Elect Engn, New Delhi 110016, India.</t>
  </si>
  <si>
    <t>chandragauri11@gmail.com; tkgandhi@ee.iitd.ac.in; bhimsinghiitd63@gmail.com</t>
  </si>
  <si>
    <t>[Chandra, Gauri; Gandhi, Tapan Kumar; Singh, Bhim] Indian Inst Technol Delhi, Dept Elect Engn, New Delhi 110016, India</t>
  </si>
  <si>
    <t>Indian Institute of Technology System (IIT System); Indian Institute of Technology (IIT) - Delhi</t>
  </si>
  <si>
    <t>A Hybrid Multimodal Deep Learning Framework for Robust Diagnosis of Parkinson's Disease Using Hand Tremor Analysis</t>
  </si>
  <si>
    <t>IEEE SENSORS JOURNAL</t>
  </si>
  <si>
    <t>Sensors; Spirals; Videos; Motors; Three-dimensional displays; Hands; Diseases; Feature extraction; Accuracy; Long short term memory; 3-D convolutional neural network (CNN); deep learning; hand tremors; long short-term memory (LSTM); Parkinson's disease (PD); spiral drawing analysis; video motion analysis</t>
  </si>
  <si>
    <t>1530-437X</t>
  </si>
  <si>
    <t>1558-1748</t>
  </si>
  <si>
    <t>IEEE SENS J</t>
  </si>
  <si>
    <t>IEEE Sens. J.</t>
  </si>
  <si>
    <t>4723</t>
  </si>
  <si>
    <t>4730</t>
  </si>
  <si>
    <t>10.1109/JSEN.2025.3641648</t>
  </si>
  <si>
    <t>http://dx.doi.org/10.1109/JSEN.2025.3641648</t>
  </si>
  <si>
    <t>Engineering, Electrical &amp; Electronic; Instruments &amp; Instrumentation; Physics, Applied</t>
  </si>
  <si>
    <t>Engineering; Instruments &amp; Instrumentation; Physics</t>
  </si>
  <si>
    <t>CW7WV</t>
  </si>
  <si>
    <t>WOS:001676278100007</t>
  </si>
  <si>
    <t>Jiang, HM; Fang, LM; Cui, Y; Xia, AQ; Wu, J; Chu, JM</t>
  </si>
  <si>
    <t>Oral cancer is one of the most prevalent cancers globally, characterized by high rates of recurrence and metastasis, making early diagnosis crucial for improving patient survival. Accurate preoperative tumor-node-metastasis (TNM) staging is essential for determining effective treatment plans and surgical strategies. Although pathological examination remains the gold standard for TNM staging of oral cancer, imaging data can complement pathology, helping clinicians make more precise preoperative assessments and addressing the limitations of single-modality approaches. In this study, we propose a novel multimodal model for oral cancer staging that integrates preoperative CT images and whole-slide imaging (WSI). To overcome the heterogeneity between CT and WSI features, especially the lack of interaction between macrolevel CT features and microlevel pathological features, we introduce a CT-guided collaborative attention module. Specifically, CT features serve as queries, while patches of WSI are treated as key-value pairs. The corresponding keys are computed through a fully connected layer with trainable weights. The model architecture includes two separate pathways for feature extraction: CT features are extracted using a U-Net-based network, while WSI features are extracted with a multi-instance network utilizing a hierarchical attention mechanism. The CT-guided collaborative attention module facilitates interaction and fusion between these two modalities, resulting in a unified feature representation. This fused feature is then passed through a fully connected layer to produce the final TNM staging prediction for oral cancer. By combining both macro- and microlevel features, our model addresses the limitations of traditional single-modality methods, enabling more accurate tumor boundary delineation. Compared to existing techniques, our multimodal approach improves diagnostic accuracy and provides more reliable staging results. This advancement has the potential to significantly enhance early diagnosis and treatment strategies for oral cancer, offering a more comprehensive and precise method for staging the disease.</t>
  </si>
  <si>
    <t>Jiang, Huimin; Fang, Liming; Cui, Yong; Xia, Anqi; Wu, Jing; Chu, Jimin</t>
  </si>
  <si>
    <t>Fang, LM (corresponding author), Wannan Med Coll Wuhu, Dept Med Imaging, Wuhu 241002, Anhui, Peoples R China.</t>
  </si>
  <si>
    <t>2860980823@qq.com; jianghuimin66@gmail.com; 7325378@qq.com; 18011914796@163.com; fang61336@gmail.com; 814891714@qq.com</t>
  </si>
  <si>
    <t>National Natural Science Foundation of China [11801199]; Natural Science Foundation of Anhui Province (CN) [1908085QA30]; Wannan Medical College key project research fund [WK2023ZZD04]</t>
  </si>
  <si>
    <t>National Natural Science Foundation of China (National Natural Science Foundation of China (NSFC)); Natural Science Foundation of Anhui Province (CN) (Natural Science Foundation of Anhui Province); Wannan Medical College key project research fund</t>
  </si>
  <si>
    <t>This research was supported by the National Natural Science Foundation of China (Grant No. 11801199), the Natural Science Foundation of Anhui Province (CN) (1908085QA30) and the Wannan Medical College key project research fund (WK2023ZZD04).</t>
  </si>
  <si>
    <t>[Jiang, Huimin; Fang, Liming; Xia, Anqi; Chu, Jimin] Wannan Med Coll Wuhu, Dept Med Imaging, Wuhu 241002, Anhui, Peoples R China; [Cui, Yong] Wannan Med Coll Wuhu, Affliated Hosp 1, Oral &amp; Maxillofacial Surg, Wuhu 241002, Anhui, Peoples R China; [Wu, Jing] Wannan Med Coll Wuhu, Affiliated Hosp 1, Dept Imaging, Wuhu 241002, Anhui, Peoples R China</t>
  </si>
  <si>
    <t>A Multimodal Deep Learning Approach for Pre-Operative Tumor-Node-Metastasis Staging in Oral Cancer Using Computed Tomography Imaging and Pathological Slide Data</t>
  </si>
  <si>
    <t>JOURNAL OF CIRCUITS SYSTEMS AND COMPUTERS</t>
  </si>
  <si>
    <t>Oral cancer; TNM staging; whole slide imaging; co-attention</t>
  </si>
  <si>
    <t>JIANG, Huimin/H-3918-2016; Xia, anqi/OYD-5879-2025</t>
  </si>
  <si>
    <t>Fang, Liming/0009-0005-1807-3368</t>
  </si>
  <si>
    <t>0218-1266</t>
  </si>
  <si>
    <t>1793-6454</t>
  </si>
  <si>
    <t>J CIRCUIT SYST COMP</t>
  </si>
  <si>
    <t>J. Circuits Syst. Comput.</t>
  </si>
  <si>
    <t>MAY 15 2025</t>
  </si>
  <si>
    <t>07</t>
  </si>
  <si>
    <t>10.1142/S0218126625501737</t>
  </si>
  <si>
    <t>http://dx.doi.org/10.1142/S0218126625501737</t>
  </si>
  <si>
    <t>Computer Science, Hardware &amp; Architecture; Engineering, Electrical &amp; Electronic</t>
  </si>
  <si>
    <t>1XO1B</t>
  </si>
  <si>
    <t>WOS:001467353700001</t>
  </si>
  <si>
    <t>Lin, H; Yao, F; Yi, XW; Yuan, YP; Xu, J; Chen, LX; Wang, HY; Zhuang, YD; Lin, Q; Xue, YN; Yang, YJ; Pan, ZF</t>
  </si>
  <si>
    <t>PurposeAccurate prediction of adverse pathology (AP) in prostate cancer (PCa) patients is crucial for formulating effective treatment strategies. This study aims to develop and evaluate a multimodal deep learning model based on [F-18]PSMA-1007 PET/CT and multiparametric MRI (mpMRI) to predict the presence of AP, and investigate whether the model that integrates [F-18]PSMA-1007 PET/CT and mpMRI outperforms the individual PET/CT or mpMRI models in predicting AP. Methods341 PCa patients who underwent radical prostatectomy (RP) with mpMRI and PET/CT scans were retrospectively analyzed. We generated deep learning signature from mpMRI and PET/CT with a multimodal deep learning model (MPC) based on convolutional neural networks and transformer, which was subsequently incorporated with clinical characteristics to construct an integrated model (MPCC). These models were compared with clinical models and single mpMRI or PET/CT models. ResultsThe MPCC model showed the best performance in predicting AP (AUC, 0.955 [95% CI: 0.932-0.975]), which is higher than MPC model (AUC, 0.930 [95% CI: 0.901-0.955]). The performance of the MPC model is better than that of single PET/CT (AUC, 0.813 [95% CI: 0.780-0.845]) or mpMRI (AUC, 0.865 [95% CI: 0.829-0.901]). Additionally, MPCC model is also effective in predicting single adverse pathological features. ConclusionThe deep learning model that integrates mpMRI and [F-18]PSMA-1007 PET/CT enhances the predictive capabilities for the presence of AP in PCa patients. This improvement aids physicians in making informed preoperative decisions, ultimately enhancing patient prognosis.</t>
  </si>
  <si>
    <t>Lin, Heng; Yao, Fei; Yi, Xinwen; Yuan, Yaping; Xu, Jian; Chen, Lixuan; Wang, Hongyan; Zhuang, Yuandi; Lin, Qi; Xue, Yingnan; Yang, Yunjun; Pan, Zhifang</t>
  </si>
  <si>
    <t>Pan, ZF (corresponding author), Wenzhou Med Univ, Affiliated Hosp 1, Wenzhou 325000, Peoples R China.; Yang, YJ (corresponding author), Wenzhou Med Univ, Affiliated Hosp 1, Dept Nucl Med, Wenzhou 325000, Peoples R China.</t>
  </si>
  <si>
    <t>yyjunjim@163.com; panzhifang@wmu.edu.cn</t>
  </si>
  <si>
    <t>Key Laboratory of Novel Nuclide Technologies on Precision Diagnosis and Treatment &amp; clinical Transformation of Wenzhou [2023HZSY0012]; Wenzhou Major Program of Science and Technology Innovation [ZY2020012]</t>
  </si>
  <si>
    <t>Key Laboratory of Novel Nuclide Technologies on Precision Diagnosis and Treatment &amp; clinical Transformation of Wenzhou; Wenzhou Major Program of Science and Technology Innovation</t>
  </si>
  <si>
    <t>This study has received funding by the Key Laboratory of Novel Nuclide Technologies on Precision Diagnosis and Treatment &amp; clinical Transformation of Wenzhou (Grant No. 2023HZSY0012), the Wenzhou Major Program of Science and Technology Innovation (Grant No. ZY2020012).</t>
  </si>
  <si>
    <t>[Lin, Heng; Yi, Xinwen; Yuan, Yaping; Pan, Zhifang] Wenzhou Med Univ, Affiliated Hosp 1, Wenzhou 325000, Peoples R China; [Yao, Fei; Zhuang, Yuandi; Xue, Yingnan] Wenzhou Med Univ, Affiliated Hosp 1, Dept Radiol, Wenzhou 325000, Peoples R China; [Lin, Qi] Wenzhou Med Univ, Affiliated Hosp 1, Dept Urol, Wenzhou 325000, Peoples R China; [Xu, Jian; Chen, Lixuan; Wang, Hongyan; Yang, Yunjun] Wenzhou Med Univ, Affiliated Hosp 1, Dept Nucl Med, Wenzhou 325000, Peoples R China; [Yi, Xinwen] Wenzhou Med Univ, CiXi Biomed Res Inst, Wenzhou 315300, Zhejiang, Peoples R China</t>
  </si>
  <si>
    <t>Wenzhou Medical University; Wenzhou Medical University; Wenzhou Medical University; Wenzhou Medical University; Wenzhou Medical University</t>
  </si>
  <si>
    <t>Prediction of adverse pathology in prostate cancer using a multimodal deep learning approach based on [18F]PSMA-1007 PET/CT and multiparametric MRI</t>
  </si>
  <si>
    <t>Prostate cancer; Adverse pathology; Multimodal imaging; Deep learning; [F-18]PSMA-1007 PET/CT; Multiparametric MRI</t>
  </si>
  <si>
    <t>POSITRON-EMISSION-TOMOGRAPHY; EXTRACAPSULAR EXTENSION</t>
  </si>
  <si>
    <t>Pan, Zhifang/ADF-4496-2022; Yao, Fei/LRB-7421-2024</t>
  </si>
  <si>
    <t>Yao, Fei/0000-0002-4577-3264; Chen, Lixuan/0009-0001-4573-9816</t>
  </si>
  <si>
    <t>2814</t>
  </si>
  <si>
    <t>2825</t>
  </si>
  <si>
    <t>10.1007/s00259-025-07134-0</t>
  </si>
  <si>
    <t>http://dx.doi.org/10.1007/s00259-025-07134-0</t>
  </si>
  <si>
    <t>3SC5G</t>
  </si>
  <si>
    <t>39969539</t>
  </si>
  <si>
    <t>WOS:001426159400001</t>
  </si>
  <si>
    <t>Tang, K; She, RL; Chen, GY; Xie, ZY; Li, T; Chen, DX; Huang, WH; Feng, QJ; Zhao, YH; Liu, YB</t>
  </si>
  <si>
    <t>Objectives: To develop and validate a multimodal deep learning (DL) model that integrates preoperative contrast-enhanced computed tomography (CECT) and postoperative whole-slide images (WSIs) to predict microsatellite instability (MSI) status in colorectal cancer (CRC). Materials and methods: This retrospective, multicenter study enrolled 305 CRC patients with paired CECT and WSIs. Patients from Center I and II were allocated to the training (n = 169) and internal validation (n = 85) sets, while those from Center III formed the external test set (n = 51). Pathology-based DL (PathDL) and venous-phase CECT (VPDL) models were constructed using EfficientNet-b0 and ResNet 101 architectures, respectively. A fusion model (F-VP-PathDL, Fusion of venous phase CT and pathology with deep learning) was developed using an adaptive residual network to integrate features from both modalities. Model performance was evaluated using area under the receiver operating characteristic curve (AUC), accuracy, sensitivity, specificity, and F1 score. Results: The F-VP-PathDL model achieved strong performance on the internal validation set, with an AUC of 0.883 (95 % CI: 0.732-0.967). On the external test set, the model achieved an AUC of 0.905 (95 % CI: 0.831-0.945), outperforming single-modality and alternative fusion models (PathDL: 0.794; VPDL: 0.858; APDL: 0.802; F-AVPDL: 0.813). The model also demonstrated robust accuracy (84.2 %, 95 % CI: 69.1 %-92.8 %), sensitivity (80.3 %, 95 % CI: 28.4 %-98.7 %), specificity (83.7 %, 95% CI: 68.8 %-93.9 %) and F1 score (0.837, 95 % CI: 0.326-0.999) on the external test set. Conclusions: The F-VP-PathDL model demonstrates robust generalizability across centers and offers a clinically scalable tool for MSI prediction in CRC, supporting patient stratification and informing immunotherapy decisions.</t>
  </si>
  <si>
    <t>Tang, Kai; She, Ruiling; Chen, Guangyuan; Xie, Zhuoyao; Li, Tao; Chen, Dexuan; Huang, Weihong; Feng, Qianjin; Zhao, Yinghua; Liu, Yubao</t>
  </si>
  <si>
    <t>Zhao, YH (corresponding author), Southern Med Univ, Affiliated Hosp 3, Acad Orthoped, Dept Radiol, 183 Zhongshan Da Dao Xi, Guangzhou 510630, Guangdong, Peoples R China.; Liu, YB (corresponding author), Southern Med Univ, Med Imaging Ctr, Shenzhen Hosp, Shenzhen 518100, Peoples R China.; Feng, QJ (corresponding author), Southern Med Univ, Sch Biomed Engn, Guangzhou 510515, Peoples R China.; Feng, QJ (corresponding author), Southern Med Univ, Guangdong Prov Key Lab Med Image Proc, Guangzhou 510515, Guangdong, Peoples R China.; Feng, QJ (corresponding author), Southern Med Univ, Guangdong Prov Engn Lab Med Imaging &amp; Diagnost Tec, Guangzhou 510515,, Guangdong, Peoples R China.; Feng, QJ (corresponding author), Southern Med Univ, Sch Biomed Engn, Guangdong Prov Key Lab Med Image Proc, Guangzhou 510515, Peoples R China.; Zhao, YH (corresponding author), Southern Med Univ, Affiliated Hosp 3, Acad Orthoped, Dept Radiol, 183 Zhongshan Da Dao Xi, Guangzhou 510630, Guangdong, Peoples R China.; Liu, YB (corresponding author), Southern Med Univ, Med Imaging Ctr, Shenzhen Hosp, Shenzhen 518100, Peoples R China.</t>
  </si>
  <si>
    <t>ruilingshe@163.com; zhuoyao120@163.com; lt3030240@163.com; 532141736@qq.com; zhaoyh@smu.edu.cn; mxd8889995@hotmail.com; 1477753347@qq.com; fengqj99@smu.edu.cn; ybliu28@163.com; 13682232823@163.com</t>
  </si>
  <si>
    <t>National Natural Science Foundation of China [81871510, 82172014]; General Program of the National Natural Science Foundation of China [62471214]; National Key R&amp;D Program of China [2024YFA1012002]; Natural Science Foundation of Guangdong Province [2023A1515011318]</t>
  </si>
  <si>
    <t>National Natural Science Foundation of China (National Natural Science Foundation of China (NSFC)); General Program of the National Natural Science Foundation of China (National Natural Science Foundation of China (NSFC)); National Key R&amp;D Program of China (National Key Research &amp; Development Program of China); Natural Science Foundation of Guangdong Province (National Natural Science Foundation of Guangdong Province)</t>
  </si>
  <si>
    <t>This work was supported by the National Natural Science Foundation of China (No. 81871510, No. 82172014) , the General Program of the National Natural Science Foundation of China (No. 62471214) , the National Key R&amp;D Program of China (No. 2024YFA1012002) , and the Natural Science Foundation of Guangdong Province (No. 2023A1515011318) .</t>
  </si>
  <si>
    <t>[Tang, Kai; She, Ruiling; Chen, Guangyuan; Xie, Zhuoyao; Li, Tao; Chen, Dexuan; Huang, Weihong; Zhao, Yinghua] Southern Med Univ, Affiliated Hosp 3, Acad Orthoped, Dept Radiol, 183 Zhongshan Da Dao Xi, Guangzhou 510630, Guangdong, Peoples R China; [Liu, Yubao] Southern Med Univ, Med Imaging Ctr, Shenzhen Hosp, Shenzhen 518100, Peoples R China; [Tang, Kai; Feng, Qianjin] Southern Med Univ, Sch Biomed Engn, Guangzhou 510515, Peoples R China; [Tang, Kai; Feng, Qianjin] Southern Med Univ, Guangdong Prov Key Lab Med Image Proc, Guangzhou 510515, Guangdong, Peoples R China; [Tang, Kai; Feng, Qianjin] Southern Med Univ, Guangdong Prov Engn Lab Med Imaging &amp; Diagnost Tec, Guangzhou 510515,, Guangdong, Peoples R China; [Feng, Qianjin] Southern Med Univ, Sch Biomed Engn, Guangdong Prov Key Lab Med Image Proc, Guangzhou 510515, Peoples R China; [Zhao, Yinghua] Southern Med Univ, Affiliated Hosp 3, Acad Orthoped, Dept Radiol, 183 Zhongshan Da Dao Xi, Guangzhou 510630, Guangdong, Peoples R China; [Liu, Yubao] Southern Med Univ, Med Imaging Ctr, Shenzhen Hosp, Shenzhen 518100, Peoples R China</t>
  </si>
  <si>
    <t>Southern Medical University - China; Southern Medical University - China; Southern Medical University - China; Southern Medical University - China; Southern Medical University - China; Southern Medical University - China; Southern Medical University - China; Southern Medical University - China</t>
  </si>
  <si>
    <t>Multimodal deep learning model for predicting microsatellite instability in colorectal cancer by contrast-enhanced computed tomography and histopathology</t>
  </si>
  <si>
    <t>Colorectal cancer; Microsatellite instability; Deep learning; Whole-slide image; Contrast-enhanced computed tomography</t>
  </si>
  <si>
    <t>SHE, RUILING/LLK-1891-2024; Feng, Qianjin/Y-5438-2019</t>
  </si>
  <si>
    <t>112468</t>
  </si>
  <si>
    <t>10.1016/j.ejrad.2025.112468</t>
  </si>
  <si>
    <t>http://dx.doi.org/10.1016/j.ejrad.2025.112468</t>
  </si>
  <si>
    <t>8WS2N</t>
  </si>
  <si>
    <t>41101004</t>
  </si>
  <si>
    <t>WOS:001599147400001</t>
  </si>
  <si>
    <t>Groheux, D; Ferrer, L; Vargas, J; Martineau, A; Borgel, A; Teixeira, L; Menu, P; Bertheau, P; Gallinato, O; Colin, T; Lehmann-Che, J</t>
  </si>
  <si>
    <t>Purpose: Triple-negative breast cancer (TNBC) is a biologically and clinically heterogeneous disease, associated with poorer outcomes when compared with other subtypes of breast cancer. Neoadjuvant chemotherapy (NAC) is often given before surgery, and achieving a pathological complete response (pCR) has been associated with patient outcomes. There is thus strong clinical interest in the ability to accurately predict pCR status using baseline data. Materials and Methods: A cohort of 57 TNBC patients who underwent FDG-PET/CT before NAC was analyzed to develop a machine learning (ML) algorithm predictive of pCR. A total of 241 predictors were collected for each patient: 11 clinical features, 11 histopathological features, 13 genomic features, and 206 PET features, including 195 radiomic features. The optimization criterion was the area under the ROC curve (AUC). Event-free survival (EFS) was estimated using the Kaplan-Meier method. Results: The best ML algorithm reached an AUC of 0.82. The features with the highest weight in the algorithm were a mix of PET (including radiomics), histopathological, genomic, and clinical features, highlighting the importance of truly multimodal analysis. Patients with predicted pCR tended to have a longer EFS than patients with predicted non-pCR, even though this difference was not significant, probably due to the small sample size and few events observed (p = 0.09). Conclusions: This study suggests that ML applied to baseline multimodal data can help predict pCR status after NAC for TNBC patients and may identify correlations with long-term outcomes. Patients predicted as non-pCR may benefit from concomitant treatment with immunotherapy or dose intensification.</t>
  </si>
  <si>
    <t>Groheux, David; Ferrer, Loic; Vargas, Jennifer; Martineau, Antoine; Borgel, Adrien; Teixeira, Luis; Menu, Philippe; Bertheau, Philippe; Gallinato, Olivier; Colin, Thierry; Lehmann-Che, Jacqueline</t>
  </si>
  <si>
    <t>Groheux, D (corresponding author), St Louis Hosp, AP HP, Dept Nucl Med, F-75010 Paris, France.; Groheux, D (corresponding author), Univ Paris Cite, Inst Rech St Louis IRSL, Inserm, F-75010 Paris, France.</t>
  </si>
  <si>
    <t>jacqueline.lehmann-che@aphp.fr; adrien.borgel@aphp.fr; luis.teixeira@aphp.fr; tcolin@sophiagenetics.com; david.groheux@aphp.fr; lferrer@sophiagenetics.com; antoine.martineau@aphp.fr; pmenu@sophiagenetics.com; ogallinato@sophiagenetics.com; jvargas@sophiagenetics.com; philippe.bertheau@aphp.fr</t>
  </si>
  <si>
    <t>French national cancer institute</t>
  </si>
  <si>
    <t>French national cancer institute (Institut National du Cancer (INCA) France)</t>
  </si>
  <si>
    <t>This study was in part supported by an academic grant from the French national cancer institute ("Translational research in oncology" INCa-DGOS-5697).</t>
  </si>
  <si>
    <t>[Groheux, David; Martineau, Antoine] St Louis Hosp, AP HP, Dept Nucl Med, F-75010 Paris, France; [Groheux, David; Borgel, Adrien; Teixeira, Luis; Lehmann-Che, Jacqueline] Univ Paris Cite, Inst Rech St Louis IRSL, Inserm, F-75010 Paris, France; [Ferrer, Loic; Vargas, Jennifer; Gallinato, Olivier; Colin, Thierry] SOPHiA GENET, F-33600 Pessac, France; [Borgel, Adrien; Lehmann-Che, Jacqueline] St Louis Hosp, AP HP, Mol Oncol Unit, F-75010 Paris, France; [Teixeira, Luis] St Louis Hosp, AP HP, Breast Dis Unit, F-75010 Paris, France; [Menu, Philippe] SOPHiA GENET, CH-1180 Rolle, Switzerland; [Bertheau, Philippe] St Louis Hosp, AP HP, Dept Pathol, F-75010 Paris, France</t>
  </si>
  <si>
    <t>Assistance Publique Hopitaux Paris (APHP); Hopital Universitaire Saint-Louis - APHP; Universite Paris Cite; Hopital Universitaire Saint-Louis - APHP; Institut National de la Sante et de la Recherche Medicale (Inserm); Universite Paris Cite; Assistance Publique Hopitaux Paris (APHP); Hopital Universitaire Saint-Louis - APHP; Universite Paris Cite; Hopital Universitaire Saint-Louis - APHP; Assistance Publique Hopitaux Paris (APHP); Hopital Universitaire Saint-Louis - APHP; Universite Paris Cite; Hopital Universitaire Saint-Louis - APHP; Assistance Publique Hopitaux Paris (APHP); Hopital Universitaire Saint-Louis - APHP; Universite Paris Cite; Hopital Universitaire Saint-Louis - APHP</t>
  </si>
  <si>
    <t>FDG-PET/CT and Multimodal Machine Learning Model Prediction of Pathological Complete Response to Neoadjuvant Chemotherapy in Triple-Negative Breast Cancer</t>
  </si>
  <si>
    <t>FDG-PET/CT; triple-negative breast cancer; neoadjuvant chemotherapy; artificial intelligence; machine learning; radiomics; metabolic response; pCR; prognosis</t>
  </si>
  <si>
    <t>GENOMIC GRADE INDEX; F-18-FDG PET/CT; TUMOR METABOLISM; OPEN-LABEL</t>
  </si>
  <si>
    <t>Borgel, Adrien/PGA-1098-2026; Groheux, David/P-8907-2018</t>
  </si>
  <si>
    <t>Ferrer, Loïc/0000-0002-2107-0118; Teixeira, Luis/0000-0003-1049-9661; Groheux, David/0000-0002-9541-9175; Lehmann-Che, jacqueline/0000-0001-6685-3354</t>
  </si>
  <si>
    <t>APR 7 2025</t>
  </si>
  <si>
    <t>1249</t>
  </si>
  <si>
    <t>10.3390/cancers17071249</t>
  </si>
  <si>
    <t>http://dx.doi.org/10.3390/cancers17071249</t>
  </si>
  <si>
    <t>1GZ2N</t>
  </si>
  <si>
    <t>40227836</t>
  </si>
  <si>
    <t>WOS:001464797300001</t>
  </si>
  <si>
    <t>Li, TT; Mao, JF; Yu, JD; Zhao, ZY; Chen, M; Yao, ZJ; Fang, L; Hu, B</t>
  </si>
  <si>
    <t>Background: Lung cancer is a malignant tumor, for which pulmonary nodules are considered to be significant indicators. Early recognition and timely treatment of pulmonary nodules can contribute to improving the survival rate of patients with cancer. Positron emission tomography-computed tomography (PET/CT) is a noninvasive, fusion imaging technique that can obtain both functional and structural information of lung regions. However, studies of pulmonary nodules based on computer-aided diagnosis have primarily focused on the nodule level due to a reliance on the annotation of nodules, which is superficial and unable to contribute to the actual clinical diagnosis. The aim of this study was thus to develop a fully automated classification framework for a more comprehensive assessment of pulmonary nodules in PET/CT imaging data. Methods: We developed a two-stage multimodal learning framework for the diagnosis of pulmonary nodules in PET/CT imaging. In this framework, Stage I focuses on pulmonary parenchyma segmentation using a pretrained U-Net and PET/CT registration. Stage II aims to extract, integrate, and recognize image- level and feature-level features by employing the three-dimensional (3D) Inception-residual net (ResNet) convolutional block attention module architecture and a dense-voting fusion mechanism. Results: In the experiments, the proposed model's performance was comprehensively validated using a set of real clinical data, achieving mean scores of 89.98%, 89.21%, 84.75%, 93.38%, 86.83%, and 0.9227 for accuracy, precision, recall, specificity, F1 score, and area under curve values, respectively. Conclusions: This paper presents a two-stage multimodal learning approach for the automatic diagnosis of pulmonary nodules. The findings reveal that the main reason for limiting model performance is the nonsolitary property of nodules in pulmonary nodule diagnosis, providing direction for future research.</t>
  </si>
  <si>
    <t>Li, Tongtong; Mao, Junfeng; Yu, Jiandong; Zhao, Ziyang; Chen, Miao; Yao, Zhijun; Fang, Lei; Hu, Bin</t>
  </si>
  <si>
    <t>Yao, ZJ; Hu, B (corresponding author), Lanzhou Univ, Sch Informat Sci &amp; Engn, 222 South Tianshui Rd, Lanzhou 730000, Peoples R China.; Yao, ZJ; Hu, B (corresponding author), Lanzhou Univ, Gansu Prov Key Lab Wearable Comp, Lanzhou 730000, Peoples R China.; Fang, L (corresponding author), Taikang Tongji Wuhan Hosp, Dept Nucl Med, 322 Sixin North Rd, Wuhan 430050, Peoples R China.; Hu, B (corresponding author), Beijing Inst Technol, Sch Med Technol, Beijing 100081, Peoples R China.; Hu, B (corresponding author), Chinese Acad Sci, Shanghai Inst Biol Sci, CAS Ctr Excellence Brain Sci &amp; Intelligence Techno, Shanghai 200031, Peoples R China.; Hu, B (corresponding author), Chinese Acad Sci, Joint Res Ctr Cognit Neurosensor Technol Lanzhou U, Lanzhou 730000, Peoples R China.; Hu, B (corresponding author), Chinese Acad Sci, Inst Semicond, Lanzhou 730000, Peoples R China.</t>
  </si>
  <si>
    <t>bh@lzu.edu.cn; 116fanglei@163.com; yaozj@lzu.edu.cn</t>
  </si>
  <si>
    <t>Science and Technology Program of Gansu Province [23YFGA0004, 24JRRA506]; National Key Research and Development Program of China [2019YFA0706200]; Fundamental Research Funds for the Central Universities [lzujbky-2024-it16, lzujbky-2022-it24]</t>
  </si>
  <si>
    <t>Science and Technology Program of Gansu Province; National Key Research and Development Program of China (National Key Research &amp; Development Program of China); Fundamental Research Funds for the Central Universities (Fundamental Research Funds for the Central Universities)</t>
  </si>
  <si>
    <t>Funding: This work was supported in part by the Science and Technology Program of Gansu Province (No. 23YFGA0004, No. 24JRRA506) , the National Key Research and Development Program of China (No. 2019YFA0706200) , and the Fundamental Research Funds for the Central Universities (No. lzujbky-2024-it16, No. lzujbky-2022-it24) .</t>
  </si>
  <si>
    <t>[Li, Tongtong; Yu, Jiandong; Zhao, Ziyang; Chen, Miao; Yao, Zhijun; Hu, Bin] Lanzhou Univ, Sch Informat Sci &amp; Engn, 222 South Tianshui Rd, Lanzhou 730000, Peoples R China; [Li, Tongtong; Yu, Jiandong; Zhao, Ziyang; Chen, Miao; Yao, Zhijun; Hu, Bin] Lanzhou Univ, Gansu Prov Key Lab Wearable Comp, Lanzhou 730000, Peoples R China; [Mao, Junfeng] 940th Hosp Joint Logist Support Force Chinese Peop, Dept Nucl Med, Lanzhou, Peoples R China; [Mao, Junfeng] Gansu Univ Tradit Chinese Med, Sch Basic Med Sci, Lanzhou, Peoples R China; [Fang, Lei] Taikang Tongji Wuhan Hosp, Dept Nucl Med, 322 Sixin North Rd, Wuhan 430050, Peoples R China; [Hu, Bin] Beijing Inst Technol, Sch Med Technol, Beijing 100081, Peoples R China; [Hu, Bin] Chinese Acad Sci, Shanghai Inst Biol Sci, CAS Ctr Excellence Brain Sci &amp; Intelligence Techno, Shanghai 200031, Peoples R China; [Hu, Bin] Chinese Acad Sci, Joint Res Ctr Cognit Neurosensor Technol Lanzhou U, Lanzhou 730000, Peoples R China; [Hu, Bin] Chinese Acad Sci, Inst Semicond, Lanzhou 730000, Peoples R China</t>
  </si>
  <si>
    <t>Lanzhou University; Lanzhou University; Gansu University of Chinese Medicine; Beijing Institute of Technology; Chinese Academy of Sciences; Chinese Academy of Sciences; Chinese Academy of Sciences</t>
  </si>
  <si>
    <t>Fully automated classification of pulmonary nodules in positron emission tomography-computed tomography imaging using a two-stage multimodal learning approach</t>
  </si>
  <si>
    <t>Pulmonary nodule classification; multimodal; positron emission tomography-computed tomography (PET/CT); two-stage; deep learning</t>
  </si>
  <si>
    <t>CT; DIAGNOSIS</t>
  </si>
  <si>
    <t>Hu, Bin/JWL-8452-2024</t>
  </si>
  <si>
    <t>5526</t>
  </si>
  <si>
    <t>5540</t>
  </si>
  <si>
    <t>10.21037/qims-24-234</t>
  </si>
  <si>
    <t>http://dx.doi.org/10.21037/qims-24-234</t>
  </si>
  <si>
    <t>F9M2V</t>
  </si>
  <si>
    <t>39144014</t>
  </si>
  <si>
    <t>WOS:001312968100020</t>
  </si>
  <si>
    <t>Yuan, C; Shi, Q; Huang, XY; Wang, L; He, Y; Li, B; Zhao, WL; Qian, DH</t>
  </si>
  <si>
    <t>Objectives The prediction of primary treatment failure (PTF) is necessary for patients with diffuse large B-cell lymphoma (DLBCL) since it serves as a prominent means for improving front-line outcomes. Using interim F-18-fluoro-2-deoxyglucose ([F-18]FDG) positron emission tomography/computed tomography (PET/CT) imaging data, we aimed to construct multimodal deep learning (MDL) models to predict possible PTF in low-risk DLBCL. Methods Initially, 205 DLBCL patients undergoing interim [F-18]FDG PET/CT scans and the front-line standard of care were included in the primary dataset for model development. Then, 44 other patients were included in the external dataset for generalization evaluation. Based on the powerful backbone of the Conv-LSTM network, we incorporated five different multimodal fusion strategies (pixel intermixing, separate channel, separate branch, quantitative weighting, and hybrid learning) to make full use of PET/CT features and built five corresponding MDL models. Moreover, we found the best model, that is, the hybrid learning model, and optimized it by integrating the contrastive training objective to further improve its prediction performance. Results The final model with contrastive objective optimization, named the contrastive hybrid learning model, performed best, with an accuracy of 91.22% and an area under the receiver operating characteristic curve (AUC) of 0.926, in the primary dataset. In the external dataset, its accuracy and AUC remained at 88.64% and 0.925, respectively, indicating its good generalization ability. Conclusions The proposed model achieved good performance, validated the predictive value of interim PET/CT, and holds promise for directing individualized clinical treatment.</t>
  </si>
  <si>
    <t>Yuan, Cheng; Shi, Qing; Huang, Xinyun; Wang, Li; He, Yang; Li, Biao; Zhao, Weili; Qian, Dahong</t>
  </si>
  <si>
    <t>Qian, DH (corresponding author), Shanghai Jiao Tong Univ, Sch Biomed Engn, Shanghai 200040, Peoples R China.; Zhao, WL (corresponding author), Shanghai Jiao Tong Univ, Natl Res Ctr Translat Med Shanghai, Shanghai Inst Hematol, State Key Lab Med Genom,Ruijin Hosp,Sch Med, Shanghai 200025, Peoples R China.; Li, B (corresponding author), Shanghai Jiao Tong Univ, Ruijin Hosp, Dept Nucl Med, Sch Med, Shanghai 200025, Peoples R China.</t>
  </si>
  <si>
    <t>dahong.qian@sjtu.edu.cn; zhao.weili@yahoo.com; lb10363@rjh.com.cn</t>
  </si>
  <si>
    <t>National Natural Science Foundation of China [81974276, 81830007, 81520108003, 81670176, 82070204]; Chang Jiang Scholars Program; Shanghai Municipal Education Commission Gaofeng Clinical Medicine Grant Support [20152206, 20152208]; Clinical Research Plan of Shanghai Hospital Development Center [SHDC2020CR1032B]; Multicenter Clinical Research Project by Shanghai Jiao Tong University School of Medicine [DLY201601]; Collaborative Innovation Center of Systems Biomedicine; Samuel Waxman Cancer Research Foundation</t>
  </si>
  <si>
    <t>National Natural Science Foundation of China (National Natural Science Foundation of China (NSFC)); Chang Jiang Scholars Program (Program for Changjiang Scholars &amp; Innovative Research Team in University (PCSIRT)); Shanghai Municipal Education Commission Gaofeng Clinical Medicine Grant Support; Clinical Research Plan of Shanghai Hospital Development Center; Multicenter Clinical Research Project by Shanghai Jiao Tong University School of Medicine; Collaborative Innovation Center of Systems Biomedicine; Samuel Waxman Cancer Research Foundation</t>
  </si>
  <si>
    <t>This study has received funding by the National Natural Science Foundation of China (81974276, 81830007, 81520108003, 81670176, and 82070204), Chang Jiang Scholars Program, Shanghai Municipal Education Commission Gaofeng Clinical Medicine Grant Support (20152206, and 20152208), Clinical Research Plan of Shanghai Hospital Development Center (SHDC2020CR1032B), Multicenter Clinical Research Project by Shanghai Jiao Tong University School of Medicine (DLY201601), Collaborative Innovation Center of Systems Biomedicine, and the Samuel Waxman Cancer Research Foundation.</t>
  </si>
  <si>
    <t>[Yuan, Cheng; Qian, Dahong] Shanghai Jiao Tong Univ, Sch Biomed Engn, Shanghai 200040, Peoples R China; [Shi, Qing; Wang, Li; He, Yang; Zhao, Weili] Shanghai Jiao Tong Univ, Natl Res Ctr Translat Med Shanghai, Shanghai Inst Hematol, State Key Lab Med Genom,Ruijin Hosp,Sch Med, Shanghai 200025, Peoples R China; [Huang, Xinyun; Li, Biao] Shanghai Jiao Tong Univ, Ruijin Hosp, Dept Nucl Med, Sch Med, Shanghai 200025, Peoples R China</t>
  </si>
  <si>
    <t>Shanghai Jiao Tong University; Shanghai Jiao Tong University; Shanghai Jiao Tong University</t>
  </si>
  <si>
    <t>Multimodal deep learning model on interim [18F]FDG PET/CT for predicting primary treatment failure in diffuse large B-cell lymphoma</t>
  </si>
  <si>
    <t>Lymphoma; Positron emission tomography; computed tomography; Treatment failure; Deep learning</t>
  </si>
  <si>
    <t>POSITRON-EMISSION-TOMOGRAPHY; TEXTURE ANALYSIS; R-CHOP; HODGKINS; CLASSIFICATION; NETWORKS</t>
  </si>
  <si>
    <t>zhao, weili/LJK-9823-2024</t>
  </si>
  <si>
    <t>Yuan, Cheng/0000-0001-8083-3026</t>
  </si>
  <si>
    <t>10.1007/s00330-022-09031-8</t>
  </si>
  <si>
    <t>http://dx.doi.org/10.1007/s00330-022-09031-8</t>
  </si>
  <si>
    <t>7U5QK</t>
  </si>
  <si>
    <t>36029345</t>
  </si>
  <si>
    <t>WOS:000847165700004</t>
  </si>
  <si>
    <t>Ates, AH; Yurtsever, U</t>
  </si>
  <si>
    <t>Given the multifaceted nature of reality, phenomena can be interpreted not only through singular perspectives but also by bringing together various dimensions. Meaning often emerges from the convergence of diverse perspectives, contexts, and forms of representation. The construction of systems capable of analyzing this multilayered structure requires integrating heterogeneous types of information within a holistic, interactive framework. For this multilayered structure to be processable by artificial intelligence systems, the synthesis of heterogeneous information types from various sources in a holistic structure is mandated. In response to this requirement, multimodal learning is an approach that aims to develop more contextual and generalizable artificial intelligence systems by combining heterogeneous data from different modalities (e.g., text, images, audio, sensor data) within an integrated structure. Based on recent literature, this review examines the conceptual foundations of multimodal learning and its key technical challenges, including representation learning, alignment, fusion, translation, missing modality, and co-learning. This study systematically compares and classifies more than 50 of the most prominent review articles published between 2010 and 2025 in a comprehensive table, summarizing the challenges they address, their application areas, and practical contributions. Attention has been drawn to areas often neglected in the literature, such as co-learning and missing modality, as well as to other critical gaps persisting in the field. Furthermore, the paper presents multimodal applications in healthcare, robotics, autonomous driving, remote sensing, and security, along with common multimodal datasets. By bridging theoretical foundations and real-world applications, this study provides a comprehensive reference for the field of multimodal learning.</t>
  </si>
  <si>
    <t>Ates, Ali Husameddin; Yurtsever, Ulas</t>
  </si>
  <si>
    <t>Ates, AH (corresponding author), Sakarya Univ, Fac Comp &amp; Informat Sci, Dept Comp Engn, TR-54050 Sakarya, Turkiye.; Ates, AH (corresponding author), Sakarya Univ, Res Dev &amp; Applicat Ctr SARGEM, Interdisciplinary Artificial Intelligence Lab, TR-54050 Sakarya, Turkiye.</t>
  </si>
  <si>
    <t>ulas@sakarya.edu.tr; aliates@sakarya.edu.tr</t>
  </si>
  <si>
    <t>[Ates, Ali Husameddin; Yurtsever, Ulas] Sakarya Univ, Fac Comp &amp; Informat Sci, Dept Comp Engn, TR-54050 Sakarya, Turkiye; [Ates, Ali Husameddin; Yurtsever, Ulas] Sakarya Univ, Res Dev &amp; Applicat Ctr SARGEM, Interdisciplinary Artificial Intelligence Lab, TR-54050 Sakarya, Turkiye</t>
  </si>
  <si>
    <t>Sakarya University; Sakarya University</t>
  </si>
  <si>
    <t>AN OVERVIEW OF MULTIMODAL LEARNING: CONCEPTS, CHALLENGES, APPLICATIONS AND DATASETS</t>
  </si>
  <si>
    <t>KONYA JOURNAL OF ENGINEERING SCIENCES</t>
  </si>
  <si>
    <t>Artificial Intelligence; Multimodal Applications; Multimodal Challenges; Multimodal Datasets; Multimodal Learning</t>
  </si>
  <si>
    <t>DATA FUSION; LANGUAGE; VISION; RECOGNITION; EDGE</t>
  </si>
  <si>
    <t>Ateş, Ali/KIA-7652-2024; Yurtsever, Ulaş/M-1814-2015</t>
  </si>
  <si>
    <t>154</t>
  </si>
  <si>
    <t>Konya Teknik Univ</t>
  </si>
  <si>
    <t>Selcuklu</t>
  </si>
  <si>
    <t>Ardicli Mah Rauf Orbay Cad, Selcuklu, Turkiye</t>
  </si>
  <si>
    <t>2667-8055</t>
  </si>
  <si>
    <t>KONYA J ENG SCI</t>
  </si>
  <si>
    <t>Konya J. Eng. Sci.</t>
  </si>
  <si>
    <t>JUN 4 2026</t>
  </si>
  <si>
    <t>917</t>
  </si>
  <si>
    <t>950</t>
  </si>
  <si>
    <t>10.36306/konjes.1716813</t>
  </si>
  <si>
    <t>http://dx.doi.org/10.36306/konjes.1716813</t>
  </si>
  <si>
    <t>KE5ZQ</t>
  </si>
  <si>
    <t>WOS:001805107900002</t>
  </si>
  <si>
    <t>Alrawis, M; Al-Ahmadi, S; Mohammad, F</t>
  </si>
  <si>
    <t>Parkinson's disease (PD) is a slowly progressing neurological disorder with symptoms that overlap with those of other conditions, making early detection and accurate diagnosis vital for effective treatment and a patient's quality of life. Symptoms such as tremors, stiffness, slow movements, and balance issues, along with psychiatric manifestations, are typical of PD. This study introduces a groundbreaking approach to PD diagnosis, utilizing a multimodal machine learning framework that integrates Electroencephalography (EEG) and Magnetic Resonance Imaging (MRI) data. Focusing on the early detection and accurate classification of PD, the proposed research leverages the distinct yet complementary nature of EEG and MRI datasets to enhance diagnostic precision. We employed a robust algorithmic strategy, including LightGBM and machine learning techniques, to analyze the complex patterns inherent in neurological data. The key steps of the proposed research are preprocessing and feature extraction from both EEG and MRI modalities, followed by their fusion using Principal Component Analysis (PCA) for dimensionality reduction. The fused dataset was then analyzed using a LightGBM model and validated through a 10-fold cross-validation process to ensure reliability and stability. The model's efficacy was further tested on independent datasets, demonstrating its robustness across diverse patient demographics. The obtained results showcased an accuracy of 97.17%, sensitivity of 96.58%, and specificity of 96.82% in PD classification, outperforming traditional multimodal as well as single-modality diagnostic methods. The integration of EEG and MRI data provided a more comprehensive view of the neurophysiological and neuroanatomical changes associated with PD. Additionally, the use of advanced machine learning algorithms allowed for a nuanced analysis, capturing subtle patterns indicative of early PD stages.</t>
  </si>
  <si>
    <t>Alrawis, Manal; Al-Ahmadi, Saad; Mohammad, Farah</t>
  </si>
  <si>
    <t>Mohammad, F (corresponding author), King Saud Univ, Ctr Excellence &amp; Informat Assurance CoEIA, Riyadh 11543, Saudi Arabia.</t>
  </si>
  <si>
    <t>salahmadi@ksu.edu.sa; fnazar@ieee.org</t>
  </si>
  <si>
    <t>Research Center of College of Computer and Information Sciences, Deanship of Scientific Research, King Saud University; Deputyship for Research &amp; Innovation, Ministry of Education in Saudi Arabia</t>
  </si>
  <si>
    <t>Research Center of College of Computer and Information Sciences, Deanship of Scientific Research, King Saud University; Deputyship for Research &amp; Innovation, Ministry of Education in Saudi Arabia (Ministry of Education Saudi Arabia)</t>
  </si>
  <si>
    <t>The authors extend their appreciation to the Deputyship for Research &amp; Innovation, Ministry of Education in Saudi Arabia for funding this research.</t>
  </si>
  <si>
    <t>[Alrawis, Manal; Al-Ahmadi, Saad; Mohammad, Farah] King Saud Univ, Ctr Excellence &amp; Informat Assurance CoEIA, Riyadh 11543, Saudi Arabia</t>
  </si>
  <si>
    <t>King Saud University</t>
  </si>
  <si>
    <t>Bridging Modalities: A Multimodal Machine Learning Approach for Parkinson's Disease Diagnosis Using EEG and MRI Data</t>
  </si>
  <si>
    <t>Parkinson's disease; feature extraction; EEG; MRI; FAWT; LightGBM</t>
  </si>
  <si>
    <t>INDEPENDENT COMPONENT ANALYSIS; MILD COGNITIVE IMPAIRMENT; BIOMARKERS; DEMENTIA; SIGNAL</t>
  </si>
  <si>
    <t>Mohammad, Farah/NXB-9224-2025; Al-Ahmadi, Saad/A-4886-2019</t>
  </si>
  <si>
    <t>Al-Ahmadi, Saad/0000-0001-9406-6809</t>
  </si>
  <si>
    <t>3883</t>
  </si>
  <si>
    <t>10.3390/app14093883</t>
  </si>
  <si>
    <t>http://dx.doi.org/10.3390/app14093883</t>
  </si>
  <si>
    <t>QH5K5</t>
  </si>
  <si>
    <t>WOS:001219998000001</t>
  </si>
  <si>
    <t>Lee, SJ; Rho, M</t>
  </si>
  <si>
    <t>Metagenomic sequencing methods provide considerable genomic information regarding human microbiomes, enabling us to discover and understand microbial diseases. Compositional differences have been reported between patients and healthy people, which could be used in the diagnosis of patients. Despite significant progress in this regard, the accuracy of these tools needs to be improved for applications in diagnostics and therapeutics. MDL4Microbiome, the method developed herein, demonstrated high accuracy in predicting disease status by using various features from metagenome sequences and a multimodal deep learning model. We propose combining three different features, i.e., conventional taxonomic profiles, genome-level relative abundance, and metabolic functional characteristics, to enhance classification accuracy. This deep learning model enabled the construction of a classifier that combines these various modalities encoded in the human microbiome. We achieved accuracies of 0.98, 0.76, 0.84, and 0.97 for predicting patients with inflammatory bowel disease, type 2 diabetes, liver cirrhosis, and colorectal cancer, respectively; these are comparable or higher than classical machine learning methods. A deeper analysis was also performed on the resulting sets of selected features to understand the contribution of their different characteristics. MDL4Microbiome is a classifier with higher or comparable accuracy compared with other machine learning methods, which offers perspectives on feature generation with metagenome sequences in deep learning models and their advantages in the classification of host disease status.</t>
  </si>
  <si>
    <t>Lee, Seung Jae; Rho, Mina</t>
  </si>
  <si>
    <t>Rho, M (corresponding author), Hanyang Univ, Dept Comp Sci, Seoul, South Korea.; Rho, M (corresponding author), Hanyang Univ, Dept Biomed Informat, Seoul, South Korea.</t>
  </si>
  <si>
    <t>minarho@hanyang.ac.kr</t>
  </si>
  <si>
    <t>Bio &amp; Medical Technology Development Program of the National Research Foundation of Korea (NRF) - Ministry of Science, ICT &amp; Future Planning [2017M3A9F3041232]; Institute of Information &amp; Communications Technology Planning &amp; Evaluation (IITP) - Korea Government (MSIT) [2020-0-01373]</t>
  </si>
  <si>
    <t>Bio &amp; Medical Technology Development Program of the National Research Foundation of Korea (NRF) - Ministry of Science, ICT &amp; Future Planning (National Research Foundation of Korea, Ministry of Science &amp; ICT (MMSTI)); Institute of Information &amp; Communications Technology Planning &amp; Evaluation (IITP) - Korea Government (MSIT) (Institute for Information &amp; Communication Technology Planning &amp; Evaluation (IITP), Republic of Korea)</t>
  </si>
  <si>
    <t>This work was supported by Bio &amp; Medical Technology Development Program of the National Research Foundation of Korea (NRF), funded by the Ministry of Science, ICT &amp; Future Planning (2017M3A9F3041232), Institute of Information &amp; Communications Technology Planning &amp; Evaluation (IITP) grant funded by the Korea Government (MSIT) [No. 2020-0-01373, Artificial Intelligence Graduate School Program (Hanyang University)].</t>
  </si>
  <si>
    <t>[Lee, Seung Jae; Rho, Mina] Hanyang Univ, Dept Comp Sci, Seoul, South Korea; [Rho, Mina] Hanyang Univ, Dept Biomed Informat, Seoul, South Korea</t>
  </si>
  <si>
    <t>Hanyang University; Hanyang University</t>
  </si>
  <si>
    <t>Multimodal deep learning applied to classify healthy and disease states of human microbiome</t>
  </si>
  <si>
    <t>GUT MICROBIOTA; DIVERSITY; ANNOTATION; ALIGNMENT; PROJECT; GENOMES; KEGG</t>
  </si>
  <si>
    <t>JAN 17 2022</t>
  </si>
  <si>
    <t>824</t>
  </si>
  <si>
    <t>10.1038/s41598-022-04773-3</t>
  </si>
  <si>
    <t>http://dx.doi.org/10.1038/s41598-022-04773-3</t>
  </si>
  <si>
    <t>YI1XP</t>
  </si>
  <si>
    <t>35039534</t>
  </si>
  <si>
    <t>WOS:000743649400062</t>
  </si>
  <si>
    <t>Garcia-Gutiérrez, F; Matias-Guiu, JA; Ayala, JL</t>
  </si>
  <si>
    <t>Introduction: Alzheimer's disease (AD) is characterized by significant variability in clinical progression; however, few studies have focused on developing models to predict cognitive decline. Anticipating these trajectories is essential for patient management, care planning, and developing new treatments. This study explores the potential of artificial intelligence (AI) techniques to model neurocognitive trajectories from multimodal neuroimaging data and further investigates different data representation frameworks. Methods: Using information from 653 participants from the Alzheimer's Disease Neuroimaging Initiative (ADNI), we developed models to predict future clinical diagnoses and cognitive decline, both quantitatively (rate of decline) and qualitatively (presence or absence of decline). Input features included structural T1-weighted magnetic resonance imaging (MRI), [F-18]-fluorodeoxyglucose positron emission tomography (FDG-PET), [F-18]-florbetapir PET (AV45-PET), neuropsychological assessments, and demographic variables. Several information representation strategies were explored, including tabular data models, convolutional neural networks (CNNs), and graph neural networks (GNNs). Furthermore, to maximize the use of all available information, we proposed a modeling framework that performed modality-specific pre-training to learn feature embeddings, which were then integrated through a late-fusion layer to produce a unified representation for downstream prediction. Results: The modeling strategies demonstrated good predictive performance for future clinical diagnoses, consistent with previous studies (F1 = 0.779). Quantitative models explained approximately 29.4%-36.0% of the variance in cognitive decline. In the qualitative analysis, the models achieved AUC values above 0.83 when predicting cognitive deterioration in the memory, language, and executive function domains. Architecturally, CNN- and GNN-based models yielded the best performance, and the proposed pre-training strategy consistently improved predictive accuracy. Conclusions: This study demonstrates that AI techniques can capture patterns of cognitive decline by exploiting multimodal neuroimaging data. These findings contribute to the development of more precise phenotyping approaches for neurodegenerative patterns in AD.</t>
  </si>
  <si>
    <t>Garcia-Gutierrez, Fernando; Matias-Guiu, Jordi A.; Ayala, Jose L.</t>
  </si>
  <si>
    <t>Garcia-Gutiérrez, F (corresponding author), Univ Complutense Madrid, Dept Comp Architecture &amp; Automat, Madrid, Spain.</t>
  </si>
  <si>
    <t>fegarc05@ucm.es</t>
  </si>
  <si>
    <t>Instituto de Salud Carlos III, Spain [INT20/00079, INT23/00017]; European Regional Development Fund "A way to make Europe"</t>
  </si>
  <si>
    <t>Instituto de Salud Carlos III, Spain (Instituto de Salud Carlos III); European Regional Development Fund "A way to make Europe"</t>
  </si>
  <si>
    <t>The author(s) declare that financial support was received for the research and/or publication of this article. Jordi A. Matias-Guiu was supported by the Instituto de Salud Carlos III, Spain through the project INT20/00079 and INT23/00017 (co-funded by European Regional Development Fund "A way to make Europe").</t>
  </si>
  <si>
    <t>[Garcia-Gutierrez, Fernando; Ayala, Jose L.] Univ Complutense Madrid, Dept Comp Architecture &amp; Automat, Madrid, Spain; [Matias-Guiu, Jordi A.] Hosp Clin San Carlos, Dept Neurol, Inst Invest Sanitaria San Carlos IdISSC, Madrid, Spain</t>
  </si>
  <si>
    <t>Complutense University of Madrid; Hospital Clinico San Carlos</t>
  </si>
  <si>
    <t>Deep multimodal learning for domain-level cognitive decline prediction in Alzheimer's disease</t>
  </si>
  <si>
    <t>automated pattern recognition; artificial intelligence; machine learning; neuroimaging; neurodegenerative diseases; Alzheimer's disease</t>
  </si>
  <si>
    <t>ASSESSMENT SCALE; COMPOSITE SCORE; PROGRESSION; IMPAIRMENT; DEMENTIA; TRIALS; PET</t>
  </si>
  <si>
    <t>1731062</t>
  </si>
  <si>
    <t>10.3389/frai.2025.1731062</t>
  </si>
  <si>
    <t>http://dx.doi.org/10.3389/frai.2025.1731062</t>
  </si>
  <si>
    <t>AM4NN</t>
  </si>
  <si>
    <t>41480285</t>
  </si>
  <si>
    <t>WOS:001651595900001</t>
  </si>
  <si>
    <t>Roach, M III; Zhang, JB; Mohamad, O; van der Wal, D; Simko, JP; DeVries, S; Huang, HC; Joun, S; Schaeffer, EM; Morgan, TM; Keim-Malpass, J; Chen, E; Yamashita, R; Monson, JM; Naz, F; Wallace, J; Bahary, JP; Wilke, D; Batra, S; Biedermann, GB; Faria, S; Hwang, L; Sandler, HM; Spratt, DE; Pugh, SL; Esteva, A; Tran, PT; Feng, FY</t>
  </si>
  <si>
    <t>PURPOSEArtificial intelligence (AI) tools could improve clinical decision making or exacerbate inequities because of bias. African American (AA) men reportedly have a worse prognosis for prostate cancer (PCa) and are underrepresented in the development genomic biomarkers. We assess the generalizability of tools developed using a multimodal AI (MMAI) deep learning system using digital histopathology and clinical data from NRG/Radiation Therapy Oncology Group PCa trials across racial subgroups. METHODSIn total, 5,708 patients from five randomized phase III trials were included. Two MMAI algorithms were evaluated: (1) the distant metastasis (DM) MMAI model optimized to predict risk of DM, and (2) the PCa-specific mortality (PCSM) MMAI model optimized to focus on prediction death in the presence of DM (DDM). The prognostic performance of the MMAI algorithms was evaluated in AA and non-AA subgroups using time to DM (primary end point) and time to DDM (secondary end point). Exploratory end points included time to biochemical failure and overall survival with Fine-Gray or Cox proportional hazards models. Cumulative incidence estimates were computed for time-to-event end points and compared using Gray's test. RESULTSThere were 948 (16.6%) AA patients, 4,731 non-AA patients (82.9%), and 29 (0.5%) patients with unknown or missing race status. The DM-MMAI algorithm showed a strong prognostic signal for DM in the AA (subdistribution hazard ratio [sHR], 1.2 [95% CI, 1.0 to 1.3]; P = .007) and non-AA subgroups (sHR, 1.4 [95% CI, 1.3 to 1.5]; P &lt; .001). Similarly, the PCSM-MMAI score showed a strong prognostic signal for DDM in both AA (sHR, 1.3 [95% CI, 1.1 to 1.5]; P = .001) and non-AA subgroups (sHR, 1.5 [95% CI, 1.4 to 1.6]; P &lt; .001), with similar distributions of risk. CONCLUSIONUsing cooperative group data sets with a racially diverse population, the MMAI algorithm performed well across racial subgroups without evidence of algorithmic bias.</t>
  </si>
  <si>
    <t>Roach III, Mack; Zhang, Jingbin; Mohamad, Osama; van der Wal, Douwe; Simko, Jeffry P.; DeVries, Sandy; Huang, Huei-Chung; Joun, Songwan; Schaeffer, Edward M.; Morgan, Todd M.; Keim-Malpass, Jessica; Chen, Emmalyn; Yamashita, Rikiya; Monson, Jedidiah M.; Naz, Farah; Wallace, James; Bahary, Jean-Paul; Wilke, Derek; Batra, Sonny; Biedermann, Gregory B.; Faria, Sergio; Hwang, Lindsay; Sandler, Howard M.; Spratt, Daniel E.; Pugh, Stephanie L.; Esteva, Andre; Tran, Phuoc T.; Feng, Felix Y.</t>
  </si>
  <si>
    <t>Roach, M III (corresponding author), UCSF, Med Ctr, San Francisco, CA 94143 USA.</t>
  </si>
  <si>
    <t>mack.roach@ucsf.edu</t>
  </si>
  <si>
    <t>NCORP [UG1CA189867]; NRGOncology Operations [U10CA180868]; NRG Oncology SDMC [U10CA180822]; NRG Specimen Bank [U24CA196067]; National Cancer Institute(NCI)</t>
  </si>
  <si>
    <t>NCORP; NRGOncology Operations; NRG Oncology SDMC; NRG Specimen Bank; National Cancer Institute(NCI) (United States Department of Health &amp; Human Services, National Institutes of Health (NIH) - USA, NIH National Cancer Institute (NCI))</t>
  </si>
  <si>
    <t>Supported by grants UG1CA189867 (NCORP), U10CA180868 (NRGOncology Operations), U10CA180822 (NRG Oncology SDMC), and U24CA196067 (NRG Specimen Bank), and the National Cancer Institute(NCI)</t>
  </si>
  <si>
    <t>[Roach III, Mack; Simko, Jeffry P.; DeVries, Sandy] UCSF, Med Ctr, San Francisco, CA 94143 USA; [Zhang, Jingbin; van der Wal, Douwe; Huang, Huei-Chung; Joun, Songwan; Keim-Malpass, Jessica; Chen, Emmalyn; Yamashita, Rikiya; Esteva, Andre] Artera, Santa Barbara, CA USA; [Mohamad, Osama; Feng, Felix Y.] Univ Calif San Francisco, San Francisco, CA USA; [Schaeffer, Edward M.] Northwestern Univ, Chicago, IL USA; [Morgan, Todd M.] Univ Michigan, Comprehens Canc Ctr, Ann Arbor, MI USA; [Monson, Jedidiah M.] Fresno Inc, Hematol Oncol Med Grp, Fresno, CA USA; [Naz, Farah] St Johns Hosp, Horizon Hlth Network, St John, NB, Canada; [Wallace, James] Ingalls Mem Hosp, Harvey, IL USA; [Bahary, Jean-Paul] CHUM Ctr Hosp Univ Montreal, Montreal, PQ, Canada; [Wilke, Derek] Nova Scotia Hlth, QEII Hlth Sci Ctr, Nova Scotia Canc Ctr, Halifax, NS, Canada; [Batra, Sonny] VA Boston Healthcare Syst, Boston, MA USA; [Biedermann, Gregory B.] Univ Missouri Ellis Fischel, Columbia, MO USA; [Faria, Sergio] McGill Univ, Res Inst, Hlth Ctr, Montreal, PQ, Canada; [Hwang, Lindsay] USC, Keck Sch Med, Los Angeles, CA USA; [Sandler, Howard M.] Cedars Sinai Med Ctr, Los Angeles, CA USA; [Spratt, Daniel E.] Case Western Reserve Univ, Univ Hosp Seidman Canc Ctr, Cleveland, OH USA; [Pugh, Stephanie L.] NRG Oncol Stat &amp; Data Management Ctr, Philadelphia, PA USA; [Pugh, Stephanie L.] Amer Coll Radiol, Philadelphia, PA USA; [Tran, Phuoc T.] Johns Hopkins Univ, Sidney Kimmel Canc Ctr, Baltimore, MD USA</t>
  </si>
  <si>
    <t>University of California System; University of California San Francisco; UCSF Medical Center; University of California System; University of California San Francisco; Northwestern University; University of Michigan System; University of Michigan; Universite de Montreal; Queen Elizabeth II Health Sciences Centre; Nova Scotia Health Authority; Harvard University; US Department of Veterans Affairs; Harvard University Medical Affiliates; Veterans Health Administration (VHA); VA Boston Healthcare System; University of Missouri System; University of Missouri Columbia; McGill University; University of Southern California; University of Southern California Keck Hospital; Cedars Sinai Medical Center; University System of Ohio; Case Western Reserve University; American College of Radiology; Johns Hopkins University</t>
  </si>
  <si>
    <t>Assessing Algorithmic Fairness With a Multimodal Artificial Intelligence Model in Men of African and Non-African Origin on NRG Oncology Prostate Cancer Phase III Trials</t>
  </si>
  <si>
    <t>RADIATION-THERAPY; ANDROGEN SUPPRESSION; HEALTH-CARE; BIG DATA; RADIOTHERAPY; SURVIVAL; RACE; BIAS; RECOMMENDATIONS; DEPRIVATION</t>
  </si>
  <si>
    <t>Biedermann, Gregory/0000-0002-1584-1756; Schaeffer, Edward/0000-0003-0699-1899</t>
  </si>
  <si>
    <t>e2400284</t>
  </si>
  <si>
    <t>10.1200/CCI-24-00284</t>
  </si>
  <si>
    <t>http://dx.doi.org/10.1200/CCI-24-00284</t>
  </si>
  <si>
    <t>ER3XI</t>
  </si>
  <si>
    <t>40344545</t>
  </si>
  <si>
    <t>WOS:001707922600001</t>
  </si>
  <si>
    <t>Fatima, S; Dahan, F; Shah, JH; Almohamedh, R; Aloqaily, M; Riaz, S</t>
  </si>
  <si>
    <t>The human gastrointestinal (GI) tract is influenced by numerous disorders. If not detected in the early stages, they may result in severe consequences such as organ failure or the development of cancer, and in extreme cases, become life-threatening. Endoscopy is a specialised imaging technique used to examine the GI tract. However, physicians might neglect certain irregular morphologies during the examination due to continuous monitoring of the video recording. Recent advancements in artificial intelligence have led to the development of high-performance AI-based systems, which are optimal for computer-assisted diagnosis. Due to numerous limitations in endoscopic image analysis, including visual similarities between infected and healthy areas, retrieval of irrelevant features, and imbalanced testing and training datasets, performance accuracy is reduced. To address these challenges, we proposed a framework for analysing gastrointestinal tract images that provides a more robust and secure model, thereby reducing the chances of misclassification. Compared to single model solutions, the proposed methodology improves performance by integrating diverse models and optimizing feature fusion using a dual-branch CNN transformer architecture. The proposed approach employs a dual-branch feature extraction mechanism, where in the first branch, features are extracted using Extended BEiT, and EfficientNet-B5 is utilized in the second branch. Additionally, cross-entropy loss is used to measure the error of prediction at both branches, followed by model stacking. This multimodal framework outperforms existing approaches across multiple metrics, achieving 94.12% accuracy, recall and F1-score, as well as 94.15% precision on the Kvasir dataset. Furthermore, the model successfully reduced the false negative rate to 5.88%, enhancing its ability to minimize misdiagnosis. These results highlight the adaptability of the proposed work in clinical practice, where it can provide fast and accurate diagnostic assistance crucial for improving the early diagnosis of diseases in the gastrointestinal tract.</t>
  </si>
  <si>
    <t>Fatima, Sadia; Dahan, Fadl; Shah, Jamal Hussain; Almohamedh, Refan; Aloqaily, Mohammed; Riaz, Samia</t>
  </si>
  <si>
    <t>Dahan, F (corresponding author), Prince Sattam bin Abdulaziz Univ, Coll Business Adm Hawtat Bani Tamim, Dept Management Informat Syst, Al Kharj 11942, Saudi Arabia.</t>
  </si>
  <si>
    <t>f.naji@psau.edu.sa</t>
  </si>
  <si>
    <t>Prince Sattam bin Abdulaziz University [PSAU/2024/01/30782]</t>
  </si>
  <si>
    <t>Prince Sattam bin Abdulaziz University (Prince Sattam Bin Abdulaziz University)</t>
  </si>
  <si>
    <t>Funding Statement: The authors extend their appreciation to Prince Sattam bin Abdulaziz University for funding for funding this research work through the project number (PSAU/2024/01/30782) .</t>
  </si>
  <si>
    <t>[Fatima, Sadia; Shah, Jamal Hussain; Riaz, Samia] COMSATS Univ Islamabad, Dept Comp Sci, Wah Campus, Wah Cantt 47040, Pakistan; [Dahan, Fadl; Almohamedh, Refan; Aloqaily, Mohammed] Prince Sattam bin Abdulaziz Univ, Coll Business Adm Hawtat Bani Tamim, Dept Management Informat Syst, Al Kharj 11942, Saudi Arabia</t>
  </si>
  <si>
    <t>COMSATS University Islamabad (CUI); Prince Sattam Bin Abdulaziz University</t>
  </si>
  <si>
    <t>A Multimodal Learning Framework to Reduce Misclassification in GI Tract Disease Diagnosis</t>
  </si>
  <si>
    <t>CMES-COMPUTER MODELING IN ENGINEERING &amp; SCIENCES</t>
  </si>
  <si>
    <t>Multimodal; gastrointestinal GI; disease diagnosis; misclassification; transformer; deep learning</t>
  </si>
  <si>
    <t>AUTOMATIC DETECTION; CLASSIFICATION</t>
  </si>
  <si>
    <t>Dahan, Fadl/GQH-4155-2022; Shah, Jamal Hussain/AAA-7034-2021; fatima, sadia/GQO-9679-2022</t>
  </si>
  <si>
    <t>Almohamedh, Refan Mohamed/0009-0001-9830-8331; Aloqaily, Mohammed/0009-0004-5903-2119; Shah, Jamal Hussain/0000-0002-7903-9391</t>
  </si>
  <si>
    <t>TECH SCIENCE PRESS</t>
  </si>
  <si>
    <t>HENDERSON</t>
  </si>
  <si>
    <t>871 CORONADO CENTER DR, SUTE 200, HENDERSON, NV 89052 USA</t>
  </si>
  <si>
    <t>1526-1492</t>
  </si>
  <si>
    <t>1526-1506</t>
  </si>
  <si>
    <t>CMES-COMP MODEL ENG</t>
  </si>
  <si>
    <t>CMES-Comp. Model. Eng. Sci.</t>
  </si>
  <si>
    <t>145</t>
  </si>
  <si>
    <t>971</t>
  </si>
  <si>
    <t>994</t>
  </si>
  <si>
    <t>10.32604/cmes.2025.070272</t>
  </si>
  <si>
    <t>http://dx.doi.org/10.32604/cmes.2025.070272</t>
  </si>
  <si>
    <t>Engineering, Multidisciplinary; Mathematics, Interdisciplinary Applications</t>
  </si>
  <si>
    <t>Engineering; Mathematics</t>
  </si>
  <si>
    <t>9QM5J</t>
  </si>
  <si>
    <t>WOS:001590054200001</t>
  </si>
  <si>
    <t>Zhu, YX; Wu, J; Long, QX; Li, Y; Luo, H; Pang, L; Zhu, L; Luo, H</t>
  </si>
  <si>
    <t>Objective: This study aimed to develop and validate a multimodal deep learning model that utilizes preoperative grayscale and contrast-enhanced ultrasound (CEUS) video data for noninvasive WHO/ISUP nuclear grading of renal cell carcinoma (RCC). Methods: In this dual-center retrospective study, CEUS videos from 100 patients with RCC collected between June 2012 and June 2021 were analyzed. A total of 6,293 ultrasound images were categorized into low-grade (G1-G2) and high-grade (G3-G4) groups. A novel model, the Multimodal Ultrasound Fusion Network (MUF-Net), integrated B-mode and CEUS modalities to extract and fuse image features using a weighted sum of predicted weights. Model performance was assessed using five-fold cross-validation and compared to single-modality models. Grad-CAM visualization highlighted key regions influencing the model's predictions. Results: MUF-Net achieved an accuracy of 85.9%, outperforming B-mode (80.8%) and CEUS-mode (81.8%, P &lt; 0.05) models. Sensitivities were 85.1%, 80.2%, and 77.8%, while specificities were 86.0%, 82.5%, and 82.7%, respectively. The AUC of MUF-Net (0.909, 95% CI: 0.829-0.990) was superior to B-mode (0.838, 95% CI: 0.689-0.988) and CEUS-mode (0.845, 95% CI: 0.745-0.944). Grad-CAM analysis revealed distinct and complementary salient regions across modalities. Conclusion: MUF-Net provides accurate and interpretable RCC nuclear grading, surpassing unimodal approaches, with Grad-CAM offering intuitive insights into the model's predictions.</t>
  </si>
  <si>
    <t>Zhu, Yixin; Wu, Ji; Long, Qiongxian; Li, Yan; Luo, Hao; Pang, Lu; Zhu, Lin; Luo, Hui</t>
  </si>
  <si>
    <t>Zhu, L (corresponding author), Shenzhen Mindray Biomed Elect Co Ltd, Dept Clin &amp; Res, Shenzhen, Peoples R China.; Luo, H (corresponding author), Jinan Univ, Shenzhen Peoples Hosp, Clin Med Coll 2, Dept Ultrasound, Shenzhen, Guangdong, Peoples R China.</t>
  </si>
  <si>
    <t>luoh98@sina.com; zhulin@kmmu.edu.cn</t>
  </si>
  <si>
    <t>Shenzhen Key Medical Discipline Construction Fund [SZXK051]; Sanming Project of Medicine in Shenzhen [SZSM202111011]; Shenzhen Natural Science Foundation [JCYJ20240806134133002]</t>
  </si>
  <si>
    <t>Shenzhen Key Medical Discipline Construction Fund; Sanming Project of Medicine in Shenzhen; Shenzhen Natural Science Foundation</t>
  </si>
  <si>
    <t>The author(s) declare that financial support was received for the research and/or publication of this article. This project was supported by the Shenzhen Key Medical Discipline Construction Fund (No. SZXK051), by Sanming Project of Medicine in Shenzhen (No. SZSM202111011), and the Shenzhen Natural Science Foundation (JCYJ20240806134133002).</t>
  </si>
  <si>
    <t>[Zhu, Yixin] Peking Univ, Shenzhen Hosp, Dept Ultrasound, Shenzhen, Guangdong, Peoples R China; [Wu, Ji] North Sichuan Med Coll, Affiliated Nanchong Cent Hosp, Dept Urol, Nanchong, Sichuan, Peoples R China; [Long, Qiongxian] North Sichuan Med Coll, Affiliated Nanchong Cent Hosp, Dept Pathol, Nanchong, Sichuan, Peoples R China; [Li, Yan; Luo, Hao; Pang, Lu] North Sichuan Med Coll, Affiliated Nanchong Cent Hosp, Dept Ultrasound, Nanchong, Sichuan, Peoples R China; [Zhu, Lin] Shenzhen Mindray Biomed Elect Co Ltd, Dept Clin &amp; Res, Shenzhen, Peoples R China; [Luo, Hui] Jinan Univ, Shenzhen Peoples Hosp, Clin Med Coll 2, Dept Ultrasound, Shenzhen, Guangdong, Peoples R China</t>
  </si>
  <si>
    <t>Peking University; North Sichuan Medical University; North Sichuan Medical University; North Sichuan Medical University; Jinan University</t>
  </si>
  <si>
    <t>Multimodal deep learning with MUF-net for noninvasive WHO/ISUP grading of renal cell carcinoma using CEUS and B-mode ultrasound</t>
  </si>
  <si>
    <t>renal tumor; artificial intelligence; classification; deep learning; WHO/ISUP grading system; contrast-enhanced ultrasound</t>
  </si>
  <si>
    <t>ISUP</t>
  </si>
  <si>
    <t>MAR 7 2025</t>
  </si>
  <si>
    <t>1558997</t>
  </si>
  <si>
    <t>10.3389/fphys.2025.1558997</t>
  </si>
  <si>
    <t>http://dx.doi.org/10.3389/fphys.2025.1558997</t>
  </si>
  <si>
    <t>0KG4V</t>
  </si>
  <si>
    <t>40124951</t>
  </si>
  <si>
    <t>WOS:001449371000001</t>
  </si>
  <si>
    <t>Shiraga, T; Makimoto, H; Kohlmann, B; Magnisali, CE; Imai, Y; Itani, Y; Makimoto, A; Schoelzel, F; Bejinariu, A; Kelm, M; Rana, O</t>
  </si>
  <si>
    <t>Simple sensor-based procedures, including auscultation and electrocardiography (ECG), can facilitate early diagnosis of valvular diseases, resulting in timely treatment. This study assessed the impact of combining these sensor-based procedures with machine learning on diagnosing valvular abnormalities and ventricular dysfunction. Data from auscultation at three distinct locations and 12-lead ECGs were collected from 1052 patients undergoing echocardiography. An independent cohort of 103 patients was used for clinical validation. These patients were screened for severe aortic stenosis (AS), severe mitral regurgitation (MR), and left ventricular dysfunction (LVD) with ejection fractions &lt;= 40%. Optimal neural networks were identified by a fourfold cross-validation training process using heart sounds and various ECG leads, and their outputs were combined using a stacking technique. This composite sensor model had high diagnostic efficiency (area under the receiver operating characteristic curve (AUC) values: AS, 0.93; MR, 0.80; LVD, 0.75). Notably, the contribution of individual sensors to disease detection was found to be disease-specific, underscoring the synergistic potential of the sensor fusion approach. Thus, machine learning models that integrate auscultation and ECG can efficiently detect conditions typically diagnosed via imaging. Moreover, this study highlights the potential of multimodal artificial intelligence applications.</t>
  </si>
  <si>
    <t>Shiraga, Takeru; Makimoto, Hisaki; Kohlmann, Benita; Magnisali, Christofori-Eleni; Imai, Yoshie; Itani, Yusuke; Makimoto, Asuka; Schoelzel, Fabian; Bejinariu, Alexandru; Kelm, Malte; Rana, Obaida</t>
  </si>
  <si>
    <t>Makimoto, H (corresponding author), Heinrich Heine Univ Dusseldorf, Med Fac, Div Cardiol Pulmonol &amp; Vasc Med, D-40225 Dusseldorf, Germany.; Makimoto, H (corresponding author), Jichi Med Univ, Data Sci Ctr, Cardiovasc Ctr, Shimotsuke 3290498, Japan.</t>
  </si>
  <si>
    <t>h1sak1mak1m0t0@gmail.com; benita.kohlmann@uni-duesseldorf.de; obaida.rana@med.uni-duesseldorf.de</t>
  </si>
  <si>
    <t>State of North Rhine-Westphalia by the Ministry for Economic Affairs, Innovation, Digitalization and Energy; Grants-in-Aid for Scientific Research [23K07560] Funding Source: KAKEN</t>
  </si>
  <si>
    <t>State of North Rhine-Westphalia by the Ministry for Economic Affairs, Innovation, Digitalization and Energy; Grants-in-Aid for Scientific Research (Ministry of Education, Culture, Sports, Science and Technology, Japan (MEXT), Japan Society for the Promotion of Science, Grants-in-Aid for Scientific Research (KAKENHI))</t>
  </si>
  <si>
    <t>[Shiraga, Takeru; Imai, Yoshie; Itani, Yusuke] Mitsubishi Elect Inc, Kamakura 2470056, Japan; [Makimoto, Hisaki; Kohlmann, Benita; Magnisali, Christofori-Eleni; Makimoto, Asuka; Schoelzel, Fabian; Bejinariu, Alexandru; Kelm, Malte; Rana, Obaida] Heinrich Heine Univ Dusseldorf, Med Fac, Div Cardiol Pulmonol &amp; Vasc Med, D-40225 Dusseldorf, Germany; [Makimoto, Hisaki] Jichi Med Univ, Data Sci Ctr, Cardiovasc Ctr, Shimotsuke 3290498, Japan; [Kelm, Malte; Rana, Obaida] CARID Cardiovasc Res Inst Dusseldorf, D-40225 Dusseldorf, Germany</t>
  </si>
  <si>
    <t>Heinrich Heine University Dusseldorf; Jichi Medical University</t>
  </si>
  <si>
    <t>Improving Valvular Pathologies and Ventricular Dysfunction Diagnostic Efficiency Using Combined Auscultation and Electrocardiography Data: A Multimodal AI Approach</t>
  </si>
  <si>
    <t>auscultation; electrocardiography; valvular disease; heart failure; multimodal artificial intelligence</t>
  </si>
  <si>
    <t>HEART-FAILURE</t>
  </si>
  <si>
    <t>Makimoto, Hisaki/ABH-9630-2020; Bejinariu, Alexandru Gabriel/AAM-6017-2020</t>
  </si>
  <si>
    <t>Bejinariu, Alexandru Gabriel/0000-0002-4820-3304</t>
  </si>
  <si>
    <t>9834</t>
  </si>
  <si>
    <t>10.3390/s23249834</t>
  </si>
  <si>
    <t>http://dx.doi.org/10.3390/s23249834</t>
  </si>
  <si>
    <t>DG7F8</t>
  </si>
  <si>
    <t>38139680</t>
  </si>
  <si>
    <t>WOS:001130933800001</t>
  </si>
  <si>
    <t>Madfa, AA; Alshammari, AF; Anazi, BA</t>
  </si>
  <si>
    <t>Background: Artificial intelligence (Al), particularly large language models (LLMs), is increasingly applied to radiographic interpretation in healthcare. In dentistry, radiographic imaging is essential for diagnosis and treatment planning, yet remains subject to variability and human error. Al may enhance diagnostic accuracy and consistency.&lt;br /&gt; Aim: To evaluate and compare the diagnostic accuracy, consistency, and interpretive performance of multimodal Al models ChatGPT, Grok, and MANUS with expert radiologists in dental radiograph interpretation.&lt;br /&gt; Methods: A total of 120 anonymised radiographs (40 OPGs, 40 periapical, 40 CT slices) were selected from validated academic sources. Two board-certified oral and maxillofacial radiologists established gold standard diagnoses. Each image was independently assessed by the three Al models under standardised prompting. Diagnostic accuracy and intra-model consistency were analysed using descriptive statistics, Cohen's kappa, McNemar's test, and logistic regression.&lt;br /&gt; Results: In the first assessment, MANUS and ChatGPT achieved 92.5% accuracy (111/120), while Grok reached 88.3% (106/120). Performance improved in the second round: MANUS 95.0%, ChatGPT 93.3%, and Grok 90.8%, compared with 96.7% for radiologists. ChatGPT showed the highest reproducibility (k = 0.937) , whereas MANUS demonstrated the highest overall accuracy. Strong agreement observed between ChatGPT and MANUS, with greater variability in Grok. No significant systematic bias was detected between Al outputs and radiologist benchmarks.&lt;br /&gt; Conclusion: The evaluated LLMs demonstrated diagnostic performance comparable to expert radiologists. MANUS excelled in accuracy and ChatGPT in reproducibility, supporting their potential as adjunct tools in dental radiology, while maintaining the need for expert oversight.</t>
  </si>
  <si>
    <t>Madfa, Ahmed A.; Alshammari, Abdullah F.; Anazi, Bassam A.</t>
  </si>
  <si>
    <t>Madfa, AA (corresponding author), Univ Hail, Coll Dent, Dept Restorat Dent Sci, Hail, Saudi Arabia.; Alshammari, AF (corresponding author), Univ Hail, Coll Dent, Dept Basic Dent &amp; Med Sci, Hail, Saudi Arabia.</t>
  </si>
  <si>
    <t>ahmed_um_2011@yahoo.com; Abd.alshamari@uoh.edu.sa</t>
  </si>
  <si>
    <t>[Madfa, Ahmed A.] Univ Hail, Coll Dent, Dept Restorat Dent Sci, Hail, Saudi Arabia; [Alshammari, Abdullah F.; Anazi, Bassam A.] Univ Hail, Coll Dent, Dept Basic Dent &amp; Med Sci, Hail, Saudi Arabia</t>
  </si>
  <si>
    <t>University Ha'il; University Ha'il</t>
  </si>
  <si>
    <t>Assessing diagnostic performance of multimodal AI and human experts in oral and maxillofacial radiography: a comparative analysis of ChatGPT, Grok, and MANUS</t>
  </si>
  <si>
    <t>Artificial intelligence; ChatGPT; dentistry; Grok; MANUS; large language models; radiographic diagnostics</t>
  </si>
  <si>
    <t>Madfa, Ahmed A/E-7747-2013; Alshammari, Abdullah/NDT-5353-2025</t>
  </si>
  <si>
    <t>Madfa, Ahmed A/0000-0001-6124-0129</t>
  </si>
  <si>
    <t>2664903</t>
  </si>
  <si>
    <t>10.1080/07853890.2026.2664903</t>
  </si>
  <si>
    <t>http://dx.doi.org/10.1080/07853890.2026.2664903</t>
  </si>
  <si>
    <t>HT5WP</t>
  </si>
  <si>
    <t>42093540</t>
  </si>
  <si>
    <t>WOS:001762373500001</t>
  </si>
  <si>
    <t>Ma, YD; Wei, YN; Shi, BC; Liang, A; Liang, WX; Lin, X; Tao, YF; Chen, MH; Man, WT</t>
  </si>
  <si>
    <t>Background Traditional intraoperative navigation methods show insufficient adaptability in dynamic surgical environments. The rapid development of Artificial Intelligence (AI) presents an opportunity to overcome these limitations, making the construction of real-time, adaptive intraoperative navigation systems a key research goal. This study, based on Edge-AI and multimodal AI technologies, aims to develop and evaluate a foundational system for achieving real-time, offline intraoperative navigation and warnings during minimally invasive liver surgery.&lt;br /&gt; Methods 161 minimally invasive liver resection videos collected from the Medtechshare platform were finely annotated. The dataset was divided into training (60%), validation (20%), and independent test (20%) sets. The self-developed ONE-PEACE-SZYYv3 model was used for training and validation, followed by quantitative evaluation using accuracy, recall, precision, Intersection over Union (IoU), and Dice coefficient on the independent test set. For qualitative evaluation, an innovative Turing-like test method, the Humanlike Test, was proposed. In this test, experienced surgeons blindly evaluated and scored AI-generated warnings and manually delineated warnings created by junior surgeons. Two groups of data from different processing sources were blindly evaluated by experts, combined with Mann-Whitney U and TOST (Delta = +/- 1.5 points) tests to assess whether they were equivalent within an acceptable range. This ultimately tested whether the current AI possesses judgment capabilities plausible enough to be comparable to human levels during surgery.&lt;br /&gt; Results In quantitative evaluation on the independent test set, under mAP50, the model's mean average precision reached as high as 99.5%, and under the stricter mAP50-95, it achieved 89.9% precision. IoU and Dice were 0.63 and 0.79, respectively. In qualitative evaluation, the average score of the "AI guided results, Experimental group" was slightly lower than the "Manually delineated results, Control group," but the difference was not statistically significant (p &gt; 0.05). Equivalence testing confirmed that the scores were statistically equivalent within a pre-defined narrow margin.&lt;br /&gt; Conclusion The proposed model exhibits high precision and real-time capability on a curated, retrospective dataset. It can accurately and effectively provide multimodal guidance (image-text-sound) and warnings in complex anatomical structures with multiple types of interference elements during surgery. The innovative Humanlike Test shows its intraoperative judgment capability can, to a certain extent, produce outputs that are indistinguishable from those of human surgeons. While this study demonstrates foundational feasibility, prospective clinical trials are required to validate its clinical utility and impact on surgical outcomes. Such technology holds promise for elevating the surgical field to a new paradigm of digital intelligence.</t>
  </si>
  <si>
    <t>Ma, Yudan; Wei, Yunneng; Shi, Bingchu; Liang, Ao; Liang, Weixiao; Lin, Xiao; Tao, Yifei; Chen, Minghui; Man, Weitao</t>
  </si>
  <si>
    <t>Man, WT (corresponding author), Tsinghua Univ, Beijing Tsinghua Changgung Hosp, Sch Clin Med,Tsinghua Med, Dept Gastroenterol, 168 Litang Rd, Beijing 102218, Peoples R China.</t>
  </si>
  <si>
    <t>mwta03607@btch.edu.cn</t>
  </si>
  <si>
    <t>[Ma, Yudan] Data Intelligence Surg Co Ltd, Suzhou, Peoples R China; [Wei, Yunneng; Tao, Yifei] Nanning Univ, Sch Informat Engn, Nanning 530200, Peoples R China; [Shi, Bingchu; Liang, Ao] Beijing City Univ, Sch Informat Sci &amp; Engn, Beijing 100083, Peoples R China; [Liang, Weixiao; Chen, Minghui] Suzhou Univ Sci &amp; Technol, Sch Elect &amp; Informat, Suzhou 215009, Peoples R China; [Lin, Xiao] Beijing Forestry Univ, Sch Informat Sci &amp; Technol, Beijing 100083, Peoples R China; [Man, Weitao] Tsinghua Univ, Beijing Tsinghua Changgung Hosp, Sch Clin Med,Tsinghua Med, Dept Gastroenterol, 168 Litang Rd, Beijing 102218, Peoples R China</t>
  </si>
  <si>
    <t>Nanning University; Chinese Academy of Sciences; Suzhou University of Science &amp; Technology; Beijing Forestry University; Tsinghua University</t>
  </si>
  <si>
    <t>Intraoperative navigation system for liver resection based on edge-AI and multimodal AI</t>
  </si>
  <si>
    <t>SURGICAL ENDOSCOPY AND OTHER INTERVENTIONAL TECHNIQUES</t>
  </si>
  <si>
    <t>Liver resection; Intraoperative navigation; Artificial intelligence; Edge-AI; Laparoscopic surgery; Humanlike test</t>
  </si>
  <si>
    <t>Ma, Yudan/AAZ-6095-2021; Man, Weitao/LSK-0586-2024; Liang, Wei/OZD-9042-2025</t>
  </si>
  <si>
    <t>Man, Weitao/0000-0003-4269-5392</t>
  </si>
  <si>
    <t>0930-2794</t>
  </si>
  <si>
    <t>1432-2218</t>
  </si>
  <si>
    <t>SURG ENDOSC</t>
  </si>
  <si>
    <t>Surg. Endosc.</t>
  </si>
  <si>
    <t>5957</t>
  </si>
  <si>
    <t>5966</t>
  </si>
  <si>
    <t>10.1007/s00464-025-12021-8</t>
  </si>
  <si>
    <t>http://dx.doi.org/10.1007/s00464-025-12021-8</t>
  </si>
  <si>
    <t>6VK2F</t>
  </si>
  <si>
    <t>40775470</t>
  </si>
  <si>
    <t>WOS:001546386800001</t>
  </si>
  <si>
    <t>Yu, MZ; Yan, Y; Yan, TW; Xi, ZH; Zeng, JC; Huang, T; Xu, M; Ding, MY</t>
  </si>
  <si>
    <t>Thyroid cancer is the most common endocrine cancer with a steadily rising incidence. In recent years, artificial intelligence, particularly deep learning, has shown great potential in assisting with the diagnosis of thyroid nodules. Despite these advances, existing approaches still face several challenges, including limited single-modal information, inadequate multimodal feature fusion, and a scarcity of multimodal datasets. Hence, this study proposes a Two-stage Text-driven Multimodal Network (TTM-Net), a novel network designed for thyroid nodule ultrasound diagnosis. In the first stage, a Text-Driven Vision Pretraining (TDVP) strategy is introduced to align visual and textual features using large-scale unlabeled text-image pairs, thereby enhancing the visual encoder's ability to capture clinically relevant patterns from the thyroid ultrasound images. In the second stage, supervised classification training is conducted using labeled data. Visual and textual features are integrated via the Cross-Modal Concat-Attention Fusion (CMCAF) module, and a joint optimization strategy is employed to improve diagnostic performance. To overcome the limitations of TI RADS, we propose a Thyroid Nodule Ultrasound Feature Classification System for Artificial Intelligence (TNUFCS-AI), which integrates clinical domain knowledge. Based on this system, we constructed a structured multimodal thyroid dataset comprising 22,544 ultrasound images and corresponding clinical reports from 9466 patients. Experiments show that TTM-Net outperforms SOTA methods in classification accuracy, stability, and interpretability, achieving (94.98 +/- 0.15%) accuracy. In summary, TTM-Net significantly improves the diagnostic performance and increases the model robustness while alleviating the dependence on labeled data, providing a viable solution for developing high-performance, interpretable, and deployable AI-assisted diagnostic systems for thyroid nodules.</t>
  </si>
  <si>
    <t>Yu, Mengzhu; Yan, Yu; Yan, Tianwei; Xi, Zihan; Zeng, Junchao; Huang, Tao; Xu, Ming; Ding, Mingyue</t>
  </si>
  <si>
    <t>Ding, MY (corresponding author), Huazhong Univ Sci &amp; Technol, Sch Life Sci &amp; Technol, Dept Biomed Engn, Luoyu Rd 1037, Wuhan 430074, Peoples R China.; Ding, MY (corresponding author), Huazhong Univ Sci &amp; Technol, Adv Biomed Imaging Facilityy, Luoyu Rd 1037, Wuhan 430074, Hubei, Peoples R China.; Xu, M (corresponding author), Huazhong Univ Sci &amp; Technol, Union Hosp, Tongji Med Coll, Dept Breast &amp; Thyroid Surg, Hangkong Rd 13, Wuhan 430022, Hubei, Peoples R China.</t>
  </si>
  <si>
    <t>myding@hust.edu.cn; mingxuwhuh@hust.edu.cn</t>
  </si>
  <si>
    <t>Key Program of the Natural Science Foundation of Hubei Province [2021BCA142]; National Natural Science Foundation of China [82303518]</t>
  </si>
  <si>
    <t>Key Program of the Natural Science Foundation of Hubei Province; National Natural Science Foundation of China (National Natural Science Foundation of China (NSFC))</t>
  </si>
  <si>
    <t>This work was supported in part by the Key Program of the Natural Science Foundation of Hubei Province (Grant No. 2021BCA142) and the National Natural Science Foundation of China (Grant No. 82303518) .</t>
  </si>
  <si>
    <t>[Yu, Mengzhu; Zeng, Junchao; Ding, Mingyue] Huazhong Univ Sci &amp; Technol, Sch Life Sci &amp; Technol, Dept Biomed Engn, Luoyu Rd 1037, Wuhan 430074, Peoples R China; [Yu, Mengzhu; Ding, Mingyue] Huazhong Univ Sci &amp; Technol, Adv Biomed Imaging Facilityy, Luoyu Rd 1037, Wuhan 430074, Hubei, Peoples R China; [Yan, Yu; Yan, Tianwei] Huazhong Univ Sci &amp; Technol, Union Hosp, Tongji Med Coll, Dept Breast &amp; Thyroid Surg, Ultrasonog Room,Hangkong Rd 13, Wuhan 430022, Hubei, Peoples R China; [Yan, Yu; Xi, Zihan; Huang, Tao; Xu, Ming] Huazhong Univ Sci &amp; Technol, Union Hosp, Tongji Med Coll, Dept Breast &amp; Thyroid Surg, Hangkong Rd 13, Wuhan 430022, Hubei, Peoples R China</t>
  </si>
  <si>
    <t>Huazhong University of Science &amp; Technology; Huazhong University of Science &amp; Technology; Huazhong University of Science &amp; Technology; Huazhong University of Science &amp; Technology</t>
  </si>
  <si>
    <t>A two-stage multimodal learning framework based on text-driven vision pretraining and cross-modal feature fusion for thyroid ultrasound diagnosis</t>
  </si>
  <si>
    <t>Thyroid nodule diagnosis; Multimodal fusion; Unsupervised pretraining; Attention mechanism</t>
  </si>
  <si>
    <t>DATA SYSTEM; NODULES; STRATIFICATION</t>
  </si>
  <si>
    <t>ZENG, JUNCHAO/AFL-8060-2022</t>
  </si>
  <si>
    <t>MAY 25 2026</t>
  </si>
  <si>
    <t>312</t>
  </si>
  <si>
    <t>131440</t>
  </si>
  <si>
    <t>10.1016/j.eswa.2026.131440</t>
  </si>
  <si>
    <t>http://dx.doi.org/10.1016/j.eswa.2026.131440</t>
  </si>
  <si>
    <t>DQ4IK</t>
  </si>
  <si>
    <t>WOS:001689609400001</t>
  </si>
  <si>
    <t>Thakoor, KA; Yao, J; Bordbar, D; Moussa, O; Lin, WJ; Sajda, P; Chen, RWS</t>
  </si>
  <si>
    <t>Within the next 1.5 decades, 1 in 7 U.S. adults is anticipated to suffer from age-related macular degeneration (AMD), a degenerative retinal disease which leads to blindness if untreated. Optical coherence tomography angiography (OCTA) has become a prime technique for AMD diagnosis, specifically for late-stage neovascular (NV) AMD. Such technologies generate massive amounts of data, challenging to parse by experts alone, transforming artificial intelligence into a valuable partner. We describe a deep learning (DL) approach which achieves multi-class detection of non-AMD vs. non-neovascular (NNV) AMD vs. NV AMD from a combination of OCTA, OCT structure, 2D b-scan flow images, and high definition (HD) 5-line b-scan cubes; DL also detects ocular biomarkers indicative of AMD risk. Multimodal data were used as input to 2D-3D Convolutional Neural Networks (CNNs). Both for CNNs and experts, choroidal neovascularization and geographic atrophy were found to be important biomarkers for AMD. CNNs predict biomarkers with accuracy up to 90.2% (positive-predictive-value up to 75.8%). Just as experts rely on multimodal data to diagnose AMD, CNNs also performed best when trained on multiple inputs combined. Detection of AMD and its biomarkers from OCTA data via CNNs has tremendous potential to expedite screening of early and late-stage AMD patients.</t>
  </si>
  <si>
    <t>Thakoor, Kaveri A.; Yao, Jiaang; Bordbar, Darius; Moussa, Omar; Lin, Weijie; Sajda, Paul; Chen, Royce W. S.</t>
  </si>
  <si>
    <t>Thakoor, KA (corresponding author), Columbia Univ, Dept Biomed Engn, New York, NY 10027 USA.</t>
  </si>
  <si>
    <t>k.thakoor@columbia.edu</t>
  </si>
  <si>
    <t>National Science Foundation Graduate Research Fellowship [DGE-1644869]; National Eye Institute [P30EY019007]; Research to Prevent Blindness; National Eye Institute [P30EY019007] Funding Source: NIH RePORTER</t>
  </si>
  <si>
    <t>National Science Foundation Graduate Research Fellowship (National Science Foundation (NSF)); National Eye Institute (United States Department of Health &amp; Human Services, National Institutes of Health (NIH) - USA, NIH National Eye Institute (NEI)); Research to Prevent Blindness (Research to Prevent Blindness (RPB)); National Eye Institute (United States Department of Health &amp; Human Services, National Institutes of Health (NIH) - USA, NIH National Eye Institute (NEI))</t>
  </si>
  <si>
    <t>This work was supported by National Science Foundation Graduate Research Fellowship Grant DGE-1644869 (K.A.T.) as well as National Eye Institute Core Grant P30EY019007 (R.W.S.C.) and an unrestricted grant from Research to Prevent Blindness. The authors are grateful to Siyao Zhang for statistical analysis guidance. Thanks go to Dr. Donald Coleman and Dr. Tongalp Tezel for data contributions and to Dr. Vlad Diaconita and Dr. Ioana Scherbakova for help with initial idea generation and protocol development.</t>
  </si>
  <si>
    <t>[Thakoor, Kaveri A.; Sajda, Paul] Columbia Univ, Dept Biomed Engn, New York, NY 10027 USA; [Yao, Jiaang; Sajda, Paul] Columbia Univ, Dept Elect Engn, New York, NY 10027 USA; [Bordbar, Darius; Moussa, Omar; Lin, Weijie; Chen, Royce W. S.] Columbia Univ, Irving Med Ctr, Dept Ophthalmol, Edward S Harkness Eye Inst, New York, NY 10032 USA; [Sajda, Paul] Columbia Univ, Dept Radiol Phys, New York, NY 10027 USA</t>
  </si>
  <si>
    <t>Columbia University; Columbia University; Columbia University; Cornell University; Weill Cornell Medicine; NewYork-Presbyterian Hospital; Columbia University</t>
  </si>
  <si>
    <t>A multimodal deep learning system to distinguish late stages of AMD and to compare expert vs. AI ocular biomarkers</t>
  </si>
  <si>
    <t>OPTICAL COHERENCE TOMOGRAPHY</t>
  </si>
  <si>
    <t>Yao, Jiaang/AAC-3982-2021</t>
  </si>
  <si>
    <t>Lin, Weijie/0000-0002-1894-4267; Yao, Jiaang/0000-0001-7062-2508; Moussa, Omar/0000-0002-3596-6249</t>
  </si>
  <si>
    <t>FEB 16 2022</t>
  </si>
  <si>
    <t>2585</t>
  </si>
  <si>
    <t>10.1038/s41598-022-06273-w</t>
  </si>
  <si>
    <t>http://dx.doi.org/10.1038/s41598-022-06273-w</t>
  </si>
  <si>
    <t>ZB8TK</t>
  </si>
  <si>
    <t>35173191</t>
  </si>
  <si>
    <t>WOS:000757107700067</t>
  </si>
  <si>
    <t>Venerito, V; Lopalco, G; Morrone, M; Agresta, I; Celano, A; del Vescovo, S; Hügle, T; Iannone, F</t>
  </si>
  <si>
    <t>Objective To evaluate the diagnostic accuracy and patient acceptability of fAI-BRO (Fibromyalgia AI-Based Rheumatology Observer), a multimodal artificial intelligence (AI) system integrating video-based visual descriptor analysis and psycholinguistic transcript evaluation, for distinguishing fibromyalgia syndrome (FMS) from other rheumatic and musculoskeletal diseases (RMDs).Methods In this cross-sectional proof-of-concept study, 100 patients at the University of Bari (50 FMS per ACR (American College of Rheumatology) 2016 criteria, 50 RMD controls including inflammatory arthritis, osteoarthritis and other conditions) underwent standardised interviews in Italian. Audio was processed with OpenAI Whisper in translate mode. Magistral-Small (Mistral AI), deployed locally in zero-shot configuration without FMS-specific fine-tuning or in-context examples, analysed four video frames using OpenCV-derived image-level descriptors (30% weight) and psycholinguistic transcript features (70% weight). Classification thresholds were optimised post hoc via Youden's J index.Results Among 100 patients, fAI-BRO achieved 91% accuracy (94% sensitivity (95% CI 83.5% to 98.7%), 88% specificity (95% CI 75.7% to 95.5%), area under the curve 0.96) for FMS detection on a 0-100 composite score. Youden's J identified the empirically optimal cut-off at 47, rounded down to 45 to favour screening sensitivity. All inflammatory arthritis cases (rheumatoid arthritis (RA), psoriatic arthritis (PsA), spondyloarthritis (SpA), systemic lupus erythematosus (SLE); n=36) and mechanical conditions (OA, impingement; n=8) were correctly classified as RMD. All six false positives for FMS occurred in dermatomyositis (n=3) and polymyalgia rheumatica (n=3)-a biologically plausible overlap involving muscle tissue rather than synovial pathology, presented here as a hypothesis-generating observation rather than incidental noise. Perturbation analysis confirmed widespread pain descriptors as the dominant classification drivers. Binary classification was robust to the English translation effect. Patient comfort was high (mean 4.5/5). Mean processing time was 324 s.Conclusion fAI-BRO demonstrates promising diagnostic accuracy for FMS screening as a human-in-the-loop decision-support tool, with perfect inflammatory arthritis classification and high patient acceptability. Post hoc optimised thresholds require external validation before clinical deployment.</t>
  </si>
  <si>
    <t>Venerito, Vincenzo; Lopalco, Giuseppe; Morrone, Maria; Agresta, Italia; Celano, Antonella; del Vescovo, Sergio; Hugle, Thomas; Iannone, Florenzo</t>
  </si>
  <si>
    <t>Venerito, V (corresponding author), Univ Bari Aldo Moro, Rheumatol Unit, Dept Precis &amp; Regenerat Med &amp; Ionian Area DiMePRe, Bari, Italy.</t>
  </si>
  <si>
    <t>morronemaria95@gmail.com; vincenzo.venerito@gmail.com; delvescovo.sergio97@gmail.com; giuseppe.lopalco@uniba.it; thomas.hugle@chuv.ch; a.celano@apmarr.it; florenzo.iannone@uniba.it; i.agresta@apmarr.it</t>
  </si>
  <si>
    <t>[Venerito, Vincenzo; Lopalco, Giuseppe; Morrone, Maria; del Vescovo, Sergio; Iannone, Florenzo] Univ Bari Aldo Moro, Rheumatol Unit, Dept Precis &amp; Regenerat Med &amp; Ionian Area DiMePRe, Bari, Italy; [Agresta, Italia; Celano, Antonella] APMAR Assoc Nazl Persone Malattie Reumatolog &amp; Rar, PARE People Arthrit Rheumatism Europe, Bari, Italy; [Hugle, Thomas] CHU Vaudois, Rheumatol Unit, Lausanne, Switzerland</t>
  </si>
  <si>
    <t>Universita degli Studi di Bari Aldo Moro; University of Lausanne; Centre Hospitalier Universitaire Vaudois (CHUV)</t>
  </si>
  <si>
    <t>fAI-BRO: a multimodal AI decision-support system to address diagnostic delay in fibromyalgia syndrome</t>
  </si>
  <si>
    <t>RMD OPEN</t>
  </si>
  <si>
    <t>Fibromyalgia; Machine Learning; Pain</t>
  </si>
  <si>
    <t>Venerito, Vincenzo/HKV-1293-2023; Lopalco, Giuseppe/K-6148-2016</t>
  </si>
  <si>
    <t>2056-5933</t>
  </si>
  <si>
    <t>RMD Open</t>
  </si>
  <si>
    <t>JUL 13 2026</t>
  </si>
  <si>
    <t>e006995</t>
  </si>
  <si>
    <t>10.1136/rmdopen-2026-006995</t>
  </si>
  <si>
    <t>http://dx.doi.org/10.1136/rmdopen-2026-006995</t>
  </si>
  <si>
    <t>Rheumatology</t>
  </si>
  <si>
    <t>KY7JO</t>
  </si>
  <si>
    <t>42442924</t>
  </si>
  <si>
    <t>WOS:001818773500001</t>
  </si>
  <si>
    <t>Yang, YL; Liu, HQ; Lei, Q; Li, TT</t>
  </si>
  <si>
    <t>Background Tuberculosis (TB) remains a global health crisis, with complex molecular mechanisms that are not fully understood. Traditional pathway analysis methods fail to capture the intricate non-linear relationships within biological networks.Methods We developed a novel artificial intelligence framework integrating graph neural networks (GNNs), transformer architectures, and multimodal deep learning to decipher TB pathway mechanisms. Our approach constructs a comprehensive pathway-gene interaction network from three critical pathways (Tuberculosis hsa05152, Antigen processing hsa04612, and NF-kappa B signaling hsa04064) and employs three interconnected models: (1) a Graph Convolutional Network for learning pathway-gene relationships, (2) a Transformer encoder for pathway activity prediction, and (3) a multimodal fusion model with attention mechanisms integrating transcriptomic, pathway, and clinical data. The framework was trained and validated on 467 clinical samples and 529 transcriptomic samples from five GEO datasets.Results The Transformer model achieved strong performance in pathway activity prediction (R 2 = 0.97, MSE = 0.014), demonstrating high accuracy in capturing pathway activation patterns. The multimodal fusion model achieved strong predictive performance (accuracy 88.2%, AUC-ROC 0.90) in clinical outcome prediction, with attention analysis revealing adaptive weighting of different data modalities. Network analysis identified 27 shared genes between Tuberculosis and Antigen processing pathways, and 18 shared genes between Tuberculosis and NF-kappa B pathways, indicating coordinated immune regulation. Key pathway-gene interactions were identified, including critical roles of IFNG, TNF, IL1B, and NF-kappa B signaling components.Conclusion This study represents the first comprehensive application of GNNs and multimodal deep learning to TB pathway analysis. Our framework provides novel insights into TB pathogenesis, identifies potential therapeutic targets, and demonstrates the power of AI-driven approaches for understanding complex disease mechanisms. The interpretability of our models through attention mechanisms enables translation of computational findings into actionable biological insights, with significant implications for precision medicine and personalized TB treatment strategies.</t>
  </si>
  <si>
    <t>Yang, Yuanli; Liu, Huanqing; Lei, Qian; Li, Tingting</t>
  </si>
  <si>
    <t>Li, TT (corresponding author), Xian Chest Hosp, Drug Clin Trial Inst Off, Xian, Shaanxi, Peoples R China.</t>
  </si>
  <si>
    <t>lt881117@163.com</t>
  </si>
  <si>
    <t>[Yang, Yuanli] Xian Chest Hosp, Dept TB 3, Xian, Shaanxi, Peoples R China; [Liu, Huanqing] Northwestern Polytech Univ, Informat Management Off, Xian, Shaanxi, Peoples R China; [Lei, Qian] Xian Chest Hosp, Dept Pharm, Xian, Shaanxi, Peoples R China; [Li, Tingting] Xian Chest Hosp, Drug Clin Trial Inst Off, Xian, Shaanxi, Peoples R China</t>
  </si>
  <si>
    <t>Northwestern Polytechnical University</t>
  </si>
  <si>
    <t>Deciphering tuberculosis pathway mechanisms via graph neural networks and multimodal deep learning: a comprehensive AI-driven framework for precision medicine</t>
  </si>
  <si>
    <t>FRONTIERS IN PHARMACOLOGY</t>
  </si>
  <si>
    <t>attention mechanisms; graph neural networks; multimodal deep learning; pathway analysis; precision medicine; systems biology; transformer; tuberculosis</t>
  </si>
  <si>
    <t>1663-9812</t>
  </si>
  <si>
    <t>FRONT PHARMACOL</t>
  </si>
  <si>
    <t>Front. Pharmacol.</t>
  </si>
  <si>
    <t>JUL 10 2026</t>
  </si>
  <si>
    <t>1753893</t>
  </si>
  <si>
    <t>10.3389/fphar.2026.1753893</t>
  </si>
  <si>
    <t>http://dx.doi.org/10.3389/fphar.2026.1753893</t>
  </si>
  <si>
    <t>LN3RK</t>
  </si>
  <si>
    <t>42499499</t>
  </si>
  <si>
    <t>WOS:001828687000001</t>
  </si>
  <si>
    <t>Almutairi, SA</t>
  </si>
  <si>
    <t>The COVID-19 pandemic has presented unprecedented challenges to healthcare systems worldwide. One of the key challenges in controlling and managing the pandemic is accurate and rapid diagnosis of COVID-19 cases. Traditional diagnostic methods such as RT-PCR tests are time-consuming and require specialized equipment and trained personnel. Computer-aided diagnosis systems and artificial intelligence (AI) have emerged as promising tools for developing cost-effective and accurate diagnostic approaches. Most studies in this area have focused on diagnosing COVID-19 based on a single modality, such as chest X-rays or cough sounds. However, relying on a single modality may not accurately detect the virus, especially in its early stages. In this research, we propose a non-invasive diagnostic framework consisting of four cascaded layers that work together to accurately detect COVID-19 in patients. The first layer of the framework performs basic diagnostics such as patient temperature, blood oxygen level, and breathing profile, providing initial insights into the patient's condition. The second layer analyzes the coughing profile, while the third layer evaluates chest imaging data such as X-ray and CT scans. Finally, the fourth layer utilizes a fuzzy logic inference system based on the previous three layers to generate a reliable and accurate diagnosis. To evaluate the effectiveness of the proposed framework, we used two datasets: the Cough Dataset and the COVID-19 Radiography Database. The experimental results demonstrate that the proposed framework is effective and trustworthy in terms of accuracy, precision, sensitivity, specificity, F1-score, and balanced accuracy. The audio -based classification achieved an accuracy of 96.55%, while the CXR-based classification achieved an accuracy of 98.55%. The proposed framework has the potential to significantly improve the accuracy and speed of COVID-19 diagnosis, allowing for more effective control and management of the pandemic. Furthermore, the framework's non-invasive nature makes it a more attractive option for patients, reducing the risk of infection and discomfort associated with traditional diagnostic methods.</t>
  </si>
  <si>
    <t>Almutairi, Saleh Ateeq</t>
  </si>
  <si>
    <t>Almutairi, SA (corresponding author), Taibah Univ, Appl Coll, Comp Sci &amp; Informat Dept, Medinah 41461, Saudi Arabia.</t>
  </si>
  <si>
    <t>smoutiri@taibahu.edu.sa</t>
  </si>
  <si>
    <t>[Almutairi, Saleh Ateeq] Taibah Univ, Appl Coll, Comp Sci &amp; Informat Dept, Medinah 41461, Saudi Arabia</t>
  </si>
  <si>
    <t>Taibah University</t>
  </si>
  <si>
    <t>A multimodal AI-based non-invasive COVID-19 grading framework powered by deep learning, manta ray, and fuzzy inference system from multimedia vital signs</t>
  </si>
  <si>
    <t>HELIYON</t>
  </si>
  <si>
    <t>Audio classification; COVID-19; Chest X-ray; Deep learning (DL); Fuzzy logic; Manta-ray foraging algorithm (MRFO); Metaheuristic optimization; SMOTE oversampling</t>
  </si>
  <si>
    <t>CLINICAL CHARACTERISTICS; CT SCANS; OPTIMIZATION</t>
  </si>
  <si>
    <t>2405-8440</t>
  </si>
  <si>
    <t>Heliyon</t>
  </si>
  <si>
    <t>e16552</t>
  </si>
  <si>
    <t>10.1016/j.heliyon.2023.e16552</t>
  </si>
  <si>
    <t>http://dx.doi.org/10.1016/j.heliyon.2023.e16552</t>
  </si>
  <si>
    <t>L3BP0</t>
  </si>
  <si>
    <t>37251492</t>
  </si>
  <si>
    <t>WOS:001022048000001</t>
  </si>
  <si>
    <t>Thamizharasi, M</t>
  </si>
  <si>
    <t>Alzheimer's disease (AD) is a progressive neurodegenerative disorder affecting the brain, primarily in elderly adults. Early and accurate diagnosis is essential for effective intervention. This paper proposes a Multimodal Cross-Attention Fusion Network (MCAF-Net) for AD classification, integrating three complementary data types: structural magnetic resonance imaging (MRI) providing structural volume, amyloid positron emission tomography (PET) quantifying amyloid burden, and cognitive assessments using the Alzheimer's Disease Assessment Scale-Cognitive (ADAS-Cog) and Mini-Mental State Examination (MMSE) sub-scores. Although prior multimodal approaches have demonstrated the value of combining multiple biomarkers, their architectures are limited by static feature concatenation or late-fusion strategies that cannot model nonlinear, dynamic interdependencies among heterogeneous data types. MCAF-Net overcomes this by employing modality-specific 3D Convolutional Encoders and a Cross-Modal Attention (CMA) mechanism that dynamically weighs and combines features across modalities. A Multi-Task Learning (MTL) strategy predicts future trajectories of cognitive decline (at 12, 24, and 36 months) from baseline data-explicitly avoiding target leakage. The model was evaluated on 1,000 subjects from the Alzheimer's Disease Neuroimaging Initiative (ADNI) using strict subject-level 5-fold cross-validation. MCAF-Net achieved a Macro F1-Score of 89.7% +/- 1.9% (95% confidence interval, CI) and an area under the receiver operating characteristic curve (AUC) of 0.975 +/- 0.008 for AD vs. cognitively normal (CN) classification. For the challenging mild cognitive impairment (MCI) vs. CN differentiation, accuracy improved to 78.2% +/- 2.4%, surpassing the best single-modality method (72.0%). Statistical significance was confirmed (p &lt; 0.01). External validation on the Australian Imaging, Biomarkers &amp; Lifestyle (AIBL) dataset (n = 210) demonstrated robustness (Macro F1: 85.4%). Attention-based multimodal fusion with future trajectory prediction significantly improves early-stage AD diagnosis. MCAF-Net shows promise for clinical decision support and patient stratification in preclinical trials.</t>
  </si>
  <si>
    <t>Thamizharasi, M.</t>
  </si>
  <si>
    <t>Thamizharasi, M (corresponding author), Saveetha Engn Coll, Dept Informat Technol, Chennai 602105, Tamil Nadu, India.</t>
  </si>
  <si>
    <t>drthamizhmanikndan@gmail.com</t>
  </si>
  <si>
    <t>[Thamizharasi, M.] Saveetha Engn Coll, Dept Informat Technol, Chennai 602105, Tamil Nadu, India</t>
  </si>
  <si>
    <t>A deep multimodal learning framework for Alzheimer's disease classification integrating volumetric, amyloid, and cognitive biomarkers</t>
  </si>
  <si>
    <t>Alzheimer's Disease(AD); Mild Cognitive Impairment (MCI); Multimodal classification; Deep learning; Structural magnetic resonance imaging (sMRI); Amyloidpositron emission tomography(PET); Cognitive assessment; Cross-Modal attention (CMA); Multi-Task learning (MTL); Alzheimer's Disease Neuroimaging Initiative (ADNI)</t>
  </si>
  <si>
    <t>NEUROIMAGING INITIATIVE ADNI; IMPAIRMENT; SYSTEM</t>
  </si>
  <si>
    <t>110977</t>
  </si>
  <si>
    <t>10.1016/j.bspc.2026.110977</t>
  </si>
  <si>
    <t>http://dx.doi.org/10.1016/j.bspc.2026.110977</t>
  </si>
  <si>
    <t>LA5BB</t>
  </si>
  <si>
    <t>WOS:001819971700001</t>
  </si>
  <si>
    <t>Nan, FT; Li, SB; Wang, JY; Tang, YH; Qi, J; Zhou, MH; Zhao, Z; Yang, Y; Yang, P</t>
  </si>
  <si>
    <t>Multimodal learning is widely used in automated early diagnosis of Alzheimer's disease. However, the current studies are based on an assumption that different modalities can provide more complementary information to help classify the samples from the public dataset Alzheimer's Disease Neuroimaging Initiative (ADNI). In addition, the combination of modalities and different tasks are external factors that affect the performance of multimodal learning. Above all, we summrise three main problems in the early diagnosis of Alzheimer's disease: (i) unimodal vs multimodal; (ii) different combinations of modalities; (iii) classification of different tasks. In this paper, to experimentally verify these three problems, a novel and reproducible multi-classification framework for Alzheimer's disease early automatic diagnosis is proposed to evaluate and verify the above issues. The multi-classification framework contains four layers, two types of feature representation methods, and two types of models to verify these three issues. At the same time, our framework is extensible, that is, it is compatible with new modalities generated by new technologies. Following that, a series of experiments based on the ADNI-1 dataset are conducted and some possible explanations for the early diagnosis of Alzheimer's disease are obtained through multimodal learning. Experimental results show that SNP has the highest accuracy rate of 57.09% in the early diagnosis of Alzheimer's disease. In the modality combination, the addition of Single Nucleotide Polymorphism modality improves the multi-modal machine learning performance by 3% to 7%. Furthermore, we analyse and discuss the most related Region of Interest and Single Nucleotide Polymorphism features of different modalities.</t>
  </si>
  <si>
    <t>Nan, Fengtao; Li, Shunbao; Wang, Jiayu; Tang, Yahui; Qi, Jun; Zhou, Menghui; Zhao, Zhong; Yang, Yun; Yang, Po</t>
  </si>
  <si>
    <t>Yang, P (corresponding author), Univ Sheffield, Dept Comp Sci, Sheffield S1 4DP, England.</t>
  </si>
  <si>
    <t>menghuizhoucn@gmail.com; yunyang@ynu.edu.cn; bisark@ra3.in; Poyangcn@gmail.com; fengtaonan@gmail.com; leeshunbao@gmail.com; bytoo_hui@mail.ynu.edu.cn; Jun.Qi@xjtlu.edu.cn; wasx-1128new@163.com</t>
  </si>
  <si>
    <t>Yunnan provincial major science and technology special plan projects: digitization research and application demonstration of Yunnan characteristic industry [202002AD080001]; Natural Science Foundation of China (NSFC) [61876166, 61663046]</t>
  </si>
  <si>
    <t>Yunnan provincial major science and technology special plan projects: digitization research and application demonstration of Yunnan characteristic industry; Natural Science Foundation of China (NSFC) (National Natural Science Foundation of China (NSFC))</t>
  </si>
  <si>
    <t>This work was supported in part by the Yunnan provincial major science and technology special plan projects: digitization research and application demonstration of Yunnan characteristic industry under Grant 202002AD080001 and in part by the Natural Science Foundation of China (NSFC) under Grants 61876166 and 61663046.</t>
  </si>
  <si>
    <t>[Nan, Fengtao; Tang, Yahui] Yunnan Univ, Sch informat, Kunming, Peoples R China; [Li, Shunbao; Yang, Po] Univ Sheffield, Dept Comp Sci, Sheffield S1 4DP, England; [Wang, Jiayu; Zhou, Menghui; Yang, Yun] Yunnan Univ, Natl Pilot Sch Software, Kunming 650500, Peoples R China; [Qi, Jun] Xian Jiao Tong Liverpool Univ, Dept Comp, Suzhou 215123, Peoples R China; [Zhao, Zhong] Yunnan Prov, Dept Neurol, Peoples Hosp 1, Kunming 650500, Peoples R China</t>
  </si>
  <si>
    <t>Yunnan University; University of Sheffield; Yunnan University; Xi'an Jiaotong-Liverpool University</t>
  </si>
  <si>
    <t>A Multi-Classification Accessment Framework for Reproducible Evaluation of Multimodal Learning in Alzheimer's Disease</t>
  </si>
  <si>
    <t>IEEE-ACM TRANSACTIONS ON COMPUTATIONAL BIOLOGY AND BIOINFORMATICS</t>
  </si>
  <si>
    <t>Magnetic resonance imaging; Medical diagnostic imaging; Alzheimer's disease; Feature extraction; Task analysis; Machine learning; Machine learning algorithms; Multi-modal learning; multi-modality data; alzheimer's disease</t>
  </si>
  <si>
    <t>BRAIN; MRI</t>
  </si>
  <si>
    <t>Zhou, Menghui/GRF-3033-2022; Yang, Po/C-9936-2011</t>
  </si>
  <si>
    <t>Zhou, Menghui/0000-0001-8973-418X; Li, Shunbao/0000-0002-0011-5938; Yang, Po/0000-0002-8553-7127; Nan, Fengtao/0000-0003-3415-3593</t>
  </si>
  <si>
    <t>IEEE COMPUTER SOC</t>
  </si>
  <si>
    <t>LOS ALAMITOS</t>
  </si>
  <si>
    <t>10662 LOS VAQUEROS CIRCLE, PO BOX 3014, LOS ALAMITOS, CA 90720-1314 USA</t>
  </si>
  <si>
    <t>1545-5963</t>
  </si>
  <si>
    <t>1557-9964</t>
  </si>
  <si>
    <t>IEEE ACM T COMPUT BI</t>
  </si>
  <si>
    <t>IEEE-ACM Trans. Comput. Biol. Bioinform.</t>
  </si>
  <si>
    <t>JUL-AUG 2024</t>
  </si>
  <si>
    <t>559</t>
  </si>
  <si>
    <t>572</t>
  </si>
  <si>
    <t>10.1109/TCBB.2022.3204619</t>
  </si>
  <si>
    <t>http://dx.doi.org/10.1109/TCBB.2022.3204619</t>
  </si>
  <si>
    <t>Biochemical Research Methods; Computer Science, Interdisciplinary Applications; Mathematics, Interdisciplinary Applications; Statistics &amp; Probability</t>
  </si>
  <si>
    <t>Biochemistry &amp; Molecular Biology; Computer Science; Mathematics</t>
  </si>
  <si>
    <t>C6K0Z</t>
  </si>
  <si>
    <t>36067104</t>
  </si>
  <si>
    <t>WOS:001290429100049</t>
  </si>
  <si>
    <t>Zhang, MW; Cui, QS; Lü, Y; Yu, WH; Li, WY</t>
  </si>
  <si>
    <t>Alzheimer's disease (AD) is the most prevalent form of dementia, with no current cure. Early screening and intervention are vital. In multimodal AD data, besides neuroimaging dimensions, neuropsychological tests based on cognitive domains also provide the clinical information for diagnosing AD. However, previous multimodal methods often fuse these neuropsychological test scores with other data, losing the rich clinical details inherent in each test, including videos, speech, images, and text. To address this, we propose a novel framework with an entropy-based polynomial dimension expansion function that restores this critical information by accurately calculating the optimal polynomial degree. Additionally, the proposed framework offers a series of cognitive-based Extreme Learning Machine (ELM) models to better utilize the detailed clinical insights from neuropsychological tests, reducing diagnostic redundancy and noise. Finally, we design a boosting ensemble strategy that combines diagnostic models from various dimensions and cognitive domains, automatically optimizing weights to enhance diagnostic accuracy. Tested on the Alzheimer's Disease Neuroimaging Initiative (ADNI) dataset, our approach achieves over 98% accuracy and F1 scores, with no observed bias between mild cognitive impairment (MCI) and AD groups. Therefore, our framework can offer clinicians more logical recommendations for diagnosing and managing the disease.</t>
  </si>
  <si>
    <t>Zhang, Meiwei; Cui, Qiushi; Lu, Yang; Yu, Weihua; Li, Wenyuan</t>
  </si>
  <si>
    <t>Cui, QS (corresponding author), Chongqing Univ, 6 Teaching Bldg,Dist A,174 Shazheng St, Chongqing, Peoples R China.</t>
  </si>
  <si>
    <t>qcui@cqu.edu.cn</t>
  </si>
  <si>
    <t>Science Innovation Programs Led by Academicians in Chongqing; Science and Technology Research Program of Chongqing Education Commission [2022yszx-jsx0002cstb, KJQN201900109]</t>
  </si>
  <si>
    <t>Science Innovation Programs Led by Academicians in Chongqing; Science and Technology Research Program of Chongqing Education Commission</t>
  </si>
  <si>
    <t>This work was funded by the Science Innovation Programs Led by Academicians in Chongqing and the Science and Technology Research Program of Chongqing Education Commission, under Award Numbers 2022yszx-jsx0002cstb and KJQN201900109, respectively.</t>
  </si>
  <si>
    <t>[Zhang, Meiwei; Cui, Qiushi; Li, Wenyuan] Chongqing Univ, Coll Elect Engn, Chongqing 400030, Peoples R China; [Lu, Yang] Chongqing Med Univ, Affiliated Hosp 1, Dept Geriatr, Chongqing 400016, Peoples R China; [Yu, Weihua] Chongqing Med Univ, Inst Neurosci, Chongqing 400016, Peoples R China</t>
  </si>
  <si>
    <t>A multimodal learning machine framework for Alzheimer's disease diagnosis based on neuropsychological and neuroimaging data</t>
  </si>
  <si>
    <t>COMPUTERS &amp; INDUSTRIAL ENGINEERING</t>
  </si>
  <si>
    <t>Alzheimer's disease; Multimodal deep learning; Extreme learning machine; Ensemble; Neuropsychological tests</t>
  </si>
  <si>
    <t>IMPAIRMENT; PROFILES; MOCA</t>
  </si>
  <si>
    <t>li, wenyuan/GXH-0068-2022; Cui, Qiushi/ABC-4026-2020; Lü, Yang/ADW-2164-2022</t>
  </si>
  <si>
    <t>0360-8352</t>
  </si>
  <si>
    <t>1879-0550</t>
  </si>
  <si>
    <t>COMPUT IND ENG</t>
  </si>
  <si>
    <t>Comput. Ind. Eng.</t>
  </si>
  <si>
    <t>197</t>
  </si>
  <si>
    <t>110625</t>
  </si>
  <si>
    <t>10.1016/j.cie.2024.110625</t>
  </si>
  <si>
    <t>http://dx.doi.org/10.1016/j.cie.2024.110625</t>
  </si>
  <si>
    <t>Computer Science, Interdisciplinary Applications; Engineering, Industrial</t>
  </si>
  <si>
    <t>J1R6F</t>
  </si>
  <si>
    <t>WOS:001334915400001</t>
  </si>
  <si>
    <t>Ma, QK; Chen, B; Seifert, R; Zhou, R; Xiao, L; Yang, JH; Rominger, A; Shi, KY; Li, WK; Tang, YX; Hu, S</t>
  </si>
  <si>
    <t>PurposeTo develop and validate a prostate-specific membrane antigen (PSMA) PET/CT based multimodal deep learning model for predicting pathological lymph node invasion (LNI) in prostate cancer (PCa) patients identified as candidates for extended pelvic lymph node dissection (ePLND) by preoperative nomograms.Methods[68Ga]Ga-PSMA-617 PET/CT scan of 116 eligible PCa patients (82 in the training cohort and 34 in the test cohort) who underwent radical prostatectomy with ePLND were analyzed in our study. The Med3D deep learning network was utilized to extract discriminative features from the entire prostate volume of interest on the PET/CT images. Subsequently, a multimodal model i.e., Multi kernel Support Vector Machine was constructed to combine the PET/CT deep learning features, quantitative PET and clinical parameters. The performance of the multimodal models was assessed using final histopathology as the reference standard, with evaluation metrics including area under the receiver operating characteristic curve (AUC), calibration curve, decision curve analysis, and compared with available nomograms and PET/CT visual evaluation result.ResultsOur multimodal model incorporated clinical information, maximum standardized uptake value (SUVmax), and PET/CT deep learning features. The AUC for predicting LNI was 0.89 (95% confidence interval [CI] 0.81-0.97) for the final model. The proposed model demonstrated superior predictive accuracy in the test cohort compared to PET/CT visual evaluation result, the Memorial Sloan Kettering Cancer Center (MSKCC) and the Briganti-2017 nomograms (AUC 0.85 [95% CI 0.69-1.00] vs. 0.80 [95% CI 0.64-0.95] vs. 0.79 [95% CI 0.61-0.97] and 0.69 [95% CI 0.50-0.88], respectively). The proposed model showed similar calibration and higher net benefit as compared to the traditional nomograms.ConclusionOur multimodal deep learning model, which incorporates preoperative PSMA PET/CT imaging, shows enhanced predictive capabilities for LNI in clinically localized PCa compared to PSMA PET/CT visual evaluation result and existing nomograms like the MSKCC and Briganti-2017 nomograms. This model has the potential to reduce unnecessary ePLND procedures while minimizing the risk of missing cases of LNI.</t>
  </si>
  <si>
    <t>Ma, Qiaoke; Chen, Bei; Seifert, Robert; Zhou, Rui; Xiao, Ling; Yang, Jinhui; Rominger, Axel; Shi, Kuangyu; Li, Weikai; Tang, Yongxiang; Hu, Shuo</t>
  </si>
  <si>
    <t>Tang, YX; Hu, S (corresponding author), Cent South Univ, Xiangya Hosp, Dept Nucl Med, 87 Xiangya Rd, Changsha 410008, Hunan, Peoples R China.; Tang, YX (corresponding author), Univ Bern, Bern Univ Hosp, Dept Nucl Med, Inselspital, Bern, Switzerland.; Li, WK (corresponding author), Chongqing Jiaotong Univ, Coll Math &amp; Stat, Chongqing, Peoples R China.; Tang, YX; Hu, S (corresponding author), Natl Clin Res Ctr Geriatr Disorders Xiangya, Changsha, Hunan, Peoples R China.; Hu, S (corresponding author), Natl Hlth Commiss, Key Lab Biol Nanotechnol, Changsha, Hunan, Peoples R China.</t>
  </si>
  <si>
    <t>xyyf0401@qq.com; leeweikai@cqjtu.edu.cn; hushuo2018@163.com</t>
  </si>
  <si>
    <t>The authors extend their deepest appreciation to the participants and their families.</t>
  </si>
  <si>
    <t>[Ma, Qiaoke; Chen, Bei; Xiao, Ling; Yang, Jinhui; Tang, Yongxiang; Hu, Shuo] Cent South Univ, Xiangya Hosp, Dept Nucl Med, 87 Xiangya Rd, Changsha 410008, Hunan, Peoples R China; [Seifert, Robert; Rominger, Axel; Shi, Kuangyu; Tang, Yongxiang] Univ Bern, Bern Univ Hosp, Dept Nucl Med, Inselspital, Bern, Switzerland; [Zhou, Rui] Nantong Univ, Sch Zhang Jian, Nantong, Jiangsu, Peoples R China; [Shi, Kuangyu] Tech Univ Munich, Dept Informat, Munich, Germany; [Li, Weikai] Chongqing Jiaotong Univ, Coll Math &amp; Stat, Chongqing, Peoples R China; [Tang, Yongxiang; Hu, Shuo] Natl Clin Res Ctr Geriatr Disorders Xiangya, Changsha, Hunan, Peoples R China; [Hu, Shuo] Natl Hlth Commiss, Key Lab Biol Nanotechnol, Changsha, Hunan, Peoples R China</t>
  </si>
  <si>
    <t>Central South University; University of Bern; University Hospital of Bern; Nantong University; Technical University of Munich; Chongqing Jiaotong University</t>
  </si>
  <si>
    <t>PSMA PET/CT based multimodal deep learning model for accurate prediction of pelvic lymph-node metastases in prostate cancer patients identified as candidates for extended pelvic lymph node dissection by preoperative nomograms</t>
  </si>
  <si>
    <t>Prostate cancer; Lymph node invasion; Prostate-specific membrane antigen positron emission tomography; Deep learning</t>
  </si>
  <si>
    <t>POSITRON-EMISSION-TOMOGRAPHY; RADICAL PROSTATECTOMY; VALIDATION</t>
  </si>
  <si>
    <t>Li, Weikai/AAI-6335-2020; Seifert, Robert/ABJ-9856-2022</t>
  </si>
  <si>
    <t>Rominger, Axel/0000-0002-1954-736X; Shi, Kuangyu/0000-0002-8714-3084</t>
  </si>
  <si>
    <t>2063</t>
  </si>
  <si>
    <t>2075</t>
  </si>
  <si>
    <t>10.1007/s00259-024-07065-2</t>
  </si>
  <si>
    <t>http://dx.doi.org/10.1007/s00259-024-07065-2</t>
  </si>
  <si>
    <t>2DC9E</t>
  </si>
  <si>
    <t>39865180</t>
  </si>
  <si>
    <t>WOS:001405809100001</t>
  </si>
  <si>
    <t>Luan, TF; Wang, DB; Hu, S; Zhou, WY; Wang, ZY; Li, Q; Liu, PC; Wu, G; Wang, MH; Huang, WJ; Zhang, FQ; Yang, H</t>
  </si>
  <si>
    <t>Timely and accurate triage of acute ischemic stroke patients remains a critical challenge in clinical practice, particularly across heterogeneous imaging protocols and multicenter settings. Existing approaches often focus on isolated tasks such as large-vessel occlusion detection, collateral scoring, or infarct segmentation, leading to fragmented pipelines with limited generalizability and increased latency. In this work, we introduce a unified multimodal framework that jointly integrates non-contrast CT, CT angiography, and CT perfusion under a single encoder-decoder architecture. The system employs symmetry-aware encoders, graph-based vascular modeling, and spatio-temporal fusion, followed by multi-task heads for detection, grading, and segmentation. Trained and validated on multicenter datasets, the framework demonstrates consistent gains over state-of-the-art baselines: AUC improvements of up to +0.05 for LVO detection, a +0.11 increase in quadratic-weighted kappa for collateral scoring, and a +5% Dice improvement with reduced volume error for infarct delineation. Beyond technical metrics, the model achieves clinically relevant impact by reducing mis-triage and unnecessary transfers while lowering inference time to under one minute in real-world PACS deployment. Ablation studies further confirm the synergistic benefit of multi-task optimization, which narrows the generalization gap and enhances robustness across unseen centers. Taken together, these results highlight the potential of unified multimodal learning to support fast, reliable, and scalable decision-making in acute stroke care.</t>
  </si>
  <si>
    <t>Luan, Tengfei; Wang, Dianbei; Hu, Song; Zhou, Wenyu; Wang, Ziyang; Li, Qiao; Liu, Pengcheng; Wu, Gao; Wang, Meihua; Huang, Weijun; Zhang, Faqiang; Yang, Hao</t>
  </si>
  <si>
    <t>Yang, H (corresponding author), Tongji Univ, Shanghai Pulm Hosp, Sch Med, Dept Anesthesiol, Shanghai, Peoples R China.; Wang, MH (corresponding author), Fudan Univ, Huashan Hosp, Dept Neurosurg Intens Care Unit, Shanghai, Peoples R China.; Huang, WJ (corresponding author), Shanghai Jiao Tong Univ, Dept Otolaryngol Head &amp; Neck Surg, Shanghai Sixth Peoples Hosp, Sch Med, Shanghai, Peoples R China.; Huang, WJ (corresponding author), Shanghai Jiao Tong Univ, Otolaryngol Inst, Shanghai, Peoples R China.; Zhang, FQ (corresponding author), Tongji Univ, Shanghai Key Lab Anesthesiol &amp; Brain Funct Modulat, Dept Anesthesiol &amp; Perioperat Med,Shanghai Peoples, Clin Res Ctr Anesthesiol &amp; Perioperat Med,Sch Med,, Shanghai, Peoples R China.</t>
  </si>
  <si>
    <t>hellohuangwj@126.com; wangmeihua0608@163.com; qfzhangxzmc@126.com; yanghaozunyi@sina.com</t>
  </si>
  <si>
    <t>Hospital Level Scientific Research Fund Program of Shanghai Sixth People's Hospital [ynts202404]; the Fundamental Research Funds for the Central Universities [YG2025QNA44]; National Natural Science Foundation of China [82371131]; Shanghai Oriental Talent Program Youth Project [QNZH2024002]; Natural Science Foundation of Shanghai Fundamental Research Program [25ZR1402418]</t>
  </si>
  <si>
    <t>Hospital Level Scientific Research Fund Program of Shanghai Sixth People's Hospital; the Fundamental Research Funds for the Central Universities (Fundamental Research Funds for the Central Universities); National Natural Science Foundation of China (National Natural Science Foundation of China (NSFC)); Shanghai Oriental Talent Program Youth Project; Natural Science Foundation of Shanghai Fundamental Research Program</t>
  </si>
  <si>
    <t>This study was supported by grants from the Fundamental Research Funds for the Central Universities (Grant Nos. YG2025QNA44, and YG2025QNB51), National Natural Science Foundation of China (Grant No. 82371131), Hospital Level Scientific Research Fund Program of Shanghai Sixth People's Hospital (Grant Nos. ynts202404, and hlyjkt202325), Natural Science Foundation of Shanghai Fundamental Research Program (Grant No. 25ZR1402418), and Shanghai Oriental Talent Program Youth Project (Grant No. QNZH2024002). We would like to express our gratitude to this laboratory for providing experimental consumables and support. We also thank the personnel related to artificial intelligence technology, and the units that provided financial support.</t>
  </si>
  <si>
    <t>[Luan, Tengfei] First Hosp Jilin Univ, Dept Neurosurg, Changchun, Jilin, Peoples R China; [Luan, Tengfei] Univ Giessen, Expt Neurol Res Grp, Giessen, Germany; [Wang, Dianbei] Zunyi Med Univ, Digest Dis Hosp, Affiliated Hosp, Dept Gen Surg, Zunyi, Guizhou, Peoples R China; [Hu, Song; Zhou, Wenyu; Li, Qiao; Yang, Hao] Tongji Univ, Shanghai Pulm Hosp, Sch Med, Dept Anesthesiol, Shanghai, Peoples R China; [Hu, Song] Chinese Acad Sci, Zhejiang Canc Hosp, Hangzhou Inst Med HIM, Dept Anesthesiol, Hangzhou, Zhejiang, Peoples R China; [Wang, Ziyang] Aston Univ, Sch Comp Sci &amp; Digital Technol, Birmingham, England; [Liu, Pengcheng] Jining Med Univ, Affiliated Hosp, Dept Neurosurg, Jining, Shandong, Peoples R China; [Wu, Gao] Hubei Univ Med, Taihe Hosp, Dept Cerebrovascular Dis Diag &amp; Treatment Ctr, Hubei Prov Clin Res Ctr Cent Nervous Syst Repair &amp;, Shiyan, Hubei, Peoples R China; [Wang, Meihua] Fudan Univ, Huashan Hosp, Dept Neurosurg Intens Care Unit, Shanghai, Peoples R China; [Huang, Weijun] Shanghai Jiao Tong Univ, Dept Otolaryngol Head &amp; Neck Surg, Shanghai Sixth Peoples Hosp, Sch Med, Shanghai, Peoples R China; [Huang, Weijun] Shanghai Jiao Tong Univ, Otolaryngol Inst, Shanghai, Peoples R China; [Zhang, Faqiang] Tongji Univ, Shanghai Key Lab Anesthesiol &amp; Brain Funct Modulat, Dept Anesthesiol &amp; Perioperat Med,Shanghai Peoples, Clin Res Ctr Anesthesiol &amp; Perioperat Med,Sch Med,, Shanghai, Peoples R China</t>
  </si>
  <si>
    <t>Jilin University; Justus Liebig University Giessen; Zunyi Medical University; Tongji University; Chinese Academy of Sciences; Hangzhou Institute of Medicine, CAS; Aston University; Jining Medical University; Fudan University; Shanghai Jiao Tong University; Shanghai Jiao Tong University; Tongji University</t>
  </si>
  <si>
    <t>Unified multimodal learning for stroke triage: joint detection, scoring, and segmentation of acute ischemic stroke</t>
  </si>
  <si>
    <t>wang, ziyang/JLL-4168-2023; Huang, Weijun/HZL-5151-2023; faqiang, zhang/JAN-5866-2023</t>
  </si>
  <si>
    <t>wang, ziyang/0000-0003-1605-0873</t>
  </si>
  <si>
    <t>441</t>
  </si>
  <si>
    <t>10.1038/s41746-025-02255-0</t>
  </si>
  <si>
    <t>http://dx.doi.org/10.1038/s41746-025-02255-0</t>
  </si>
  <si>
    <t>JI1II</t>
  </si>
  <si>
    <t>41975201</t>
  </si>
  <si>
    <t>WOS:001789879400001</t>
  </si>
  <si>
    <t>Ju, YL; Waugh, JLS; Singh, S; Rusin, CG; Patel, AB; Jain, PN</t>
  </si>
  <si>
    <t>BACKGROUND Junctional ectopic tachycardia (JET) is a prevalent life-threatening arrhythmia in children with congenital heart disease. It has a marked resemblance to normal sinus rhythm, often leading to delay in diagnosis and management. OBJECTIVE The study sought to develop a novel multimodal automated arrhythmia detection tool that outperforms existing JET detection tools. METHODS This is a cohort study performed on 40 patients with congenital heart disease at Texas Children's Hospital. Electrocardiogram and central venous pressure waveform data produced by bedside monitors are captured by the Sickbay platform. Convolutional neural networks (CNNs) were trained to classify each heartbeat as either normal sinus rhythm or JET based only on raw electrocardiogram signals. RESULTS Our best model improved the area under the curve from 0.948 to 0.952 and the true positive rate at 5% false positive rate from 71.8% to 80.6%. Using a 3-model ensemble further improved the area under the curve to 0.953 and the true positive rate at 5% false positive rate to 85.2%. Results on a subset of data show that adding central venous pressure can significantly fi cantly improve area under the receiver-operating characteristic curve from 0.646 to 0.825. CONCLUSION This study validates the efficacy fi cacy of deep neural networks to notably improve JET detection accuracy. We have built a performant and reliable model that can be used to create a bedside alarm that diagnoses JET, allowing for precise diagnosis of this life- threatening postoperative arrhythmia and prompt intervention. Future validation of the model in a larger cohort is needed.</t>
  </si>
  <si>
    <t>Ju, Yilong; Waugh, Jamie L. S.; Singh, Satpreet; Rusin, Craig G.; Patel, Ankit B.; Jain, Parag N.</t>
  </si>
  <si>
    <t>Jain, PN (corresponding author), Texas Childrens Hosp, Div Pediat Crit Care, MC E1420,6651 Main St, Houston, TX 77030 USA.</t>
  </si>
  <si>
    <t>drparagjain@gmail.com</t>
  </si>
  <si>
    <t>Texas Children's ' s Hospital Pediatric Pilot Award; National Institutes of Health [1R01HL142994]</t>
  </si>
  <si>
    <t>Texas Children's ' s Hospital Pediatric Pilot Award; National Institutes of Health (United States Department of Health &amp; Human Services, National Institutes of Health (NIH) - USA, Office of the Administrator (NIH))</t>
  </si>
  <si>
    <t>Funding Sources: This study was supported by Texas Children's ' s Hospital Pediatric Pilot Award as well as funding from the National Institutes of Health (1R01HL142994) .</t>
  </si>
  <si>
    <t>[Ju, Yilong] Rice Univ, Dept Comp Sci, Houston, TX USA; [Waugh, Jamie L. S.] Med Informat Corp, Div Res, Houston, TX USA; [Singh, Satpreet; Patel, Ankit B.] Baylor Coll Med, Dept Neurosci, Houston, TX USA; [Singh, Satpreet] Harvard Med Sch, Dept Neurobiol, Boston, MA USA; [Rusin, Craig G.] Baylor Coll Med, Dept Pediat, Div Cardiol, Houston, TX USA; [Rusin, Craig G.] Texas Childrens Hosp, Dept Pediat, Houston, TX USA; [Patel, Ankit B.] Rice Univ, Dept Elect &amp; Comp Engn, Houston, TX USA; [Jain, Parag N.] Texas Childrens Hosp, Baylor Coll Med, Dept Pediat, Houston, TX USA</t>
  </si>
  <si>
    <t>Rice University; Baylor College of Medicine; Harvard University; Harvard Medical School; Baylor College of Medicine; Baylor College of Medicine; Baylor College Medical Hospital; Rice University; Baylor College of Medicine; Baylor College Medical Hospital</t>
  </si>
  <si>
    <t>A multimodal deep learning tool for detection of junctional ectopic tachycardia in children with congenital heart disease</t>
  </si>
  <si>
    <t>HEART RHYTHM O2</t>
  </si>
  <si>
    <t>Arrhythmia detection; Deep learning; Ensembles; Explainable AI; Junctional ectopic tachycardia</t>
  </si>
  <si>
    <t>CLASSIFICATION; IMPACT</t>
  </si>
  <si>
    <t>Ju, Yilong/KXR-0495-2024; Jain, Parag/AAB-8360-2020</t>
  </si>
  <si>
    <t>Ju, Yilong/0000-0001-8075-6913; Jain, Parag/0000-0002-2114-2740</t>
  </si>
  <si>
    <t>2666-5018</t>
  </si>
  <si>
    <t>Heart Rhythm O2</t>
  </si>
  <si>
    <t>452</t>
  </si>
  <si>
    <t>459</t>
  </si>
  <si>
    <t>10.1016/j.hroo.2024.04.014</t>
  </si>
  <si>
    <t>http://dx.doi.org/10.1016/j.hroo.2024.04.014</t>
  </si>
  <si>
    <t>ZM0G5</t>
  </si>
  <si>
    <t>39119021</t>
  </si>
  <si>
    <t>WOS:001275592500001</t>
  </si>
  <si>
    <t>Li, Y; Xiong, XM; Liu, XH; Xu, MK; Yang, BP; Li, XJ; Li, Y; Lin, B; Xu, B</t>
  </si>
  <si>
    <t>Background: The status of BRCA1/2 genes plays a crucial role in the treatment decision-making process for multiple cancer types. However, due to high costs and limited resources, a demand for BRCA1/2 genetic testing among patients is currently unmet. Notably, not all patients with BRCA1/2 mutations achieve favorable outcomes with poly (ADP-ribose) polymerase inhibitors (PARPi), indicating the necessity for risk stratification. In this study, we aimed to develop and validate a multimodal model for predicting BRCA1/2 gene status and prognosis with PARPi treatment. Methods: We included 1695 slides from 1417 patients with ovarian, breast, prostate, and pancreatic cancers across three independent cohorts. Using a self-attention mechanism, we constructed a multi-instance attention model (MIAM) to detect BRCA1/2 gene status from hematoxylin and eosin (H&amp;E) pathological images. We further combined tissue features from the MIAM model, cell features, and clinical factors (the MIAM-C model) to predict BRCA1/2 mutations and progression-free survival (PFS) with PARPi therapy. Model performance was evaluated using area under the curve (AUC) and Kaplan-Meier analysis. Morphological features contributing to MIAM-C were analyzed for interpretability. Results: Across the four cancer types, MIAM-C outperformed the deep learning-based MIAM in identifying the BRCA1/2 genotype. Interpretability analysis revealed that high-attention regions included high-grade tumors and lymphocytic infiltration, which correlated with BRCA1/2 mutations. Notably, high lymphocyte ratios appeared characteristic of BRCA1/2 mutations. Furthermore, MIAM-C predicted PARPi therapy response (log-rank p &lt; 0.05) and served as an independent prognostic factor for patients with BRCA1/2-mutant ovarian cancer (p &lt; 0.05, hazard ratio:0.4, 95% confidence interval: 0.16-0.99). Conclusions: The MIAM-C model accurately detected BRCA1/2 gene status and effectively stratified prognosis for patients with BRCA1/2 mutations.</t>
  </si>
  <si>
    <t>Li, Yi; Xiong, Xiaomin; Liu, Xiaohua; Xu, Mengke; Yang, Boping; Li, Xiaoju; Li, Yu; Lin, Bo; Xu, Bo</t>
  </si>
  <si>
    <t>Xu, B (corresponding author), Chongqing Univ, Sch Med, Chongqing 400030, Peoples R China.; Lin, B; Xu, B (corresponding author), Chongqing Univ, Canc Hosp, Chongqing Key Lab Intelligent Oncol Breast Canc, Chongqing 400030, Peoples R China.</t>
  </si>
  <si>
    <t>linbo@cqu.edu.cn; xubo731@cqu.edu.cn</t>
  </si>
  <si>
    <t>National Natural Science Foundation of China [81974464, 61906022]; Chongqing Natural Science Foundation [cstc2020jcyj-msxmX0482]; Chongqing University Research Fund [2021cDJXKJc004]; Chongqing Technology Innovation and application Development Project [cstB2023tiaD-KPX0050]</t>
  </si>
  <si>
    <t>National Natural Science Foundation of China (National Natural Science Foundation of China (NSFC)); Chongqing Natural Science Foundation (Natural Science Foundation of Chongqing); Chongqing University Research Fund; Chongqing Technology Innovation and application Development Project</t>
  </si>
  <si>
    <t>This work was supported by the National Natural Science Foundation of china [81974464, 61906022], Chongqing Natural Science Foundation [cstc2020jcyj-msxmX0482], Chongqing University Research Fund [2021cDJXKJc004], and Chongqing Technology Innovation and application Development Project [cstB2023tiaD-KPX0050]</t>
  </si>
  <si>
    <t>[Li, Yi; Xiong, Xiaomin; Li, Xiaoju; Li, Yu; Xu, Bo] Chongqing Univ, Sch Med, Chongqing 400030, Peoples R China; [Li, Yi; Xiong, Xiaomin; Xu, Mengke; Lin, Bo; Xu, Bo] Chongqing Univ, Canc Hosp, Chongqing Key Lab Intelligent Oncol Breast Canc, Chongqing 400030, Peoples R China; [Liu, Xiaohua] Chongqing Univ, Bioengn Coll, Chongqing, Peoples R China; [Yang, Boping] Chongqing Med Univ, Women &amp; Children Hosp, Dept Gen Gynecol, Women &amp; Childrens Hosp,Chongqing Hlth Ctr Women &amp;, Chongqing, Peoples R China; [Li, Xiaoju; Li, Yu] Chongqing Univ, Canc Hosp, Dept Pathol, Chongqing, Peoples R China</t>
  </si>
  <si>
    <t>Chongqing University; Chongqing University; Chongqing University; Chongqing Medical University; Chongqing University</t>
  </si>
  <si>
    <t>Predicting BRCA mutation and stratifying targeted therapy response using multimodal learning: a multicenter study</t>
  </si>
  <si>
    <t>BRCA; targeted therapy; deep learning; cancer; multimodal; interpretability</t>
  </si>
  <si>
    <t>BREAST-CANCER; OVARIAN-CANCER; LUNG-CANCER; RISK; ASSOCIATION; EXPRESSION; OLAPARIB</t>
  </si>
  <si>
    <t>Liu, Xiaohua/HNP-8583-2023; Yang, Boping/AHC-8655-2022</t>
  </si>
  <si>
    <t>DEC 31 2024</t>
  </si>
  <si>
    <t>2399759</t>
  </si>
  <si>
    <t>10.1080/07853890.2024.2399759</t>
  </si>
  <si>
    <t>http://dx.doi.org/10.1080/07853890.2024.2399759</t>
  </si>
  <si>
    <t>F5W7N</t>
  </si>
  <si>
    <t>39258876</t>
  </si>
  <si>
    <t>WOS:001310526600001</t>
  </si>
  <si>
    <t>Niu, Y; Xie, HB; Jia, HB; Zhao, L; Liu, L; Liu, PP; Li, XM; Wang, RT; Li, YZ</t>
  </si>
  <si>
    <t>Background and Purpose: Prognostic stratification in non-small cell lung cancer (NSCLC) presents considerable challenges due to tumor heterogeneity. Emerging evidence has proposed that adipose tissue may play a prognostic role in oncological outcomes. This study investigates the integration of deep learning (DL)-derived computed tomography (CT) imaging biomarkers with mediastinal adiposity metrics to develop a multimodal prognostic model for postoperative survival prediction in NSCLC patients. Methods: A retrospective cohort of 702 surgically resected NSCLC patients was analyzed. Tumor radiomic features were extracted using a DenseNet121 convolutional neural network architecture, while mediastinal fat area (MFA) was quantified through semiautomated segmentation using ImageJ software. A multimodal survival prediction model was developed through feature-level fusion of DL-extracted tumor characteristics and MFA measurements. Model performance was evaluated using Harrell's concordance index (C-index) and receiver operating characteristic (ROC) analysis. Risk stratification was performed using an optimal threshold derived from training data, with subsequent Kaplan-Meier survival curve comparison between high- and low-risk cohorts. Results: The DL-based tumor model achieved C-indices of 0.787 (95% CI: 0.742-0.832) for disease-free survival (DFS) and 0.810 (95% CI: 0.768-0.852) for overall survival (OS) in internal validation. Integration of MFA with DL-derived tumor features yielded a multimodal model demonstrating enhanced predictive performance, with C-indices of 0.823 (OS) and 0.803 (DFS). Kaplan-Meier analysis revealed significant survival divergence between risk-stratified groups (log-rank p &lt; 0.05). Conclusion: The multimodal fusion of DL-extracted tumor radiomics and mediastinal adiposity metrics represents a significant advancement in postoperative survival prediction for NSCLC patients, demonstrating superior prognostic capability compared to unimodal approaches.</t>
  </si>
  <si>
    <t>Niu, Ye; Xie, Han-bing; Jia, Hao-bo; Zhao, Lin; Liu, Le; Liu, Ping-ping; Li, Xue-meng; Wang, Rui-tao; Li, Yuan-zhou</t>
  </si>
  <si>
    <t>Wang, RT (corresponding author), Harbin Med Univ, Canc Hosp, Dept Internal Med, Harbin, Heilongjiang, Peoples R China.; Li, YZ (corresponding author), Harbin Med Univ, Canc Hosp, Dept Radiol, Harbin, Heilongjiang, Peoples R China.</t>
  </si>
  <si>
    <t>ruitaowang@126.com; liyuanzhou0908@163.com</t>
  </si>
  <si>
    <t>Climbing program of Harbin Medical University Cancer Hospital [PDTS2024B-01]</t>
  </si>
  <si>
    <t>Climbing program of Harbin Medical University Cancer Hospital</t>
  </si>
  <si>
    <t>This work was supported by the Climbing program of Harbin Medical University Cancer Hospital (PDTS2024B-01)</t>
  </si>
  <si>
    <t>[Niu, Ye; Xie, Han-bing; Zhao, Lin; Liu, Le; Liu, Ping-ping; Li, Xue-meng; Wang, Rui-tao] Harbin Med Univ, Canc Hosp, Dept Internal Med, Harbin, Heilongjiang, Peoples R China; [Jia, Hao-bo] Univ Elect Sci &amp; Technol China, Sch Comp Sci &amp; Engn, Chengdu, Sichuan, Peoples R China; [Li, Yuan-zhou] Harbin Med Univ, Canc Hosp, Dept Radiol, Harbin, Heilongjiang, Peoples R China</t>
  </si>
  <si>
    <t>Harbin Medical University; University of Electronic Science &amp; Technology of China; Harbin Medical University</t>
  </si>
  <si>
    <t>Multimodal Deep Learning Integrating Tumor Radiomics and Mediastinal Adiposity Improves Survival Prediction in Non-Small Cell Lung Cancer: A Prognostic Modeling Study</t>
  </si>
  <si>
    <t>CANCER MEDICINE</t>
  </si>
  <si>
    <t>computerized tomography; deep learning; mediastinal fat; non-small cell lung cancer; survival</t>
  </si>
  <si>
    <t>COMPUTED-TOMOGRAPHY; SKELETAL-MUSCLE; FAT; DISEASE; ASSOCIATION; VOLUMES; TISSUE; RISK</t>
  </si>
  <si>
    <t>Liu, Ping/MDT-7702-2025</t>
  </si>
  <si>
    <t>2045-7634</t>
  </si>
  <si>
    <t>CANCER MED-US</t>
  </si>
  <si>
    <t>Cancer Med.</t>
  </si>
  <si>
    <t>e71077</t>
  </si>
  <si>
    <t>10.1002/cam4.71077</t>
  </si>
  <si>
    <t>http://dx.doi.org/10.1002/cam4.71077</t>
  </si>
  <si>
    <t>5TM6K</t>
  </si>
  <si>
    <t>40755324</t>
  </si>
  <si>
    <t>WOS:001543956200001</t>
  </si>
  <si>
    <t>Ahammed, SZ; Baskar, R; Nalinipriya, G</t>
  </si>
  <si>
    <t>Lung cancer remains a leading cause of cancer-related mortality worldwide, necessitating advanced predictive models that integrate heterogeneous data sources for improved diagnosis and prognosis. This study introduces FLiGenX-Net, a multimodal federated deep learning framework that integrates CT-derived radiomics with genomic profiles to enable lung cancer detection, subtype classification, and survival prediction. The architecture employs dual-stream encoders for imaging and genomic modalities, followed by a cross-modal attention transformer to generate a unified latent representation. Prediction heads simultaneously handle cancer classification through a Softmax layer and survival estimation via a Cox proportional hazards model, while explainability modules-Grad-CAM for imaging and SHAP for genomics-provide clinically interpretable insights. Training is conducted in a federated setting to ensure patient data privacy across institutions, addressing critical challenges in real-world deployment. Experimental investigations across internal and external datasets (LIDC-IDRI, RIDER, TCIA Lung1, and NSCLC Radiogenomics) demonstrate that FLiGenX-Net achieves superior performance, attaining a concordance index of 0.682 and consistent improvements over unimodal and conventional fusion baselines. The framework also exhibits strong calibration and generalization across heterogeneous cohorts, confirming its robustness. By unifying multimodal learning, privacy-preserving federated optimization, and explainable prediction, FLiGenX-Net represents a clinically actionable advance toward precision oncology for lung cancer.</t>
  </si>
  <si>
    <t>Ahammed, Syed Zaheer; Baskar, Radhika; Nalinipriya, G.</t>
  </si>
  <si>
    <t>Baskar, R (corresponding author), Saveetha Univ, Saveetha Inst Med &amp; Tech Sci, Saveetha Sch Engn, Dept Elect &amp; Commun Engn, Chennai, Tamil Nadu, India.</t>
  </si>
  <si>
    <t>radhikabaskar.saveetha@gmail.com; nalini.anbu@gmail.com; zaheersyed.s@gmail.com</t>
  </si>
  <si>
    <t>[Ahammed, Syed Zaheer] Saveetha Univ, Saveetha Inst Med &amp; Tech Sci, Saveetha Sch Engn, Dept Comp Sci &amp; Engn, Chennai, Tamil Nadu, India; [Baskar, Radhika] Saveetha Univ, Saveetha Inst Med &amp; Tech Sci, Saveetha Sch Engn, Dept Elect &amp; Commun Engn, Chennai, Tamil Nadu, India; [Nalinipriya, G.] Anna Univ, Saveetha Engn Coll, Dept Informat Technol, Chennai, Tamil Nadu, India</t>
  </si>
  <si>
    <t>Saveetha Institute of Medical &amp; Technical Science; Saveetha School of Engineering; Saveetha Institute of Medical &amp; Technical Science; Saveetha School of Engineering; Anna University; Anna University Chennai</t>
  </si>
  <si>
    <t>Privacy-Preserving Multimodal Learning for Lung Cancer: FLiGenX-Net Combining CT Radiomics and Genomic Profiles for Robust Prognosis</t>
  </si>
  <si>
    <t>KSII TRANSACTIONS ON INTERNET AND INFORMATION SYSTEMS</t>
  </si>
  <si>
    <t>Nalinipriya, G/E-4193-2017</t>
  </si>
  <si>
    <t>KSII-KOR SOC INTERNET INFORMATION</t>
  </si>
  <si>
    <t>GANGNAM-GU</t>
  </si>
  <si>
    <t>KOR SCI &amp; TECHNOL CTR, 409 ON 4TH FLR, MAIN BLDG, 635-4 YEOKSAM 1-DONG, GANGNAM-GU, SEOUL 00000, SOUTH KOREA</t>
  </si>
  <si>
    <t>1976-7277</t>
  </si>
  <si>
    <t>KSII T INTERNET INF</t>
  </si>
  <si>
    <t>KSII Trans. Internet Inf. Syst.</t>
  </si>
  <si>
    <t>MAR 31 2026</t>
  </si>
  <si>
    <t>1181</t>
  </si>
  <si>
    <t>10.3837/tiis.2026.03.004</t>
  </si>
  <si>
    <t>http://dx.doi.org/10.3837/tiis.2026.03.004</t>
  </si>
  <si>
    <t>Computer Science, Information Systems; Telecommunications</t>
  </si>
  <si>
    <t>Computer Science; Telecommunications</t>
  </si>
  <si>
    <t>GD0NJ</t>
  </si>
  <si>
    <t>WOS:001733493400004</t>
  </si>
  <si>
    <t>Visonà, G; Duroux, D; Miranda, L; Sükei, E; Li, YR; Borgwardt, K; Oliver, C</t>
  </si>
  <si>
    <t>Motivation Large-scale clinical proteomics datasets of infectious pathogens, combined with antimicrobial resistance outcomes, have recently opened the door for machine learning models which aim to improve clinical treatment by predicting resistance early. However, existing prediction frameworks typically train a separate model for each antimicrobial and species in order to predict a pathogen's resistance outcome, resulting in missed opportunities for chemical knowledge transfer and generalizability.Results We demonstrate the effectiveness of multimodal learning over proteomic and chemical features by exploring two clinically relevant tasks for our proposed deep learning models: drug recommendation and generalized resistance prediction. By adopting this multi-view representation of the pathogenic samples and leveraging the scale of the available datasets, our models outperformed the previous single-drug and single-species predictive models by statistically significant margins. We extensively validated the multi-drug setting, highlighting the challenges in generalizing beyond the training data distribution, and quantitatively demonstrate how suitable representations of antimicrobial drugs constitute a crucial tool in the development of clinically relevant predictive models.Availability and implementation The code used to produce the results presented in this article is available at https://github.com/BorgwardtLab/MultimodalAMR.</t>
  </si>
  <si>
    <t>Visona, Giovanni; Duroux, Diane; Miranda, Lucas; Sukei, Emese; Li, Yiran; Borgwardt, Karsten; Oliver, Carlos</t>
  </si>
  <si>
    <t>Borgwardt, K; Oliver, C (corresponding author), Swiss Fed Inst Technol, Dept Biosyst Sci &amp; Engn, CH-4058 Basel, Switzerland.</t>
  </si>
  <si>
    <t>borgwardt@biochem.mpg.de; oliver@biochem.mpg.de</t>
  </si>
  <si>
    <t>European Union [813533-MSCA-ITN-2018]</t>
  </si>
  <si>
    <t>This project has received funding from the European Union's Framework Programme for Research and Innovation Horizon 2020 (2014-2020) under the Marie Sklodowska-Curie Grant Agreement No. 813533-MSCA-ITN-2018.</t>
  </si>
  <si>
    <t>[Visona, Giovanni] Max Planck Inst Intelligent Syst, Dept Empir Inference, Max Planck Ring 4, D-72076 Tubingen, Germany; [Duroux, Diane] Univ Liege, BIO3 GIGA R Med Genom, Ave Hop 11, B-4000 Liege, Belgium; [Duroux, Diane] Swiss Fed Inst Technol, ETH Ctr, Andreasstr 5, CH-8092 Zurich, Switzerland; [Miranda, Lucas] Max Planck Inst Psychiat, Res Grp Stat Genet, Kraepelinstr 10, D-80804 Munich, Germany; [Sukei, Emese] Univ Carlos III Madrid, Dept Signal Theory &amp; Commun, Leganes 28911, Spain; [Li, Yiran; Borgwardt, Karsten; Oliver, Carlos] Swiss Fed Inst Technol, Dept Biosyst Sci &amp; Engn, CH-4058 Basel, Switzerland; [Borgwardt, Karsten; Oliver, Carlos] Swiss Inst Bioinformat SIB, Quartier UNIL Sorge, CH-1015 Lausanne, Switzerland; [Borgwardt, Karsten; Oliver, Carlos] Max Planck Inst Biochem, Dept Machine Learning &amp; Syst Biol, D-82152 Martinsried, Germany</t>
  </si>
  <si>
    <t>Max Planck Society; University of Liege; Swiss Federal Institutes of Technology Domain; ETH Zurich; Max Planck Society; Universidad Carlos III de Madrid; Swiss Federal Institutes of Technology Domain; ETH Zurich; Swiss Institute of Bioinformatics; Max Planck Society</t>
  </si>
  <si>
    <t>Multimodal learning in clinical proteomics: enhancing antimicrobial resistance prediction models with chemical information</t>
  </si>
  <si>
    <t>Miranda, Lucas/LSL-6564-2024; Borgwardt, Karsten/MGA-4594-2025; Sükei, Emese/AAC-4998-2022</t>
  </si>
  <si>
    <t>Miranda, Lucas/0000-0002-5484-6744; Visonà, Giovanni/0000-0002-7878-5448; Borgwardt, Karsten/0000-0001-7221-2393; Oliver, Carlos/0000-0001-8742-8795; Duroux, Diane/0000-0002-8564-3157; Sükei, Emese/0000-0002-8626-7026</t>
  </si>
  <si>
    <t>DEC 1 2023</t>
  </si>
  <si>
    <t>btad717</t>
  </si>
  <si>
    <t>10.1093/bioinformatics/btad717</t>
  </si>
  <si>
    <t>http://dx.doi.org/10.1093/bioinformatics/btad717</t>
  </si>
  <si>
    <t>CT1W5</t>
  </si>
  <si>
    <t>38001023</t>
  </si>
  <si>
    <t>WOS:001127409600002</t>
  </si>
  <si>
    <t>Dinh, D; Shang, GJ; Cai, L; Chan, WB; Ma, AP; Li, JR; Huang, AM; Louis, ME; Cen, FB; Halim, JE; Guo, JX; Gebre, L; Liu, Q; Li, ZQ; Yang, LF; Luo, J; Lu, SS; Zhong, CJ</t>
  </si>
  <si>
    <t>Early detection of lung cancer remains critical for improving patient survival, yet current imaging-based screening methods are costly, invasive, and limited in accessibility. Here, we present a fully integrated wireless breath sensing platform that combines nanostructured chemiresistive (NC) sensor arrays with an AI-driven Fuzzy logic-guided Genetic Algorithm (Fuzzy-GA) for optimized volatile organic compound (VOC) detection. The sensor array features nanoparticle structured interfaces, enabling selective VOC adsorption to generate unique breath patterns. Data are captured via a portable low-current multichannel electronics module with real-time wireless transmission. Fuzzy-GA optimization identifies the most informative sensors, reducing array size while maintaining high diagnostic performance. Breath samples from lung cancer patients (n = 35) and non-cancer participants (n = 47) were analyzed using multiple supervised machine learning models (KNN, SVM, Random Forest, XGBoost, and CNN). This represents the first application of Fuzzy-GA to optimize breath sensor arrays. The optimized system, validated using breath samples from lung cancer patients and non-lung cancer controls, achieved high classification accuracy (up to 96%) with reduced system complexity, lower cost, and improved scalability for real-world deployment. The platform offers a clinically viable, non-invasive diagnostic tool with potential for at-home monitoring and broader disease detection.</t>
  </si>
  <si>
    <t>Dinh, Dong; Shang, Guojun; Cai, Lei; Chan, Wai Ben; Ma, Aiping; Li, Jiurong; Huang, Aimin; Louis, Marie E.; Cen, Fengbei; Halim, Justin Eduardus; Guo, Jiaxi; Gebre, Lidia; Liu, Qun; Li, Zeqi; Yang, Lefu; Luo, Jin; Lu, Susan; Zhong, Chuan-Jian</t>
  </si>
  <si>
    <t>Lu, SS (corresponding author), SUNY Binghamton, Syst Sci &amp; Ind Engn, Binghamton, NY 13902 USA.; Zhong, CJ (corresponding author), SUNY Binghamton, Dept Chem, Binghamton, NY 13902 USA.; Cai, L (corresponding author), Xiamen Smart NanoSensing Technol, Xiamen 361000, Fujian, Peoples R China.; Cai, L (corresponding author), Jimei Univ, Sch Business Adm, Xiamen 361000, Fujian, Peoples R China.; Chan, WB (corresponding author), Cooper Univ Hlth Care, Dept Family Med, Camden, NJ 08057 USA.; Ma, AP (corresponding author), Xiamen Univ, Affiliated Hosp 1, Sch Med, Dept Resp &amp; Crit Med, Xiamen 361000, Fujian, Peoples R China.; Ma, AP (corresponding author), Xiamen Resp Med Qual Control Ctr, Xiamen 361000, Fujian, Peoples R China.</t>
  </si>
  <si>
    <t>slu@binghamton.edu; Chan-Wai@cooperhealth.edu; cjzhong@binghamton.edu; aiping.ma@xmu.edu.cn; 200961000024@jmu.edu.cn</t>
  </si>
  <si>
    <t>Division of Chemistry [CHE 2102482]; Geneva Foundation [S-11217-01]; Division of Industrial Innovation and Partnerships [1640669]</t>
  </si>
  <si>
    <t>Division of Chemistry (National Science Foundation (NSF), NSF - Directorate for Mathematical &amp; Physical Sciences (MPS)); Geneva Foundation; Division of Industrial Innovation and Partnerships (National Science Foundation (NSF), NSF - Directorate for Engineering (ENG))</t>
  </si>
  <si>
    <t>This research was supported by the National Science Foundation (CHE 2102482, and IIP 1640669), Geneva Foundation (S-11217-01), and in part by IEEC.</t>
  </si>
  <si>
    <t>[Dinh, Dong; Lu, Susan] SUNY Binghamton, Syst Sci &amp; Ind Engn, Binghamton, NY 13902 USA; [Shang, Guojun; Gebre, Lidia; Li, Zeqi; Luo, Jin; Zhong, Chuan-Jian] SUNY Binghamton, Dept Chem, Binghamton, NY 13902 USA; [Cai, Lei; Huang, Aimin; Yang, Lefu] Xiamen Smart NanoSensing Technol, Xiamen 361000, Fujian, Peoples R China; [Cai, Lei] Jimei Univ, Sch Business Adm, Xiamen 361000, Fujian, Peoples R China; [Chan, Wai Ben; Louis, Marie E.; Halim, Justin Eduardus] Cooper Univ Hlth Care, Dept Family Med, Camden, NJ 08057 USA; [Ma, Aiping; Li, Jiurong; Cen, Fengbei; Guo, Jiaxi; Liu, Qun] Xiamen Univ, Affiliated Hosp 1, Sch Med, Dept Resp &amp; Crit Med, Xiamen 361000, Fujian, Peoples R China; [Ma, Aiping; Li, Jiurong; Cen, Fengbei; Guo, Jiaxi; Liu, Qun] Xiamen Resp Med Qual Control Ctr, Xiamen 361000, Fujian, Peoples R China</t>
  </si>
  <si>
    <t>State University of New York (SUNY) System; Binghamton University, SUNY; University at Albany, SUNY; Binghamton University, SUNY; State University of New York (SUNY) System; Binghamton University, SUNY; Jimei University; Xiamen University</t>
  </si>
  <si>
    <t>Artificial Intelligence-Enhanced Optimization of Wireless Breath Sensor Arrays for Detection of Lung Cancer Using Fuzzy Logic-Guided Genetic Algorithm and Multimodal Machine Learning</t>
  </si>
  <si>
    <t>ACS SENSORS</t>
  </si>
  <si>
    <t>breath sensor array system; lung cancer detection; fuzzy-GA optimization; machine learning classification; volatile organic compounds; wireless monitoring; non-invasive screening</t>
  </si>
  <si>
    <t>VOLATILE ORGANIC-COMPOUNDS</t>
  </si>
  <si>
    <t>Yang, LF/G-4121-2010</t>
  </si>
  <si>
    <t>AMER CHEMICAL SOC</t>
  </si>
  <si>
    <t>1155 16TH ST, NW, WASHINGTON, DC 20036 USA</t>
  </si>
  <si>
    <t>2379-3694</t>
  </si>
  <si>
    <t>ACS Sens.</t>
  </si>
  <si>
    <t>2520</t>
  </si>
  <si>
    <t>2531</t>
  </si>
  <si>
    <t>10.1021/acssensors.5c04441</t>
  </si>
  <si>
    <t>http://dx.doi.org/10.1021/acssensors.5c04441</t>
  </si>
  <si>
    <t>Chemistry, Multidisciplinary; Chemistry, Analytical; Nanoscience &amp; Nanotechnology</t>
  </si>
  <si>
    <t>Chemistry; Science &amp; Technology - Other Topics</t>
  </si>
  <si>
    <t>KJ3AF</t>
  </si>
  <si>
    <t>41778589</t>
  </si>
  <si>
    <t>WOS:001778370100001</t>
  </si>
  <si>
    <t>Partin, A; Brettin, T; Zhu, YT; Dolezal, JM; Kochanny, S; Pearson, AT; Shukla, M; Evrard, YA; Doroshow, JH; Stevens, RL</t>
  </si>
  <si>
    <t>Patient-derived xenografts (PDXs) are an appealing platform for preclinical drug studies. A primary challenge in modeling drug response prediction (DRP) with PDXs and neural networks (NNs) is the limited number of drug response samples. We investigate multimodal neural network (MM-Net) and data augmentation for DRP in PDXs. The MM-Net learns to predict response using drug descriptors, gene expressions (GE), and histology whole-slide images (WSIs). We explore whether combining WSIs with GE improves predictions as compared with models that use GE alone. We propose two data augmentation methods which allow us training multimodal and unimodal NNs without changing architectures with a single larger dataset: 1) combine single-drug and drug-pair treatments by homogenizing drug representations, and 2) augment drug-pairs which doubles the sample size of all drug-pair samples. Unimodal NNs which use GE are compared to assess the contribution of data augmentation. The NN that uses the original and the augmented drug-pair treatments as well as single-drug treatments outperforms NNs that ignore either the augmented drug-pairs or the single-drug treatments. In assessing the multimodal learning based on the MCC metric, MM-Net outperforms all the baselines. Our results show that data augmentation and integration of histology images with GE can improve prediction performance of drug response in PDXs.</t>
  </si>
  <si>
    <t>Partin, Alexander; Brettin, Thomas; Zhu, Yitan; Dolezal, James M. M.; Kochanny, Sara; Pearson, Alexander T. T.; Shukla, Maulik; Evrard, Yvonne A. A.; Doroshow, James H. H.; Stevens, Rick L. L.</t>
  </si>
  <si>
    <t>Partin, A (corresponding author), Argonne Natl Lab, Div Data Sci &amp; Learning, Lemont, IL 60439 USA.</t>
  </si>
  <si>
    <t>apartin@anl.gov</t>
  </si>
  <si>
    <t>U.S. Department of Energy (DOE); National Cancer Institute (NCI) of the National Institutes of Health [75N91019F00134, 75N91019D00024]; U.S. Department of Energy by Argonne National Laboratory [DE-AC02-06-CH11357]; Lawrence Livermore National Laboratory [DE-AC52-07NA27344]; Los Alamos National Laboratory [89233218CNA000001]; Oak Ridge National Laboratory [DE-AC05-00OR22725]; Leidos Biomedical Research, Inc. [PRJ1009868]; National Cancer Institute [ZIABC011078] Funding Source: NIH RePORTER</t>
  </si>
  <si>
    <t>U.S. Department of Energy (DOE) (United States Department of Energy (DOE)); National Cancer Institute (NCI) of the National Institutes of Health; U.S. Department of Energy by Argonne National Laboratory (United States Department of Energy (DOE)); Lawrence Livermore National Laboratory (United States Department of Energy (DOE)); Los Alamos National Laboratory (United States Department of Energy (DOE), Los Alamos National Laboratory); Oak Ridge National Laboratory (United States Department of Energy (DOE)); Leidos Biomedical Research, Inc.; National Cancer Institute (United States Department of Health &amp; Human Services, National Institutes of Health (NIH) - USA, NIH National Cancer Institute (NCI))</t>
  </si>
  <si>
    <t>This has been funded in whole or in part with Federal funding by the NCI-DOE Collaboration established by the U.S. Department of Energy (DOE) and the National Cancer Institute (NCI) of the National Institutes of Health, Cancer Moonshot Task Order No. 75N91019F00134 and under Frederick National Laboratory for Cancer Research Contract 75N91019D00024. This work was performed under the auspices of the U.S. Department of Energy by Argonne National Laboratory under Contract DE-AC02-06-CH11357, Lawrence Livermore National Laboratory under Contract DE-AC52-07NA27344, Los Alamos National Laboratory under Contract 89233218CNA000001, and Oak Ridge National Laboratory under Contract DE-AC05-00OR22725. Argonne National Laboratory's work on the Preclinical Modeling High-Performance Computing Artificial Intelligence project was supported in whole or in part by Leidos Biomedical Research, Inc., under PRJ1009868.</t>
  </si>
  <si>
    <t>[Partin, Alexander; Brettin, Thomas; Zhu, Yitan; Shukla, Maulik; Stevens, Rick L. L.] Argonne Natl Lab, Div Data Sci &amp; Learning, Lemont, IL 60439 USA; [Dolezal, James M. M.; Kochanny, Sara; Pearson, Alexander T. T.] Univ Chicago, Med Ctr, Dept Med, Sect Hematol Oncol, Chicago, IL USA; [Evrard, Yvonne A. A.] Leidos Biomed Res Inc, Frederick Natl Lab Canc Res, Frederick, MD USA; [Doroshow, James H. H.] NCI, Div Canc Therapeut &amp; Diag, Bethesda, MD USA; [Stevens, Rick L. L.] Univ Chicago, Dept Comp Sci, Chicago, IL USA</t>
  </si>
  <si>
    <t>United States Department of Energy (DOE); Argonne National Laboratory; University of Chicago; University of Chicago Medical Center; National Institutes of Health (NIH) - USA; NIH National Cancer Institute (NCI); Frederick National Laboratory for Cancer Research; National Institutes of Health (NIH) - USA; NIH National Cancer Institute (NCI); University of Chicago</t>
  </si>
  <si>
    <t>Data augmentation and multimodal learning for predicting drug response in patient-derived xenografts from gene expressions and histology images</t>
  </si>
  <si>
    <t>drug response prediction; histology whole-slide images; gene expression; multimodal deep learning; preclinical drug studies; data augmentation; patient-derived xenograft (PDX)</t>
  </si>
  <si>
    <t>HETEROGENEITY</t>
  </si>
  <si>
    <t>Dolezal, James/IAR-7708-2023; Partin, Alexander/LRB-3134-2024</t>
  </si>
  <si>
    <t>Shukla, Maulik/0009-0002-3396-5725; Partin, Alexander/0000-0002-9279-9213</t>
  </si>
  <si>
    <t>MAR 7 2023</t>
  </si>
  <si>
    <t>1058919</t>
  </si>
  <si>
    <t>10.3389/fmed.2023.1058919</t>
  </si>
  <si>
    <t>http://dx.doi.org/10.3389/fmed.2023.1058919</t>
  </si>
  <si>
    <t>A2VV7</t>
  </si>
  <si>
    <t>36960342</t>
  </si>
  <si>
    <t>WOS:000953770400001</t>
  </si>
  <si>
    <t>Lee, H; Jang, M; Jung, T; Byeon, J; Yoon, S; Lee, H</t>
  </si>
  <si>
    <t>In high-risk occupational groups, current mental health status may be underreported because of stigma or concerns about disadvantage. Wearable data can capture short-term behavioral and physiological changes, but may be limited in capturing relatively stable biological characteristics. Structural brain magnetic resonance imaging (MRI) may reflect such individual differences and provide complementary information when combined with dynamic wearable signals. We evaluated whether a multimodal deep learning approach combining wearable-derived time-series data with structural brain MRI radiomics could help identify current depressive symptom status in firefighters and prosecution investigators. A total of 291 participants (184 firefighters and 107 prosecution investigators) were included, with a mean monitoring duration of 4.8 weeks. Elevated current depressive symptoms were defined as a Patient Health Questionnaire-9 (PHQ-9) score of 10 or higher at the final observation. Temporal deep learning models were evaluated under wearable-only and multimodal configurations. Multimodal models consistently outperformed wearable-only models, and the final multimodal LSTM model showed the best discriminative performance (AUROC = 0.867; 95% CI 0.814-0.914). In subgroup robustness analysis, performance was generally maintained across broader monitoring-duration categories and occupational groups. SHAP analysis identified the left paracentral lobule, right lateral ventricle, left amygdala, fragmented activity patterns, and minimum oxygen saturation during sleep as major contributors. These findings suggest that a multimodal approach integrating wearable-derived dynamic behavioral characteristics with relatively stable neuroanatomical information from structural brain MRI may serve as a supportive tool for more objectively identifying current depressive symptom status in high-risk occupational populations.</t>
  </si>
  <si>
    <t>Lee, Hakjin; Jang, MyeongGyun; Jung, Taewon; Byeon, Jinmo; Yoon, Sujung; Lee, Hwamin</t>
  </si>
  <si>
    <t>Lee, H (corresponding author), Korea Univ, Coll Med, Dept Biomed Informat, 161 Jeongneung Ro, Seoul 02708, South Korea.; Yoon, S (corresponding author), Ewha Womans Univ, Ewha Brain Inst, 52 Ewhayeodae Gil, Seoul 03760, South Korea.; Yoon, S (corresponding author), Ewha Womans Univ, Dept Brain &amp; Cognit Sci, 52 Ewhayeodae Gil, Seoul 03760, South Korea.</t>
  </si>
  <si>
    <t>National Research Foundation (NRF) - Korean government (MSIT) [RS-2024-00440371, RS-2024-00457381]</t>
  </si>
  <si>
    <t>National Research Foundation (NRF) - Korean government (MSIT) (National Research Foundation of Korea, Ministry of Science &amp; ICT (MMSTI))</t>
  </si>
  <si>
    <t>This research was supported by the National Research Foundation (NRF) , funded by the Korean government (MSIT) (No. RS-2024-00440371 &amp; No. RS-2024-00457381) .</t>
  </si>
  <si>
    <t>[Lee, Hakjin; Jang, MyeongGyun; Jung, Taewon; Byeon, Jinmo; Lee, Hwamin] Korea Univ, Coll Med, Dept Biomed Informat, 161 Jeongneung Ro, Seoul 02708, South Korea; [Yoon, Sujung] Ewha Womans Univ, Ewha Brain Inst, 52 Ewhayeodae Gil, Seoul 03760, South Korea; [Yoon, Sujung] Ewha Womans Univ, Dept Brain &amp; Cognit Sci, 52 Ewhayeodae Gil, Seoul 03760, South Korea</t>
  </si>
  <si>
    <t>Multimodal deep learning for detecting current depressive symptom status using wearable time-series data and structural brain MRI in high-risk occupational groups</t>
  </si>
  <si>
    <t>JOURNAL OF AFFECTIVE DISORDERS</t>
  </si>
  <si>
    <t>Current depressive symptoms; Wearables; Structural MRI; Multimodal; Deep learning; Occupational mental health</t>
  </si>
  <si>
    <t>MENTAL-HEALTH; SHIFT WORK; SLEEP; METAANALYSIS; PHQ-9</t>
  </si>
  <si>
    <t>0165-0327</t>
  </si>
  <si>
    <t>1573-2517</t>
  </si>
  <si>
    <t>J AFFECT DISORDERS</t>
  </si>
  <si>
    <t>J. Affect. Disord.</t>
  </si>
  <si>
    <t>DEC 1 2026</t>
  </si>
  <si>
    <t>414</t>
  </si>
  <si>
    <t>122270</t>
  </si>
  <si>
    <t>10.1016/j.jad.2026.122270</t>
  </si>
  <si>
    <t>http://dx.doi.org/10.1016/j.jad.2026.122270</t>
  </si>
  <si>
    <t>Clinical Neurology; Psychiatry</t>
  </si>
  <si>
    <t>MC1KE</t>
  </si>
  <si>
    <t>42501836</t>
  </si>
  <si>
    <t>WOS:001838718900001</t>
  </si>
  <si>
    <t>Li, PJ; Wang, XM; Chen, Y; Ruan, XH; Wen, XY; Yu, ZL; Chen, YH; Feng, B; Hu, MQ; Sun, JQ; Zheng, CY; Li, YY; Chen, YL; Liang, B; Li, MW; Shi, CZ; Long, WS</t>
  </si>
  <si>
    <t>Objective: To develop and validate a Vision Foundation Model-enhanced Multimodal Deep Learning Radiomics (VFM-MDLR) framework that integrates MR imaging with clinicopathological information for noninvasive prediction of deep myometrial invasion (DMI) in patients with endometrial cancer (EC). Methods: This retrospective, multicenter study was conducted across seven independent centers and included 1376 EC patients. We developed a VFM-MDLR model based on two MRI sequences for the prediction of DMI. The framework was designed to first employ a General Knowledge Transfer across Heterogeneous-model (GKTH) subnetwork, which adaptively extracts general representations from vision foundation model (VFM). Building on this foundation, a Cross-Sequence Guided Attention (CSGA) module was incorporated to exploit the complementary information between CE-T1WI and T2WI, thereby achieving semantic alignment and synergistic feature representation. These features were then used to derive a deep-learning signature, termed VFM-enhanced Dualsequence Knowledge Fusion (VFM-DKF), which was further integrated with key clinicopathological variables to construct the final VFM-MDLR predictor. Model performance was systematically evaluated in the internal validation cohort and four external cohorts, while interpretability was assessed using Grad-CAM and SHAP analyses. Results: The VFM-MDLR model, which comprised age, histopathologic grade, the maximum tumor diameter (TMD), and the DLS, demonstrated the best predictive performance, with the highest AUC (0.832-0.877) across all cohorts. No significant difference was observed in performance for DMI detection between the VFM-MDLR model and experienced radiologists' readings (P = 0.915). Conclusion: The proposed VFM-MDLR model showed favorable accuracy in identifying DMI, potentially providing clinicians with a tool to facilitate individualized surgical treatment for patients with EC.</t>
  </si>
  <si>
    <t>Li, Peijun; Wang, Ximiao; Chen, Yuan; Ruan, Xiaohong; Wen, Xianyan; Yu, Zhaole; Chen, Yehang; Feng, Bao; Hu, Maoqing; Sun, Junqi; Zheng, Changye; Li, Yueyue; Chen, Yonglu; Liang, Bo; Li, Mingwei; Shi, Changzheng; Long, Wansheng</t>
  </si>
  <si>
    <t>Long, WS (corresponding author), 23 Haibang Rd, Jiangmen 529030, Guangdong, Peoples R China.</t>
  </si>
  <si>
    <t>jmlws2@163.com</t>
  </si>
  <si>
    <t>Science and Technology Plan Project in the Field of Healthcare in Jiangmen [2024YL01101]; Science and Technology Project of Guangdong Province [22024A1515220140]; Science and Technology Project of Jiangmen [2020030103110009027]</t>
  </si>
  <si>
    <t>Science and Technology Plan Project in the Field of Healthcare in Jiangmen; Science and Technology Project of Guangdong Province (Science &amp; Technology Programme of Guangzhou); Science and Technology Project of Jiangmen</t>
  </si>
  <si>
    <t>Funding This work was supported by The Science and Technology Plan Project in the Field of Healthcare in Jiangmen (Project code: 2024YL01101) , the Science and Technology Project of Guangdong Province (No. 22024A1515220140) , and the Science and Technology Project of Jiangmen (No. 2020030103110009027) .</t>
  </si>
  <si>
    <t>[Li, Peijun; Li, Yueyue; Shi, Changzheng; Long, Wansheng] Jinan Univ, Affiliated Hosp 1, Dept Med Imaging Ctr, Guangzhou, Peoples R China; [Li, Peijun; Wen, Xianyan; Hu, Maoqing] Jiangmen Cent Hosp, Dept Radiol, Jiangmen, Peoples R China; [Wang, Ximiao; Long, Wansheng] Jiangmen Cent Hosp, Jiangmen Key Lab Artificial Intelligence Med Image, Jiangmen, Peoples R China; [Chen, Yuan; Ruan, Xiaohong] Jiangmen Cent Hosp, Dept Gynecol, Jiangmen, Peoples R China; [Yu, Zhaole] Guilin Univ Aerosp Technol, Guangxi Key Lab Low Altitude Unmanned Autonomous S, Guilin, Peoples R China; [Yu, Zhaole; Chen, Yehang; Feng, Bao] Guilin Univ Aerosp Technol, Lab Intelligent Detect &amp; Informat Proc, Guilin, Peoples R China; [Sun, Junqi] Yuebei Peoples Hosp, Dept Radiol, Shaoguan, Peoples R China; [Zheng, Changye] Southern Med Univ, Affiliated Dongguan Hosp, Dongguan, Peoples R China; [Chen, Yonglu] Guangzhou Med Univ, Affiliated Hosp 3, Guangzhou, Peoples R China; [Liang, Bo] Maoming Peoples Hosp, Dept Radiol, Maoming, Peoples R China; [Li, Mingwei] Kaiping Cent Hosp, Kaiping, Peoples R China</t>
  </si>
  <si>
    <t>Jinan University; Guilin University of Aerospace Technology; Guilin University of Aerospace Technology; Shantou University; Southern Medical University - China; Guangzhou Medical University</t>
  </si>
  <si>
    <t>Preoperative identification of deep myometrial invasion in endometrial cancer: a multicenter MRI study with a vision foundation model-enhanced multimodal deep learning framework</t>
  </si>
  <si>
    <t>EUROPEAN JOURNAL OF OBSTETRICS &amp; GYNECOLOGY AND REPRODUCTIVE BIOLOGY</t>
  </si>
  <si>
    <t>Endometrial cancer; Deep myometrial invasion; Vision foundation model; Multimodal deep learning; MRI</t>
  </si>
  <si>
    <t>Ruan, Xiaohong/KTI-5299-2024</t>
  </si>
  <si>
    <t>Ruan, Xiaohong/0009-0009-6287-9376; sun, junqi/0000-0002-5528-0340</t>
  </si>
  <si>
    <t>0301-2115</t>
  </si>
  <si>
    <t>1872-7654</t>
  </si>
  <si>
    <t>EUR J OBSTET GYN R B</t>
  </si>
  <si>
    <t>Eur. J. Obstet. Gynecol. Reprod. Biol.</t>
  </si>
  <si>
    <t>321</t>
  </si>
  <si>
    <t>115018</t>
  </si>
  <si>
    <t>10.1016/j.ejogrb.2026.115018</t>
  </si>
  <si>
    <t>http://dx.doi.org/10.1016/j.ejogrb.2026.115018</t>
  </si>
  <si>
    <t>Obstetrics &amp; Gynecology; Reproductive Biology</t>
  </si>
  <si>
    <t>ET6BN</t>
  </si>
  <si>
    <t>41780136</t>
  </si>
  <si>
    <t>WOS:001709428900001</t>
  </si>
  <si>
    <t>Topalli, N; Badii, A</t>
  </si>
  <si>
    <t>The increasing use of AI systems for face, object, action, scene, and emotion recognition raises significant privacy risks, particularly when processing Personally Identifiable Information (PII). Current privacy-preserving methods lack adaptability to users' preferences and contextual requirements, and obfuscate user faces uniformly. This research proposes a user-centric, context-aware, and ontology-driven privacy protection framework that dynamically adjusts privacy decisions based on user-defined preferences, entity sensitivity, and contextual information. The framework integrates state-of-the-art recognition models for recognising faces, objects, scenes, actions, and emotions in real time on data acquired from vision sensors (e.g., cameras). Privacy decisions are directed by a contextual ontology based in Contextual Integrity theory, which classifies entities into private, semi-private, or public categories. Adaptive privacy levels are enforced through obfuscation techniques and a multi-level privacy model that supports user-defined red lines (e.g., "always hide logos"). The framework also proposes a Re-Identifiability Index (RII) using soft biometric features such as gait, hairstyle, clothing, skin tone, age, and gender, to mitigate identity leakage and to support fallback protection when face recognition fails. The experimental evaluation relied on sensor-captured datasets, which replicate real-world image sensors such as surveillance cameras. User studies confirmed that the framework was effective, with over 85.2% of participants rating the obfuscation operations as highly effective, and the other 14.8% stating that obfuscation was adequately effective. Amongst these, 71.4% considered the balance between privacy protection and usability very satisfactory and 28% found it satisfactory. GPU acceleration was deployed to enable real-time performance of these models by reducing frame processing time from 1200 ms (CPU) to 198 ms. This ontology-driven framework employs user-defined red lines, contextual reasoning, and dual metrics (RII/IVI) to dynamically balance privacy protection with scene intelligibility. Unlike current anonymisation methods, the framework provides a real-time, user-centric, and GDPR-compliant method that operationalises privacy-by-design while preserving scene intelligibility. These features make the framework appropriate to a variety of real-world applications including healthcare, surveillance, and social media.</t>
  </si>
  <si>
    <t>Topalli, Ndricim; Badii, Atta</t>
  </si>
  <si>
    <t>Topalli, N; Badii, A (corresponding author), Univ Reading, Dept Comp Sci, Reading RG6 6AH, England.</t>
  </si>
  <si>
    <t>n.topalli@pgr.reading.ac.uk; atta.badii@reading.ac.uk</t>
  </si>
  <si>
    <t>[Topalli, Ndricim; Badii, Atta] Univ Reading, Dept Comp Sci, Reading RG6 6AH, England</t>
  </si>
  <si>
    <t>University of Reading</t>
  </si>
  <si>
    <t>A User-Centric Context-Aware Framework for Real-Time Optimisation of Multimedia Data Privacy Protection, and Information Retention Within Multimodal AI Systems</t>
  </si>
  <si>
    <t>privacy engineering; soft biometrics; hard biometrics; re-identification; data intelligibility; multimodal data; privacy protection; context-aware AI; user-centric privacy; GDPR compliance; dynamic privacy adaptation; real-time data obfuscation</t>
  </si>
  <si>
    <t>Topalli, Nicim/0009-0009-4238-4253</t>
  </si>
  <si>
    <t>OCT 3 2025</t>
  </si>
  <si>
    <t>6105</t>
  </si>
  <si>
    <t>10.3390/s25196105</t>
  </si>
  <si>
    <t>http://dx.doi.org/10.3390/s25196105</t>
  </si>
  <si>
    <t>8PB4V</t>
  </si>
  <si>
    <t>41094928</t>
  </si>
  <si>
    <t>WOS:001593938200001</t>
  </si>
  <si>
    <t>Xie, YZ; Sang, QQ; Da, Q; Niu, GS; Deng, SJ; Feng, HR; Chen, YQ; Li, YY; Liu, BY; Yang, Y; Dai, WT</t>
  </si>
  <si>
    <t>For the diagnosis and outcome prediction of gastric cancer (GC), machine learning methods based on whole slide pathological images (WSIs) have shown promising performance and reduced the cost of manual analysis. Nevertheless, accurate prediction of GC outcome may rely on multiple modalities with complementary information, particularly gene expression data. Thus, there is a need to develop multimodal learning methods to enhance prediction performance. In this paper, we collect a dataset from Ruijin Hospital and propose a multimodal learning method for GC diagnosis and outcome prediction, called GaCaMML, which is featured by a cross -modal attention mechanism and Per -Slide training scheme. Additionally, we perform feature attribution analysis via integrated gradient (IG) to identify important input features. The proposed method improves prediction accuracy over the single -modal learning method on three tasks, i.e., survival prediction (by 4.9% on C-index), pathological stage classification (by 11.6% on accuracy), and lymph node classification (by 12.0% on accuracy). Especially, the Per -Slide strategy addresses the issue of a high WSI-to-patient ratio and leads to much better results compared with the Per -Person training scheme. For the interpretable analysis, we find that although WSIs dominate the prediction for most samples, there is still a substantial portion of samples whose prediction highly relies on gene expression information. This study demonstrates the great potential of multimodal learning in GC-related prediction tasks and investigates the contribution of WSIs and gene expression, respectively, which not only shows how the model makes a decision but also provides insights into the association between macroscopic pathological phenotypes and microscopic molecular features.</t>
  </si>
  <si>
    <t>Xie, Yuzhang; Sang, Qingqing; Da, Qian; Niu, Guoshuai; Deng, Shijie; Feng, Haoran; Chen, Yunqin; Li, Yuan-Yuan; Liu, Bingya; Yang, Yang; Dai, Wentao</t>
  </si>
  <si>
    <t>Yang, Y (corresponding author), Shanghai Jiao Tong Univ, Dept Comp Sci &amp; Engn, Shanghai 200240, Peoples R China.; Liu, BY; Dai, WT (corresponding author), Shanghai Jiao Tong Univ, Ruijin Hosp, Dept Gen Surg, Shanghai Key Lab Gastr Neoplasm,Sch Med, Shanghai 200025, Peoples R China.; Dai, WT (corresponding author), Shanghai Inst Biomed &amp; Pharmaceut Technol, Shanghai MOST Key Lab Hlth &amp; Dis Genom, Shanghai 200237, Peoples R China.; Dai, WT (corresponding author), Shanghai Engn Res Ctr Pharmaceut Translat, Shanghai 201203, Peoples R China.</t>
  </si>
  <si>
    <t>wtdai@scbit.org; liubingya@sjtu.edu.cn; yangyang@cs.sjtu.edu.cn</t>
  </si>
  <si>
    <t>National Natural Science Foundation of China [32000472, 62272300, 81772509, 82072605, 32100531, 82303378]; Innovation Promotion Program of NHC and Shanghai Key Labs SIBPT [RC2023-01]; Shanghai Academy of Science Technology [SKY2022003]</t>
  </si>
  <si>
    <t>National Natural Science Foundation of China (National Natural Science Foundation of China (NSFC)); Innovation Promotion Program of NHC and Shanghai Key Labs SIBPT; Shanghai Academy of Science Technology</t>
  </si>
  <si>
    <t>This work was supported by the National Natural Science Foundation of China (No. 32000472 to WD; No. 62272300 to YY; Nos. 81772509 and 82072605 to BL; No. 32100531 to YC; No. 82303378 to QS) , Innovation Promotion Program of NHC and Shanghai Key Labs SIBPT (RC2023-01 to WD) , and Shanghai Academy of Science &amp; Technology (SKY2022003 to WD) . Thanks to the help of SenseTime for providing the SenseCare system.</t>
  </si>
  <si>
    <t>[Xie, Yuzhang; Niu, Guoshuai; Yang, Yang] Shanghai Jiao Tong Univ, Dept Comp Sci &amp; Engn, Shanghai 200240, Peoples R China; [Sang, Qingqing; Feng, Haoran; Liu, Bingya; Dai, Wentao] Shanghai Jiao Tong Univ, Ruijin Hosp, Dept Gen Surg, Shanghai Key Lab Gastr Neoplasm,Sch Med, Shanghai 200025, Peoples R China; [Da, Qian; Deng, Shijie] Shanghai Jiao Tong Univ, Ruijin Hosp, Dept Pathol, Sch Med, Shanghai 200025, Peoples R China; [Chen, Yunqin; Li, Yuan-Yuan; Dai, Wentao] Shanghai Inst Biomed &amp; Pharmaceut Technol, Shanghai MOST Key Lab Hlth &amp; Dis Genom, Shanghai 200237, Peoples R China; [Li, Yuan-Yuan; Dai, Wentao] Shanghai Engn Res Ctr Pharmaceut Translat, Shanghai 201203, Peoples R China</t>
  </si>
  <si>
    <t>Shanghai Jiao Tong University; Shanghai Jiao Tong University; Shanghai Jiao Tong University; Shanghai Academy of Science &amp; Technology; Shanghai Academy of Science &amp; Technology</t>
  </si>
  <si>
    <t>Improving diagnosis and outcome prediction of gastric cancer via multimodal learning using whole slide pathological images and gene</t>
  </si>
  <si>
    <t>Gastric cancer; Multimodal learning; WSI; Gene expression; Interpretability analysis</t>
  </si>
  <si>
    <t>CLASSIFICATION; SURVIVAL</t>
  </si>
  <si>
    <t>Feng, Haoran/HNS-9590-2023; Liu, Bingya/GMW-5655-2022; Xie, Yuzhang/IAQ-2800-2023; Chen, Yunqin/I-8245-2016</t>
  </si>
  <si>
    <t>Dai, Wentao/0000-0002-0762-919X; QIAN, DA/0000-0002-2442-9448; Yang, Yang/0000-0001-5720-773X</t>
  </si>
  <si>
    <t>152</t>
  </si>
  <si>
    <t>102871</t>
  </si>
  <si>
    <t>10.1016/j.artmed.2024.102871</t>
  </si>
  <si>
    <t>http://dx.doi.org/10.1016/j.artmed.2024.102871</t>
  </si>
  <si>
    <t>ST3A2</t>
  </si>
  <si>
    <t>38685169</t>
  </si>
  <si>
    <t>WOS:001236646900001</t>
  </si>
  <si>
    <t>Hu, JL; Hou, YQ; Peng, B; Liao, B; Xu, ZY; Hou, GQ; Dong, SB</t>
  </si>
  <si>
    <t>Magnetic resonance imaging (MRI) offers non-invasive assessments of brain structure and function for analyzing brain disorders. With the increasing accumulation of multimodal MRI data in recent years, integrating information from various modalities has become an effective strategy for improving the detection of brain disorders. This study focuses on identifying major depressive disorder (MDD) by using arterial spin labeling (ASL) perfusion MRI in conjunction with structural MRI data. We collected ASL and structural MRI data from 260 participants, including 169 MDD patients and 91 healthy controls. We developed an explainable fusion method to identify MDD, utilizing cerebral blood flow (CBF) data from ASL perfusion MRI and brain tissue volumes from structural MRI. The fusion model, which integrates multimodal data, demonstrated superior predictive performance for MDD. By combining MRI regional volumes with CBF data, we achieved more effective results than using each modality independently. Additionally, we analyzed feature importance and interactions to explain the fusion model. We identified fourteen important features, comprising eight regional volumes and six regional CBF measures, that played a crucial role in the identification of MDD. Furthermore, we found three feature interactions among the important features and seven interactions between structural and functional features, which were particularly prominent in the model. The results of this study suggest that the fusion learning approach, which integrates ASL and structural MRI data, is effective in detecting MDD. Moreover, the study demonstrates that the model explanation method can reveal key features that influence the decisions of models, as well as potential interactions among these key features or between functional and structural features in identifying MDD.</t>
  </si>
  <si>
    <t>Hu, Jinlong; Hou, Yaqian; Peng, Bo; Liao, Bin; Xu, Ziyun; Hou, Gangqiang; Dong, Shoubin</t>
  </si>
  <si>
    <t>Liao, B (corresponding author), South China Agr Univ, Coll Math &amp; Informat, Guangzhou, Peoples R China.; Hou, GQ (corresponding author), Shenzhen Kangning Hosp, Shenzhen Mental Hlth Ctr, Dept Radiol, Shenzhen, Peoples R China.</t>
  </si>
  <si>
    <t>liaobin_lb@163.com; nihaohgq@163.com</t>
  </si>
  <si>
    <t>Natural Science Foundation of Guangdong Province [2021A1515011942]; Innovation Fund of Introduced High-end Scientific Research Institutions of Zhongshan [2019AG031]; Shenzhen Fund for Guangdong Provincial High-level Clinical Key Specialties [SZGSP013]</t>
  </si>
  <si>
    <t>Natural Science Foundation of Guangdong Province (National Natural Science Foundation of Guangdong Province); Innovation Fund of Introduced High-end Scientific Research Institutions of Zhongshan; Shenzhen Fund for Guangdong Provincial High-level Clinical Key Specialties</t>
  </si>
  <si>
    <t>The authors wish to thank Shenzhen Kangning Hospital for providing the raw data. This work was supported by the Natural Science Foundation of Guangdong Province (2021A1515011942) ; the Innovation Fund of Introduced High-end Scientific Research Institutions of Zhongshan (2019AG031) ; and the Shenzhen Fund for Guangdong Provincial High-level Clinical Key Specialties (SZGSP013) .</t>
  </si>
  <si>
    <t>[Hu, Jinlong; Hou, Yaqian; Dong, Shoubin] South China Univ Technol, Sch Comp Sci &amp; Engn, Guangdong Key Lab Multimodal Big Data Intelligent, Guangzhou, Peoples R China; [Peng, Bo] Shenzhen Kangning Hosp, Shenzhen Mental Hlth Ctr, Dept Depress Disorder, Shenzhen, Peoples R China; [Liao, Bin] South China Agr Univ, Coll Math &amp; Informat, Guangzhou, Peoples R China; [Xu, Ziyun; Hou, Gangqiang] Shenzhen Kangning Hosp, Shenzhen Mental Hlth Ctr, Dept Radiol, Shenzhen, Peoples R China</t>
  </si>
  <si>
    <t>South China University of Technology; Shenzhen Institute of Mental Health &amp; Shenzhen Kangning Hospital; South China Agricultural University; Shenzhen Institute of Mental Health &amp; Shenzhen Kangning Hospital</t>
  </si>
  <si>
    <t>Identifying major depressive disorder based on cerebral blood flow and brain structure: An explainable multimodal learning study</t>
  </si>
  <si>
    <t>JOURNAL OF PSYCHIATRIC RESEARCH</t>
  </si>
  <si>
    <t>Major depressive disorder; Multimodal learning; Structural MRI; Arterial spin labeling perfusion MRI</t>
  </si>
  <si>
    <t>ARTERIAL; MODELS; MRI</t>
  </si>
  <si>
    <t>xu, ziyun/JNS-1852-2023; Peng, Bo/NLO-0092-2025</t>
  </si>
  <si>
    <t>Liao, Bin/0000-0003-3422-9092; Hu, Jinlong/0000-0003-3602-7603; Dong, Shoubin/0000-0003-0153-850X</t>
  </si>
  <si>
    <t>0022-3956</t>
  </si>
  <si>
    <t>1879-1379</t>
  </si>
  <si>
    <t>J PSYCHIATR RES</t>
  </si>
  <si>
    <t>J. Psychiatr. Res.</t>
  </si>
  <si>
    <t>311</t>
  </si>
  <si>
    <t>10.1016/j.jpsychires.2025.01.001</t>
  </si>
  <si>
    <t>http://dx.doi.org/10.1016/j.jpsychires.2025.01.001</t>
  </si>
  <si>
    <t>T4S4H</t>
  </si>
  <si>
    <t>39832410</t>
  </si>
  <si>
    <t>WOS:001404920800001</t>
  </si>
  <si>
    <t>Parker, CTA; Mendes, L; Liu, VYT; Grist, E; Joun, S; Yamashita, R; Mitani, A; Chen, E; Parry, MA; Sachdeva, A; Murphy, L; Huang, HC; Griffin, J; van der Wal, D; Todorovic, T; Lall, S; Vidal, SS; Goncalves, M; Thakali, S; Wingate, A; Zakka, L; Brown, M; Wetterskog, D; Amos, CL; Atako, NB; Jones, RJ; Cross, WR; Gillessen, S; Parker, CC; Berney, DM; Tran, PT; Spratt, DE; Sydes, MR; Parmar, MKB; Clarke, NW; Brown, LC; Feng, FY; Esteva, A; James, ND; Attard, G</t>
  </si>
  <si>
    <t>Background Effective prognostication improves selection of patients with prostate cancer for treatment combinations. We aimed to evaluate whether a previously developed multimodal artificial intelligence (MMAI) algorithm was prognostic in very advanced prostate cancer using data from four phase 3 trials of the STAMPEDE platform protocol. Methods We included patients starting androgen-deprivation therapy in the docetaxel, docetaxel plus zoledronic acid, abiraterone, or abiraterone plus enzalutamide trials. Patients were recruited at 112 sites. We combined all standard-of-care control patients (including those allocated to standard of care [SOC-ADT] consisting of testosterone suppression with luteinising hormone-releasing hormone agonists or antagonists, and radiotherapy when indicated), and we combined the rest of the patients into docetaxel-treated or abiraterone-treated groups. Patients had either metastatic disease or were at very high-risk of metastatic disease, determined by node-positivity or, if node-negative, by T stage, serum prostate-specific antigen (PSA) level, and Gleason score. We used the locked ArteraAI Prostate MMAI algorithm that combined these clinical variables, age, and digitised prostate biopsy pathology images. We performed Fine-Gray and Cox regression adjusted for treatment allocation and cumulative incidence analyses at 5 years to evaluate associations with prostate cancer-specific mortality (PCSM) for continuous (per SD increase) and categorical (quartile-Q) scores. The STAMPEDE platform protocol is registered with ClinicalTrials.gov, NCT00268476. Findings Of 5213 eligible patients recruited from Oct 5, 2005, to March 31, 2016, 3167 were included in this analysis (1575 [49&lt;middle dot&gt;7%] with non-metastatic disease, 1592 [50&lt;middle dot&gt;3%] with metastatic disease; median follow-up 6&lt;middle dot&gt;9 years [IQR 5&lt;middle dot&gt;9-8&lt;middle dot&gt;0]) with all datapoints available for score generation. The MMAI algorithm (per SD increase) was strongly associated with PCSM (hazard ratio [HR] 1&lt;middle dot&gt;40, 95% CI 1&lt;middle dot&gt;30-1&lt;middle dot&gt;51, p&lt;0&lt;middle dot&gt;0001). On ad-hoc inspection, the highest scoring quartile of patients in each disease and treatment allocation group (MMAI Q4; vs the bottom three quartiles, Q1-3) had the highest PCSM risk in both patients with non-metastatic disease (HR 2&lt;middle dot&gt;12, 1&lt;middle dot&gt;61-2&lt;middle dot&gt;81, p&lt;0&lt;middle dot&gt;0001) and those with metastatic disease (HR 1&lt;middle dot&gt;62, 1&lt;middle dot&gt;39-1&lt;middle dot&gt;88, p&lt;0&lt;middle dot&gt;0001). MMAI quartile stratification split patients categorised by disease burden into groups with notably different risks of 5-year PCSM: patients with non-metastatic disease that were node-negative could be further stratified by MMAI score quartile Q1-3 (3%, 2-4) versus Q4 (11%, 7-15), those with non-metastatic disease that were node-positive could be stratified by Q1-3 (11%, 8-14) versus Q4 (20%, 13-26), those with metastatic disease with low-volume could be stratified by Q1-3 (27%, 23-31) versus Q4 (43%, 36-51), and those with metastatic disease with high-volume could be stratified by Q1-3 (48%, 44-52) versus Q4 (68%, 62-75). Interpretation Diagnostic prostate biopsy samples contain prognostic information in patients with, or at high-risk of, radiologically overt metastatic prostate cancer. MMAI algorithm combined with disease burden improves prognostication of advanced prostate cancer. Copyright (c) 2025 The Author(s). Published by Elsevier Ltd. This is an open access article under the CC BY license (http://creativecommons.org/licenses/by/4.0/).</t>
  </si>
  <si>
    <t>Parker, Charles T. A.; Mendes, Larissa; Liu, Vinnie Y. T.; Grist, Emily; Joun, Songwan; Yamashita, Rikiya; Mitani, Akinori; Chen, Emmalyn; Parry, Marina A.; Sachdeva, Ashwin; Murphy, Laura; Huang, Huei-Chung; Griffin, Jacqueline; van der Wal, Douwe; Todorovic, Tamara; Lall, Sharanpreet; Vidal, Sara Santos; Goncalves, Miriam; Thakali, Suparna; Wingate, Anna; Zakka, Leila; Brown, Mick; Wetterskog, Daniel; Amos, Claire L.; Atako, Nafisah B.; Jones, Robert J.; Cross, William R.; Gillessen, Silke; Parker, Chris C.; Berney, Daniel M.; Tran, Phuoc T.; Spratt, Daniel E.; Sydes, Matthew R.; Parmar, Mahesh K. B.; Clarke, Noel W.; Brown, Louise C.; Feng, Felix Y.; Esteva, Andre; James, Nicholas D.; Attard, Gerhardt</t>
  </si>
  <si>
    <t>Attard, G (corresponding author), UCL, Canc Inst, London WC1E 6DD, England.</t>
  </si>
  <si>
    <t>g.attard@ucl.ac.uk</t>
  </si>
  <si>
    <t>Prostate Cancer UK; UK Medical Research Council; Cancer Research UK; John Black Charitable Foundation; Prostate Cancer Foundation; Sanofi Aventis; Janssen; Astellas; Novartis; Artera</t>
  </si>
  <si>
    <t>Prostate Cancer UK; UK Medical Research Council (UK Research &amp; Innovation (UKRI), Medical Research Council UK (MRC)); Cancer Research UK (Cancer Research UK); John Black Charitable Foundation; Prostate Cancer Foundation (Prostate Cancer Foundation); Sanofi Aventis (Sanofi-Aventis); Janssen (Johnson &amp; Johnson, Johnson &amp; Johnson USA, Janssen Biotech Inc); Astellas (Astellas Pharmaceuticals); Novartis (Novartis); Artera</t>
  </si>
  <si>
    <t>Prostate Cancer UK, UK Medical Research Council, Cancer Research UK, John Black Charitable Foundation, Prostate Cancer Foundation, Sanofi Aventis, Janssen, Astellas, Novartis, Artera.</t>
  </si>
  <si>
    <t>[Mendes, Larissa; Grist, Emily; Parry, Marina A.; Lall, Sharanpreet; Vidal, Sara Santos; Goncalves, Miriam; Thakali, Suparna; Wingate, Anna; Zakka, Leila; Wetterskog, Daniel; Attard, Gerhardt] UCL, Canc Inst, London WC1E 6DD, England; [Liu, Vinnie Y. T.; Joun, Songwan; Yamashita, Rikiya; Mitani, Akinori; Chen, Emmalyn; Huang, Huei-Chung; Griffin, Jacqueline; van der Wal, Douwe; Todorovic, Tamara; Esteva, Andre] Artera Inc, Los Altos, CA USA; [Sachdeva, Ashwin; Brown, Mick; Clarke, Noel W.] Christie &amp; Salford Royal Hosp, Dept Surg &amp; Urol, Manchester, England; [Sachdeva, Ashwin; Brown, Mick; Clarke, Noel W.] Univ Manchester, Genitourinary Canc Res Grp, Manchester Canc Res Ctr, Div Canc Sci, Manchester, England; [Murphy, Laura; Amos, Claire L.; Atako, Nafisah B.; Sydes, Matthew R.; Parmar, Mahesh K. B.; Brown, Louise C.] UCL, MRC Clin Trials Unit, Inst Clin Trials &amp; Methodol, London, England; [Jones, Robert J.] Univ Glasgow, Beatson West Scotland Canc Ctr, Glasgow, Scotland; [Cross, William R.] St James Univ Hosp, Leeds, England; [Gillessen, Silke] Ist Oncol Svizzera Italiana, Ente Osped Cantonale, Bellinzona, Switzerland; [Gillessen, Silke] Univ Svizzera Italiana, Lugano, Switzerland; [Parker, Chris C.; James, Nicholas D.] Royal Marsden NHS Fdn Trust, Inst Canc Res, London, England; [Berney, Daniel M.] Queen Mary Univ London, Barts Canc Inst, London, England; [Tran, Phuoc T.] Univ Maryland, Baltimore, MD USA; [Spratt, Daniel E.] Case Western Reserve Univ, Seidman Canc Ctr, Cleveland, OH USA; [Feng, Felix Y.] Univ Calif San Francisco, San Francisco, CA USA</t>
  </si>
  <si>
    <t>University of London; University College London; Christie NHS Foundation Trust; Salford Royal NHS Foundation Trust; Christie Hospital; Salford Royal Hospital; University of Manchester; University of London; Medical Research Council Clinical Trials Unit; University College London; University of Glasgow; Beatson Oncology Centre; Saint James's University Hospital; Institute of Oncology Research (IOR); Universita della Svizzera Italiana; University of London; Royal Marsden NHS Foundation Trust; Institute of Cancer Research - UK; University of London; Queen Mary University London; University System of Maryland; University of Maryland Baltimore; University System of Ohio; Case Western Reserve University; University of California System; University of California San Francisco</t>
  </si>
  <si>
    <t>STAMPEDE Collaborators</t>
  </si>
  <si>
    <t>External validation of a digital pathology-based multimodal artificial intelligence-derived prognostic model in patients with advanced prostate cancer starting long-term androgen deprivation therapy: a post-hoc ancillary biomarker study of four phase 3 randomised controlled trials of the STAMPEDE platform protocol</t>
  </si>
  <si>
    <t>LANCET DIGITAL HEALTH</t>
  </si>
  <si>
    <t>ABIRATERONE ACETATE; HIGH-RISK; ENZALUTAMIDE; PREDNISOLONE</t>
  </si>
  <si>
    <t>Brown, Mick/N-6521-2015; Parmar, Mahesh/H-4557-2018; jones, Rob/N-9379-2017; Grist, Emily/OZF-7273-2025; Sydes, Matthew/C-3373-2008; Gillessen, Silke/C-6093-2019; Spratt, Daniel/AAM-4612-2020; Attard, Gerhardt/AEY-9874-2022</t>
  </si>
  <si>
    <t>Brown, Mick/0000-0003-1322-4671; Parmar, Mahesh/0000-0003-0166-1700; Brown, Louise/0000-0003-2827-6634; Grist, Emily/0000-0003-1201-7662; Sydes, Matthew/0000-0002-9323-1371; Gillessen, Silke/0000-0001-5746-6555; James, Nicholas/0000-0002-7314-8204; Murphy, Laura/0000-0001-8205-1554</t>
  </si>
  <si>
    <t>2589-7500</t>
  </si>
  <si>
    <t>LANCET DIGIT HEALTH</t>
  </si>
  <si>
    <t>Lancet Digit. Health</t>
  </si>
  <si>
    <t>100885</t>
  </si>
  <si>
    <t>10.1016/j.landig.2025.100885</t>
  </si>
  <si>
    <t>http://dx.doi.org/10.1016/j.landig.2025.100885</t>
  </si>
  <si>
    <t>Medical Informatics; Medicine, General &amp; Internal</t>
  </si>
  <si>
    <t>Medical Informatics; General &amp; Internal Medicine</t>
  </si>
  <si>
    <t>7ZW3T</t>
  </si>
  <si>
    <t>40467357</t>
  </si>
  <si>
    <t>WOS:001583605800007</t>
  </si>
  <si>
    <t>gold; Green Accepted; Green Published</t>
  </si>
  <si>
    <t>Park, B; Kim, Y; Park, J; Choi, H; Kim, SE; Ryu, H; Seo, K</t>
  </si>
  <si>
    <t>Background: Early detection of mild cognitive impairment (MCI), a transitional stage between normal aging and Alzheimer disease, is crucial for preventing the progression of dementia. Virtual reality (VR) biomarkers have proven to be effective capturing behaviors associated with subtle deficits in instrumental activities of daily living, such as challenges in using food -ordering kiosk, for early detection of MCI. On the other hand, magnetic resonance imaging (MRI) biomarkers have demonstrated their efficacy in quantifying observable structural brain changes that can aid in early MCI detection. Nevertheless, the relationship between VR-derived and MRI biomarkers remains an open question. In this context, we explored the integration of VR-derived and MRI biomarkers to enhance early MCI detection through a multimodal learning approach. Objective: We aimed to evaluate and compare the efficacy of VR-derived and MRI biomarkers in the classification of MCI while also examining the strengths and weaknesses of each approach. Furthermore, we focused on improving early MCI detection by leveraging multimodal learning to integrate VR-derived and MRI biomarkers. Methods: The study encompassed a total of 54 participants, comprising 22 (41%) healthy controls and 32 (59%) patients with MCI. Participants completed a virtual kiosk test to collect 4 VR-derived biomarkers (hand movement speed, scanpath length, time to completion, and the number of errors), and T 1 -weighted MRI scans were performed to collect 22 MRI biomarkers from both hemispheres. Analyses of covariance were used to compare these biomarkers between healthy controls and patients with MCI, with age considered as a covariate. Subsequently, the biomarkers that exhibited significant differences between the 2 groups were used to train and validate a multimodal learning model aimed at early screening for patients with MCI among healthy controls. Results: The support vector machine (SVM) using only VR-derived biomarkers achieved a sensitivity of 87.5% and specificity of 90%, whereas the MRI biomarkers showed a sensitivity of 90.9% and specificity of 71.4%. Moreover, a correlation analysis revealed a significant association between MRI-observed brain atrophy and impaired performance in instrumental activities daily living in the VR environment. Notably, the integration of both VR-derived and MRI biomarkers into a multimodal SVM model yielded superior results compared to unimodal SVM models, achieving higher accuracy (94.4%), sensitivity (100%), specificity (90.9%), precision (87.5%), and F 1 -score (93.3%). Conclusions: The results indicate that VR-derived biomarkers, characterized by their high specificity, can be valuable as robust, early screening tool for MCI in a broader older adult population. On the other hand, MRI biomarkers, known for their high sensitivity, excel at confirming the presence of MCI. Moreover, the multimodal learning approach introduced in our study provides valuable insights into the improvement of early MCI detection by integrating a diverse set of biomarkers.</t>
  </si>
  <si>
    <t>Park, Bogyeom; Kim, Yuwon; Park, Jinseok; Choi, Hojin; Kim, Seong-Eun; Ryu, Hokyoung; Seo, Kyoungwon</t>
  </si>
  <si>
    <t>Seo, K (corresponding author), Seoul Natl Univ Sci &amp; Technol, Dept Appl Artificial Intelligence, Sangsang Hall,4th Fl Gongneung Ro, Seoul 01811, South Korea.</t>
  </si>
  <si>
    <t>kwseo@seoultech.ac.kr</t>
  </si>
  <si>
    <t>National Research Foundation of Korea - Korean government, Ministry of Science and Information and communication Technology (MSIT) [NRF-2021R1C1C1005688, NRF-2021R1A4A5033480]</t>
  </si>
  <si>
    <t>National Research Foundation of Korea - Korean government, Ministry of Science and Information and communication Technology (MSIT) (National Research Foundation of Korea)</t>
  </si>
  <si>
    <t>The support of patients was important in developing this paper. This study received support from the National Research Foundation of Korea, funded by the Korean government, Ministry of Science and Information and communication Technology (MSIT; NRF-2021R1C1C1005688 and NRF-2021R1A4A5033480) . The funding sources had no role in the study conceptualization, methodology, investigation, curation, analysis of data, writing of the paper, or decision to submit the paper for publication.</t>
  </si>
  <si>
    <t>[Park, Bogyeom; Kim, Yuwon; Kim, Seong-Eun; Seo, Kyoungwon] Seoul Natl Univ Sci &amp; Technol, Dept Appl Artificial Intelligence, Sangsang Hall,4th Fl Gongneung Ro, Seoul 01811, South Korea; [Park, Jinseok; Choi, Hojin] Hanyang Univ, Coll Med, Dept Neurol, Seoul, South Korea; [Ryu, Hokyoung] Hanyang Univ, Grad Sch Technol &amp; Innovat Management, Seoul, South Korea</t>
  </si>
  <si>
    <t>Seoul National University of Science &amp; Technology; Hanyang University; Hanyang University</t>
  </si>
  <si>
    <t>Integrating Biomarkers From Virtual Reality and Magnetic Resonance Imaging for the Early Detection of Mild Cognitive Impairment Using a Multimodal Learning Approach: Validation Study</t>
  </si>
  <si>
    <t>magnetic resonance imaging; MRI; virtual reality; VR; early detection; mild cognitive impairment; multimodal learning; hand movement; eye movement</t>
  </si>
  <si>
    <t>EARLY ALZHEIMERS-DISEASE; ENTORHINAL CORTEX; AMYGDALA ATROPHY; HIPPOCAMPUS; DIAGNOSIS; PATTERNS</t>
  </si>
  <si>
    <t>Seo, Kyoungwon/GLN-5886-2022; Park, Jinseok/ABH-1157-2021</t>
  </si>
  <si>
    <t>Park, Bogyeom/0009-0005-3046-9621; Kim, Yuwon/0000-0002-5946-6249; Seo, Kyoungwon/0000-0003-3435-0685; Park, Jinseok/0000-0001-6581-5831</t>
  </si>
  <si>
    <t>1439-4456</t>
  </si>
  <si>
    <t>APR 17 2024</t>
  </si>
  <si>
    <t>e54538</t>
  </si>
  <si>
    <t>10.2196/54538</t>
  </si>
  <si>
    <t>http://dx.doi.org/10.2196/54538</t>
  </si>
  <si>
    <t>QV3Z3</t>
  </si>
  <si>
    <t>38631021</t>
  </si>
  <si>
    <t>WOS:001223618300006</t>
  </si>
</sst>
</file>

<file path=xl/styles.xml><?xml version="1.0" encoding="utf-8"?>
<styleSheet xmlns="http://schemas.openxmlformats.org/spreadsheetml/2006/main">
  <numFmts count="0"/>
  <fonts count="926">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926">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3389%2Ffnins.2026.1894285" TargetMode="External" Type="http://schemas.openxmlformats.org/officeDocument/2006/relationships/hyperlink"/><Relationship Id="rId10" Target="https%3A%2F%2Fwww.webofscience.com%2Fwos%2Fwoscc%2Ffull-record%2FWOS%3A001498892600001" TargetMode="External" Type="http://schemas.openxmlformats.org/officeDocument/2006/relationships/hyperlink"/><Relationship Id="rId100" Target="https%3A%2F%2Fwww.webofscience.com%2Fwos%2Fwoscc%2Ffull-record%2FWOS%3A001474796300001" TargetMode="External" Type="http://schemas.openxmlformats.org/officeDocument/2006/relationships/hyperlink"/><Relationship Id="rId101" Target="http%3A%2F%2Fdx.doi.org%2F10.3390%2Fcancers15072032" TargetMode="External" Type="http://schemas.openxmlformats.org/officeDocument/2006/relationships/hyperlink"/><Relationship Id="rId102" Target="https%3A%2F%2Fwww.webofscience.com%2Fwos%2Fwoscc%2Ffull-record%2FWOS%3A000973109800001" TargetMode="External" Type="http://schemas.openxmlformats.org/officeDocument/2006/relationships/hyperlink"/><Relationship Id="rId103" Target="http%3A%2F%2Fdx.doi.org%2F10.1007%2Fs10822-026-00858-7" TargetMode="External" Type="http://schemas.openxmlformats.org/officeDocument/2006/relationships/hyperlink"/><Relationship Id="rId104" Target="https%3A%2F%2Fwww.webofscience.com%2Fwos%2Fwoscc%2Ffull-record%2FWOS%3A001800889300006" TargetMode="External" Type="http://schemas.openxmlformats.org/officeDocument/2006/relationships/hyperlink"/><Relationship Id="rId105" Target="http%3A%2F%2Fdx.doi.org%2F10.1109%2FJBHI.2025.3530156" TargetMode="External" Type="http://schemas.openxmlformats.org/officeDocument/2006/relationships/hyperlink"/><Relationship Id="rId106" Target="https%3A%2F%2Fwww.webofscience.com%2Fwos%2Fwoscc%2Ffull-record%2FWOS%3A001504143000003" TargetMode="External" Type="http://schemas.openxmlformats.org/officeDocument/2006/relationships/hyperlink"/><Relationship Id="rId107" Target="http%3A%2F%2Fdx.doi.org%2F10.1016%2Fj.patcog.2026.113456" TargetMode="External" Type="http://schemas.openxmlformats.org/officeDocument/2006/relationships/hyperlink"/><Relationship Id="rId108" Target="https%3A%2F%2Fwww.webofscience.com%2Fwos%2Fwoscc%2Ffull-record%2FWOS%3A001726997500001" TargetMode="External" Type="http://schemas.openxmlformats.org/officeDocument/2006/relationships/hyperlink"/><Relationship Id="rId109" Target="http%3A%2F%2Fdx.doi.org%2F10.1038%2Fs41746-022-00689-4" TargetMode="External" Type="http://schemas.openxmlformats.org/officeDocument/2006/relationships/hyperlink"/><Relationship Id="rId11" Target="http%3A%2F%2Fdx.doi.org%2F10.1109%2FACCESS.2025.3577064" TargetMode="External" Type="http://schemas.openxmlformats.org/officeDocument/2006/relationships/hyperlink"/><Relationship Id="rId110" Target="https%3A%2F%2Fwww.webofscience.com%2Fwos%2Fwoscc%2Ffull-record%2FWOS%3A000855773700001" TargetMode="External" Type="http://schemas.openxmlformats.org/officeDocument/2006/relationships/hyperlink"/><Relationship Id="rId111" Target="http%3A%2F%2Fdx.doi.org%2F10.1007%2Fs11263-024-02032-8" TargetMode="External" Type="http://schemas.openxmlformats.org/officeDocument/2006/relationships/hyperlink"/><Relationship Id="rId112" Target="https%3A%2F%2Fwww.webofscience.com%2Fwos%2Fwoscc%2Ffull-record%2FWOS%3A001207063800003" TargetMode="External" Type="http://schemas.openxmlformats.org/officeDocument/2006/relationships/hyperlink"/><Relationship Id="rId113" Target="http%3A%2F%2Fdx.doi.org%2F10.1109%2FTCSS.2025.3623200" TargetMode="External" Type="http://schemas.openxmlformats.org/officeDocument/2006/relationships/hyperlink"/><Relationship Id="rId114" Target="https%3A%2F%2Fwww.webofscience.com%2Fwos%2Fwoscc%2Ffull-record%2FWOS%3A001627698800001" TargetMode="External" Type="http://schemas.openxmlformats.org/officeDocument/2006/relationships/hyperlink"/><Relationship Id="rId115" Target="http%3A%2F%2Fdx.doi.org%2F10.1001%2Fjamanetworkopen.2024.37711" TargetMode="External" Type="http://schemas.openxmlformats.org/officeDocument/2006/relationships/hyperlink"/><Relationship Id="rId116" Target="https%3A%2F%2Fwww.webofscience.com%2Fwos%2Fwoscc%2Ffull-record%2FWOS%3A001342041200010" TargetMode="External" Type="http://schemas.openxmlformats.org/officeDocument/2006/relationships/hyperlink"/><Relationship Id="rId117" Target="http%3A%2F%2Fdx.doi.org%2F10.3390%2Fdata10080123" TargetMode="External" Type="http://schemas.openxmlformats.org/officeDocument/2006/relationships/hyperlink"/><Relationship Id="rId118" Target="https%3A%2F%2Fwww.webofscience.com%2Fwos%2Fwoscc%2Ffull-record%2FWOS%3A001560059600001" TargetMode="External" Type="http://schemas.openxmlformats.org/officeDocument/2006/relationships/hyperlink"/><Relationship Id="rId119" Target="http%3A%2F%2Fdx.doi.org%2F10.1016%2Fj.compmedimag.2026.102795" TargetMode="External" Type="http://schemas.openxmlformats.org/officeDocument/2006/relationships/hyperlink"/><Relationship Id="rId12" Target="https%3A%2F%2Fwww.webofscience.com%2Fwos%2Fwoscc%2Ffull-record%2FWOS%3A001508113300028" TargetMode="External" Type="http://schemas.openxmlformats.org/officeDocument/2006/relationships/hyperlink"/><Relationship Id="rId120" Target="https%3A%2F%2Fwww.webofscience.com%2Fwos%2Fwoscc%2Ffull-record%2FWOS%3A001822179100001" TargetMode="External" Type="http://schemas.openxmlformats.org/officeDocument/2006/relationships/hyperlink"/><Relationship Id="rId121" Target="http%3A%2F%2Fdx.doi.org%2F10.1016%2Fj.compbiomed.2023.106715" TargetMode="External" Type="http://schemas.openxmlformats.org/officeDocument/2006/relationships/hyperlink"/><Relationship Id="rId122" Target="https%3A%2F%2Fwww.webofscience.com%2Fwos%2Fwoscc%2Ffull-record%2FWOS%3A000950586300001" TargetMode="External" Type="http://schemas.openxmlformats.org/officeDocument/2006/relationships/hyperlink"/><Relationship Id="rId123" Target="http%3A%2F%2Fdx.doi.org%2F10.1109%2FJBHI.2024.3448238" TargetMode="External" Type="http://schemas.openxmlformats.org/officeDocument/2006/relationships/hyperlink"/><Relationship Id="rId124" Target="https%3A%2F%2Fwww.webofscience.com%2Fwos%2Fwoscc%2Ffull-record%2FWOS%3A001359232100017" TargetMode="External" Type="http://schemas.openxmlformats.org/officeDocument/2006/relationships/hyperlink"/><Relationship Id="rId125" Target="http%3A%2F%2Fdx.doi.org%2F10.21037%2Fjtd-2025-1010" TargetMode="External" Type="http://schemas.openxmlformats.org/officeDocument/2006/relationships/hyperlink"/><Relationship Id="rId126" Target="https%3A%2F%2Fwww.webofscience.com%2Fwos%2Fwoscc%2Ffull-record%2FWOS%3A001626418800033" TargetMode="External" Type="http://schemas.openxmlformats.org/officeDocument/2006/relationships/hyperlink"/><Relationship Id="rId127" Target="http%3A%2F%2Fdx.doi.org%2F10.1016%2Fj.array.2026.100736" TargetMode="External" Type="http://schemas.openxmlformats.org/officeDocument/2006/relationships/hyperlink"/><Relationship Id="rId128" Target="https%3A%2F%2Fwww.webofscience.com%2Fwos%2Fwoscc%2Ffull-record%2FWOS%3A001724803500001" TargetMode="External" Type="http://schemas.openxmlformats.org/officeDocument/2006/relationships/hyperlink"/><Relationship Id="rId129" Target="http%3A%2F%2Fdx.doi.org%2F10.1007%2Fs10278-025-01788-w" TargetMode="External" Type="http://schemas.openxmlformats.org/officeDocument/2006/relationships/hyperlink"/><Relationship Id="rId13" Target="http%3A%2F%2Fdx.doi.org%2F10.1038%2Fs41598-026-44499-0" TargetMode="External" Type="http://schemas.openxmlformats.org/officeDocument/2006/relationships/hyperlink"/><Relationship Id="rId130" Target="https%3A%2F%2Fwww.webofscience.com%2Fwos%2Fwoscc%2Ffull-record%2FWOS%3A001640854800001" TargetMode="External" Type="http://schemas.openxmlformats.org/officeDocument/2006/relationships/hyperlink"/><Relationship Id="rId131" Target="http%3A%2F%2Fdx.doi.org%2F10.1007%2Fs10278-025-01446-1" TargetMode="External" Type="http://schemas.openxmlformats.org/officeDocument/2006/relationships/hyperlink"/><Relationship Id="rId132" Target="https%3A%2F%2Fwww.webofscience.com%2Fwos%2Fwoscc%2Ffull-record%2FWOS%3A001426198600001" TargetMode="External" Type="http://schemas.openxmlformats.org/officeDocument/2006/relationships/hyperlink"/><Relationship Id="rId133" Target="http%3A%2F%2Fdx.doi.org%2F10.2196%2F79985" TargetMode="External" Type="http://schemas.openxmlformats.org/officeDocument/2006/relationships/hyperlink"/><Relationship Id="rId134" Target="https%3A%2F%2Fwww.webofscience.com%2Fwos%2Fwoscc%2Ffull-record%2FWOS%3A001759354500001" TargetMode="External" Type="http://schemas.openxmlformats.org/officeDocument/2006/relationships/hyperlink"/><Relationship Id="rId135" Target="http%3A%2F%2Fdx.doi.org%2F10.1038%2Fs41746-024-01208-3" TargetMode="External" Type="http://schemas.openxmlformats.org/officeDocument/2006/relationships/hyperlink"/><Relationship Id="rId136" Target="https%3A%2F%2Fwww.webofscience.com%2Fwos%2Fwoscc%2Ffull-record%2FWOS%3A001286341300002" TargetMode="External" Type="http://schemas.openxmlformats.org/officeDocument/2006/relationships/hyperlink"/><Relationship Id="rId137" Target="http%3A%2F%2Fdx.doi.org%2F10.3991%2Fijoe.v20i02.43795" TargetMode="External" Type="http://schemas.openxmlformats.org/officeDocument/2006/relationships/hyperlink"/><Relationship Id="rId138" Target="https%3A%2F%2Fwww.webofscience.com%2Fwos%2Fwoscc%2Ffull-record%2FWOS%3A001162801400008" TargetMode="External" Type="http://schemas.openxmlformats.org/officeDocument/2006/relationships/hyperlink"/><Relationship Id="rId139" Target="http%3A%2F%2Fdx.doi.org%2F10.3389%2Ffdgth.2025.1709277" TargetMode="External" Type="http://schemas.openxmlformats.org/officeDocument/2006/relationships/hyperlink"/><Relationship Id="rId14" Target="https%3A%2F%2Fwww.webofscience.com%2Fwos%2Fwoscc%2Ffull-record%2FWOS%3A001767529000001" TargetMode="External" Type="http://schemas.openxmlformats.org/officeDocument/2006/relationships/hyperlink"/><Relationship Id="rId140" Target="https%3A%2F%2Fwww.webofscience.com%2Fwos%2Fwoscc%2Ffull-record%2FWOS%3A001685448000001" TargetMode="External" Type="http://schemas.openxmlformats.org/officeDocument/2006/relationships/hyperlink"/><Relationship Id="rId141" Target="http%3A%2F%2Fdx.doi.org%2F10.1186%2Fs12902-025-02031-x" TargetMode="External" Type="http://schemas.openxmlformats.org/officeDocument/2006/relationships/hyperlink"/><Relationship Id="rId142" Target="https%3A%2F%2Fwww.webofscience.com%2Fwos%2Fwoscc%2Ffull-record%2FWOS%3A001596446300001" TargetMode="External" Type="http://schemas.openxmlformats.org/officeDocument/2006/relationships/hyperlink"/><Relationship Id="rId143" Target="http%3A%2F%2Fdx.doi.org%2F10.1016%2Fj.mex.2025.103626" TargetMode="External" Type="http://schemas.openxmlformats.org/officeDocument/2006/relationships/hyperlink"/><Relationship Id="rId144" Target="https%3A%2F%2Fwww.webofscience.com%2Fwos%2Fwoscc%2Ffull-record%2FWOS%3A001576822800001" TargetMode="External" Type="http://schemas.openxmlformats.org/officeDocument/2006/relationships/hyperlink"/><Relationship Id="rId145" Target="http%3A%2F%2Fdx.doi.org%2F10.1016%2Fj.dld.2026.07.005" TargetMode="External" Type="http://schemas.openxmlformats.org/officeDocument/2006/relationships/hyperlink"/><Relationship Id="rId146" Target="https%3A%2F%2Fwww.webofscience.com%2Fwos%2Fwoscc%2Ffull-record%2FWOS%3A001851497600001" TargetMode="External" Type="http://schemas.openxmlformats.org/officeDocument/2006/relationships/hyperlink"/><Relationship Id="rId147" Target="http%3A%2F%2Fdx.doi.org%2F10.1002%2Fird3.102" TargetMode="External" Type="http://schemas.openxmlformats.org/officeDocument/2006/relationships/hyperlink"/><Relationship Id="rId148" Target="https%3A%2F%2Fwww.webofscience.com%2Fwos%2Fwoscc%2Ffull-record%2FWOS%3A001516961900001" TargetMode="External" Type="http://schemas.openxmlformats.org/officeDocument/2006/relationships/hyperlink"/><Relationship Id="rId149" Target="http%3A%2F%2Fdx.doi.org%2F10.1093%2Fjncics%2Fpkag039" TargetMode="External" Type="http://schemas.openxmlformats.org/officeDocument/2006/relationships/hyperlink"/><Relationship Id="rId15" Target="http%3A%2F%2Fdx.doi.org%2F10.1016%2Fj.engappai.2026.115544" TargetMode="External" Type="http://schemas.openxmlformats.org/officeDocument/2006/relationships/hyperlink"/><Relationship Id="rId150" Target="https%3A%2F%2Fwww.webofscience.com%2Fwos%2Fwoscc%2Ffull-record%2FWOS%3A001772634000001" TargetMode="External" Type="http://schemas.openxmlformats.org/officeDocument/2006/relationships/hyperlink"/><Relationship Id="rId151" Target="http%3A%2F%2Fdx.doi.org%2F10.1038%2Fs41598-026-51495-x" TargetMode="External" Type="http://schemas.openxmlformats.org/officeDocument/2006/relationships/hyperlink"/><Relationship Id="rId152" Target="https%3A%2F%2Fwww.webofscience.com%2Fwos%2Fwoscc%2Ffull-record%2FWOS%3A001777093200001" TargetMode="External" Type="http://schemas.openxmlformats.org/officeDocument/2006/relationships/hyperlink"/><Relationship Id="rId153" Target="http%3A%2F%2Fdx.doi.org%2F10.1007%2Fs00261-026-05588-w" TargetMode="External" Type="http://schemas.openxmlformats.org/officeDocument/2006/relationships/hyperlink"/><Relationship Id="rId154" Target="https%3A%2F%2Fwww.webofscience.com%2Fwos%2Fwoscc%2Ffull-record%2FWOS%3A001781898000001" TargetMode="External" Type="http://schemas.openxmlformats.org/officeDocument/2006/relationships/hyperlink"/><Relationship Id="rId155" Target="http%3A%2F%2Fdx.doi.org%2F10.22514%2Fjofph.2026.021" TargetMode="External" Type="http://schemas.openxmlformats.org/officeDocument/2006/relationships/hyperlink"/><Relationship Id="rId156" Target="https%3A%2F%2Fwww.webofscience.com%2Fwos%2Fwoscc%2Ffull-record%2FWOS%3A001747251500007" TargetMode="External" Type="http://schemas.openxmlformats.org/officeDocument/2006/relationships/hyperlink"/><Relationship Id="rId157" Target="http%3A%2F%2Fdx.doi.org%2F10.3389%2Ffmed.2026.1842344" TargetMode="External" Type="http://schemas.openxmlformats.org/officeDocument/2006/relationships/hyperlink"/><Relationship Id="rId158" Target="https%3A%2F%2Fwww.webofscience.com%2Fwos%2Fwoscc%2Ffull-record%2FWOS%3A001826815100001" TargetMode="External" Type="http://schemas.openxmlformats.org/officeDocument/2006/relationships/hyperlink"/><Relationship Id="rId159" Target="http%3A%2F%2Fdx.doi.org%2F10.1038%2Fs41551-024-01302-7" TargetMode="External" Type="http://schemas.openxmlformats.org/officeDocument/2006/relationships/hyperlink"/><Relationship Id="rId16" Target="https%3A%2F%2Fwww.webofscience.com%2Fwos%2Fwoscc%2Ffull-record%2FWOS%3A001814882400001" TargetMode="External" Type="http://schemas.openxmlformats.org/officeDocument/2006/relationships/hyperlink"/><Relationship Id="rId160" Target="https%3A%2F%2Fwww.webofscience.com%2Fwos%2Fwoscc%2Ffull-record%2FWOS%3A001370380400001" TargetMode="External" Type="http://schemas.openxmlformats.org/officeDocument/2006/relationships/hyperlink"/><Relationship Id="rId161" Target="http%3A%2F%2Fdx.doi.org%2F10.1038%2Fs41746-024-01419-8" TargetMode="External" Type="http://schemas.openxmlformats.org/officeDocument/2006/relationships/hyperlink"/><Relationship Id="rId162" Target="https%3A%2F%2Fwww.webofscience.com%2Fwos%2Fwoscc%2Ffull-record%2FWOS%3A001431179400001" TargetMode="External" Type="http://schemas.openxmlformats.org/officeDocument/2006/relationships/hyperlink"/><Relationship Id="rId163" Target="http%3A%2F%2Fdx.doi.org%2F10.1007%2Fs10278-022-00724-6" TargetMode="External" Type="http://schemas.openxmlformats.org/officeDocument/2006/relationships/hyperlink"/><Relationship Id="rId164" Target="https%3A%2F%2Fwww.webofscience.com%2Fwos%2Fwoscc%2Ffull-record%2FWOS%3A000871283200002" TargetMode="External" Type="http://schemas.openxmlformats.org/officeDocument/2006/relationships/hyperlink"/><Relationship Id="rId165" Target="http%3A%2F%2Fdx.doi.org%2F10.1515%2Fbmt-2026-0283" TargetMode="External" Type="http://schemas.openxmlformats.org/officeDocument/2006/relationships/hyperlink"/><Relationship Id="rId166" Target="https%3A%2F%2Fwww.webofscience.com%2Fwos%2Fwoscc%2Ffull-record%2FWOS%3A001811157700001" TargetMode="External" Type="http://schemas.openxmlformats.org/officeDocument/2006/relationships/hyperlink"/><Relationship Id="rId167" Target="http%3A%2F%2Fdx.doi.org%2F10.1038%2Fs41746-025-02257-y" TargetMode="External" Type="http://schemas.openxmlformats.org/officeDocument/2006/relationships/hyperlink"/><Relationship Id="rId168" Target="https%3A%2F%2Fwww.webofscience.com%2Fwos%2Fwoscc%2Ffull-record%2FWOS%3A001667950900001" TargetMode="External" Type="http://schemas.openxmlformats.org/officeDocument/2006/relationships/hyperlink"/><Relationship Id="rId169" Target="http%3A%2F%2Fdx.doi.org%2F10.1038%2Fs41746-025-02295-6" TargetMode="External" Type="http://schemas.openxmlformats.org/officeDocument/2006/relationships/hyperlink"/><Relationship Id="rId17" Target="http%3A%2F%2Fdx.doi.org%2F10.1186%2Fs12874-026-02845-w" TargetMode="External" Type="http://schemas.openxmlformats.org/officeDocument/2006/relationships/hyperlink"/><Relationship Id="rId170" Target="https%3A%2F%2Fwww.webofscience.com%2Fwos%2Fwoscc%2Ffull-record%2FWOS%3A001679395900001" TargetMode="External" Type="http://schemas.openxmlformats.org/officeDocument/2006/relationships/hyperlink"/><Relationship Id="rId171" Target="http%3A%2F%2Fdx.doi.org%2F10.1038%2Fs41746-025-01461-0" TargetMode="External" Type="http://schemas.openxmlformats.org/officeDocument/2006/relationships/hyperlink"/><Relationship Id="rId172" Target="https%3A%2F%2Fwww.webofscience.com%2Fwos%2Fwoscc%2Ffull-record%2FWOS%3A001408604900005" TargetMode="External" Type="http://schemas.openxmlformats.org/officeDocument/2006/relationships/hyperlink"/><Relationship Id="rId173" Target="http%3A%2F%2Fdx.doi.org%2F10.2196%2F58342" TargetMode="External" Type="http://schemas.openxmlformats.org/officeDocument/2006/relationships/hyperlink"/><Relationship Id="rId174" Target="https%3A%2F%2Fwww.webofscience.com%2Fwos%2Fwoscc%2Ffull-record%2FWOS%3A001374818000001" TargetMode="External" Type="http://schemas.openxmlformats.org/officeDocument/2006/relationships/hyperlink"/><Relationship Id="rId175" Target="http%3A%2F%2Fdx.doi.org%2F10.1016%2Fj.eswa.2025.130174" TargetMode="External" Type="http://schemas.openxmlformats.org/officeDocument/2006/relationships/hyperlink"/><Relationship Id="rId176" Target="https%3A%2F%2Fwww.webofscience.com%2Fwos%2Fwoscc%2Ffull-record%2FWOS%3A001617982400017" TargetMode="External" Type="http://schemas.openxmlformats.org/officeDocument/2006/relationships/hyperlink"/><Relationship Id="rId177" Target="http%3A%2F%2Fdx.doi.org%2F10.3389%2Ffrai.2026.1754000" TargetMode="External" Type="http://schemas.openxmlformats.org/officeDocument/2006/relationships/hyperlink"/><Relationship Id="rId178" Target="https%3A%2F%2Fwww.webofscience.com%2Fwos%2Fwoscc%2Ffull-record%2FWOS%3A001737906700001" TargetMode="External" Type="http://schemas.openxmlformats.org/officeDocument/2006/relationships/hyperlink"/><Relationship Id="rId179" Target="http%3A%2F%2Fdx.doi.org%2F10.1007%2Fs42452-026-08719-6" TargetMode="External" Type="http://schemas.openxmlformats.org/officeDocument/2006/relationships/hyperlink"/><Relationship Id="rId18" Target="https%3A%2F%2Fwww.webofscience.com%2Fwos%2Fwoscc%2Ffull-record%2FWOS%3A001764747700001" TargetMode="External" Type="http://schemas.openxmlformats.org/officeDocument/2006/relationships/hyperlink"/><Relationship Id="rId180" Target="https%3A%2F%2Fwww.webofscience.com%2Fwos%2Fwoscc%2Ffull-record%2FWOS%3A001810761600001" TargetMode="External" Type="http://schemas.openxmlformats.org/officeDocument/2006/relationships/hyperlink"/><Relationship Id="rId181" Target="http%3A%2F%2Fdx.doi.org%2F10.1167%2Ftvst.12.7.10" TargetMode="External" Type="http://schemas.openxmlformats.org/officeDocument/2006/relationships/hyperlink"/><Relationship Id="rId182" Target="https%3A%2F%2Fwww.webofscience.com%2Fwos%2Fwoscc%2Ffull-record%2FWOS%3A001108906600006" TargetMode="External" Type="http://schemas.openxmlformats.org/officeDocument/2006/relationships/hyperlink"/><Relationship Id="rId183" Target="http%3A%2F%2Fdx.doi.org%2F10.3390%2Fdiagnostics15080995" TargetMode="External" Type="http://schemas.openxmlformats.org/officeDocument/2006/relationships/hyperlink"/><Relationship Id="rId184" Target="https%3A%2F%2Fwww.webofscience.com%2Fwos%2Fwoscc%2Ffull-record%2FWOS%3A001475098100001" TargetMode="External" Type="http://schemas.openxmlformats.org/officeDocument/2006/relationships/hyperlink"/><Relationship Id="rId185" Target="http%3A%2F%2Fdx.doi.org%2F10.21037%2Fjtd-2025-1012" TargetMode="External" Type="http://schemas.openxmlformats.org/officeDocument/2006/relationships/hyperlink"/><Relationship Id="rId186" Target="https%3A%2F%2Fwww.webofscience.com%2Fwos%2Fwoscc%2Ffull-record%2FWOS%3A001615901300001" TargetMode="External" Type="http://schemas.openxmlformats.org/officeDocument/2006/relationships/hyperlink"/><Relationship Id="rId187" Target="http%3A%2F%2Fdx.doi.org%2F10.3390%2Fcurroncol31110530" TargetMode="External" Type="http://schemas.openxmlformats.org/officeDocument/2006/relationships/hyperlink"/><Relationship Id="rId188" Target="https%3A%2F%2Fwww.webofscience.com%2Fwos%2Fwoscc%2Ffull-record%2FWOS%3A001364073600001" TargetMode="External" Type="http://schemas.openxmlformats.org/officeDocument/2006/relationships/hyperlink"/><Relationship Id="rId189" Target="http%3A%2F%2Fdx.doi.org%2F10.1148%2Fradiol.230806" TargetMode="External" Type="http://schemas.openxmlformats.org/officeDocument/2006/relationships/hyperlink"/><Relationship Id="rId19" Target="http%3A%2F%2Fdx.doi.org%2F10.1007%2Fs10554-025-03322-z" TargetMode="External" Type="http://schemas.openxmlformats.org/officeDocument/2006/relationships/hyperlink"/><Relationship Id="rId190" Target="https%3A%2F%2Fwww.webofscience.com%2Fwos%2Fwoscc%2Ffull-record%2FWOS%3A001111028800010" TargetMode="External" Type="http://schemas.openxmlformats.org/officeDocument/2006/relationships/hyperlink"/><Relationship Id="rId191" Target="http%3A%2F%2Fdx.doi.org%2F10.1016%2Fj.ymeth.2026.02.007" TargetMode="External" Type="http://schemas.openxmlformats.org/officeDocument/2006/relationships/hyperlink"/><Relationship Id="rId192" Target="https%3A%2F%2Fwww.webofscience.com%2Fwos%2Fwoscc%2Ffull-record%2FWOS%3A001697985900001" TargetMode="External" Type="http://schemas.openxmlformats.org/officeDocument/2006/relationships/hyperlink"/><Relationship Id="rId193" Target="http%3A%2F%2Fdx.doi.org%2F10.1007%2Fs10791-025-09901-x" TargetMode="External" Type="http://schemas.openxmlformats.org/officeDocument/2006/relationships/hyperlink"/><Relationship Id="rId194" Target="https%3A%2F%2Fwww.webofscience.com%2Fwos%2Fwoscc%2Ffull-record%2FWOS%3A001655532200003" TargetMode="External" Type="http://schemas.openxmlformats.org/officeDocument/2006/relationships/hyperlink"/><Relationship Id="rId195" Target="http%3A%2F%2Fdx.doi.org%2F10.1016%2Fj.bios.2025.117251" TargetMode="External" Type="http://schemas.openxmlformats.org/officeDocument/2006/relationships/hyperlink"/><Relationship Id="rId196" Target="https%3A%2F%2Fwww.webofscience.com%2Fwos%2Fwoscc%2Ffull-record%2FWOS%3A001436629300001" TargetMode="External" Type="http://schemas.openxmlformats.org/officeDocument/2006/relationships/hyperlink"/><Relationship Id="rId197" Target="http%3A%2F%2Fdx.doi.org%2F10.3390%2Fs26154728" TargetMode="External" Type="http://schemas.openxmlformats.org/officeDocument/2006/relationships/hyperlink"/><Relationship Id="rId198" Target="https%3A%2F%2Fwww.webofscience.com%2Fwos%2Fwoscc%2Ffull-record%2FWOS%3A001848193400001" TargetMode="External" Type="http://schemas.openxmlformats.org/officeDocument/2006/relationships/hyperlink"/><Relationship Id="rId199" Target="http%3A%2F%2Fdx.doi.org%2F10.1016%2Fj.array.2026.100730" TargetMode="External" Type="http://schemas.openxmlformats.org/officeDocument/2006/relationships/hyperlink"/><Relationship Id="rId2" Target="https%3A%2F%2Fwww.webofscience.com%2Fwos%2Fwoscc%2Ffull-record%2FWOS%3A001849196900001" TargetMode="External" Type="http://schemas.openxmlformats.org/officeDocument/2006/relationships/hyperlink"/><Relationship Id="rId20" Target="https%3A%2F%2Fwww.webofscience.com%2Fwos%2Fwoscc%2Ffull-record%2FWOS%3A001392691800001" TargetMode="External" Type="http://schemas.openxmlformats.org/officeDocument/2006/relationships/hyperlink"/><Relationship Id="rId200" Target="https%3A%2F%2Fwww.webofscience.com%2Fwos%2Fwoscc%2Ffull-record%2FWOS%3A001712972600001" TargetMode="External" Type="http://schemas.openxmlformats.org/officeDocument/2006/relationships/hyperlink"/><Relationship Id="rId201" Target="https%3A%2F%2Fwww.webofscience.com%2Fwos%2Fwoscc%2Ffull-record%2FWOS%3A001277908900001" TargetMode="External" Type="http://schemas.openxmlformats.org/officeDocument/2006/relationships/hyperlink"/><Relationship Id="rId202" Target="http%3A%2F%2Fdx.doi.org%2F10.1093%2Fjamia%2Focad213" TargetMode="External" Type="http://schemas.openxmlformats.org/officeDocument/2006/relationships/hyperlink"/><Relationship Id="rId203" Target="https%3A%2F%2Fwww.webofscience.com%2Fwos%2Fwoscc%2Ffull-record%2FWOS%3A001102018000001" TargetMode="External" Type="http://schemas.openxmlformats.org/officeDocument/2006/relationships/hyperlink"/><Relationship Id="rId204" Target="http%3A%2F%2Fdx.doi.org%2F10.1002%2FVIW.20240001" TargetMode="External" Type="http://schemas.openxmlformats.org/officeDocument/2006/relationships/hyperlink"/><Relationship Id="rId205" Target="https%3A%2F%2Fwww.webofscience.com%2Fwos%2Fwoscc%2Ffull-record%2FWOS%3A001286052700001" TargetMode="External" Type="http://schemas.openxmlformats.org/officeDocument/2006/relationships/hyperlink"/><Relationship Id="rId206" Target="http%3A%2F%2Fdx.doi.org%2F10.1109%2FACCESS.2026.3687397" TargetMode="External" Type="http://schemas.openxmlformats.org/officeDocument/2006/relationships/hyperlink"/><Relationship Id="rId207" Target="https%3A%2F%2Fwww.webofscience.com%2Fwos%2Fwoscc%2Ffull-record%2FWOS%3A001754886700030" TargetMode="External" Type="http://schemas.openxmlformats.org/officeDocument/2006/relationships/hyperlink"/><Relationship Id="rId208" Target="http%3A%2F%2Fdx.doi.org%2F10.1177%2F20552076251390281" TargetMode="External" Type="http://schemas.openxmlformats.org/officeDocument/2006/relationships/hyperlink"/><Relationship Id="rId209" Target="https%3A%2F%2Fwww.webofscience.com%2Fwos%2Fwoscc%2Ffull-record%2FWOS%3A001598111500001" TargetMode="External" Type="http://schemas.openxmlformats.org/officeDocument/2006/relationships/hyperlink"/><Relationship Id="rId21" Target="http%3A%2F%2Fdx.doi.org%2F10.1016%2Fj.inffus.2025.102981" TargetMode="External" Type="http://schemas.openxmlformats.org/officeDocument/2006/relationships/hyperlink"/><Relationship Id="rId210" Target="http%3A%2F%2Fdx.doi.org%2F10.1016%2Fj.surg.2023.06.053" TargetMode="External" Type="http://schemas.openxmlformats.org/officeDocument/2006/relationships/hyperlink"/><Relationship Id="rId211" Target="https%3A%2F%2Fwww.webofscience.com%2Fwos%2Fwoscc%2Ffull-record%2FWOS%3A001141691400001" TargetMode="External" Type="http://schemas.openxmlformats.org/officeDocument/2006/relationships/hyperlink"/><Relationship Id="rId212" Target="http%3A%2F%2Fdx.doi.org%2F10.1007%2Fs44196-026-01193-3" TargetMode="External" Type="http://schemas.openxmlformats.org/officeDocument/2006/relationships/hyperlink"/><Relationship Id="rId213" Target="https%3A%2F%2Fwww.webofscience.com%2Fwos%2Fwoscc%2Ffull-record%2FWOS%3A001765052700002" TargetMode="External" Type="http://schemas.openxmlformats.org/officeDocument/2006/relationships/hyperlink"/><Relationship Id="rId214" Target="http%3A%2F%2Fdx.doi.org%2F10.1186%2Fs12885-026-16116-w" TargetMode="External" Type="http://schemas.openxmlformats.org/officeDocument/2006/relationships/hyperlink"/><Relationship Id="rId215" Target="https%3A%2F%2Fwww.webofscience.com%2Fwos%2Fwoscc%2Ffull-record%2FWOS%3A001810951600001" TargetMode="External" Type="http://schemas.openxmlformats.org/officeDocument/2006/relationships/hyperlink"/><Relationship Id="rId216" Target="http%3A%2F%2Fdx.doi.org%2F10.1093%2Fmilmed%2Fusag192" TargetMode="External" Type="http://schemas.openxmlformats.org/officeDocument/2006/relationships/hyperlink"/><Relationship Id="rId217" Target="https%3A%2F%2Fwww.webofscience.com%2Fwos%2Fwoscc%2Ffull-record%2FWOS%3A001842345300021" TargetMode="External" Type="http://schemas.openxmlformats.org/officeDocument/2006/relationships/hyperlink"/><Relationship Id="rId218" Target="http%3A%2F%2Fdx.doi.org%2F10.1093%2Fbib%2Fbbag224" TargetMode="External" Type="http://schemas.openxmlformats.org/officeDocument/2006/relationships/hyperlink"/><Relationship Id="rId219" Target="https%3A%2F%2Fwww.webofscience.com%2Fwos%2Fwoscc%2Ffull-record%2FWOS%3A001757376200001" TargetMode="External" Type="http://schemas.openxmlformats.org/officeDocument/2006/relationships/hyperlink"/><Relationship Id="rId22" Target="https%3A%2F%2Fwww.webofscience.com%2Fwos%2Fwoscc%2Ffull-record%2FWOS%3A001424816800001" TargetMode="External" Type="http://schemas.openxmlformats.org/officeDocument/2006/relationships/hyperlink"/><Relationship Id="rId220" Target="http%3A%2F%2Fdx.doi.org%2F10.1177%2F15500594251366800" TargetMode="External" Type="http://schemas.openxmlformats.org/officeDocument/2006/relationships/hyperlink"/><Relationship Id="rId221" Target="https%3A%2F%2Fwww.webofscience.com%2Fwos%2Fwoscc%2Ffull-record%2FWOS%3A001698340000001" TargetMode="External" Type="http://schemas.openxmlformats.org/officeDocument/2006/relationships/hyperlink"/><Relationship Id="rId222" Target="http%3A%2F%2Fdx.doi.org%2F10.1007%2Fs11655-022-3541-8" TargetMode="External" Type="http://schemas.openxmlformats.org/officeDocument/2006/relationships/hyperlink"/><Relationship Id="rId223" Target="https%3A%2F%2Fwww.webofscience.com%2Fwos%2Fwoscc%2Ffull-record%2FWOS%3A000883206300002" TargetMode="External" Type="http://schemas.openxmlformats.org/officeDocument/2006/relationships/hyperlink"/><Relationship Id="rId224" Target="http%3A%2F%2Fdx.doi.org%2F10.3389%2Ffmed.2026.1858126" TargetMode="External" Type="http://schemas.openxmlformats.org/officeDocument/2006/relationships/hyperlink"/><Relationship Id="rId225" Target="https%3A%2F%2Fwww.webofscience.com%2Fwos%2Fwoscc%2Ffull-record%2FWOS%3A001839250300001" TargetMode="External" Type="http://schemas.openxmlformats.org/officeDocument/2006/relationships/hyperlink"/><Relationship Id="rId226" Target="http%3A%2F%2Fdx.doi.org%2F10.1038%2Fs41598-025-34153-6" TargetMode="External" Type="http://schemas.openxmlformats.org/officeDocument/2006/relationships/hyperlink"/><Relationship Id="rId227" Target="https%3A%2F%2Fwww.webofscience.com%2Fwos%2Fwoscc%2Ffull-record%2FWOS%3A001674635700001" TargetMode="External" Type="http://schemas.openxmlformats.org/officeDocument/2006/relationships/hyperlink"/><Relationship Id="rId228" Target="http%3A%2F%2Fdx.doi.org%2F10.3390%2Fdiagnostics16050734" TargetMode="External" Type="http://schemas.openxmlformats.org/officeDocument/2006/relationships/hyperlink"/><Relationship Id="rId229" Target="https%3A%2F%2Fwww.webofscience.com%2Fwos%2Fwoscc%2Ffull-record%2FWOS%3A001713909700001" TargetMode="External" Type="http://schemas.openxmlformats.org/officeDocument/2006/relationships/hyperlink"/><Relationship Id="rId23" Target="http%3A%2F%2Fdx.doi.org%2F10.1007%2Fs41666-025-00219-3" TargetMode="External" Type="http://schemas.openxmlformats.org/officeDocument/2006/relationships/hyperlink"/><Relationship Id="rId230" Target="http%3A%2F%2Fdx.doi.org%2F10.1016%2Fj.pscychresns.2026.112234" TargetMode="External" Type="http://schemas.openxmlformats.org/officeDocument/2006/relationships/hyperlink"/><Relationship Id="rId231" Target="https%3A%2F%2Fwww.webofscience.com%2Fwos%2Fwoscc%2Ffull-record%2FWOS%3A001762482700001" TargetMode="External" Type="http://schemas.openxmlformats.org/officeDocument/2006/relationships/hyperlink"/><Relationship Id="rId232" Target="http%3A%2F%2Fdx.doi.org%2F10.1016%2Fj.jbo.2025.100718" TargetMode="External" Type="http://schemas.openxmlformats.org/officeDocument/2006/relationships/hyperlink"/><Relationship Id="rId233" Target="https%3A%2F%2Fwww.webofscience.com%2Fwos%2Fwoscc%2Ffull-record%2FWOS%3A001606502700001" TargetMode="External" Type="http://schemas.openxmlformats.org/officeDocument/2006/relationships/hyperlink"/><Relationship Id="rId234" Target="http%3A%2F%2Fdx.doi.org%2F10.1109%2FACCESS.2025.3556700" TargetMode="External" Type="http://schemas.openxmlformats.org/officeDocument/2006/relationships/hyperlink"/><Relationship Id="rId235" Target="https%3A%2F%2Fwww.webofscience.com%2Fwos%2Fwoscc%2Ffull-record%2FWOS%3A001463859200005" TargetMode="External" Type="http://schemas.openxmlformats.org/officeDocument/2006/relationships/hyperlink"/><Relationship Id="rId236" Target="http%3A%2F%2Fdx.doi.org%2F10.1016%2Fj.displa.2026.103525" TargetMode="External" Type="http://schemas.openxmlformats.org/officeDocument/2006/relationships/hyperlink"/><Relationship Id="rId237" Target="https%3A%2F%2Fwww.webofscience.com%2Fwos%2Fwoscc%2Ffull-record%2FWOS%3A001780093900001" TargetMode="External" Type="http://schemas.openxmlformats.org/officeDocument/2006/relationships/hyperlink"/><Relationship Id="rId238" Target="http%3A%2F%2Fdx.doi.org%2F10.3390%2Fcomputation14060138" TargetMode="External" Type="http://schemas.openxmlformats.org/officeDocument/2006/relationships/hyperlink"/><Relationship Id="rId239" Target="https%3A%2F%2Fwww.webofscience.com%2Fwos%2Fwoscc%2Ffull-record%2FWOS%3A001801960400001" TargetMode="External" Type="http://schemas.openxmlformats.org/officeDocument/2006/relationships/hyperlink"/><Relationship Id="rId24" Target="https%3A%2F%2Fwww.webofscience.com%2Fwos%2Fwoscc%2Ffull-record%2FWOS%3A001626599800001" TargetMode="External" Type="http://schemas.openxmlformats.org/officeDocument/2006/relationships/hyperlink"/><Relationship Id="rId240" Target="http%3A%2F%2Fdx.doi.org%2F10.1016%2Fj.jbi.2026.105055" TargetMode="External" Type="http://schemas.openxmlformats.org/officeDocument/2006/relationships/hyperlink"/><Relationship Id="rId241" Target="https%3A%2F%2Fwww.webofscience.com%2Fwos%2Fwoscc%2Ffull-record%2FWOS%3A001779576900001" TargetMode="External" Type="http://schemas.openxmlformats.org/officeDocument/2006/relationships/hyperlink"/><Relationship Id="rId242" Target="http%3A%2F%2Fdx.doi.org%2F10.1016%2Fj.bspc.2023.105906" TargetMode="External" Type="http://schemas.openxmlformats.org/officeDocument/2006/relationships/hyperlink"/><Relationship Id="rId243" Target="https%3A%2F%2Fwww.webofscience.com%2Fwos%2Fwoscc%2Ffull-record%2FWOS%3A001154177700001" TargetMode="External" Type="http://schemas.openxmlformats.org/officeDocument/2006/relationships/hyperlink"/><Relationship Id="rId244" Target="http%3A%2F%2Fdx.doi.org%2F10.1038%2Fs41598-026-40734-w" TargetMode="External" Type="http://schemas.openxmlformats.org/officeDocument/2006/relationships/hyperlink"/><Relationship Id="rId245" Target="https%3A%2F%2Fwww.webofscience.com%2Fwos%2Fwoscc%2Ffull-record%2FWOS%3A001727680800023" TargetMode="External" Type="http://schemas.openxmlformats.org/officeDocument/2006/relationships/hyperlink"/><Relationship Id="rId246" Target="http%3A%2F%2Fdx.doi.org%2F10.1038%2Fs41598-025-26715-5" TargetMode="External" Type="http://schemas.openxmlformats.org/officeDocument/2006/relationships/hyperlink"/><Relationship Id="rId247" Target="https%3A%2F%2Fwww.webofscience.com%2Fwos%2Fwoscc%2Ffull-record%2FWOS%3A001613940600010" TargetMode="External" Type="http://schemas.openxmlformats.org/officeDocument/2006/relationships/hyperlink"/><Relationship Id="rId248" Target="http%3A%2F%2Fdx.doi.org%2F10.3389%2Ffonc.2026.1767885" TargetMode="External" Type="http://schemas.openxmlformats.org/officeDocument/2006/relationships/hyperlink"/><Relationship Id="rId249" Target="https%3A%2F%2Fwww.webofscience.com%2Fwos%2Fwoscc%2Ffull-record%2FWOS%3A001737233900001" TargetMode="External" Type="http://schemas.openxmlformats.org/officeDocument/2006/relationships/hyperlink"/><Relationship Id="rId25" Target="http%3A%2F%2Fdx.doi.org%2F10.3390%2Fdiagnostics12123192" TargetMode="External" Type="http://schemas.openxmlformats.org/officeDocument/2006/relationships/hyperlink"/><Relationship Id="rId250" Target="http%3A%2F%2Fdx.doi.org%2F10.1109%2FACCESS.2025.3564529" TargetMode="External" Type="http://schemas.openxmlformats.org/officeDocument/2006/relationships/hyperlink"/><Relationship Id="rId251" Target="https%3A%2F%2Fwww.webofscience.com%2Fwos%2Fwoscc%2Ffull-record%2FWOS%3A001481864700008" TargetMode="External" Type="http://schemas.openxmlformats.org/officeDocument/2006/relationships/hyperlink"/><Relationship Id="rId252" Target="http%3A%2F%2Fdx.doi.org%2F10.1016%2Fj.cmpb.2023.107978" TargetMode="External" Type="http://schemas.openxmlformats.org/officeDocument/2006/relationships/hyperlink"/><Relationship Id="rId253" Target="https%3A%2F%2Fwww.webofscience.com%2Fwos%2Fwoscc%2Ffull-record%2FWOS%3A001145678200001" TargetMode="External" Type="http://schemas.openxmlformats.org/officeDocument/2006/relationships/hyperlink"/><Relationship Id="rId254" Target="http%3A%2F%2Fdx.doi.org%2F10.3389%2Ffpubh.2025.1470072" TargetMode="External" Type="http://schemas.openxmlformats.org/officeDocument/2006/relationships/hyperlink"/><Relationship Id="rId255" Target="https%3A%2F%2Fwww.webofscience.com%2Fwos%2Fwoscc%2Ffull-record%2FWOS%3A001435114900001" TargetMode="External" Type="http://schemas.openxmlformats.org/officeDocument/2006/relationships/hyperlink"/><Relationship Id="rId256" Target="http%3A%2F%2Fdx.doi.org%2F10.1016%2Fj.acra.2025.06.043" TargetMode="External" Type="http://schemas.openxmlformats.org/officeDocument/2006/relationships/hyperlink"/><Relationship Id="rId257" Target="https%3A%2F%2Fwww.webofscience.com%2Fwos%2Fwoscc%2Ffull-record%2FWOS%3A001566611500001" TargetMode="External" Type="http://schemas.openxmlformats.org/officeDocument/2006/relationships/hyperlink"/><Relationship Id="rId258" Target="http%3A%2F%2Fdx.doi.org%2F10.1093%2Fneuonc%2Fnoae173" TargetMode="External" Type="http://schemas.openxmlformats.org/officeDocument/2006/relationships/hyperlink"/><Relationship Id="rId259" Target="https%3A%2F%2Fwww.webofscience.com%2Fwos%2Fwoscc%2Ffull-record%2FWOS%3A001321514900001" TargetMode="External" Type="http://schemas.openxmlformats.org/officeDocument/2006/relationships/hyperlink"/><Relationship Id="rId26" Target="https%3A%2F%2Fwww.webofscience.com%2Fwos%2Fwoscc%2Ffull-record%2FWOS%3A000902265200001" TargetMode="External" Type="http://schemas.openxmlformats.org/officeDocument/2006/relationships/hyperlink"/><Relationship Id="rId260" Target="http%3A%2F%2Fdx.doi.org%2F10.1186%2Fs12967-025-06617-w" TargetMode="External" Type="http://schemas.openxmlformats.org/officeDocument/2006/relationships/hyperlink"/><Relationship Id="rId261" Target="https%3A%2F%2Fwww.webofscience.com%2Fwos%2Fwoscc%2Ffull-record%2FWOS%3A001527001000002" TargetMode="External" Type="http://schemas.openxmlformats.org/officeDocument/2006/relationships/hyperlink"/><Relationship Id="rId262" Target="http%3A%2F%2Fdx.doi.org%2F10.1007%2Fs00586-025-08873-2" TargetMode="External" Type="http://schemas.openxmlformats.org/officeDocument/2006/relationships/hyperlink"/><Relationship Id="rId263" Target="https%3A%2F%2Fwww.webofscience.com%2Fwos%2Fwoscc%2Ffull-record%2FWOS%3A001472138300001" TargetMode="External" Type="http://schemas.openxmlformats.org/officeDocument/2006/relationships/hyperlink"/><Relationship Id="rId264" Target="http%3A%2F%2Fdx.doi.org%2F10.1007%2Fs00261-025-05045-0" TargetMode="External" Type="http://schemas.openxmlformats.org/officeDocument/2006/relationships/hyperlink"/><Relationship Id="rId265" Target="https%3A%2F%2Fwww.webofscience.com%2Fwos%2Fwoscc%2Ffull-record%2FWOS%3A001518892800001" TargetMode="External" Type="http://schemas.openxmlformats.org/officeDocument/2006/relationships/hyperlink"/><Relationship Id="rId266" Target="http%3A%2F%2Fdx.doi.org%2F10.1016%2Fj.ejrad.2025.112254" TargetMode="External" Type="http://schemas.openxmlformats.org/officeDocument/2006/relationships/hyperlink"/><Relationship Id="rId267" Target="https%3A%2F%2Fwww.webofscience.com%2Fwos%2Fwoscc%2Ffull-record%2FWOS%3A001520453300001" TargetMode="External" Type="http://schemas.openxmlformats.org/officeDocument/2006/relationships/hyperlink"/><Relationship Id="rId268" Target="http%3A%2F%2Fdx.doi.org%2F10.1038%2Fs41598-025-01502-4" TargetMode="External" Type="http://schemas.openxmlformats.org/officeDocument/2006/relationships/hyperlink"/><Relationship Id="rId269" Target="https%3A%2F%2Fwww.webofscience.com%2Fwos%2Fwoscc%2Ffull-record%2FWOS%3A001486830600045" TargetMode="External" Type="http://schemas.openxmlformats.org/officeDocument/2006/relationships/hyperlink"/><Relationship Id="rId27" Target="http%3A%2F%2Fdx.doi.org%2F10.1186%2Fs12872-026-05660-9" TargetMode="External" Type="http://schemas.openxmlformats.org/officeDocument/2006/relationships/hyperlink"/><Relationship Id="rId270" Target="http%3A%2F%2Fdx.doi.org%2F10.3390%2Fcosmetics12050194" TargetMode="External" Type="http://schemas.openxmlformats.org/officeDocument/2006/relationships/hyperlink"/><Relationship Id="rId271" Target="https%3A%2F%2Fwww.webofscience.com%2Fwos%2Fwoscc%2Ffull-record%2FWOS%3A001602368500001" TargetMode="External" Type="http://schemas.openxmlformats.org/officeDocument/2006/relationships/hyperlink"/><Relationship Id="rId272" Target="http%3A%2F%2Fdx.doi.org%2F10.1016%2Fj.slast.2025.100361" TargetMode="External" Type="http://schemas.openxmlformats.org/officeDocument/2006/relationships/hyperlink"/><Relationship Id="rId273" Target="https%3A%2F%2Fwww.webofscience.com%2Fwos%2Fwoscc%2Ffull-record%2FWOS%3A001614170800001" TargetMode="External" Type="http://schemas.openxmlformats.org/officeDocument/2006/relationships/hyperlink"/><Relationship Id="rId274" Target="http%3A%2F%2Fdx.doi.org%2F10.1001%2Fjamanetworkopen.2024.22454" TargetMode="External" Type="http://schemas.openxmlformats.org/officeDocument/2006/relationships/hyperlink"/><Relationship Id="rId275" Target="https%3A%2F%2Fwww.webofscience.com%2Fwos%2Fwoscc%2Ffull-record%2FWOS%3A001272857200003" TargetMode="External" Type="http://schemas.openxmlformats.org/officeDocument/2006/relationships/hyperlink"/><Relationship Id="rId276" Target="http%3A%2F%2Fdx.doi.org%2F10.1016%2Fj.cmpb.2025.108810" TargetMode="External" Type="http://schemas.openxmlformats.org/officeDocument/2006/relationships/hyperlink"/><Relationship Id="rId277" Target="https%3A%2F%2Fwww.webofscience.com%2Fwos%2Fwoscc%2Ffull-record%2FWOS%3A001492987800001" TargetMode="External" Type="http://schemas.openxmlformats.org/officeDocument/2006/relationships/hyperlink"/><Relationship Id="rId278" Target="http%3A%2F%2Fdx.doi.org%2F10.1016%2Fj.tjpad.2025.100397" TargetMode="External" Type="http://schemas.openxmlformats.org/officeDocument/2006/relationships/hyperlink"/><Relationship Id="rId279" Target="https%3A%2F%2Fwww.webofscience.com%2Fwos%2Fwoscc%2Ffull-record%2FWOS%3A001633459300001" TargetMode="External" Type="http://schemas.openxmlformats.org/officeDocument/2006/relationships/hyperlink"/><Relationship Id="rId28" Target="https%3A%2F%2Fwww.webofscience.com%2Fwos%2Fwoscc%2Ffull-record%2FWOS%3A001735183900001" TargetMode="External" Type="http://schemas.openxmlformats.org/officeDocument/2006/relationships/hyperlink"/><Relationship Id="rId280" Target="http%3A%2F%2Fdx.doi.org%2F10.3389%2Ffrai.2024.1326050" TargetMode="External" Type="http://schemas.openxmlformats.org/officeDocument/2006/relationships/hyperlink"/><Relationship Id="rId281" Target="https%3A%2F%2Fwww.webofscience.com%2Fwos%2Fwoscc%2Ffull-record%2FWOS%3A001182558700001" TargetMode="External" Type="http://schemas.openxmlformats.org/officeDocument/2006/relationships/hyperlink"/><Relationship Id="rId282" Target="http%3A%2F%2Fdx.doi.org%2F10.1016%2Fj.compeleceng.2022.108396" TargetMode="External" Type="http://schemas.openxmlformats.org/officeDocument/2006/relationships/hyperlink"/><Relationship Id="rId283" Target="https%3A%2F%2Fwww.webofscience.com%2Fwos%2Fwoscc%2Ffull-record%2FWOS%3A000870354100010" TargetMode="External" Type="http://schemas.openxmlformats.org/officeDocument/2006/relationships/hyperlink"/><Relationship Id="rId284" Target="http%3A%2F%2Fdx.doi.org%2F10.1016%2Fj.array.2026.100702" TargetMode="External" Type="http://schemas.openxmlformats.org/officeDocument/2006/relationships/hyperlink"/><Relationship Id="rId285" Target="https%3A%2F%2Fwww.webofscience.com%2Fwos%2Fwoscc%2Ffull-record%2FWOS%3A001685743100001" TargetMode="External" Type="http://schemas.openxmlformats.org/officeDocument/2006/relationships/hyperlink"/><Relationship Id="rId286" Target="http%3A%2F%2Fdx.doi.org%2F10.1136%2Fbjo-2025-327506" TargetMode="External" Type="http://schemas.openxmlformats.org/officeDocument/2006/relationships/hyperlink"/><Relationship Id="rId287" Target="https%3A%2F%2Fwww.webofscience.com%2Fwos%2Fwoscc%2Ffull-record%2FWOS%3A001611110900001" TargetMode="External" Type="http://schemas.openxmlformats.org/officeDocument/2006/relationships/hyperlink"/><Relationship Id="rId288" Target="http%3A%2F%2Fdx.doi.org%2F10.1155%2Fint%2F9369999" TargetMode="External" Type="http://schemas.openxmlformats.org/officeDocument/2006/relationships/hyperlink"/><Relationship Id="rId289" Target="https%3A%2F%2Fwww.webofscience.com%2Fwos%2Fwoscc%2Ffull-record%2FWOS%3A001611165700001" TargetMode="External" Type="http://schemas.openxmlformats.org/officeDocument/2006/relationships/hyperlink"/><Relationship Id="rId29" Target="http%3A%2F%2Fdx.doi.org%2F10.1186%2Fs12984-025-01796-5" TargetMode="External" Type="http://schemas.openxmlformats.org/officeDocument/2006/relationships/hyperlink"/><Relationship Id="rId290" Target="http%3A%2F%2Fdx.doi.org%2F10.21037%2Fqims-2025-635" TargetMode="External" Type="http://schemas.openxmlformats.org/officeDocument/2006/relationships/hyperlink"/><Relationship Id="rId291" Target="https%3A%2F%2Fwww.webofscience.com%2Fwos%2Fwoscc%2Ffull-record%2FWOS%3A001593086700009" TargetMode="External" Type="http://schemas.openxmlformats.org/officeDocument/2006/relationships/hyperlink"/><Relationship Id="rId292" Target="http%3A%2F%2Fdx.doi.org%2F10.1016%2Fj.xops.2026.101254" TargetMode="External" Type="http://schemas.openxmlformats.org/officeDocument/2006/relationships/hyperlink"/><Relationship Id="rId293" Target="https%3A%2F%2Fwww.webofscience.com%2Fwos%2Fwoscc%2Ffull-record%2FWOS%3A001814468200001" TargetMode="External" Type="http://schemas.openxmlformats.org/officeDocument/2006/relationships/hyperlink"/><Relationship Id="rId294" Target="http%3A%2F%2Fdx.doi.org%2F10.1093%2Fbraincomms%2Ffcaf179" TargetMode="External" Type="http://schemas.openxmlformats.org/officeDocument/2006/relationships/hyperlink"/><Relationship Id="rId295" Target="https%3A%2F%2Fwww.webofscience.com%2Fwos%2Fwoscc%2Ffull-record%2FWOS%3A001489166400001" TargetMode="External" Type="http://schemas.openxmlformats.org/officeDocument/2006/relationships/hyperlink"/><Relationship Id="rId296" Target="http%3A%2F%2Fdx.doi.org%2F10.1016%2Fj.csbj.2021.12.028" TargetMode="External" Type="http://schemas.openxmlformats.org/officeDocument/2006/relationships/hyperlink"/><Relationship Id="rId297" Target="https%3A%2F%2Fwww.webofscience.com%2Fwos%2Fwoscc%2Ffull-record%2FWOS%3A000819903300004" TargetMode="External" Type="http://schemas.openxmlformats.org/officeDocument/2006/relationships/hyperlink"/><Relationship Id="rId298" Target="http%3A%2F%2Fdx.doi.org%2F10.1088%2F2631-8695%2Fadf02f" TargetMode="External" Type="http://schemas.openxmlformats.org/officeDocument/2006/relationships/hyperlink"/><Relationship Id="rId299" Target="https%3A%2F%2Fwww.webofscience.com%2Fwos%2Fwoscc%2Ffull-record%2FWOS%3A001554317700001" TargetMode="External" Type="http://schemas.openxmlformats.org/officeDocument/2006/relationships/hyperlink"/><Relationship Id="rId3" Target="http%3A%2F%2Fdx.doi.org%2F10.3389%2Ffphys.2025.1605406" TargetMode="External" Type="http://schemas.openxmlformats.org/officeDocument/2006/relationships/hyperlink"/><Relationship Id="rId30" Target="https%3A%2F%2Fwww.webofscience.com%2Fwos%2Fwoscc%2Ffull-record%2FWOS%3A001669053700001" TargetMode="External" Type="http://schemas.openxmlformats.org/officeDocument/2006/relationships/hyperlink"/><Relationship Id="rId300" Target="http%3A%2F%2Fdx.doi.org%2F10.3390%2Fbioengineering12010072" TargetMode="External" Type="http://schemas.openxmlformats.org/officeDocument/2006/relationships/hyperlink"/><Relationship Id="rId301" Target="https%3A%2F%2Fwww.webofscience.com%2Fwos%2Fwoscc%2Ffull-record%2FWOS%3A001404553400001" TargetMode="External" Type="http://schemas.openxmlformats.org/officeDocument/2006/relationships/hyperlink"/><Relationship Id="rId302" Target="http%3A%2F%2Fdx.doi.org%2F10.1007%2Fs00330-025-12315-4" TargetMode="External" Type="http://schemas.openxmlformats.org/officeDocument/2006/relationships/hyperlink"/><Relationship Id="rId303" Target="https%3A%2F%2Fwww.webofscience.com%2Fwos%2Fwoscc%2Ffull-record%2FWOS%3A001676407400001" TargetMode="External" Type="http://schemas.openxmlformats.org/officeDocument/2006/relationships/hyperlink"/><Relationship Id="rId304" Target="http%3A%2F%2Fdx.doi.org%2F10.3390%2Fbioengineering13050564" TargetMode="External" Type="http://schemas.openxmlformats.org/officeDocument/2006/relationships/hyperlink"/><Relationship Id="rId305" Target="https%3A%2F%2Fwww.webofscience.com%2Fwos%2Fwoscc%2Ffull-record%2FWOS%3A001774845500001" TargetMode="External" Type="http://schemas.openxmlformats.org/officeDocument/2006/relationships/hyperlink"/><Relationship Id="rId306" Target="http%3A%2F%2Fdx.doi.org%2F10.2196%2F91048" TargetMode="External" Type="http://schemas.openxmlformats.org/officeDocument/2006/relationships/hyperlink"/><Relationship Id="rId307" Target="https%3A%2F%2Fwww.webofscience.com%2Fwos%2Fwoscc%2Ffull-record%2FWOS%3A001848297900002" TargetMode="External" Type="http://schemas.openxmlformats.org/officeDocument/2006/relationships/hyperlink"/><Relationship Id="rId308" Target="http%3A%2F%2Fdx.doi.org%2F10.13053%2FCyS-30-1-6316" TargetMode="External" Type="http://schemas.openxmlformats.org/officeDocument/2006/relationships/hyperlink"/><Relationship Id="rId309" Target="https%3A%2F%2Fwww.webofscience.com%2Fwos%2Fwoscc%2Ffull-record%2FWOS%3A001733635600015" TargetMode="External" Type="http://schemas.openxmlformats.org/officeDocument/2006/relationships/hyperlink"/><Relationship Id="rId31" Target="http%3A%2F%2Fdx.doi.org%2F10.1016%2Fj.cmpb.2024.108357" TargetMode="External" Type="http://schemas.openxmlformats.org/officeDocument/2006/relationships/hyperlink"/><Relationship Id="rId310" Target="http%3A%2F%2Fdx.doi.org%2F10.1016%2Fj.ebiom.2025.105789" TargetMode="External" Type="http://schemas.openxmlformats.org/officeDocument/2006/relationships/hyperlink"/><Relationship Id="rId311" Target="https%3A%2F%2Fwww.webofscience.com%2Fwos%2Fwoscc%2Ffull-record%2FWOS%3A001510041800001" TargetMode="External" Type="http://schemas.openxmlformats.org/officeDocument/2006/relationships/hyperlink"/><Relationship Id="rId312" Target="http%3A%2F%2Fdx.doi.org%2F10.1111%2Fbdi.70011" TargetMode="External" Type="http://schemas.openxmlformats.org/officeDocument/2006/relationships/hyperlink"/><Relationship Id="rId313" Target="https%3A%2F%2Fwww.webofscience.com%2Fwos%2Fwoscc%2Ffull-record%2FWOS%3A001439101800001" TargetMode="External" Type="http://schemas.openxmlformats.org/officeDocument/2006/relationships/hyperlink"/><Relationship Id="rId314" Target="http%3A%2F%2Fdx.doi.org%2F10.1038%2Fs41746-025-02003-4" TargetMode="External" Type="http://schemas.openxmlformats.org/officeDocument/2006/relationships/hyperlink"/><Relationship Id="rId315" Target="https%3A%2F%2Fwww.webofscience.com%2Fwos%2Fwoscc%2Ffull-record%2FWOS%3A001600458800003" TargetMode="External" Type="http://schemas.openxmlformats.org/officeDocument/2006/relationships/hyperlink"/><Relationship Id="rId316" Target="http%3A%2F%2Fdx.doi.org%2F10.4251%2Fwjgo.v18.i7.119847" TargetMode="External" Type="http://schemas.openxmlformats.org/officeDocument/2006/relationships/hyperlink"/><Relationship Id="rId317" Target="https%3A%2F%2Fwww.webofscience.com%2Fwos%2Fwoscc%2Ffull-record%2FWOS%3A001825347900015" TargetMode="External" Type="http://schemas.openxmlformats.org/officeDocument/2006/relationships/hyperlink"/><Relationship Id="rId318" Target="http%3A%2F%2Fdx.doi.org%2F10.1093%2Fehjdh%2Fztae081" TargetMode="External" Type="http://schemas.openxmlformats.org/officeDocument/2006/relationships/hyperlink"/><Relationship Id="rId319" Target="https%3A%2F%2Fwww.webofscience.com%2Fwos%2Fwoscc%2Ffull-record%2FWOS%3A001365507100001" TargetMode="External" Type="http://schemas.openxmlformats.org/officeDocument/2006/relationships/hyperlink"/><Relationship Id="rId32" Target="https%3A%2F%2Fwww.webofscience.com%2Fwos%2Fwoscc%2Ffull-record%2FWOS%3A001293805800001" TargetMode="External" Type="http://schemas.openxmlformats.org/officeDocument/2006/relationships/hyperlink"/><Relationship Id="rId320" Target="http%3A%2F%2Fdx.doi.org%2F10.1186%2Fs40658-023-00605-z" TargetMode="External" Type="http://schemas.openxmlformats.org/officeDocument/2006/relationships/hyperlink"/><Relationship Id="rId321" Target="https%3A%2F%2Fwww.webofscience.com%2Fwos%2Fwoscc%2Ffull-record%2FWOS%3A001137744900001" TargetMode="External" Type="http://schemas.openxmlformats.org/officeDocument/2006/relationships/hyperlink"/><Relationship Id="rId322" Target="http%3A%2F%2Fdx.doi.org%2F10.3390%2Fjimaging10120297" TargetMode="External" Type="http://schemas.openxmlformats.org/officeDocument/2006/relationships/hyperlink"/><Relationship Id="rId323" Target="https%3A%2F%2Fwww.webofscience.com%2Fwos%2Fwoscc%2Ffull-record%2FWOS%3A001386965500001" TargetMode="External" Type="http://schemas.openxmlformats.org/officeDocument/2006/relationships/hyperlink"/><Relationship Id="rId324" Target="http%3A%2F%2Fdx.doi.org%2F10.1038%2Fs41598-025-23500-2" TargetMode="External" Type="http://schemas.openxmlformats.org/officeDocument/2006/relationships/hyperlink"/><Relationship Id="rId325" Target="https%3A%2F%2Fwww.webofscience.com%2Fwos%2Fwoscc%2Ffull-record%2FWOS%3A001615622600006" TargetMode="External" Type="http://schemas.openxmlformats.org/officeDocument/2006/relationships/hyperlink"/><Relationship Id="rId326" Target="http%3A%2F%2Fdx.doi.org%2F10.1097%2Feus.0000000000000145" TargetMode="External" Type="http://schemas.openxmlformats.org/officeDocument/2006/relationships/hyperlink"/><Relationship Id="rId327" Target="https%3A%2F%2Fwww.webofscience.com%2Fwos%2Fwoscc%2Ffull-record%2FWOS%3A001615849600003" TargetMode="External" Type="http://schemas.openxmlformats.org/officeDocument/2006/relationships/hyperlink"/><Relationship Id="rId328" Target="http%3A%2F%2Fdx.doi.org%2F10.1016%2Fj.jrras.2025.101943" TargetMode="External" Type="http://schemas.openxmlformats.org/officeDocument/2006/relationships/hyperlink"/><Relationship Id="rId329" Target="https%3A%2F%2Fwww.webofscience.com%2Fwos%2Fwoscc%2Ffull-record%2FWOS%3A001578971500001" TargetMode="External" Type="http://schemas.openxmlformats.org/officeDocument/2006/relationships/hyperlink"/><Relationship Id="rId33" Target="http%3A%2F%2Fdx.doi.org%2F10.1167%2Ftvst.14.3.27" TargetMode="External" Type="http://schemas.openxmlformats.org/officeDocument/2006/relationships/hyperlink"/><Relationship Id="rId330" Target="http%3A%2F%2Fdx.doi.org%2F10.3349%2Fymj.2025.0370" TargetMode="External" Type="http://schemas.openxmlformats.org/officeDocument/2006/relationships/hyperlink"/><Relationship Id="rId331" Target="https%3A%2F%2Fwww.webofscience.com%2Fwos%2Fwoscc%2Ffull-record%2FWOS%3A001852291100005" TargetMode="External" Type="http://schemas.openxmlformats.org/officeDocument/2006/relationships/hyperlink"/><Relationship Id="rId332" Target="http%3A%2F%2Fdx.doi.org%2F10.1093%2Fradadv%2Fumaf035" TargetMode="External" Type="http://schemas.openxmlformats.org/officeDocument/2006/relationships/hyperlink"/><Relationship Id="rId333" Target="https%3A%2F%2Fwww.webofscience.com%2Fwos%2Fwoscc%2Ffull-record%2FWOS%3A001601387300001" TargetMode="External" Type="http://schemas.openxmlformats.org/officeDocument/2006/relationships/hyperlink"/><Relationship Id="rId334" Target="http%3A%2F%2Fdx.doi.org%2F10.59400%2Fadecp3902" TargetMode="External" Type="http://schemas.openxmlformats.org/officeDocument/2006/relationships/hyperlink"/><Relationship Id="rId335" Target="https%3A%2F%2Fwww.webofscience.com%2Fwos%2Fwoscc%2Ffull-record%2FWOS%3A001735341000002" TargetMode="External" Type="http://schemas.openxmlformats.org/officeDocument/2006/relationships/hyperlink"/><Relationship Id="rId336" Target="http%3A%2F%2Fdx.doi.org%2F10.3389%2Ffpubh.2022.982289" TargetMode="External" Type="http://schemas.openxmlformats.org/officeDocument/2006/relationships/hyperlink"/><Relationship Id="rId337" Target="https%3A%2F%2Fwww.webofscience.com%2Fwos%2Fwoscc%2Ffull-record%2FWOS%3A000893969800001" TargetMode="External" Type="http://schemas.openxmlformats.org/officeDocument/2006/relationships/hyperlink"/><Relationship Id="rId338" Target="http%3A%2F%2Fdx.doi.org%2F10.2147%2FCMAR.S467400" TargetMode="External" Type="http://schemas.openxmlformats.org/officeDocument/2006/relationships/hyperlink"/><Relationship Id="rId339" Target="https%3A%2F%2Fwww.webofscience.com%2Fwos%2Fwoscc%2Ffull-record%2FWOS%3A001267227800001" TargetMode="External" Type="http://schemas.openxmlformats.org/officeDocument/2006/relationships/hyperlink"/><Relationship Id="rId34" Target="https%3A%2F%2Fwww.webofscience.com%2Fwos%2Fwoscc%2Ffull-record%2FWOS%3A001464516600001" TargetMode="External" Type="http://schemas.openxmlformats.org/officeDocument/2006/relationships/hyperlink"/><Relationship Id="rId340" Target="http%3A%2F%2Fdx.doi.org%2F10.1007%2Fs10462-024-10984-z" TargetMode="External" Type="http://schemas.openxmlformats.org/officeDocument/2006/relationships/hyperlink"/><Relationship Id="rId341" Target="https%3A%2F%2Fwww.webofscience.com%2Fwos%2Fwoscc%2Ffull-record%2FWOS%3A001336421600004" TargetMode="External" Type="http://schemas.openxmlformats.org/officeDocument/2006/relationships/hyperlink"/><Relationship Id="rId342" Target="http%3A%2F%2Fdx.doi.org%2F10.1109%2FTNNLS.2023.3290188" TargetMode="External" Type="http://schemas.openxmlformats.org/officeDocument/2006/relationships/hyperlink"/><Relationship Id="rId343" Target="https%3A%2F%2Fwww.webofscience.com%2Fwos%2Fwoscc%2Ffull-record%2FWOS%3A001025536100001" TargetMode="External" Type="http://schemas.openxmlformats.org/officeDocument/2006/relationships/hyperlink"/><Relationship Id="rId344" Target="http%3A%2F%2Fdx.doi.org%2F10.1038%2Fs41467-025-66961-9" TargetMode="External" Type="http://schemas.openxmlformats.org/officeDocument/2006/relationships/hyperlink"/><Relationship Id="rId345" Target="https%3A%2F%2Fwww.webofscience.com%2Fwos%2Fwoscc%2Ffull-record%2FWOS%3A001658384800001" TargetMode="External" Type="http://schemas.openxmlformats.org/officeDocument/2006/relationships/hyperlink"/><Relationship Id="rId346" Target="http%3A%2F%2Fdx.doi.org%2F10.1016%2Fj.patcog.2025.111917" TargetMode="External" Type="http://schemas.openxmlformats.org/officeDocument/2006/relationships/hyperlink"/><Relationship Id="rId347" Target="https%3A%2F%2Fwww.webofscience.com%2Fwos%2Fwoscc%2Ffull-record%2FWOS%3A001513408300006" TargetMode="External" Type="http://schemas.openxmlformats.org/officeDocument/2006/relationships/hyperlink"/><Relationship Id="rId348" Target="http%3A%2F%2Fdx.doi.org%2F10.1007%2Fs00330-025-11450-2" TargetMode="External" Type="http://schemas.openxmlformats.org/officeDocument/2006/relationships/hyperlink"/><Relationship Id="rId349" Target="https%3A%2F%2Fwww.webofscience.com%2Fwos%2Fwoscc%2Ffull-record%2FWOS%3A001423008600001" TargetMode="External" Type="http://schemas.openxmlformats.org/officeDocument/2006/relationships/hyperlink"/><Relationship Id="rId35" Target="http%3A%2F%2Fdx.doi.org%2F10.1002%2Fadvs.202502833" TargetMode="External" Type="http://schemas.openxmlformats.org/officeDocument/2006/relationships/hyperlink"/><Relationship Id="rId350" Target="http%3A%2F%2Fdx.doi.org%2F10.1245%2Fs10434-026-19179-y" TargetMode="External" Type="http://schemas.openxmlformats.org/officeDocument/2006/relationships/hyperlink"/><Relationship Id="rId351" Target="https%3A%2F%2Fwww.webofscience.com%2Fwos%2Fwoscc%2Ffull-record%2FWOS%3A001681870500001" TargetMode="External" Type="http://schemas.openxmlformats.org/officeDocument/2006/relationships/hyperlink"/><Relationship Id="rId352" Target="http%3A%2F%2Fdx.doi.org%2F10.3390%2Fbdcc8120178" TargetMode="External" Type="http://schemas.openxmlformats.org/officeDocument/2006/relationships/hyperlink"/><Relationship Id="rId353" Target="https%3A%2F%2Fwww.webofscience.com%2Fwos%2Fwoscc%2Ffull-record%2FWOS%3A001387147900001" TargetMode="External" Type="http://schemas.openxmlformats.org/officeDocument/2006/relationships/hyperlink"/><Relationship Id="rId354" Target="http%3A%2F%2Fdx.doi.org%2F10.3389%2Ffmed.2025.1741146" TargetMode="External" Type="http://schemas.openxmlformats.org/officeDocument/2006/relationships/hyperlink"/><Relationship Id="rId355" Target="https%3A%2F%2Fwww.webofscience.com%2Fwos%2Fwoscc%2Ffull-record%2FWOS%3A001667768000001" TargetMode="External" Type="http://schemas.openxmlformats.org/officeDocument/2006/relationships/hyperlink"/><Relationship Id="rId356" Target="http%3A%2F%2Fdx.doi.org%2F10.20892%2Fj.issn.2095-3941.2025.0771" TargetMode="External" Type="http://schemas.openxmlformats.org/officeDocument/2006/relationships/hyperlink"/><Relationship Id="rId357" Target="https%3A%2F%2Fwww.webofscience.com%2Fwos%2Fwoscc%2Ffull-record%2FWOS%3A001739009200011" TargetMode="External" Type="http://schemas.openxmlformats.org/officeDocument/2006/relationships/hyperlink"/><Relationship Id="rId358" Target="http%3A%2F%2Fdx.doi.org%2F10.3390%2Fcancers18081204" TargetMode="External" Type="http://schemas.openxmlformats.org/officeDocument/2006/relationships/hyperlink"/><Relationship Id="rId359" Target="https%3A%2F%2Fwww.webofscience.com%2Fwos%2Fwoscc%2Ffull-record%2FWOS%3A001749425000001" TargetMode="External" Type="http://schemas.openxmlformats.org/officeDocument/2006/relationships/hyperlink"/><Relationship Id="rId36" Target="https%3A%2F%2Fwww.webofscience.com%2Fwos%2Fwoscc%2Ffull-record%2FWOS%3A001498606600001" TargetMode="External" Type="http://schemas.openxmlformats.org/officeDocument/2006/relationships/hyperlink"/><Relationship Id="rId360" Target="http%3A%2F%2Fdx.doi.org%2F10.1016%2Fj.ccell.2022.07.004" TargetMode="External" Type="http://schemas.openxmlformats.org/officeDocument/2006/relationships/hyperlink"/><Relationship Id="rId361" Target="https%3A%2F%2Fwww.webofscience.com%2Fwos%2Fwoscc%2Ffull-record%2FWOS%3A000889136400014" TargetMode="External" Type="http://schemas.openxmlformats.org/officeDocument/2006/relationships/hyperlink"/><Relationship Id="rId362" Target="http%3A%2F%2Fdx.doi.org%2F10.3389%2Ffimmu.2025.1540013" TargetMode="External" Type="http://schemas.openxmlformats.org/officeDocument/2006/relationships/hyperlink"/><Relationship Id="rId363" Target="https%3A%2F%2Fwww.webofscience.com%2Fwos%2Fwoscc%2Ffull-record%2FWOS%3A001450905300001" TargetMode="External" Type="http://schemas.openxmlformats.org/officeDocument/2006/relationships/hyperlink"/><Relationship Id="rId364" Target="http%3A%2F%2Fdx.doi.org%2F10.1016%2Fj.cels.2026.101594" TargetMode="External" Type="http://schemas.openxmlformats.org/officeDocument/2006/relationships/hyperlink"/><Relationship Id="rId365" Target="https%3A%2F%2Fwww.webofscience.com%2Fwos%2Fwoscc%2Ffull-record%2FWOS%3A001804930000001" TargetMode="External" Type="http://schemas.openxmlformats.org/officeDocument/2006/relationships/hyperlink"/><Relationship Id="rId366" Target="http%3A%2F%2Fdx.doi.org%2F10.3389%2Ffmed.2026.1829629" TargetMode="External" Type="http://schemas.openxmlformats.org/officeDocument/2006/relationships/hyperlink"/><Relationship Id="rId367" Target="https%3A%2F%2Fwww.webofscience.com%2Fwos%2Fwoscc%2Ffull-record%2FWOS%3A001772435300001" TargetMode="External" Type="http://schemas.openxmlformats.org/officeDocument/2006/relationships/hyperlink"/><Relationship Id="rId368" Target="http%3A%2F%2Fdx.doi.org%2F10.3390%2Fdiagnostics16071023" TargetMode="External" Type="http://schemas.openxmlformats.org/officeDocument/2006/relationships/hyperlink"/><Relationship Id="rId369" Target="https%3A%2F%2Fwww.webofscience.com%2Fwos%2Fwoscc%2Ffull-record%2FWOS%3A001738916200001" TargetMode="External" Type="http://schemas.openxmlformats.org/officeDocument/2006/relationships/hyperlink"/><Relationship Id="rId37" Target="http%3A%2F%2Fdx.doi.org%2F10.1016%2Fj.inffus.2023.102069" TargetMode="External" Type="http://schemas.openxmlformats.org/officeDocument/2006/relationships/hyperlink"/><Relationship Id="rId370" Target="http%3A%2F%2Fdx.doi.org%2F10.1016%2Fj.ajo.2023.04.007" TargetMode="External" Type="http://schemas.openxmlformats.org/officeDocument/2006/relationships/hyperlink"/><Relationship Id="rId371" Target="https%3A%2F%2Fwww.webofscience.com%2Fwos%2Fwoscc%2Ffull-record%2FWOS%3A001010462200001" TargetMode="External" Type="http://schemas.openxmlformats.org/officeDocument/2006/relationships/hyperlink"/><Relationship Id="rId372" Target="http%3A%2F%2Fdx.doi.org%2F10.2298%2FCSIS241110011Y" TargetMode="External" Type="http://schemas.openxmlformats.org/officeDocument/2006/relationships/hyperlink"/><Relationship Id="rId373" Target="https%3A%2F%2Fwww.webofscience.com%2Fwos%2Fwoscc%2Ffull-record%2FWOS%3A001429349700016" TargetMode="External" Type="http://schemas.openxmlformats.org/officeDocument/2006/relationships/hyperlink"/><Relationship Id="rId374" Target="http%3A%2F%2Fdx.doi.org%2F10.7717%2Fpeerj-cs.3872" TargetMode="External" Type="http://schemas.openxmlformats.org/officeDocument/2006/relationships/hyperlink"/><Relationship Id="rId375" Target="https%3A%2F%2Fwww.webofscience.com%2Fwos%2Fwoscc%2Ffull-record%2FWOS%3A001778746200001" TargetMode="External" Type="http://schemas.openxmlformats.org/officeDocument/2006/relationships/hyperlink"/><Relationship Id="rId376" Target="http%3A%2F%2Fdx.doi.org%2F10.1186%2Fs12911-026-03466-5" TargetMode="External" Type="http://schemas.openxmlformats.org/officeDocument/2006/relationships/hyperlink"/><Relationship Id="rId377" Target="https%3A%2F%2Fwww.webofscience.com%2Fwos%2Fwoscc%2Ffull-record%2FWOS%3A001775878100001" TargetMode="External" Type="http://schemas.openxmlformats.org/officeDocument/2006/relationships/hyperlink"/><Relationship Id="rId378" Target="http%3A%2F%2Fdx.doi.org%2F10.3389%2Ffnins.2025.1658776" TargetMode="External" Type="http://schemas.openxmlformats.org/officeDocument/2006/relationships/hyperlink"/><Relationship Id="rId379" Target="https%3A%2F%2Fwww.webofscience.com%2Fwos%2Fwoscc%2Ffull-record%2FWOS%3A001594235300001" TargetMode="External" Type="http://schemas.openxmlformats.org/officeDocument/2006/relationships/hyperlink"/><Relationship Id="rId38" Target="https%3A%2F%2Fwww.webofscience.com%2Fwos%2Fwoscc%2Ffull-record%2FWOS%3A001097294000001" TargetMode="External" Type="http://schemas.openxmlformats.org/officeDocument/2006/relationships/hyperlink"/><Relationship Id="rId380" Target="http%3A%2F%2Fdx.doi.org%2F10.1016%2Fj.imavis.2025.105509" TargetMode="External" Type="http://schemas.openxmlformats.org/officeDocument/2006/relationships/hyperlink"/><Relationship Id="rId381" Target="https%3A%2F%2Fwww.webofscience.com%2Fwos%2Fwoscc%2Ffull-record%2FWOS%3A001461385100001" TargetMode="External" Type="http://schemas.openxmlformats.org/officeDocument/2006/relationships/hyperlink"/><Relationship Id="rId382" Target="http%3A%2F%2Fdx.doi.org%2F10.1148%2Fryai.220067" TargetMode="External" Type="http://schemas.openxmlformats.org/officeDocument/2006/relationships/hyperlink"/><Relationship Id="rId383" Target="https%3A%2F%2Fwww.webofscience.com%2Fwos%2Fwoscc%2Ffull-record%2FWOS%3A001048957200008" TargetMode="External" Type="http://schemas.openxmlformats.org/officeDocument/2006/relationships/hyperlink"/><Relationship Id="rId384" Target="http%3A%2F%2Fdx.doi.org%2F10.22581%2Fmuet1982.0571" TargetMode="External" Type="http://schemas.openxmlformats.org/officeDocument/2006/relationships/hyperlink"/><Relationship Id="rId385" Target="https%3A%2F%2Fwww.webofscience.com%2Fwos%2Fwoscc%2Ffull-record%2FWOS%3A001665418500001" TargetMode="External" Type="http://schemas.openxmlformats.org/officeDocument/2006/relationships/hyperlink"/><Relationship Id="rId386" Target="http%3A%2F%2Fdx.doi.org%2F10.1007%2Fs10278-025-01566-8" TargetMode="External" Type="http://schemas.openxmlformats.org/officeDocument/2006/relationships/hyperlink"/><Relationship Id="rId387" Target="https%3A%2F%2Fwww.webofscience.com%2Fwos%2Fwoscc%2Ffull-record%2FWOS%3A001514292500001" TargetMode="External" Type="http://schemas.openxmlformats.org/officeDocument/2006/relationships/hyperlink"/><Relationship Id="rId388" Target="http%3A%2F%2Fdx.doi.org%2F10.1186%2Fs13040-026-00522-8" TargetMode="External" Type="http://schemas.openxmlformats.org/officeDocument/2006/relationships/hyperlink"/><Relationship Id="rId389" Target="https%3A%2F%2Fwww.webofscience.com%2Fwos%2Fwoscc%2Ffull-record%2FWOS%3A001723249700001" TargetMode="External" Type="http://schemas.openxmlformats.org/officeDocument/2006/relationships/hyperlink"/><Relationship Id="rId39" Target="http%3A%2F%2Fdx.doi.org%2F10.3389%2Ffcvm.2025.1606159" TargetMode="External" Type="http://schemas.openxmlformats.org/officeDocument/2006/relationships/hyperlink"/><Relationship Id="rId390" Target="http%3A%2F%2Fdx.doi.org%2F10.21037%2Ftau-2025-539" TargetMode="External" Type="http://schemas.openxmlformats.org/officeDocument/2006/relationships/hyperlink"/><Relationship Id="rId391" Target="https%3A%2F%2Fwww.webofscience.com%2Fwos%2Fwoscc%2Ffull-record%2FWOS%3A001649542200001" TargetMode="External" Type="http://schemas.openxmlformats.org/officeDocument/2006/relationships/hyperlink"/><Relationship Id="rId392" Target="http%3A%2F%2Fdx.doi.org%2F10.1002%2Fohn.70285" TargetMode="External" Type="http://schemas.openxmlformats.org/officeDocument/2006/relationships/hyperlink"/><Relationship Id="rId393" Target="https%3A%2F%2Fwww.webofscience.com%2Fwos%2Fwoscc%2Ffull-record%2FWOS%3A001762189400001" TargetMode="External" Type="http://schemas.openxmlformats.org/officeDocument/2006/relationships/hyperlink"/><Relationship Id="rId394" Target="http%3A%2F%2Fdx.doi.org%2F10.1186%2Fs12877-026-07005-9" TargetMode="External" Type="http://schemas.openxmlformats.org/officeDocument/2006/relationships/hyperlink"/><Relationship Id="rId395" Target="https%3A%2F%2Fwww.webofscience.com%2Fwos%2Fwoscc%2Ffull-record%2FWOS%3A001727562400001" TargetMode="External" Type="http://schemas.openxmlformats.org/officeDocument/2006/relationships/hyperlink"/><Relationship Id="rId396" Target="http%3A%2F%2Fdx.doi.org%2F10.1038%2Fs41598-025-30534-z" TargetMode="External" Type="http://schemas.openxmlformats.org/officeDocument/2006/relationships/hyperlink"/><Relationship Id="rId397" Target="https%3A%2F%2Fwww.webofscience.com%2Fwos%2Fwoscc%2Ffull-record%2FWOS%3A001651242300001" TargetMode="External" Type="http://schemas.openxmlformats.org/officeDocument/2006/relationships/hyperlink"/><Relationship Id="rId398" Target="http%3A%2F%2Fdx.doi.org%2F10.3389%2Ffdgth.2026.1828522" TargetMode="External" Type="http://schemas.openxmlformats.org/officeDocument/2006/relationships/hyperlink"/><Relationship Id="rId399" Target="https%3A%2F%2Fwww.webofscience.com%2Fwos%2Fwoscc%2Ffull-record%2FWOS%3A001849659400001" TargetMode="External" Type="http://schemas.openxmlformats.org/officeDocument/2006/relationships/hyperlink"/><Relationship Id="rId4" Target="https%3A%2F%2Fwww.webofscience.com%2Fwos%2Fwoscc%2Ffull-record%2FWOS%3A001584638200001" TargetMode="External" Type="http://schemas.openxmlformats.org/officeDocument/2006/relationships/hyperlink"/><Relationship Id="rId40" Target="https%3A%2F%2Fwww.webofscience.com%2Fwos%2Fwoscc%2Ffull-record%2FWOS%3A001553133900001" TargetMode="External" Type="http://schemas.openxmlformats.org/officeDocument/2006/relationships/hyperlink"/><Relationship Id="rId400" Target="http%3A%2F%2Fdx.doi.org%2F10.3389%2Ffmed.2026.1758840" TargetMode="External" Type="http://schemas.openxmlformats.org/officeDocument/2006/relationships/hyperlink"/><Relationship Id="rId401" Target="https%3A%2F%2Fwww.webofscience.com%2Fwos%2Fwoscc%2Ffull-record%2FWOS%3A001791186900001" TargetMode="External" Type="http://schemas.openxmlformats.org/officeDocument/2006/relationships/hyperlink"/><Relationship Id="rId402" Target="http%3A%2F%2Fdx.doi.org%2F10.3171%2F2025.4.FOCUS24778" TargetMode="External" Type="http://schemas.openxmlformats.org/officeDocument/2006/relationships/hyperlink"/><Relationship Id="rId403" Target="https%3A%2F%2Fwww.webofscience.com%2Fwos%2Fwoscc%2Ffull-record%2FWOS%3A001528104900007" TargetMode="External" Type="http://schemas.openxmlformats.org/officeDocument/2006/relationships/hyperlink"/><Relationship Id="rId404" Target="http%3A%2F%2Fdx.doi.org%2F10.1038%2Fs43856-023-00276-y" TargetMode="External" Type="http://schemas.openxmlformats.org/officeDocument/2006/relationships/hyperlink"/><Relationship Id="rId405" Target="https%3A%2F%2Fwww.webofscience.com%2Fwos%2Fwoscc%2Ffull-record%2FWOS%3A000960577900001" TargetMode="External" Type="http://schemas.openxmlformats.org/officeDocument/2006/relationships/hyperlink"/><Relationship Id="rId406" Target="http%3A%2F%2Fdx.doi.org%2F10.1148%2Frycan.240507" TargetMode="External" Type="http://schemas.openxmlformats.org/officeDocument/2006/relationships/hyperlink"/><Relationship Id="rId407" Target="https%3A%2F%2Fwww.webofscience.com%2Fwos%2Fwoscc%2Ffull-record%2FWOS%3A001553642600005" TargetMode="External" Type="http://schemas.openxmlformats.org/officeDocument/2006/relationships/hyperlink"/><Relationship Id="rId408" Target="http%3A%2F%2Fdx.doi.org%2F10.1038%2Fs41698-026-01415-z" TargetMode="External" Type="http://schemas.openxmlformats.org/officeDocument/2006/relationships/hyperlink"/><Relationship Id="rId409" Target="https%3A%2F%2Fwww.webofscience.com%2Fwos%2Fwoscc%2Ffull-record%2FWOS%3A001793988900001" TargetMode="External" Type="http://schemas.openxmlformats.org/officeDocument/2006/relationships/hyperlink"/><Relationship Id="rId41" Target="http%3A%2F%2Fdx.doi.org%2F10.1111%2Fbjet.13498" TargetMode="External" Type="http://schemas.openxmlformats.org/officeDocument/2006/relationships/hyperlink"/><Relationship Id="rId410" Target="http%3A%2F%2Fdx.doi.org%2F10.3390%2Fasi8020039" TargetMode="External" Type="http://schemas.openxmlformats.org/officeDocument/2006/relationships/hyperlink"/><Relationship Id="rId411" Target="https%3A%2F%2Fwww.webofscience.com%2Fwos%2Fwoscc%2Ffull-record%2FWOS%3A001474932400001" TargetMode="External" Type="http://schemas.openxmlformats.org/officeDocument/2006/relationships/hyperlink"/><Relationship Id="rId412" Target="http%3A%2F%2Fdx.doi.org%2F10.3389%2Ffrai.2023.1323924" TargetMode="External" Type="http://schemas.openxmlformats.org/officeDocument/2006/relationships/hyperlink"/><Relationship Id="rId413" Target="https%3A%2F%2Fwww.webofscience.com%2Fwos%2Fwoscc%2Ffull-record%2FWOS%3A001128769800001" TargetMode="External" Type="http://schemas.openxmlformats.org/officeDocument/2006/relationships/hyperlink"/><Relationship Id="rId414" Target="http%3A%2F%2Fdx.doi.org%2F10.1038%2Fs41746-026-02378-y" TargetMode="External" Type="http://schemas.openxmlformats.org/officeDocument/2006/relationships/hyperlink"/><Relationship Id="rId415" Target="https%3A%2F%2Fwww.webofscience.com%2Fwos%2Fwoscc%2Ffull-record%2FWOS%3A001698260500001" TargetMode="External" Type="http://schemas.openxmlformats.org/officeDocument/2006/relationships/hyperlink"/><Relationship Id="rId416" Target="http%3A%2F%2Fdx.doi.org%2F10.1038%2Fs41746-025-02144-6" TargetMode="External" Type="http://schemas.openxmlformats.org/officeDocument/2006/relationships/hyperlink"/><Relationship Id="rId417" Target="https%3A%2F%2Fwww.webofscience.com%2Fwos%2Fwoscc%2Ffull-record%2FWOS%3A001641099400002" TargetMode="External" Type="http://schemas.openxmlformats.org/officeDocument/2006/relationships/hyperlink"/><Relationship Id="rId418" Target="http%3A%2F%2Fdx.doi.org%2F10.1002%2Fadvs.202510931" TargetMode="External" Type="http://schemas.openxmlformats.org/officeDocument/2006/relationships/hyperlink"/><Relationship Id="rId419" Target="https%3A%2F%2Fwww.webofscience.com%2Fwos%2Fwoscc%2Ffull-record%2FWOS%3A001664846200001" TargetMode="External" Type="http://schemas.openxmlformats.org/officeDocument/2006/relationships/hyperlink"/><Relationship Id="rId42" Target="https%3A%2F%2Fwww.webofscience.com%2Fwos%2Fwoscc%2Ffull-record%2FWOS%3A001251837900001" TargetMode="External" Type="http://schemas.openxmlformats.org/officeDocument/2006/relationships/hyperlink"/><Relationship Id="rId420" Target="http%3A%2F%2Fdx.doi.org%2F10.1177%2F15266028251314359" TargetMode="External" Type="http://schemas.openxmlformats.org/officeDocument/2006/relationships/hyperlink"/><Relationship Id="rId421" Target="https%3A%2F%2Fwww.webofscience.com%2Fwos%2Fwoscc%2Ffull-record%2FWOS%3A001410976300001" TargetMode="External" Type="http://schemas.openxmlformats.org/officeDocument/2006/relationships/hyperlink"/><Relationship Id="rId422" Target="http%3A%2F%2Fdx.doi.org%2F10.1117%2F1.JMI.12.S2.S22009" TargetMode="External" Type="http://schemas.openxmlformats.org/officeDocument/2006/relationships/hyperlink"/><Relationship Id="rId423" Target="https%3A%2F%2Fwww.webofscience.com%2Fwos%2Fwoscc%2Ffull-record%2FWOS%3A001569160100010" TargetMode="External" Type="http://schemas.openxmlformats.org/officeDocument/2006/relationships/hyperlink"/><Relationship Id="rId424" Target="http%3A%2F%2Fdx.doi.org%2F10.1007%2Fs10388-025-01106-x" TargetMode="External" Type="http://schemas.openxmlformats.org/officeDocument/2006/relationships/hyperlink"/><Relationship Id="rId425" Target="https%3A%2F%2Fwww.webofscience.com%2Fwos%2Fwoscc%2Ffull-record%2FWOS%3A001394058200001" TargetMode="External" Type="http://schemas.openxmlformats.org/officeDocument/2006/relationships/hyperlink"/><Relationship Id="rId426" Target="http%3A%2F%2Fdx.doi.org%2F10.1038%2Fs41598-025-32734-z" TargetMode="External" Type="http://schemas.openxmlformats.org/officeDocument/2006/relationships/hyperlink"/><Relationship Id="rId427" Target="https%3A%2F%2Fwww.webofscience.com%2Fwos%2Fwoscc%2Ffull-record%2FWOS%3A001669102500002" TargetMode="External" Type="http://schemas.openxmlformats.org/officeDocument/2006/relationships/hyperlink"/><Relationship Id="rId428" Target="http%3A%2F%2Fdx.doi.org%2F10.1016%2Fj.bspc.2026.110917" TargetMode="External" Type="http://schemas.openxmlformats.org/officeDocument/2006/relationships/hyperlink"/><Relationship Id="rId429" Target="https%3A%2F%2Fwww.webofscience.com%2Fwos%2Fwoscc%2Ffull-record%2FWOS%3A001818156500001" TargetMode="External" Type="http://schemas.openxmlformats.org/officeDocument/2006/relationships/hyperlink"/><Relationship Id="rId43" Target="http%3A%2F%2Fdx.doi.org%2F10.1093%2Fbiomethods%2Fbpae040" TargetMode="External" Type="http://schemas.openxmlformats.org/officeDocument/2006/relationships/hyperlink"/><Relationship Id="rId430" Target="http%3A%2F%2Fdx.doi.org%2F10.1007%2Fs11633-024-1506-4" TargetMode="External" Type="http://schemas.openxmlformats.org/officeDocument/2006/relationships/hyperlink"/><Relationship Id="rId431" Target="https%3A%2F%2Fwww.webofscience.com%2Fwos%2Fwoscc%2Ffull-record%2FWOS%3A001448442000001" TargetMode="External" Type="http://schemas.openxmlformats.org/officeDocument/2006/relationships/hyperlink"/><Relationship Id="rId432" Target="http%3A%2F%2Fdx.doi.org%2F10.1002%2Faisy.202200100" TargetMode="External" Type="http://schemas.openxmlformats.org/officeDocument/2006/relationships/hyperlink"/><Relationship Id="rId433" Target="https%3A%2F%2Fwww.webofscience.com%2Fwos%2Fwoscc%2Ffull-record%2FWOS%3A000838271700001" TargetMode="External" Type="http://schemas.openxmlformats.org/officeDocument/2006/relationships/hyperlink"/><Relationship Id="rId434" Target="http%3A%2F%2Fdx.doi.org%2F10.1016%2Fj.isci.2024.110945" TargetMode="External" Type="http://schemas.openxmlformats.org/officeDocument/2006/relationships/hyperlink"/><Relationship Id="rId435" Target="https%3A%2F%2Fwww.webofscience.com%2Fwos%2Fwoscc%2Ffull-record%2FWOS%3A001322443900001" TargetMode="External" Type="http://schemas.openxmlformats.org/officeDocument/2006/relationships/hyperlink"/><Relationship Id="rId436" Target="http%3A%2F%2Fdx.doi.org%2F10.1016%2Fj.acra.2024.12.018" TargetMode="External" Type="http://schemas.openxmlformats.org/officeDocument/2006/relationships/hyperlink"/><Relationship Id="rId437" Target="https%3A%2F%2Fwww.webofscience.com%2Fwos%2Fwoscc%2Ffull-record%2FWOS%3A001477411000001" TargetMode="External" Type="http://schemas.openxmlformats.org/officeDocument/2006/relationships/hyperlink"/><Relationship Id="rId438" Target="http%3A%2F%2Fdx.doi.org%2F10.1016%2Fj.ins.2023.119854" TargetMode="External" Type="http://schemas.openxmlformats.org/officeDocument/2006/relationships/hyperlink"/><Relationship Id="rId439" Target="https%3A%2F%2Fwww.webofscience.com%2Fwos%2Fwoscc%2Ffull-record%2FWOS%3A001108716500001" TargetMode="External" Type="http://schemas.openxmlformats.org/officeDocument/2006/relationships/hyperlink"/><Relationship Id="rId44" Target="https%3A%2F%2Fwww.webofscience.com%2Fwos%2Fwoscc%2Ffull-record%2FWOS%3A001246051600001" TargetMode="External" Type="http://schemas.openxmlformats.org/officeDocument/2006/relationships/hyperlink"/><Relationship Id="rId440" Target="http%3A%2F%2Fdx.doi.org%2F10.3390%2Ftechnologies14050277" TargetMode="External" Type="http://schemas.openxmlformats.org/officeDocument/2006/relationships/hyperlink"/><Relationship Id="rId441" Target="https%3A%2F%2Fwww.webofscience.com%2Fwos%2Fwoscc%2Ffull-record%2FWOS%3A001774323600001" TargetMode="External" Type="http://schemas.openxmlformats.org/officeDocument/2006/relationships/hyperlink"/><Relationship Id="rId442" Target="http%3A%2F%2Fdx.doi.org%2F10.1186%2Fs40537-023-00749-w" TargetMode="External" Type="http://schemas.openxmlformats.org/officeDocument/2006/relationships/hyperlink"/><Relationship Id="rId443" Target="https%3A%2F%2Fwww.webofscience.com%2Fwos%2Fwoscc%2Ffull-record%2FWOS%3A000985788300001" TargetMode="External" Type="http://schemas.openxmlformats.org/officeDocument/2006/relationships/hyperlink"/><Relationship Id="rId444" Target="http%3A%2F%2Fdx.doi.org%2F10.1186%2Fs12911-022-02096-x" TargetMode="External" Type="http://schemas.openxmlformats.org/officeDocument/2006/relationships/hyperlink"/><Relationship Id="rId445" Target="https%3A%2F%2Fwww.webofscience.com%2Fwos%2Fwoscc%2Ffull-record%2FWOS%3A000910171300003" TargetMode="External" Type="http://schemas.openxmlformats.org/officeDocument/2006/relationships/hyperlink"/><Relationship Id="rId446" Target="http%3A%2F%2Fdx.doi.org%2F10.1038%2Fs41598-023-37512-3" TargetMode="External" Type="http://schemas.openxmlformats.org/officeDocument/2006/relationships/hyperlink"/><Relationship Id="rId447" Target="https%3A%2F%2Fwww.webofscience.com%2Fwos%2Fwoscc%2Ffull-record%2FWOS%3A001024600400076" TargetMode="External" Type="http://schemas.openxmlformats.org/officeDocument/2006/relationships/hyperlink"/><Relationship Id="rId448" Target="http%3A%2F%2Fdx.doi.org%2F10.3390%2Fcancers18081194" TargetMode="External" Type="http://schemas.openxmlformats.org/officeDocument/2006/relationships/hyperlink"/><Relationship Id="rId449" Target="https%3A%2F%2Fwww.webofscience.com%2Fwos%2Fwoscc%2Ffull-record%2FWOS%3A001750885400001" TargetMode="External" Type="http://schemas.openxmlformats.org/officeDocument/2006/relationships/hyperlink"/><Relationship Id="rId45" Target="http%3A%2F%2Fdx.doi.org%2F10.1007%2Fs10479-023-05545-6" TargetMode="External" Type="http://schemas.openxmlformats.org/officeDocument/2006/relationships/hyperlink"/><Relationship Id="rId450" Target="http%3A%2F%2Fdx.doi.org%2F10.1038%2Fs41698-026-01393-2" TargetMode="External" Type="http://schemas.openxmlformats.org/officeDocument/2006/relationships/hyperlink"/><Relationship Id="rId451" Target="https%3A%2F%2Fwww.webofscience.com%2Fwos%2Fwoscc%2Ffull-record%2FWOS%3A001776694600001" TargetMode="External" Type="http://schemas.openxmlformats.org/officeDocument/2006/relationships/hyperlink"/><Relationship Id="rId452" Target="http%3A%2F%2Fdx.doi.org%2F10.1109%2FJTEHM.2025.3588427" TargetMode="External" Type="http://schemas.openxmlformats.org/officeDocument/2006/relationships/hyperlink"/><Relationship Id="rId453" Target="https%3A%2F%2Fwww.webofscience.com%2Fwos%2Fwoscc%2Ffull-record%2FWOS%3A001718370200001" TargetMode="External" Type="http://schemas.openxmlformats.org/officeDocument/2006/relationships/hyperlink"/><Relationship Id="rId454" Target="http%3A%2F%2Fdx.doi.org%2F10.3389%2Ffbinf.2023.1131021" TargetMode="External" Type="http://schemas.openxmlformats.org/officeDocument/2006/relationships/hyperlink"/><Relationship Id="rId455" Target="https%3A%2F%2Fwww.webofscience.com%2Fwos%2Fwoscc%2Ffull-record%2FWOS%3A001086914600001" TargetMode="External" Type="http://schemas.openxmlformats.org/officeDocument/2006/relationships/hyperlink"/><Relationship Id="rId456" Target="http%3A%2F%2Fdx.doi.org%2F10.1007%2Fs10278-026-01980-6" TargetMode="External" Type="http://schemas.openxmlformats.org/officeDocument/2006/relationships/hyperlink"/><Relationship Id="rId457" Target="https%3A%2F%2Fwww.webofscience.com%2Fwos%2Fwoscc%2Ffull-record%2FWOS%3A001752952700001" TargetMode="External" Type="http://schemas.openxmlformats.org/officeDocument/2006/relationships/hyperlink"/><Relationship Id="rId458" Target="http%3A%2F%2Fdx.doi.org%2F10.1371%2Fjournal.pone.0328299" TargetMode="External" Type="http://schemas.openxmlformats.org/officeDocument/2006/relationships/hyperlink"/><Relationship Id="rId459" Target="https%3A%2F%2Fwww.webofscience.com%2Fwos%2Fwoscc%2Ffull-record%2FWOS%3A001550991300044" TargetMode="External" Type="http://schemas.openxmlformats.org/officeDocument/2006/relationships/hyperlink"/><Relationship Id="rId46" Target="https%3A%2F%2Fwww.webofscience.com%2Fwos%2Fwoscc%2Ffull-record%2FWOS%3A001060633400003" TargetMode="External" Type="http://schemas.openxmlformats.org/officeDocument/2006/relationships/hyperlink"/><Relationship Id="rId460" Target="http%3A%2F%2Fdx.doi.org%2F10.1007%2Fs13304-026-02650-6" TargetMode="External" Type="http://schemas.openxmlformats.org/officeDocument/2006/relationships/hyperlink"/><Relationship Id="rId461" Target="https%3A%2F%2Fwww.webofscience.com%2Fwos%2Fwoscc%2Ffull-record%2FWOS%3A001752929800001" TargetMode="External" Type="http://schemas.openxmlformats.org/officeDocument/2006/relationships/hyperlink"/><Relationship Id="rId462" Target="http%3A%2F%2Fdx.doi.org%2F10.3390%2Fcancers18020210" TargetMode="External" Type="http://schemas.openxmlformats.org/officeDocument/2006/relationships/hyperlink"/><Relationship Id="rId463" Target="https%3A%2F%2Fwww.webofscience.com%2Fwos%2Fwoscc%2Ffull-record%2FWOS%3A001671995700001" TargetMode="External" Type="http://schemas.openxmlformats.org/officeDocument/2006/relationships/hyperlink"/><Relationship Id="rId464" Target="http%3A%2F%2Fdx.doi.org%2F10.1016%2Fj.eclinm.2025.103252" TargetMode="External" Type="http://schemas.openxmlformats.org/officeDocument/2006/relationships/hyperlink"/><Relationship Id="rId465" Target="https%3A%2F%2Fwww.webofscience.com%2Fwos%2Fwoscc%2Ffull-record%2FWOS%3A001499528000002" TargetMode="External" Type="http://schemas.openxmlformats.org/officeDocument/2006/relationships/hyperlink"/><Relationship Id="rId466" Target="http%3A%2F%2Fdx.doi.org%2F10.1111%2Fjdv.20031" TargetMode="External" Type="http://schemas.openxmlformats.org/officeDocument/2006/relationships/hyperlink"/><Relationship Id="rId467" Target="https%3A%2F%2Fwww.webofscience.com%2Fwos%2Fwoscc%2Ffull-record%2FWOS%3A001202572100001" TargetMode="External" Type="http://schemas.openxmlformats.org/officeDocument/2006/relationships/hyperlink"/><Relationship Id="rId468" Target="http%3A%2F%2Fdx.doi.org%2F10.1007%2Fs00261-026-05672-1" TargetMode="External" Type="http://schemas.openxmlformats.org/officeDocument/2006/relationships/hyperlink"/><Relationship Id="rId469" Target="https%3A%2F%2Fwww.webofscience.com%2Fwos%2Fwoscc%2Ffull-record%2FWOS%3A001830929800001" TargetMode="External" Type="http://schemas.openxmlformats.org/officeDocument/2006/relationships/hyperlink"/><Relationship Id="rId47" Target="http%3A%2F%2Fdx.doi.org%2F10.1016%2Fj.cobme.2025.100632" TargetMode="External" Type="http://schemas.openxmlformats.org/officeDocument/2006/relationships/hyperlink"/><Relationship Id="rId470" Target="http%3A%2F%2Fdx.doi.org%2F10.1186%2Fs12880-026-02192-8" TargetMode="External" Type="http://schemas.openxmlformats.org/officeDocument/2006/relationships/hyperlink"/><Relationship Id="rId471" Target="https%3A%2F%2Fwww.webofscience.com%2Fwos%2Fwoscc%2Ffull-record%2FWOS%3A001696987900001" TargetMode="External" Type="http://schemas.openxmlformats.org/officeDocument/2006/relationships/hyperlink"/><Relationship Id="rId472" Target="http%3A%2F%2Fdx.doi.org%2F10.1109%2FACCESS.2023.3248065" TargetMode="External" Type="http://schemas.openxmlformats.org/officeDocument/2006/relationships/hyperlink"/><Relationship Id="rId473" Target="https%3A%2F%2Fwww.webofscience.com%2Fwos%2Fwoscc%2Ffull-record%2FWOS%3A000942231000001" TargetMode="External" Type="http://schemas.openxmlformats.org/officeDocument/2006/relationships/hyperlink"/><Relationship Id="rId474" Target="http%3A%2F%2Fdx.doi.org%2F10.1002%2FVIW.20250157" TargetMode="External" Type="http://schemas.openxmlformats.org/officeDocument/2006/relationships/hyperlink"/><Relationship Id="rId475" Target="https%3A%2F%2Fwww.webofscience.com%2Fwos%2Fwoscc%2Ffull-record%2FWOS%3A001625246800001" TargetMode="External" Type="http://schemas.openxmlformats.org/officeDocument/2006/relationships/hyperlink"/><Relationship Id="rId476" Target="http%3A%2F%2Fdx.doi.org%2F10.1038%2Fs41598-025-85777-7" TargetMode="External" Type="http://schemas.openxmlformats.org/officeDocument/2006/relationships/hyperlink"/><Relationship Id="rId477" Target="https%3A%2F%2Fwww.webofscience.com%2Fwos%2Fwoscc%2Ffull-record%2FWOS%3A001403090300040" TargetMode="External" Type="http://schemas.openxmlformats.org/officeDocument/2006/relationships/hyperlink"/><Relationship Id="rId478" Target="http%3A%2F%2Fdx.doi.org%2F10.1038%2Fs41598-025-02026-7" TargetMode="External" Type="http://schemas.openxmlformats.org/officeDocument/2006/relationships/hyperlink"/><Relationship Id="rId479" Target="https%3A%2F%2Fwww.webofscience.com%2Fwos%2Fwoscc%2Ffull-record%2FWOS%3A001489971100004" TargetMode="External" Type="http://schemas.openxmlformats.org/officeDocument/2006/relationships/hyperlink"/><Relationship Id="rId48" Target="https%3A%2F%2Fwww.webofscience.com%2Fwos%2Fwoscc%2Ffull-record%2FWOS%3A001633748500001" TargetMode="External" Type="http://schemas.openxmlformats.org/officeDocument/2006/relationships/hyperlink"/><Relationship Id="rId480" Target="http%3A%2F%2Fdx.doi.org%2F10.1038%2Fs41746-025-01903-9" TargetMode="External" Type="http://schemas.openxmlformats.org/officeDocument/2006/relationships/hyperlink"/><Relationship Id="rId481" Target="https%3A%2F%2Fwww.webofscience.com%2Fwos%2Fwoscc%2Ffull-record%2FWOS%3A001544479500003" TargetMode="External" Type="http://schemas.openxmlformats.org/officeDocument/2006/relationships/hyperlink"/><Relationship Id="rId482" Target="http%3A%2F%2Fdx.doi.org%2F10.1016%2Fj.oret.2026.02.003" TargetMode="External" Type="http://schemas.openxmlformats.org/officeDocument/2006/relationships/hyperlink"/><Relationship Id="rId483" Target="https%3A%2F%2Fwww.webofscience.com%2Fwos%2Fwoscc%2Ffull-record%2FWOS%3A001789430900002" TargetMode="External" Type="http://schemas.openxmlformats.org/officeDocument/2006/relationships/hyperlink"/><Relationship Id="rId484" Target="http%3A%2F%2Fdx.doi.org%2F10.3390%2Fjcm15062250" TargetMode="External" Type="http://schemas.openxmlformats.org/officeDocument/2006/relationships/hyperlink"/><Relationship Id="rId485" Target="https%3A%2F%2Fwww.webofscience.com%2Fwos%2Fwoscc%2Ffull-record%2FWOS%3A001725781100001" TargetMode="External" Type="http://schemas.openxmlformats.org/officeDocument/2006/relationships/hyperlink"/><Relationship Id="rId486" Target="http%3A%2F%2Fdx.doi.org%2F10.3390%2Fbioengineering11111080" TargetMode="External" Type="http://schemas.openxmlformats.org/officeDocument/2006/relationships/hyperlink"/><Relationship Id="rId487" Target="https%3A%2F%2Fwww.webofscience.com%2Fwos%2Fwoscc%2Ffull-record%2FWOS%3A001366845700001" TargetMode="External" Type="http://schemas.openxmlformats.org/officeDocument/2006/relationships/hyperlink"/><Relationship Id="rId488" Target="http%3A%2F%2Fdx.doi.org%2F10.3390%2Fbioengineering10060730" TargetMode="External" Type="http://schemas.openxmlformats.org/officeDocument/2006/relationships/hyperlink"/><Relationship Id="rId489" Target="https%3A%2F%2Fwww.webofscience.com%2Fwos%2Fwoscc%2Ffull-record%2FWOS%3A001016904800001" TargetMode="External" Type="http://schemas.openxmlformats.org/officeDocument/2006/relationships/hyperlink"/><Relationship Id="rId49" Target="http%3A%2F%2Fdx.doi.org%2F10.1038%2Fs44161-025-00679-1" TargetMode="External" Type="http://schemas.openxmlformats.org/officeDocument/2006/relationships/hyperlink"/><Relationship Id="rId490" Target="http%3A%2F%2Fdx.doi.org%2F10.1038%2Fs41698-026-01472-4" TargetMode="External" Type="http://schemas.openxmlformats.org/officeDocument/2006/relationships/hyperlink"/><Relationship Id="rId491" Target="https%3A%2F%2Fwww.webofscience.com%2Fwos%2Fwoscc%2Ffull-record%2FWOS%3A001826483700002" TargetMode="External" Type="http://schemas.openxmlformats.org/officeDocument/2006/relationships/hyperlink"/><Relationship Id="rId492" Target="http%3A%2F%2Fdx.doi.org%2F10.1038%2Fs41598-026-47271-6" TargetMode="External" Type="http://schemas.openxmlformats.org/officeDocument/2006/relationships/hyperlink"/><Relationship Id="rId493" Target="https%3A%2F%2Fwww.webofscience.com%2Fwos%2Fwoscc%2Ffull-record%2FWOS%3A001778819800011" TargetMode="External" Type="http://schemas.openxmlformats.org/officeDocument/2006/relationships/hyperlink"/><Relationship Id="rId494" Target="http%3A%2F%2Fdx.doi.org%2F10.1038%2Fs41598-026-42207-6" TargetMode="External" Type="http://schemas.openxmlformats.org/officeDocument/2006/relationships/hyperlink"/><Relationship Id="rId495" Target="https%3A%2F%2Fwww.webofscience.com%2Fwos%2Fwoscc%2Ffull-record%2FWOS%3A001772754500001" TargetMode="External" Type="http://schemas.openxmlformats.org/officeDocument/2006/relationships/hyperlink"/><Relationship Id="rId496" Target="http%3A%2F%2Fdx.doi.org%2F10.1016%2Fj.xops.2026.101208" TargetMode="External" Type="http://schemas.openxmlformats.org/officeDocument/2006/relationships/hyperlink"/><Relationship Id="rId497" Target="https%3A%2F%2Fwww.webofscience.com%2Fwos%2Fwoscc%2Ffull-record%2FWOS%3A001784072300001" TargetMode="External" Type="http://schemas.openxmlformats.org/officeDocument/2006/relationships/hyperlink"/><Relationship Id="rId498" Target="http%3A%2F%2Fdx.doi.org%2F10.1142%2FS0218213025500095" TargetMode="External" Type="http://schemas.openxmlformats.org/officeDocument/2006/relationships/hyperlink"/><Relationship Id="rId499" Target="https%3A%2F%2Fwww.webofscience.com%2Fwos%2Fwoscc%2Ffull-record%2FWOS%3A001530892600001" TargetMode="External" Type="http://schemas.openxmlformats.org/officeDocument/2006/relationships/hyperlink"/><Relationship Id="rId5" Target="http%3A%2F%2Fdx.doi.org%2F10.1109%2FACCESS.2025.3552254" TargetMode="External" Type="http://schemas.openxmlformats.org/officeDocument/2006/relationships/hyperlink"/><Relationship Id="rId50" Target="https%3A%2F%2Fwww.webofscience.com%2Fwos%2Fwoscc%2Ffull-record%2FWOS%3A001521547800001" TargetMode="External" Type="http://schemas.openxmlformats.org/officeDocument/2006/relationships/hyperlink"/><Relationship Id="rId500" Target="http%3A%2F%2Fdx.doi.org%2F10.1089%2Fneu.2023.0446" TargetMode="External" Type="http://schemas.openxmlformats.org/officeDocument/2006/relationships/hyperlink"/><Relationship Id="rId501" Target="https%3A%2F%2Fwww.webofscience.com%2Fwos%2Fwoscc%2Ffull-record%2FWOS%3A001162748600001" TargetMode="External" Type="http://schemas.openxmlformats.org/officeDocument/2006/relationships/hyperlink"/><Relationship Id="rId502" Target="http%3A%2F%2Fdx.doi.org%2F10.1016%2Fj.jot.2026.101062" TargetMode="External" Type="http://schemas.openxmlformats.org/officeDocument/2006/relationships/hyperlink"/><Relationship Id="rId503" Target="https%3A%2F%2Fwww.webofscience.com%2Fwos%2Fwoscc%2Ffull-record%2FWOS%3A001705855800001" TargetMode="External" Type="http://schemas.openxmlformats.org/officeDocument/2006/relationships/hyperlink"/><Relationship Id="rId504" Target="http%3A%2F%2Fdx.doi.org%2F10.1038%2Fs41591-024-02993-w" TargetMode="External" Type="http://schemas.openxmlformats.org/officeDocument/2006/relationships/hyperlink"/><Relationship Id="rId505" Target="https%3A%2F%2Fwww.webofscience.com%2Fwos%2Fwoscc%2Ffull-record%2FWOS%3A001236311700003" TargetMode="External" Type="http://schemas.openxmlformats.org/officeDocument/2006/relationships/hyperlink"/><Relationship Id="rId506" Target="http%3A%2F%2Fdx.doi.org%2F10.1016%2Fj.neurot.2024.e00471" TargetMode="External" Type="http://schemas.openxmlformats.org/officeDocument/2006/relationships/hyperlink"/><Relationship Id="rId507" Target="https%3A%2F%2Fwww.webofscience.com%2Fwos%2Fwoscc%2Ffull-record%2FWOS%3A001390663200001" TargetMode="External" Type="http://schemas.openxmlformats.org/officeDocument/2006/relationships/hyperlink"/><Relationship Id="rId508" Target="http%3A%2F%2Fdx.doi.org%2F10.1007%2Fs11571-025-10369-0" TargetMode="External" Type="http://schemas.openxmlformats.org/officeDocument/2006/relationships/hyperlink"/><Relationship Id="rId509" Target="https%3A%2F%2Fwww.webofscience.com%2Fwos%2Fwoscc%2Ffull-record%2FWOS%3A001609597200002" TargetMode="External" Type="http://schemas.openxmlformats.org/officeDocument/2006/relationships/hyperlink"/><Relationship Id="rId51" Target="http%3A%2F%2Fdx.doi.org%2F10.1016%2Fj.compbiomed.2023.107704" TargetMode="External" Type="http://schemas.openxmlformats.org/officeDocument/2006/relationships/hyperlink"/><Relationship Id="rId510" Target="http%3A%2F%2Fdx.doi.org%2F10.3791%2F70231" TargetMode="External" Type="http://schemas.openxmlformats.org/officeDocument/2006/relationships/hyperlink"/><Relationship Id="rId511" Target="https%3A%2F%2Fwww.webofscience.com%2Fwos%2Fwoscc%2Ffull-record%2FWOS%3A001772365700029" TargetMode="External" Type="http://schemas.openxmlformats.org/officeDocument/2006/relationships/hyperlink"/><Relationship Id="rId512" Target="http%3A%2F%2Fdx.doi.org%2F10.3389%2Ffpubh.2026.1854215" TargetMode="External" Type="http://schemas.openxmlformats.org/officeDocument/2006/relationships/hyperlink"/><Relationship Id="rId513" Target="https%3A%2F%2Fwww.webofscience.com%2Fwos%2Fwoscc%2Ffull-record%2FWOS%3A001813076600001" TargetMode="External" Type="http://schemas.openxmlformats.org/officeDocument/2006/relationships/hyperlink"/><Relationship Id="rId514" Target="http%3A%2F%2Fdx.doi.org%2F10.1109%2FACCESS.2026.3680427" TargetMode="External" Type="http://schemas.openxmlformats.org/officeDocument/2006/relationships/hyperlink"/><Relationship Id="rId515" Target="https%3A%2F%2Fwww.webofscience.com%2Fwos%2Fwoscc%2Ffull-record%2FWOS%3A001740841500045" TargetMode="External" Type="http://schemas.openxmlformats.org/officeDocument/2006/relationships/hyperlink"/><Relationship Id="rId516" Target="http%3A%2F%2Fdx.doi.org%2F10.1080%2F0886022X.2025.2528106" TargetMode="External" Type="http://schemas.openxmlformats.org/officeDocument/2006/relationships/hyperlink"/><Relationship Id="rId517" Target="https%3A%2F%2Fwww.webofscience.com%2Fwos%2Fwoscc%2Ffull-record%2FWOS%3A001528187700001" TargetMode="External" Type="http://schemas.openxmlformats.org/officeDocument/2006/relationships/hyperlink"/><Relationship Id="rId518" Target="http%3A%2F%2Fdx.doi.org%2F10.1093%2Fjamia%2Focaf142" TargetMode="External" Type="http://schemas.openxmlformats.org/officeDocument/2006/relationships/hyperlink"/><Relationship Id="rId519" Target="https%3A%2F%2Fwww.webofscience.com%2Fwos%2Fwoscc%2Ffull-record%2FWOS%3A001562421100001" TargetMode="External" Type="http://schemas.openxmlformats.org/officeDocument/2006/relationships/hyperlink"/><Relationship Id="rId52" Target="https%3A%2F%2Fwww.webofscience.com%2Fwos%2Fwoscc%2Ffull-record%2FWOS%3A001119023400001" TargetMode="External" Type="http://schemas.openxmlformats.org/officeDocument/2006/relationships/hyperlink"/><Relationship Id="rId520" Target="http%3A%2F%2Fdx.doi.org%2F10.1016%2Fj.xops.2024.100665" TargetMode="External" Type="http://schemas.openxmlformats.org/officeDocument/2006/relationships/hyperlink"/><Relationship Id="rId521" Target="https%3A%2F%2Fwww.webofscience.com%2Fwos%2Fwoscc%2Ffull-record%2FWOS%3A001400759300001" TargetMode="External" Type="http://schemas.openxmlformats.org/officeDocument/2006/relationships/hyperlink"/><Relationship Id="rId522" Target="http%3A%2F%2Fdx.doi.org%2F10.3390%2Fdiagnostics16020356" TargetMode="External" Type="http://schemas.openxmlformats.org/officeDocument/2006/relationships/hyperlink"/><Relationship Id="rId523" Target="https%3A%2F%2Fwww.webofscience.com%2Fwos%2Fwoscc%2Ffull-record%2FWOS%3A001671422100001" TargetMode="External" Type="http://schemas.openxmlformats.org/officeDocument/2006/relationships/hyperlink"/><Relationship Id="rId524" Target="http%3A%2F%2Fdx.doi.org%2F10.1016%2Fj.ophtha.2022.02.017" TargetMode="External" Type="http://schemas.openxmlformats.org/officeDocument/2006/relationships/hyperlink"/><Relationship Id="rId525" Target="https%3A%2F%2Fwww.webofscience.com%2Fwos%2Fwoscc%2Ffull-record%2FWOS%3A000885754600012" TargetMode="External" Type="http://schemas.openxmlformats.org/officeDocument/2006/relationships/hyperlink"/><Relationship Id="rId526" Target="http%3A%2F%2Fdx.doi.org%2F10.3390%2Fbioengineering13010012" TargetMode="External" Type="http://schemas.openxmlformats.org/officeDocument/2006/relationships/hyperlink"/><Relationship Id="rId527" Target="https%3A%2F%2Fwww.webofscience.com%2Fwos%2Fwoscc%2Ffull-record%2FWOS%3A001670736900001" TargetMode="External" Type="http://schemas.openxmlformats.org/officeDocument/2006/relationships/hyperlink"/><Relationship Id="rId528" Target="http%3A%2F%2Fdx.doi.org%2F10.1097%2FJS9.0000000000003494" TargetMode="External" Type="http://schemas.openxmlformats.org/officeDocument/2006/relationships/hyperlink"/><Relationship Id="rId529" Target="https%3A%2F%2Fwww.webofscience.com%2Fwos%2Fwoscc%2Ffull-record%2FWOS%3A001680465700026" TargetMode="External" Type="http://schemas.openxmlformats.org/officeDocument/2006/relationships/hyperlink"/><Relationship Id="rId53" Target="http%3A%2F%2Fdx.doi.org%2F10.1093%2Fehjdh%2Fztac033" TargetMode="External" Type="http://schemas.openxmlformats.org/officeDocument/2006/relationships/hyperlink"/><Relationship Id="rId530" Target="http%3A%2F%2Fdx.doi.org%2F10.1038%2Fs41598-025-25109-x" TargetMode="External" Type="http://schemas.openxmlformats.org/officeDocument/2006/relationships/hyperlink"/><Relationship Id="rId531" Target="https%3A%2F%2Fwww.webofscience.com%2Fwos%2Fwoscc%2Ffull-record%2FWOS%3A001620963600002" TargetMode="External" Type="http://schemas.openxmlformats.org/officeDocument/2006/relationships/hyperlink"/><Relationship Id="rId532" Target="http%3A%2F%2Fdx.doi.org%2F10.1016%2Fj.ejrad.2026.113070" TargetMode="External" Type="http://schemas.openxmlformats.org/officeDocument/2006/relationships/hyperlink"/><Relationship Id="rId533" Target="https%3A%2F%2Fwww.webofscience.com%2Fwos%2Fwoscc%2Ffull-record%2FWOS%3A001827433700001" TargetMode="External" Type="http://schemas.openxmlformats.org/officeDocument/2006/relationships/hyperlink"/><Relationship Id="rId534" Target="http%3A%2F%2Fdx.doi.org%2F10.1145%2F3656580" TargetMode="External" Type="http://schemas.openxmlformats.org/officeDocument/2006/relationships/hyperlink"/><Relationship Id="rId535" Target="https%3A%2F%2Fwww.webofscience.com%2Fwos%2Fwoscc%2Ffull-record%2FWOS%3A001265367400022" TargetMode="External" Type="http://schemas.openxmlformats.org/officeDocument/2006/relationships/hyperlink"/><Relationship Id="rId536" Target="http%3A%2F%2Fdx.doi.org%2F10.1177%2F13872877261454538" TargetMode="External" Type="http://schemas.openxmlformats.org/officeDocument/2006/relationships/hyperlink"/><Relationship Id="rId537" Target="https%3A%2F%2Fwww.webofscience.com%2Fwos%2Fwoscc%2Ffull-record%2FWOS%3A001779289700001" TargetMode="External" Type="http://schemas.openxmlformats.org/officeDocument/2006/relationships/hyperlink"/><Relationship Id="rId538" Target="http%3A%2F%2Fdx.doi.org%2F10.3390%2Fbioengineering12101107" TargetMode="External" Type="http://schemas.openxmlformats.org/officeDocument/2006/relationships/hyperlink"/><Relationship Id="rId539" Target="https%3A%2F%2Fwww.webofscience.com%2Fwos%2Fwoscc%2Ffull-record%2FWOS%3A001601774900001" TargetMode="External" Type="http://schemas.openxmlformats.org/officeDocument/2006/relationships/hyperlink"/><Relationship Id="rId54" Target="https%3A%2F%2Fwww.webofscience.com%2Fwos%2Fwoscc%2Ffull-record%2FWOS%3A001129574400012" TargetMode="External" Type="http://schemas.openxmlformats.org/officeDocument/2006/relationships/hyperlink"/><Relationship Id="rId540" Target="http%3A%2F%2Fdx.doi.org%2F10.1109%2FJBHI.2024.3501386" TargetMode="External" Type="http://schemas.openxmlformats.org/officeDocument/2006/relationships/hyperlink"/><Relationship Id="rId541" Target="https%3A%2F%2Fwww.webofscience.com%2Fwos%2Fwoscc%2Ffull-record%2FWOS%3A001427944500003" TargetMode="External" Type="http://schemas.openxmlformats.org/officeDocument/2006/relationships/hyperlink"/><Relationship Id="rId542" Target="http%3A%2F%2Fdx.doi.org%2F10.2196%2F70738" TargetMode="External" Type="http://schemas.openxmlformats.org/officeDocument/2006/relationships/hyperlink"/><Relationship Id="rId543" Target="https%3A%2F%2Fwww.webofscience.com%2Fwos%2Fwoscc%2Ffull-record%2FWOS%3A001578958700001" TargetMode="External" Type="http://schemas.openxmlformats.org/officeDocument/2006/relationships/hyperlink"/><Relationship Id="rId544" Target="http%3A%2F%2Fdx.doi.org%2F10.1016%2Fj.xcrm.2026.102969" TargetMode="External" Type="http://schemas.openxmlformats.org/officeDocument/2006/relationships/hyperlink"/><Relationship Id="rId545" Target="https%3A%2F%2Fwww.webofscience.com%2Fwos%2Fwoscc%2Ffull-record%2FWOS%3A001853913400001" TargetMode="External" Type="http://schemas.openxmlformats.org/officeDocument/2006/relationships/hyperlink"/><Relationship Id="rId546" Target="http%3A%2F%2Fdx.doi.org%2F10.3233%2FJAD-230496" TargetMode="External" Type="http://schemas.openxmlformats.org/officeDocument/2006/relationships/hyperlink"/><Relationship Id="rId547" Target="https%3A%2F%2Fwww.webofscience.com%2Fwos%2Fwoscc%2Ffull-record%2FWOS%3A001092311300024" TargetMode="External" Type="http://schemas.openxmlformats.org/officeDocument/2006/relationships/hyperlink"/><Relationship Id="rId548" Target="http%3A%2F%2Fdx.doi.org%2F10.1038%2Fs41598-025-06229-w" TargetMode="External" Type="http://schemas.openxmlformats.org/officeDocument/2006/relationships/hyperlink"/><Relationship Id="rId549" Target="https%3A%2F%2Fwww.webofscience.com%2Fwos%2Fwoscc%2Ffull-record%2FWOS%3A001553426400042" TargetMode="External" Type="http://schemas.openxmlformats.org/officeDocument/2006/relationships/hyperlink"/><Relationship Id="rId55" Target="http%3A%2F%2Fdx.doi.org%2F10.1038%2Fs41598-024-78553-6" TargetMode="External" Type="http://schemas.openxmlformats.org/officeDocument/2006/relationships/hyperlink"/><Relationship Id="rId550" Target="http%3A%2F%2Fdx.doi.org%2F10.1038%2Fs41467-025-62042-z" TargetMode="External" Type="http://schemas.openxmlformats.org/officeDocument/2006/relationships/hyperlink"/><Relationship Id="rId551" Target="https%3A%2F%2Fwww.webofscience.com%2Fwos%2Fwoscc%2Ffull-record%2FWOS%3A001542634900032" TargetMode="External" Type="http://schemas.openxmlformats.org/officeDocument/2006/relationships/hyperlink"/><Relationship Id="rId552" Target="http%3A%2F%2Fdx.doi.org%2F10.1016%2Fj.acra.2024.07.029" TargetMode="External" Type="http://schemas.openxmlformats.org/officeDocument/2006/relationships/hyperlink"/><Relationship Id="rId553" Target="https%3A%2F%2Fwww.webofscience.com%2Fwos%2Fwoscc%2Ffull-record%2FWOS%3A001416327200001" TargetMode="External" Type="http://schemas.openxmlformats.org/officeDocument/2006/relationships/hyperlink"/><Relationship Id="rId554" Target="http%3A%2F%2Fdx.doi.org%2F10.1038%2Fs41598-025-31550-9" TargetMode="External" Type="http://schemas.openxmlformats.org/officeDocument/2006/relationships/hyperlink"/><Relationship Id="rId555" Target="https%3A%2F%2Fwww.webofscience.com%2Fwos%2Fwoscc%2Ffull-record%2FWOS%3A001661607700001" TargetMode="External" Type="http://schemas.openxmlformats.org/officeDocument/2006/relationships/hyperlink"/><Relationship Id="rId556" Target="http%3A%2F%2Fdx.doi.org%2F10.1097%2FRLI.0000000000001102" TargetMode="External" Type="http://schemas.openxmlformats.org/officeDocument/2006/relationships/hyperlink"/><Relationship Id="rId557" Target="https%3A%2F%2Fwww.webofscience.com%2Fwos%2Fwoscc%2Ffull-record%2FWOS%3A001350965200001" TargetMode="External" Type="http://schemas.openxmlformats.org/officeDocument/2006/relationships/hyperlink"/><Relationship Id="rId558" Target="http%3A%2F%2Fdx.doi.org%2F10.3389%2Ffmed.2025.1583514" TargetMode="External" Type="http://schemas.openxmlformats.org/officeDocument/2006/relationships/hyperlink"/><Relationship Id="rId559" Target="https%3A%2F%2Fwww.webofscience.com%2Fwos%2Fwoscc%2Ffull-record%2FWOS%3A001503726400001" TargetMode="External" Type="http://schemas.openxmlformats.org/officeDocument/2006/relationships/hyperlink"/><Relationship Id="rId56" Target="https%3A%2F%2Fwww.webofscience.com%2Fwos%2Fwoscc%2Ffull-record%2FWOS%3A001349432200035" TargetMode="External" Type="http://schemas.openxmlformats.org/officeDocument/2006/relationships/hyperlink"/><Relationship Id="rId560" Target="http%3A%2F%2Fdx.doi.org%2F10.1158%2F1078-0432.CCR-24-3656" TargetMode="External" Type="http://schemas.openxmlformats.org/officeDocument/2006/relationships/hyperlink"/><Relationship Id="rId561" Target="https%3A%2F%2Fwww.webofscience.com%2Fwos%2Fwoscc%2Ffull-record%2FWOS%3A001466175600001" TargetMode="External" Type="http://schemas.openxmlformats.org/officeDocument/2006/relationships/hyperlink"/><Relationship Id="rId562" Target="http%3A%2F%2Fdx.doi.org%2F10.3390%2Fbioengineering12010073" TargetMode="External" Type="http://schemas.openxmlformats.org/officeDocument/2006/relationships/hyperlink"/><Relationship Id="rId563" Target="https%3A%2F%2Fwww.webofscience.com%2Fwos%2Fwoscc%2Ffull-record%2FWOS%3A001404623900001" TargetMode="External" Type="http://schemas.openxmlformats.org/officeDocument/2006/relationships/hyperlink"/><Relationship Id="rId564" Target="http%3A%2F%2Fdx.doi.org%2F10.1016%2Fj.displa.2025.102998" TargetMode="External" Type="http://schemas.openxmlformats.org/officeDocument/2006/relationships/hyperlink"/><Relationship Id="rId565" Target="https%3A%2F%2Fwww.webofscience.com%2Fwos%2Fwoscc%2Ffull-record%2FWOS%3A001434283900001" TargetMode="External" Type="http://schemas.openxmlformats.org/officeDocument/2006/relationships/hyperlink"/><Relationship Id="rId566" Target="http%3A%2F%2Fdx.doi.org%2F10.1038%2Fs41746-025-01560-y" TargetMode="External" Type="http://schemas.openxmlformats.org/officeDocument/2006/relationships/hyperlink"/><Relationship Id="rId567" Target="https%3A%2F%2Fwww.webofscience.com%2Fwos%2Fwoscc%2Ffull-record%2FWOS%3A001468348700001" TargetMode="External" Type="http://schemas.openxmlformats.org/officeDocument/2006/relationships/hyperlink"/><Relationship Id="rId568" Target="http%3A%2F%2Fdx.doi.org%2F10.1007%2Fs00259-025-07248-5" TargetMode="External" Type="http://schemas.openxmlformats.org/officeDocument/2006/relationships/hyperlink"/><Relationship Id="rId569" Target="https%3A%2F%2Fwww.webofscience.com%2Fwos%2Fwoscc%2Ffull-record%2FWOS%3A001459795500001" TargetMode="External" Type="http://schemas.openxmlformats.org/officeDocument/2006/relationships/hyperlink"/><Relationship Id="rId57" Target="http%3A%2F%2Fdx.doi.org%2F10.1200%2FCCI-25-00141" TargetMode="External" Type="http://schemas.openxmlformats.org/officeDocument/2006/relationships/hyperlink"/><Relationship Id="rId570" Target="http%3A%2F%2Fdx.doi.org%2F10.1109%2FMCOM.001.2500767" TargetMode="External" Type="http://schemas.openxmlformats.org/officeDocument/2006/relationships/hyperlink"/><Relationship Id="rId571" Target="https%3A%2F%2Fwww.webofscience.com%2Fwos%2Fwoscc%2Ffull-record%2FWOS%3A001767351700001" TargetMode="External" Type="http://schemas.openxmlformats.org/officeDocument/2006/relationships/hyperlink"/><Relationship Id="rId572" Target="http%3A%2F%2Fdx.doi.org%2F10.1038%2Fs43856-024-00637-1" TargetMode="External" Type="http://schemas.openxmlformats.org/officeDocument/2006/relationships/hyperlink"/><Relationship Id="rId573" Target="https%3A%2F%2Fwww.webofscience.com%2Fwos%2Fwoscc%2Ffull-record%2FWOS%3A001379560500001" TargetMode="External" Type="http://schemas.openxmlformats.org/officeDocument/2006/relationships/hyperlink"/><Relationship Id="rId574" Target="http%3A%2F%2Fdx.doi.org%2F10.1088%2F1361-6560%2Fac4c47" TargetMode="External" Type="http://schemas.openxmlformats.org/officeDocument/2006/relationships/hyperlink"/><Relationship Id="rId575" Target="https%3A%2F%2Fwww.webofscience.com%2Fwos%2Fwoscc%2Ffull-record%2FWOS%3A000749282700001" TargetMode="External" Type="http://schemas.openxmlformats.org/officeDocument/2006/relationships/hyperlink"/><Relationship Id="rId576" Target="http%3A%2F%2Fdx.doi.org%2F10.3389%2Ffneur.2026.1787921" TargetMode="External" Type="http://schemas.openxmlformats.org/officeDocument/2006/relationships/hyperlink"/><Relationship Id="rId577" Target="https%3A%2F%2Fwww.webofscience.com%2Fwos%2Fwoscc%2Ffull-record%2FWOS%3A001728968300001" TargetMode="External" Type="http://schemas.openxmlformats.org/officeDocument/2006/relationships/hyperlink"/><Relationship Id="rId578" Target="http%3A%2F%2Fdx.doi.org%2F10.1109%2FTMI.2024.3352602" TargetMode="External" Type="http://schemas.openxmlformats.org/officeDocument/2006/relationships/hyperlink"/><Relationship Id="rId579" Target="https%3A%2F%2Fwww.webofscience.com%2Fwos%2Fwoscc%2Ffull-record%2FWOS%3A001214547800027" TargetMode="External" Type="http://schemas.openxmlformats.org/officeDocument/2006/relationships/hyperlink"/><Relationship Id="rId58" Target="https%3A%2F%2Fwww.webofscience.com%2Fwos%2Fwoscc%2Ffull-record%2FWOS%3A001800356100001" TargetMode="External" Type="http://schemas.openxmlformats.org/officeDocument/2006/relationships/hyperlink"/><Relationship Id="rId580" Target="http%3A%2F%2Fdx.doi.org%2F10.1038%2Fs41598-023-44634-1" TargetMode="External" Type="http://schemas.openxmlformats.org/officeDocument/2006/relationships/hyperlink"/><Relationship Id="rId581" Target="https%3A%2F%2Fwww.webofscience.com%2Fwos%2Fwoscc%2Ffull-record%2FWOS%3A001086926800063" TargetMode="External" Type="http://schemas.openxmlformats.org/officeDocument/2006/relationships/hyperlink"/><Relationship Id="rId582" Target="http%3A%2F%2Fdx.doi.org%2F10.3389%2Ffnagi.2022.830943" TargetMode="External" Type="http://schemas.openxmlformats.org/officeDocument/2006/relationships/hyperlink"/><Relationship Id="rId583" Target="https%3A%2F%2Fwww.webofscience.com%2Fwos%2Fwoscc%2Ffull-record%2FWOS%3A000799108900001" TargetMode="External" Type="http://schemas.openxmlformats.org/officeDocument/2006/relationships/hyperlink"/><Relationship Id="rId584" Target="http%3A%2F%2Fdx.doi.org%2F10.3389%2Ffimmu.2026.1602846" TargetMode="External" Type="http://schemas.openxmlformats.org/officeDocument/2006/relationships/hyperlink"/><Relationship Id="rId585" Target="https%3A%2F%2Fwww.webofscience.com%2Fwos%2Fwoscc%2Ffull-record%2FWOS%3A001697538000001" TargetMode="External" Type="http://schemas.openxmlformats.org/officeDocument/2006/relationships/hyperlink"/><Relationship Id="rId586" Target="http%3A%2F%2Fdx.doi.org%2F10.1007%2Fs00261-024-04202-1" TargetMode="External" Type="http://schemas.openxmlformats.org/officeDocument/2006/relationships/hyperlink"/><Relationship Id="rId587" Target="https%3A%2F%2Fwww.webofscience.com%2Fwos%2Fwoscc%2Ffull-record%2FWOS%3A001174830300001" TargetMode="External" Type="http://schemas.openxmlformats.org/officeDocument/2006/relationships/hyperlink"/><Relationship Id="rId588" Target="http%3A%2F%2Fdx.doi.org%2F10.1038%2Fs41598-025-33536-z" TargetMode="External" Type="http://schemas.openxmlformats.org/officeDocument/2006/relationships/hyperlink"/><Relationship Id="rId589" Target="https%3A%2F%2Fwww.webofscience.com%2Fwos%2Fwoscc%2Ffull-record%2FWOS%3A001651220100001" TargetMode="External" Type="http://schemas.openxmlformats.org/officeDocument/2006/relationships/hyperlink"/><Relationship Id="rId59" Target="http%3A%2F%2Fdx.doi.org%2F10.1016%2Fj.jbi.2026.105001" TargetMode="External" Type="http://schemas.openxmlformats.org/officeDocument/2006/relationships/hyperlink"/><Relationship Id="rId590" Target="http%3A%2F%2Fdx.doi.org%2F10.3390%2Fs25010039" TargetMode="External" Type="http://schemas.openxmlformats.org/officeDocument/2006/relationships/hyperlink"/><Relationship Id="rId591" Target="https%3A%2F%2Fwww.webofscience.com%2Fwos%2Fwoscc%2Ffull-record%2FWOS%3A001393916500001" TargetMode="External" Type="http://schemas.openxmlformats.org/officeDocument/2006/relationships/hyperlink"/><Relationship Id="rId592" Target="http%3A%2F%2Fdx.doi.org%2F10.3389%2Ffonc.2024.1287995" TargetMode="External" Type="http://schemas.openxmlformats.org/officeDocument/2006/relationships/hyperlink"/><Relationship Id="rId593" Target="https%3A%2F%2Fwww.webofscience.com%2Fwos%2Fwoscc%2Ffull-record%2FWOS%3A001191951500001" TargetMode="External" Type="http://schemas.openxmlformats.org/officeDocument/2006/relationships/hyperlink"/><Relationship Id="rId594" Target="http%3A%2F%2Fdx.doi.org%2F10.3389%2Ffphys.2022.1021400" TargetMode="External" Type="http://schemas.openxmlformats.org/officeDocument/2006/relationships/hyperlink"/><Relationship Id="rId595" Target="https%3A%2F%2Fwww.webofscience.com%2Fwos%2Fwoscc%2Ffull-record%2FWOS%3A000889291400001" TargetMode="External" Type="http://schemas.openxmlformats.org/officeDocument/2006/relationships/hyperlink"/><Relationship Id="rId596" Target="http%3A%2F%2Fdx.doi.org%2F10.1093%2Fecco-jcc%2Fjjaf206" TargetMode="External" Type="http://schemas.openxmlformats.org/officeDocument/2006/relationships/hyperlink"/><Relationship Id="rId597" Target="https%3A%2F%2Fwww.webofscience.com%2Fwos%2Fwoscc%2Ffull-record%2FWOS%3A001661351100001" TargetMode="External" Type="http://schemas.openxmlformats.org/officeDocument/2006/relationships/hyperlink"/><Relationship Id="rId598" Target="http%3A%2F%2Fdx.doi.org%2F10.4274%2Fdir.2023.232116" TargetMode="External" Type="http://schemas.openxmlformats.org/officeDocument/2006/relationships/hyperlink"/><Relationship Id="rId599" Target="https%3A%2F%2Fwww.webofscience.com%2Fwos%2Fwoscc%2Ffull-record%2FWOS%3A001175843700010" TargetMode="External" Type="http://schemas.openxmlformats.org/officeDocument/2006/relationships/hyperlink"/><Relationship Id="rId6" Target="https%3A%2F%2Fwww.webofscience.com%2Fwos%2Fwoscc%2Ffull-record%2FWOS%3A001455585800012" TargetMode="External" Type="http://schemas.openxmlformats.org/officeDocument/2006/relationships/hyperlink"/><Relationship Id="rId60" Target="https%3A%2F%2Fwww.webofscience.com%2Fwos%2Fwoscc%2Ffull-record%2FWOS%3A001707715400001" TargetMode="External" Type="http://schemas.openxmlformats.org/officeDocument/2006/relationships/hyperlink"/><Relationship Id="rId600" Target="http%3A%2F%2Fdx.doi.org%2F10.1016%2Fj.jcmg.2025.08.004" TargetMode="External" Type="http://schemas.openxmlformats.org/officeDocument/2006/relationships/hyperlink"/><Relationship Id="rId601" Target="https%3A%2F%2Fwww.webofscience.com%2Fwos%2Fwoscc%2Ffull-record%2FWOS%3A001684643000001" TargetMode="External" Type="http://schemas.openxmlformats.org/officeDocument/2006/relationships/hyperlink"/><Relationship Id="rId602" Target="http%3A%2F%2Fdx.doi.org%2F10.1007%2Fs00261-024-04766-y" TargetMode="External" Type="http://schemas.openxmlformats.org/officeDocument/2006/relationships/hyperlink"/><Relationship Id="rId603" Target="https%3A%2F%2Fwww.webofscience.com%2Fwos%2Fwoscc%2Ffull-record%2FWOS%3A001388224400001" TargetMode="External" Type="http://schemas.openxmlformats.org/officeDocument/2006/relationships/hyperlink"/><Relationship Id="rId604" Target="http%3A%2F%2Fdx.doi.org%2F10.1186%2Fs40644-024-00783-8" TargetMode="External" Type="http://schemas.openxmlformats.org/officeDocument/2006/relationships/hyperlink"/><Relationship Id="rId605" Target="https%3A%2F%2Fwww.webofscience.com%2Fwos%2Fwoscc%2Ffull-record%2FWOS%3A001338314200001" TargetMode="External" Type="http://schemas.openxmlformats.org/officeDocument/2006/relationships/hyperlink"/><Relationship Id="rId606" Target="http%3A%2F%2Fdx.doi.org%2F10.3390%2Fbiomedinformatics3030034" TargetMode="External" Type="http://schemas.openxmlformats.org/officeDocument/2006/relationships/hyperlink"/><Relationship Id="rId607" Target="https%3A%2F%2Fwww.webofscience.com%2Fwos%2Fwoscc%2Ffull-record%2FWOS%3A001644279800001" TargetMode="External" Type="http://schemas.openxmlformats.org/officeDocument/2006/relationships/hyperlink"/><Relationship Id="rId608" Target="http%3A%2F%2Fdx.doi.org%2F10.1504%2FIJBIC.2025.149561" TargetMode="External" Type="http://schemas.openxmlformats.org/officeDocument/2006/relationships/hyperlink"/><Relationship Id="rId609" Target="https%3A%2F%2Fwww.webofscience.com%2Fwos%2Fwoscc%2Ffull-record%2FWOS%3A001611250500001" TargetMode="External" Type="http://schemas.openxmlformats.org/officeDocument/2006/relationships/hyperlink"/><Relationship Id="rId61" Target="http%3A%2F%2Fdx.doi.org%2F10.1109%2FTMI.2026.3681722" TargetMode="External" Type="http://schemas.openxmlformats.org/officeDocument/2006/relationships/hyperlink"/><Relationship Id="rId610" Target="http%3A%2F%2Fdx.doi.org%2F10.1109%2FACCESS.2023.3275126" TargetMode="External" Type="http://schemas.openxmlformats.org/officeDocument/2006/relationships/hyperlink"/><Relationship Id="rId611" Target="https%3A%2F%2Fwww.webofscience.com%2Fwos%2Fwoscc%2Ffull-record%2FWOS%3A001010128600001" TargetMode="External" Type="http://schemas.openxmlformats.org/officeDocument/2006/relationships/hyperlink"/><Relationship Id="rId612" Target="http%3A%2F%2Fdx.doi.org%2F10.3390%2Fbiomedicines14051129" TargetMode="External" Type="http://schemas.openxmlformats.org/officeDocument/2006/relationships/hyperlink"/><Relationship Id="rId613" Target="https%3A%2F%2Fwww.webofscience.com%2Fwos%2Fwoscc%2Ffull-record%2FWOS%3A001776479700001" TargetMode="External" Type="http://schemas.openxmlformats.org/officeDocument/2006/relationships/hyperlink"/><Relationship Id="rId614" Target="http%3A%2F%2Fdx.doi.org%2F10.1109%2FOJEMB.2024.3403948" TargetMode="External" Type="http://schemas.openxmlformats.org/officeDocument/2006/relationships/hyperlink"/><Relationship Id="rId615" Target="https%3A%2F%2Fwww.webofscience.com%2Fwos%2Fwoscc%2Ffull-record%2FWOS%3A001351909400003" TargetMode="External" Type="http://schemas.openxmlformats.org/officeDocument/2006/relationships/hyperlink"/><Relationship Id="rId616" Target="http%3A%2F%2Fdx.doi.org%2F10.2174%2F0113862073484389260528213445" TargetMode="External" Type="http://schemas.openxmlformats.org/officeDocument/2006/relationships/hyperlink"/><Relationship Id="rId617" Target="https%3A%2F%2Fwww.webofscience.com%2Fwos%2Fwoscc%2Ffull-record%2FWOS%3A001796074900001" TargetMode="External" Type="http://schemas.openxmlformats.org/officeDocument/2006/relationships/hyperlink"/><Relationship Id="rId618" Target="http%3A%2F%2Fdx.doi.org%2F10.1007%2Fs10916-026-02368-3" TargetMode="External" Type="http://schemas.openxmlformats.org/officeDocument/2006/relationships/hyperlink"/><Relationship Id="rId619" Target="https%3A%2F%2Fwww.webofscience.com%2Fwos%2Fwoscc%2Ffull-record%2FWOS%3A001737295200002" TargetMode="External" Type="http://schemas.openxmlformats.org/officeDocument/2006/relationships/hyperlink"/><Relationship Id="rId62" Target="https%3A%2F%2Fwww.webofscience.com%2Fwos%2Fwoscc%2Ffull-record%2FWOS%3A001841529200043" TargetMode="External" Type="http://schemas.openxmlformats.org/officeDocument/2006/relationships/hyperlink"/><Relationship Id="rId620" Target="http%3A%2F%2Fdx.doi.org%2F10.1016%2Fj.esmoop.2025.105809" TargetMode="External" Type="http://schemas.openxmlformats.org/officeDocument/2006/relationships/hyperlink"/><Relationship Id="rId621" Target="https%3A%2F%2Fwww.webofscience.com%2Fwos%2Fwoscc%2Ffull-record%2FWOS%3A001585731400001" TargetMode="External" Type="http://schemas.openxmlformats.org/officeDocument/2006/relationships/hyperlink"/><Relationship Id="rId622" Target="http%3A%2F%2Fdx.doi.org%2F10.1038%2Fs41598-024-56172-5" TargetMode="External" Type="http://schemas.openxmlformats.org/officeDocument/2006/relationships/hyperlink"/><Relationship Id="rId623" Target="https%3A%2F%2Fwww.webofscience.com%2Fwos%2Fwoscc%2Ffull-record%2FWOS%3A001185083700054" TargetMode="External" Type="http://schemas.openxmlformats.org/officeDocument/2006/relationships/hyperlink"/><Relationship Id="rId624" Target="http%3A%2F%2Fdx.doi.org%2F10.1109%2FACCESS.2025.3610860" TargetMode="External" Type="http://schemas.openxmlformats.org/officeDocument/2006/relationships/hyperlink"/><Relationship Id="rId625" Target="https%3A%2F%2Fwww.webofscience.com%2Fwos%2Fwoscc%2Ffull-record%2FWOS%3A001579058900019" TargetMode="External" Type="http://schemas.openxmlformats.org/officeDocument/2006/relationships/hyperlink"/><Relationship Id="rId626" Target="http%3A%2F%2Fdx.doi.org%2F10.1088%2F1873-4030%2Fae449b" TargetMode="External" Type="http://schemas.openxmlformats.org/officeDocument/2006/relationships/hyperlink"/><Relationship Id="rId627" Target="https%3A%2F%2Fwww.webofscience.com%2Fwos%2Fwoscc%2Ffull-record%2FWOS%3A001751399300001" TargetMode="External" Type="http://schemas.openxmlformats.org/officeDocument/2006/relationships/hyperlink"/><Relationship Id="rId628" Target="http%3A%2F%2Fdx.doi.org%2F10.1097%2FJS9.0000000000001241" TargetMode="External" Type="http://schemas.openxmlformats.org/officeDocument/2006/relationships/hyperlink"/><Relationship Id="rId629" Target="https%3A%2F%2Fwww.webofscience.com%2Fwos%2Fwoscc%2Ffull-record%2FWOS%3A001248212000009" TargetMode="External" Type="http://schemas.openxmlformats.org/officeDocument/2006/relationships/hyperlink"/><Relationship Id="rId63" Target="http%3A%2F%2Fdx.doi.org%2F10.1161%2FJAHA.125.048151" TargetMode="External" Type="http://schemas.openxmlformats.org/officeDocument/2006/relationships/hyperlink"/><Relationship Id="rId630" Target="http%3A%2F%2Fdx.doi.org%2F10.1093%2Fhmg%2Fddag040" TargetMode="External" Type="http://schemas.openxmlformats.org/officeDocument/2006/relationships/hyperlink"/><Relationship Id="rId631" Target="https%3A%2F%2Fwww.webofscience.com%2Fwos%2Fwoscc%2Ffull-record%2FWOS%3A001787981200002" TargetMode="External" Type="http://schemas.openxmlformats.org/officeDocument/2006/relationships/hyperlink"/><Relationship Id="rId632" Target="http%3A%2F%2Fdx.doi.org%2F10.3389%2Ffbioe.2025.1712390" TargetMode="External" Type="http://schemas.openxmlformats.org/officeDocument/2006/relationships/hyperlink"/><Relationship Id="rId633" Target="https%3A%2F%2Fwww.webofscience.com%2Fwos%2Fwoscc%2Ffull-record%2FWOS%3A001669014200001" TargetMode="External" Type="http://schemas.openxmlformats.org/officeDocument/2006/relationships/hyperlink"/><Relationship Id="rId634" Target="http%3A%2F%2Fdx.doi.org%2F10.1038%2Fs41746-025-02034-x" TargetMode="External" Type="http://schemas.openxmlformats.org/officeDocument/2006/relationships/hyperlink"/><Relationship Id="rId635" Target="https%3A%2F%2Fwww.webofscience.com%2Fwos%2Fwoscc%2Ffull-record%2FWOS%3A001618214900001" TargetMode="External" Type="http://schemas.openxmlformats.org/officeDocument/2006/relationships/hyperlink"/><Relationship Id="rId636" Target="http%3A%2F%2Fdx.doi.org%2F10.1007%2Fs11517-025-03353-7" TargetMode="External" Type="http://schemas.openxmlformats.org/officeDocument/2006/relationships/hyperlink"/><Relationship Id="rId637" Target="https%3A%2F%2Fwww.webofscience.com%2Fwos%2Fwoscc%2Ffull-record%2FWOS%3A001456465100001" TargetMode="External" Type="http://schemas.openxmlformats.org/officeDocument/2006/relationships/hyperlink"/><Relationship Id="rId638" Target="http%3A%2F%2Fdx.doi.org%2F10.3389%2Ffendo.2026.1832468" TargetMode="External" Type="http://schemas.openxmlformats.org/officeDocument/2006/relationships/hyperlink"/><Relationship Id="rId639" Target="https%3A%2F%2Fwww.webofscience.com%2Fwos%2Fwoscc%2Ffull-record%2FWOS%3A001780377800001" TargetMode="External" Type="http://schemas.openxmlformats.org/officeDocument/2006/relationships/hyperlink"/><Relationship Id="rId64" Target="https%3A%2F%2Fwww.webofscience.com%2Fwos%2Fwoscc%2Ffull-record%2FWOS%3A001794737800001" TargetMode="External" Type="http://schemas.openxmlformats.org/officeDocument/2006/relationships/hyperlink"/><Relationship Id="rId640" Target="http%3A%2F%2Fdx.doi.org%2F10.3390%2Fcancers17132115" TargetMode="External" Type="http://schemas.openxmlformats.org/officeDocument/2006/relationships/hyperlink"/><Relationship Id="rId641" Target="https%3A%2F%2Fwww.webofscience.com%2Fwos%2Fwoscc%2Ffull-record%2FWOS%3A001527122500001" TargetMode="External" Type="http://schemas.openxmlformats.org/officeDocument/2006/relationships/hyperlink"/><Relationship Id="rId642" Target="http%3A%2F%2Fdx.doi.org%2F10.1192%2Fj.eurpsy.2026.12225" TargetMode="External" Type="http://schemas.openxmlformats.org/officeDocument/2006/relationships/hyperlink"/><Relationship Id="rId643" Target="https%3A%2F%2Fwww.webofscience.com%2Fwos%2Fwoscc%2Ffull-record%2FWOS%3A001793523000001" TargetMode="External" Type="http://schemas.openxmlformats.org/officeDocument/2006/relationships/hyperlink"/><Relationship Id="rId644" Target="http%3A%2F%2Fdx.doi.org%2F10.1167%2Ftvst.15.2.26" TargetMode="External" Type="http://schemas.openxmlformats.org/officeDocument/2006/relationships/hyperlink"/><Relationship Id="rId645" Target="https%3A%2F%2Fwww.webofscience.com%2Fwos%2Fwoscc%2Ffull-record%2FWOS%3A001730576500004" TargetMode="External" Type="http://schemas.openxmlformats.org/officeDocument/2006/relationships/hyperlink"/><Relationship Id="rId646" Target="http%3A%2F%2Fdx.doi.org%2F10.1186%2Fs13040-023-00338-w" TargetMode="External" Type="http://schemas.openxmlformats.org/officeDocument/2006/relationships/hyperlink"/><Relationship Id="rId647" Target="https%3A%2F%2Fwww.webofscience.com%2Fwos%2Fwoscc%2Ffull-record%2FWOS%3A001079365600001" TargetMode="External" Type="http://schemas.openxmlformats.org/officeDocument/2006/relationships/hyperlink"/><Relationship Id="rId648" Target="http%3A%2F%2Fdx.doi.org%2F10.1016%2Fj.jacadv.2025.102168" TargetMode="External" Type="http://schemas.openxmlformats.org/officeDocument/2006/relationships/hyperlink"/><Relationship Id="rId649" Target="https%3A%2F%2Fwww.webofscience.com%2Fwos%2Fwoscc%2Ffull-record%2FWOS%3A001578701300001" TargetMode="External" Type="http://schemas.openxmlformats.org/officeDocument/2006/relationships/hyperlink"/><Relationship Id="rId65" Target="http%3A%2F%2Fdx.doi.org%2F10.1002%2Fitl2.70324" TargetMode="External" Type="http://schemas.openxmlformats.org/officeDocument/2006/relationships/hyperlink"/><Relationship Id="rId650" Target="http%3A%2F%2Fdx.doi.org%2F10.3390%2Fbiomedicines14020348" TargetMode="External" Type="http://schemas.openxmlformats.org/officeDocument/2006/relationships/hyperlink"/><Relationship Id="rId651" Target="https%3A%2F%2Fwww.webofscience.com%2Fwos%2Fwoscc%2Ffull-record%2FWOS%3A001700679100001" TargetMode="External" Type="http://schemas.openxmlformats.org/officeDocument/2006/relationships/hyperlink"/><Relationship Id="rId652" Target="http%3A%2F%2Fdx.doi.org%2F10.1016%2Fj.euo.2024.01.004" TargetMode="External" Type="http://schemas.openxmlformats.org/officeDocument/2006/relationships/hyperlink"/><Relationship Id="rId653" Target="https%3A%2F%2Fwww.webofscience.com%2Fwos%2Fwoscc%2Ffull-record%2FWOS%3A001325348000001" TargetMode="External" Type="http://schemas.openxmlformats.org/officeDocument/2006/relationships/hyperlink"/><Relationship Id="rId654" Target="http%3A%2F%2Fdx.doi.org%2F10.1016%2Fj.phrs.2025.107765" TargetMode="External" Type="http://schemas.openxmlformats.org/officeDocument/2006/relationships/hyperlink"/><Relationship Id="rId655" Target="https%3A%2F%2Fwww.webofscience.com%2Fwos%2Fwoscc%2Ffull-record%2FWOS%3A001492916700001" TargetMode="External" Type="http://schemas.openxmlformats.org/officeDocument/2006/relationships/hyperlink"/><Relationship Id="rId656" Target="http%3A%2F%2Fdx.doi.org%2F10.1007%2Fs00330-025-11694-y" TargetMode="External" Type="http://schemas.openxmlformats.org/officeDocument/2006/relationships/hyperlink"/><Relationship Id="rId657" Target="https%3A%2F%2Fwww.webofscience.com%2Fwos%2Fwoscc%2Ffull-record%2FWOS%3A001494290500001" TargetMode="External" Type="http://schemas.openxmlformats.org/officeDocument/2006/relationships/hyperlink"/><Relationship Id="rId658" Target="http%3A%2F%2Fdx.doi.org%2F10.1016%2Fj.ejro.2026.100796" TargetMode="External" Type="http://schemas.openxmlformats.org/officeDocument/2006/relationships/hyperlink"/><Relationship Id="rId659" Target="https%3A%2F%2Fwww.webofscience.com%2Fwos%2Fwoscc%2Ffull-record%2FWOS%3A001820540200001" TargetMode="External" Type="http://schemas.openxmlformats.org/officeDocument/2006/relationships/hyperlink"/><Relationship Id="rId66" Target="https%3A%2F%2Fwww.webofscience.com%2Fwos%2Fwoscc%2Ffull-record%2FWOS%3A001786616500001" TargetMode="External" Type="http://schemas.openxmlformats.org/officeDocument/2006/relationships/hyperlink"/><Relationship Id="rId660" Target="http%3A%2F%2Fdx.doi.org%2F10.3389%2Ffpubh.2025.1687335" TargetMode="External" Type="http://schemas.openxmlformats.org/officeDocument/2006/relationships/hyperlink"/><Relationship Id="rId661" Target="https%3A%2F%2Fwww.webofscience.com%2Fwos%2Fwoscc%2Ffull-record%2FWOS%3A001663671900001" TargetMode="External" Type="http://schemas.openxmlformats.org/officeDocument/2006/relationships/hyperlink"/><Relationship Id="rId662" Target="http%3A%2F%2Fdx.doi.org%2F10.1007%2Fs10994-026-07033-x" TargetMode="External" Type="http://schemas.openxmlformats.org/officeDocument/2006/relationships/hyperlink"/><Relationship Id="rId663" Target="https%3A%2F%2Fwww.webofscience.com%2Fwos%2Fwoscc%2Ffull-record%2FWOS%3A001732916300001" TargetMode="External" Type="http://schemas.openxmlformats.org/officeDocument/2006/relationships/hyperlink"/><Relationship Id="rId664" Target="http%3A%2F%2Fdx.doi.org%2F10.1186%2Fs13244-024-01784-8" TargetMode="External" Type="http://schemas.openxmlformats.org/officeDocument/2006/relationships/hyperlink"/><Relationship Id="rId665" Target="https%3A%2F%2Fwww.webofscience.com%2Fwos%2Fwoscc%2Ffull-record%2FWOS%3A001298806400001" TargetMode="External" Type="http://schemas.openxmlformats.org/officeDocument/2006/relationships/hyperlink"/><Relationship Id="rId666" Target="http%3A%2F%2Fdx.doi.org%2F10.1038%2Fs41598-024-60134-2" TargetMode="External" Type="http://schemas.openxmlformats.org/officeDocument/2006/relationships/hyperlink"/><Relationship Id="rId667" Target="https%3A%2F%2Fwww.webofscience.com%2Fwos%2Fwoscc%2Ffull-record%2FWOS%3A001234127600003" TargetMode="External" Type="http://schemas.openxmlformats.org/officeDocument/2006/relationships/hyperlink"/><Relationship Id="rId668" Target="http%3A%2F%2Fdx.doi.org%2F10.34133%2Fresearch.1337" TargetMode="External" Type="http://schemas.openxmlformats.org/officeDocument/2006/relationships/hyperlink"/><Relationship Id="rId669" Target="https%3A%2F%2Fwww.webofscience.com%2Fwos%2Fwoscc%2Ffull-record%2FWOS%3A001806635100001" TargetMode="External" Type="http://schemas.openxmlformats.org/officeDocument/2006/relationships/hyperlink"/><Relationship Id="rId67" Target="http%3A%2F%2Fdx.doi.org%2F10.1016%2Fj.patcog.2025.112413" TargetMode="External" Type="http://schemas.openxmlformats.org/officeDocument/2006/relationships/hyperlink"/><Relationship Id="rId670" Target="http%3A%2F%2Fdx.doi.org%2F10.1007%2Fs00384-026-05132-8" TargetMode="External" Type="http://schemas.openxmlformats.org/officeDocument/2006/relationships/hyperlink"/><Relationship Id="rId671" Target="https%3A%2F%2Fwww.webofscience.com%2Fwos%2Fwoscc%2Ffull-record%2FWOS%3A001796377600001" TargetMode="External" Type="http://schemas.openxmlformats.org/officeDocument/2006/relationships/hyperlink"/><Relationship Id="rId672" Target="http%3A%2F%2Fdx.doi.org%2F10.1007%2Fs00595-025-03152-5" TargetMode="External" Type="http://schemas.openxmlformats.org/officeDocument/2006/relationships/hyperlink"/><Relationship Id="rId673" Target="https%3A%2F%2Fwww.webofscience.com%2Fwos%2Fwoscc%2Ffull-record%2FWOS%3A001595842000001" TargetMode="External" Type="http://schemas.openxmlformats.org/officeDocument/2006/relationships/hyperlink"/><Relationship Id="rId674" Target="http%3A%2F%2Fdx.doi.org%2F10.1002%2Facm2.70464" TargetMode="External" Type="http://schemas.openxmlformats.org/officeDocument/2006/relationships/hyperlink"/><Relationship Id="rId675" Target="https%3A%2F%2Fwww.webofscience.com%2Fwos%2Fwoscc%2Ffull-record%2FWOS%3A001664131700001" TargetMode="External" Type="http://schemas.openxmlformats.org/officeDocument/2006/relationships/hyperlink"/><Relationship Id="rId676" Target="http%3A%2F%2Fdx.doi.org%2F10.1371%2Fjournal.pone.0334242" TargetMode="External" Type="http://schemas.openxmlformats.org/officeDocument/2006/relationships/hyperlink"/><Relationship Id="rId677" Target="https%3A%2F%2Fwww.webofscience.com%2Fwos%2Fwoscc%2Ffull-record%2FWOS%3A001591823300003" TargetMode="External" Type="http://schemas.openxmlformats.org/officeDocument/2006/relationships/hyperlink"/><Relationship Id="rId678" Target="http%3A%2F%2Fdx.doi.org%2F10.2174%2F0115734056301741240903072017" TargetMode="External" Type="http://schemas.openxmlformats.org/officeDocument/2006/relationships/hyperlink"/><Relationship Id="rId679" Target="https%3A%2F%2Fwww.webofscience.com%2Fwos%2Fwoscc%2Ffull-record%2FWOS%3A001310477100001" TargetMode="External" Type="http://schemas.openxmlformats.org/officeDocument/2006/relationships/hyperlink"/><Relationship Id="rId68" Target="https%3A%2F%2Fwww.webofscience.com%2Fwos%2Fwoscc%2Ffull-record%2FWOS%3A001571771800001" TargetMode="External" Type="http://schemas.openxmlformats.org/officeDocument/2006/relationships/hyperlink"/><Relationship Id="rId680" Target="http%3A%2F%2Fdx.doi.org%2F10.1016%2Fj.acra.2024.06.026" TargetMode="External" Type="http://schemas.openxmlformats.org/officeDocument/2006/relationships/hyperlink"/><Relationship Id="rId681" Target="https%3A%2F%2Fwww.webofscience.com%2Fwos%2Fwoscc%2Ffull-record%2FWOS%3A001367901300001" TargetMode="External" Type="http://schemas.openxmlformats.org/officeDocument/2006/relationships/hyperlink"/><Relationship Id="rId682" Target="http%3A%2F%2Fdx.doi.org%2F10.1200%2FCCI-24-00287" TargetMode="External" Type="http://schemas.openxmlformats.org/officeDocument/2006/relationships/hyperlink"/><Relationship Id="rId683" Target="https%3A%2F%2Fwww.webofscience.com%2Fwos%2Fwoscc%2Ffull-record%2FWOS%3A001620201000001" TargetMode="External" Type="http://schemas.openxmlformats.org/officeDocument/2006/relationships/hyperlink"/><Relationship Id="rId684" Target="http%3A%2F%2Fdx.doi.org%2F10.1016%2Fj.ajpath.2025.06.006" TargetMode="External" Type="http://schemas.openxmlformats.org/officeDocument/2006/relationships/hyperlink"/><Relationship Id="rId685" Target="https%3A%2F%2Fwww.webofscience.com%2Fwos%2Fwoscc%2Ffull-record%2FWOS%3A001583484100007" TargetMode="External" Type="http://schemas.openxmlformats.org/officeDocument/2006/relationships/hyperlink"/><Relationship Id="rId686" Target="http%3A%2F%2Fdx.doi.org%2F10.1016%2Fj.jneumeth.2025.110363" TargetMode="External" Type="http://schemas.openxmlformats.org/officeDocument/2006/relationships/hyperlink"/><Relationship Id="rId687" Target="https%3A%2F%2Fwww.webofscience.com%2Fwos%2Fwoscc%2Ffull-record%2FWOS%3A001407301100001" TargetMode="External" Type="http://schemas.openxmlformats.org/officeDocument/2006/relationships/hyperlink"/><Relationship Id="rId688" Target="http%3A%2F%2Fdx.doi.org%2F10.1038%2Fs41433-026-04505-1" TargetMode="External" Type="http://schemas.openxmlformats.org/officeDocument/2006/relationships/hyperlink"/><Relationship Id="rId689" Target="https%3A%2F%2Fwww.webofscience.com%2Fwos%2Fwoscc%2Ffull-record%2FWOS%3A001757694400001" TargetMode="External" Type="http://schemas.openxmlformats.org/officeDocument/2006/relationships/hyperlink"/><Relationship Id="rId69" Target="http%3A%2F%2Fdx.doi.org%2F10.1016%2Fj.spinee.2025.03.021" TargetMode="External" Type="http://schemas.openxmlformats.org/officeDocument/2006/relationships/hyperlink"/><Relationship Id="rId690" Target="http%3A%2F%2Fdx.doi.org%2F10.1109%2FACCESS.2025.3557533" TargetMode="External" Type="http://schemas.openxmlformats.org/officeDocument/2006/relationships/hyperlink"/><Relationship Id="rId691" Target="https%3A%2F%2Fwww.webofscience.com%2Fwos%2Fwoscc%2Ffull-record%2FWOS%3A001469012900016" TargetMode="External" Type="http://schemas.openxmlformats.org/officeDocument/2006/relationships/hyperlink"/><Relationship Id="rId692" Target="http%3A%2F%2Fdx.doi.org%2F10.1001%2Fjamapsychiatry.2022.2075" TargetMode="External" Type="http://schemas.openxmlformats.org/officeDocument/2006/relationships/hyperlink"/><Relationship Id="rId693" Target="https%3A%2F%2Fwww.webofscience.com%2Fwos%2Fwoscc%2Ffull-record%2FWOS%3A000836399700004" TargetMode="External" Type="http://schemas.openxmlformats.org/officeDocument/2006/relationships/hyperlink"/><Relationship Id="rId694" Target="http%3A%2F%2Fdx.doi.org%2F10.1007%2Fs00261-024-04418-1" TargetMode="External" Type="http://schemas.openxmlformats.org/officeDocument/2006/relationships/hyperlink"/><Relationship Id="rId695" Target="https%3A%2F%2Fwww.webofscience.com%2Fwos%2Fwoscc%2Ffull-record%2FWOS%3A001247958700001" TargetMode="External" Type="http://schemas.openxmlformats.org/officeDocument/2006/relationships/hyperlink"/><Relationship Id="rId696" Target="http%3A%2F%2Fdx.doi.org%2F10.1111%2Fresp.70036" TargetMode="External" Type="http://schemas.openxmlformats.org/officeDocument/2006/relationships/hyperlink"/><Relationship Id="rId697" Target="https%3A%2F%2Fwww.webofscience.com%2Fwos%2Fwoscc%2Ffull-record%2FWOS%3A001544817200009" TargetMode="External" Type="http://schemas.openxmlformats.org/officeDocument/2006/relationships/hyperlink"/><Relationship Id="rId698" Target="http%3A%2F%2Fdx.doi.org%2F10.3390%2Fjcm15114391" TargetMode="External" Type="http://schemas.openxmlformats.org/officeDocument/2006/relationships/hyperlink"/><Relationship Id="rId699" Target="https%3A%2F%2Fwww.webofscience.com%2Fwos%2Fwoscc%2Ffull-record%2FWOS%3A001790505600001" TargetMode="External" Type="http://schemas.openxmlformats.org/officeDocument/2006/relationships/hyperlink"/><Relationship Id="rId7" Target="http%3A%2F%2Fdx.doi.org%2F10.1080%2F10255842.2026.2676676" TargetMode="External" Type="http://schemas.openxmlformats.org/officeDocument/2006/relationships/hyperlink"/><Relationship Id="rId70" Target="https%3A%2F%2Fwww.webofscience.com%2Fwos%2Fwoscc%2Ffull-record%2FWOS%3A001597693500010" TargetMode="External" Type="http://schemas.openxmlformats.org/officeDocument/2006/relationships/hyperlink"/><Relationship Id="rId700" Target="http%3A%2F%2Fdx.doi.org%2F10.1007%2Fs10278-025-01779-x" TargetMode="External" Type="http://schemas.openxmlformats.org/officeDocument/2006/relationships/hyperlink"/><Relationship Id="rId701" Target="https%3A%2F%2Fwww.webofscience.com%2Fwos%2Fwoscc%2Ffull-record%2FWOS%3A001643556100001" TargetMode="External" Type="http://schemas.openxmlformats.org/officeDocument/2006/relationships/hyperlink"/><Relationship Id="rId702" Target="http%3A%2F%2Fdx.doi.org%2F10.1038%2Fs41467-026-73813-7" TargetMode="External" Type="http://schemas.openxmlformats.org/officeDocument/2006/relationships/hyperlink"/><Relationship Id="rId703" Target="https%3A%2F%2Fwww.webofscience.com%2Fwos%2Fwoscc%2Ffull-record%2FWOS%3A001839650200001" TargetMode="External" Type="http://schemas.openxmlformats.org/officeDocument/2006/relationships/hyperlink"/><Relationship Id="rId704" Target="http%3A%2F%2Fdx.doi.org%2F10.1016%2Fj.xops.2025.100985" TargetMode="External" Type="http://schemas.openxmlformats.org/officeDocument/2006/relationships/hyperlink"/><Relationship Id="rId705" Target="https%3A%2F%2Fwww.webofscience.com%2Fwos%2Fwoscc%2Ffull-record%2FWOS%3A001634635400001" TargetMode="External" Type="http://schemas.openxmlformats.org/officeDocument/2006/relationships/hyperlink"/><Relationship Id="rId706" Target="http%3A%2F%2Fdx.doi.org%2F10.1002%2Fcns.71047" TargetMode="External" Type="http://schemas.openxmlformats.org/officeDocument/2006/relationships/hyperlink"/><Relationship Id="rId707" Target="https%3A%2F%2Fwww.webofscience.com%2Fwos%2Fwoscc%2Ffull-record%2FWOS%3A001827039900001" TargetMode="External" Type="http://schemas.openxmlformats.org/officeDocument/2006/relationships/hyperlink"/><Relationship Id="rId708" Target="http%3A%2F%2Fdx.doi.org%2F10.1016%2Fj.xops.2023.100292" TargetMode="External" Type="http://schemas.openxmlformats.org/officeDocument/2006/relationships/hyperlink"/><Relationship Id="rId709" Target="https%3A%2F%2Fwww.webofscience.com%2Fwos%2Fwoscc%2Ffull-record%2FWOS%3A001033999300001" TargetMode="External" Type="http://schemas.openxmlformats.org/officeDocument/2006/relationships/hyperlink"/><Relationship Id="rId71" Target="http%3A%2F%2Fdx.doi.org%2F10.1016%2Fj.breast.2025.103892" TargetMode="External" Type="http://schemas.openxmlformats.org/officeDocument/2006/relationships/hyperlink"/><Relationship Id="rId710" Target="http%3A%2F%2Fdx.doi.org%2F10.1016%2Fj.apradiso.2026.112763" TargetMode="External" Type="http://schemas.openxmlformats.org/officeDocument/2006/relationships/hyperlink"/><Relationship Id="rId711" Target="https%3A%2F%2Fwww.webofscience.com%2Fwos%2Fwoscc%2Ffull-record%2FWOS%3A001814476400001" TargetMode="External" Type="http://schemas.openxmlformats.org/officeDocument/2006/relationships/hyperlink"/><Relationship Id="rId712" Target="http%3A%2F%2Fdx.doi.org%2F10.1016%2Fj.artmed.2023.102719" TargetMode="External" Type="http://schemas.openxmlformats.org/officeDocument/2006/relationships/hyperlink"/><Relationship Id="rId713" Target="https%3A%2F%2Fwww.webofscience.com%2Fwos%2Fwoscc%2Ffull-record%2FWOS%3A001125092100001" TargetMode="External" Type="http://schemas.openxmlformats.org/officeDocument/2006/relationships/hyperlink"/><Relationship Id="rId714" Target="http%3A%2F%2Fdx.doi.org%2F10.1093%2Fnoajnl%2Fvdae122" TargetMode="External" Type="http://schemas.openxmlformats.org/officeDocument/2006/relationships/hyperlink"/><Relationship Id="rId715" Target="https%3A%2F%2Fwww.webofscience.com%2Fwos%2Fwoscc%2Ffull-record%2FWOS%3A001291399400001" TargetMode="External" Type="http://schemas.openxmlformats.org/officeDocument/2006/relationships/hyperlink"/><Relationship Id="rId716" Target="http%3A%2F%2Fdx.doi.org%2F10.1515%2Fbmt-2026-0223" TargetMode="External" Type="http://schemas.openxmlformats.org/officeDocument/2006/relationships/hyperlink"/><Relationship Id="rId717" Target="https%3A%2F%2Fwww.webofscience.com%2Fwos%2Fwoscc%2Ffull-record%2FWOS%3A001803262300001" TargetMode="External" Type="http://schemas.openxmlformats.org/officeDocument/2006/relationships/hyperlink"/><Relationship Id="rId718" Target="http%3A%2F%2Fdx.doi.org%2F10.31083%2Fj.rcm2507258" TargetMode="External" Type="http://schemas.openxmlformats.org/officeDocument/2006/relationships/hyperlink"/><Relationship Id="rId719" Target="https%3A%2F%2Fwww.webofscience.com%2Fwos%2Fwoscc%2Ffull-record%2FWOS%3A001290190400023" TargetMode="External" Type="http://schemas.openxmlformats.org/officeDocument/2006/relationships/hyperlink"/><Relationship Id="rId72" Target="https%3A%2F%2Fwww.webofscience.com%2Fwos%2Fwoscc%2Ffull-record%2FWOS%3A001424560700001" TargetMode="External" Type="http://schemas.openxmlformats.org/officeDocument/2006/relationships/hyperlink"/><Relationship Id="rId720" Target="http%3A%2F%2Fdx.doi.org%2F10.1016%2Fj.cell.2025.11.016" TargetMode="External" Type="http://schemas.openxmlformats.org/officeDocument/2006/relationships/hyperlink"/><Relationship Id="rId721" Target="https%3A%2F%2Fwww.webofscience.com%2Fwos%2Fwoscc%2Ffull-record%2FWOS%3A001677642200003" TargetMode="External" Type="http://schemas.openxmlformats.org/officeDocument/2006/relationships/hyperlink"/><Relationship Id="rId722" Target="http%3A%2F%2Fdx.doi.org%2F10.3389%2Ffcvm.2026.1771669" TargetMode="External" Type="http://schemas.openxmlformats.org/officeDocument/2006/relationships/hyperlink"/><Relationship Id="rId723" Target="https%3A%2F%2Fwww.webofscience.com%2Fwos%2Fwoscc%2Ffull-record%2FWOS%3A001744129000001" TargetMode="External" Type="http://schemas.openxmlformats.org/officeDocument/2006/relationships/hyperlink"/><Relationship Id="rId724" Target="http%3A%2F%2Fdx.doi.org%2F10.1109%2FJBHI.2025.3600652" TargetMode="External" Type="http://schemas.openxmlformats.org/officeDocument/2006/relationships/hyperlink"/><Relationship Id="rId725" Target="https%3A%2F%2Fwww.webofscience.com%2Fwos%2Fwoscc%2Ffull-record%2FWOS%3A001708168300024" TargetMode="External" Type="http://schemas.openxmlformats.org/officeDocument/2006/relationships/hyperlink"/><Relationship Id="rId726" Target="http%3A%2F%2Fdx.doi.org%2F10.3389%2Ffmed.2026.1791481" TargetMode="External" Type="http://schemas.openxmlformats.org/officeDocument/2006/relationships/hyperlink"/><Relationship Id="rId727" Target="https%3A%2F%2Fwww.webofscience.com%2Fwos%2Fwoscc%2Ffull-record%2FWOS%3A001723992700001" TargetMode="External" Type="http://schemas.openxmlformats.org/officeDocument/2006/relationships/hyperlink"/><Relationship Id="rId728" Target="http%3A%2F%2Fdx.doi.org%2F10.1016%2Fj.media.2022.102465" TargetMode="External" Type="http://schemas.openxmlformats.org/officeDocument/2006/relationships/hyperlink"/><Relationship Id="rId729" Target="https%3A%2F%2Fwww.webofscience.com%2Fwos%2Fwoscc%2Ffull-record%2FWOS%3A000806232300002" TargetMode="External" Type="http://schemas.openxmlformats.org/officeDocument/2006/relationships/hyperlink"/><Relationship Id="rId73" Target="http%3A%2F%2Fdx.doi.org%2F10.2196%2F54363" TargetMode="External" Type="http://schemas.openxmlformats.org/officeDocument/2006/relationships/hyperlink"/><Relationship Id="rId730" Target="http%3A%2F%2Fdx.doi.org%2F10.1186%2Fs12891-025-09160-3" TargetMode="External" Type="http://schemas.openxmlformats.org/officeDocument/2006/relationships/hyperlink"/><Relationship Id="rId731" Target="https%3A%2F%2Fwww.webofscience.com%2Fwos%2Fwoscc%2Ffull-record%2FWOS%3A001586143600002" TargetMode="External" Type="http://schemas.openxmlformats.org/officeDocument/2006/relationships/hyperlink"/><Relationship Id="rId732" Target="http%3A%2F%2Fdx.doi.org%2F10.1097%2FRTI.0000000000000831" TargetMode="External" Type="http://schemas.openxmlformats.org/officeDocument/2006/relationships/hyperlink"/><Relationship Id="rId733" Target="https%3A%2F%2Fwww.webofscience.com%2Fwos%2Fwoscc%2Ffull-record%2FWOS%3A001555619000004" TargetMode="External" Type="http://schemas.openxmlformats.org/officeDocument/2006/relationships/hyperlink"/><Relationship Id="rId734" Target="http%3A%2F%2Fdx.doi.org%2F10.1038%2Fs41598-026-38687-1" TargetMode="External" Type="http://schemas.openxmlformats.org/officeDocument/2006/relationships/hyperlink"/><Relationship Id="rId735" Target="https%3A%2F%2Fwww.webofscience.com%2Fwos%2Fwoscc%2Ffull-record%2FWOS%3A001724057900009" TargetMode="External" Type="http://schemas.openxmlformats.org/officeDocument/2006/relationships/hyperlink"/><Relationship Id="rId736" Target="http%3A%2F%2Fdx.doi.org%2F10.1093%2Fbioinformatics%2Fbtad420" TargetMode="External" Type="http://schemas.openxmlformats.org/officeDocument/2006/relationships/hyperlink"/><Relationship Id="rId737" Target="https%3A%2F%2Fwww.webofscience.com%2Fwos%2Fwoscc%2Ffull-record%2FWOS%3A001027902500002" TargetMode="External" Type="http://schemas.openxmlformats.org/officeDocument/2006/relationships/hyperlink"/><Relationship Id="rId738" Target="http%3A%2F%2Fdx.doi.org%2F10.1016%2Fj.ejrad.2025.112377" TargetMode="External" Type="http://schemas.openxmlformats.org/officeDocument/2006/relationships/hyperlink"/><Relationship Id="rId739" Target="https%3A%2F%2Fwww.webofscience.com%2Fwos%2Fwoscc%2Ffull-record%2FWOS%3A001561228200001" TargetMode="External" Type="http://schemas.openxmlformats.org/officeDocument/2006/relationships/hyperlink"/><Relationship Id="rId74" Target="https%3A%2F%2Fwww.webofscience.com%2Fwos%2Fwoscc%2Ffull-record%2FWOS%3A001226586000002" TargetMode="External" Type="http://schemas.openxmlformats.org/officeDocument/2006/relationships/hyperlink"/><Relationship Id="rId740" Target="http%3A%2F%2Fdx.doi.org%2F10.1186%2Fs12880-026-02312-4" TargetMode="External" Type="http://schemas.openxmlformats.org/officeDocument/2006/relationships/hyperlink"/><Relationship Id="rId741" Target="https%3A%2F%2Fwww.webofscience.com%2Fwos%2Fwoscc%2Ffull-record%2FWOS%3A001770812600001" TargetMode="External" Type="http://schemas.openxmlformats.org/officeDocument/2006/relationships/hyperlink"/><Relationship Id="rId742" Target="http%3A%2F%2Fdx.doi.org%2F10.1109%2FACCESS.2025.3621157" TargetMode="External" Type="http://schemas.openxmlformats.org/officeDocument/2006/relationships/hyperlink"/><Relationship Id="rId743" Target="https%3A%2F%2Fwww.webofscience.com%2Fwos%2Fwoscc%2Ffull-record%2FWOS%3A001606717700020" TargetMode="External" Type="http://schemas.openxmlformats.org/officeDocument/2006/relationships/hyperlink"/><Relationship Id="rId744" Target="http%3A%2F%2Fdx.doi.org%2F10.1093%2Fbioadv%2Fvbag214" TargetMode="External" Type="http://schemas.openxmlformats.org/officeDocument/2006/relationships/hyperlink"/><Relationship Id="rId745" Target="https%3A%2F%2Fwww.webofscience.com%2Fwos%2Fwoscc%2Ffull-record%2FWOS%3A001854029800001" TargetMode="External" Type="http://schemas.openxmlformats.org/officeDocument/2006/relationships/hyperlink"/><Relationship Id="rId746" Target="http%3A%2F%2Fdx.doi.org%2F10.1200%2FPO-24-00653" TargetMode="External" Type="http://schemas.openxmlformats.org/officeDocument/2006/relationships/hyperlink"/><Relationship Id="rId747" Target="https%3A%2F%2Fwww.webofscience.com%2Fwos%2Fwoscc%2Ffull-record%2FWOS%3A001413675000001" TargetMode="External" Type="http://schemas.openxmlformats.org/officeDocument/2006/relationships/hyperlink"/><Relationship Id="rId748" Target="http%3A%2F%2Fdx.doi.org%2F10.1200%2FPO.24.00145" TargetMode="External" Type="http://schemas.openxmlformats.org/officeDocument/2006/relationships/hyperlink"/><Relationship Id="rId749" Target="https%3A%2F%2Fwww.webofscience.com%2Fwos%2Fwoscc%2Ffull-record%2FWOS%3A001376907600001" TargetMode="External" Type="http://schemas.openxmlformats.org/officeDocument/2006/relationships/hyperlink"/><Relationship Id="rId75" Target="http%3A%2F%2Fdx.doi.org%2F10.1016%2Fj.cmpb.2026.109265" TargetMode="External" Type="http://schemas.openxmlformats.org/officeDocument/2006/relationships/hyperlink"/><Relationship Id="rId750" Target="http%3A%2F%2Fdx.doi.org%2F10.1016%2Fj.wear.2025.206484" TargetMode="External" Type="http://schemas.openxmlformats.org/officeDocument/2006/relationships/hyperlink"/><Relationship Id="rId751" Target="https%3A%2F%2Fwww.webofscience.com%2Fwos%2Fwoscc%2Ffull-record%2FWOS%3A001652653500001" TargetMode="External" Type="http://schemas.openxmlformats.org/officeDocument/2006/relationships/hyperlink"/><Relationship Id="rId752" Target="http%3A%2F%2Fdx.doi.org%2F10.1111%2Fodi.70268" TargetMode="External" Type="http://schemas.openxmlformats.org/officeDocument/2006/relationships/hyperlink"/><Relationship Id="rId753" Target="https%3A%2F%2Fwww.webofscience.com%2Fwos%2Fwoscc%2Ffull-record%2FWOS%3A001708440100001" TargetMode="External" Type="http://schemas.openxmlformats.org/officeDocument/2006/relationships/hyperlink"/><Relationship Id="rId754" Target="http%3A%2F%2Fdx.doi.org%2F10.1002%2Fadvs.202404047" TargetMode="External" Type="http://schemas.openxmlformats.org/officeDocument/2006/relationships/hyperlink"/><Relationship Id="rId755" Target="https%3A%2F%2Fwww.webofscience.com%2Fwos%2Fwoscc%2Ffull-record%2FWOS%3A001264155100001" TargetMode="External" Type="http://schemas.openxmlformats.org/officeDocument/2006/relationships/hyperlink"/><Relationship Id="rId756" Target="http%3A%2F%2Fdx.doi.org%2F10.3389%2Ffphys.2025.1605426" TargetMode="External" Type="http://schemas.openxmlformats.org/officeDocument/2006/relationships/hyperlink"/><Relationship Id="rId757" Target="https%3A%2F%2Fwww.webofscience.com%2Fwos%2Fwoscc%2Ffull-record%2FWOS%3A001547321400001" TargetMode="External" Type="http://schemas.openxmlformats.org/officeDocument/2006/relationships/hyperlink"/><Relationship Id="rId758" Target="http%3A%2F%2Fdx.doi.org%2F10.3390%2Fs25206459" TargetMode="External" Type="http://schemas.openxmlformats.org/officeDocument/2006/relationships/hyperlink"/><Relationship Id="rId759" Target="https%3A%2F%2Fwww.webofscience.com%2Fwos%2Fwoscc%2Ffull-record%2FWOS%3A001602721500001" TargetMode="External" Type="http://schemas.openxmlformats.org/officeDocument/2006/relationships/hyperlink"/><Relationship Id="rId76" Target="https%3A%2F%2Fwww.webofscience.com%2Fwos%2Fwoscc%2Ffull-record%2FWOS%3A001682508600001" TargetMode="External" Type="http://schemas.openxmlformats.org/officeDocument/2006/relationships/hyperlink"/><Relationship Id="rId760" Target="http%3A%2F%2Fdx.doi.org%2F10.2147%2FCIA.S590955" TargetMode="External" Type="http://schemas.openxmlformats.org/officeDocument/2006/relationships/hyperlink"/><Relationship Id="rId761" Target="https%3A%2F%2Fwww.webofscience.com%2Fwos%2Fwoscc%2Ffull-record%2FWOS%3A001746849300001" TargetMode="External" Type="http://schemas.openxmlformats.org/officeDocument/2006/relationships/hyperlink"/><Relationship Id="rId762" Target="http%3A%2F%2Fdx.doi.org%2F10.1177%2F13872877261469162" TargetMode="External" Type="http://schemas.openxmlformats.org/officeDocument/2006/relationships/hyperlink"/><Relationship Id="rId763" Target="https%3A%2F%2Fwww.webofscience.com%2Fwos%2Fwoscc%2Ffull-record%2FWOS%3A001837999200001" TargetMode="External" Type="http://schemas.openxmlformats.org/officeDocument/2006/relationships/hyperlink"/><Relationship Id="rId764" Target="http%3A%2F%2Fdx.doi.org%2F10.1016%2Fj.bspc.2026.110550" TargetMode="External" Type="http://schemas.openxmlformats.org/officeDocument/2006/relationships/hyperlink"/><Relationship Id="rId765" Target="https%3A%2F%2Fwww.webofscience.com%2Fwos%2Fwoscc%2Ffull-record%2FWOS%3A001771482800001" TargetMode="External" Type="http://schemas.openxmlformats.org/officeDocument/2006/relationships/hyperlink"/><Relationship Id="rId766" Target="http%3A%2F%2Fdx.doi.org%2F10.1016%2Fj.ejso.2026.111796" TargetMode="External" Type="http://schemas.openxmlformats.org/officeDocument/2006/relationships/hyperlink"/><Relationship Id="rId767" Target="https%3A%2F%2Fwww.webofscience.com%2Fwos%2Fwoscc%2Ffull-record%2FWOS%3A001747762900001" TargetMode="External" Type="http://schemas.openxmlformats.org/officeDocument/2006/relationships/hyperlink"/><Relationship Id="rId768" Target="http%3A%2F%2Fdx.doi.org%2F10.1016%2Fj.patrec.2025.04.001" TargetMode="External" Type="http://schemas.openxmlformats.org/officeDocument/2006/relationships/hyperlink"/><Relationship Id="rId769" Target="https%3A%2F%2Fwww.webofscience.com%2Fwos%2Fwoscc%2Ffull-record%2FWOS%3A001482467000001" TargetMode="External" Type="http://schemas.openxmlformats.org/officeDocument/2006/relationships/hyperlink"/><Relationship Id="rId77" Target="http%3A%2F%2Fdx.doi.org%2F10.3390%2Fjintelligence14040066" TargetMode="External" Type="http://schemas.openxmlformats.org/officeDocument/2006/relationships/hyperlink"/><Relationship Id="rId770" Target="http%3A%2F%2Fdx.doi.org%2F10.1016%2Fj.snb.2025.139048" TargetMode="External" Type="http://schemas.openxmlformats.org/officeDocument/2006/relationships/hyperlink"/><Relationship Id="rId771" Target="https%3A%2F%2Fwww.webofscience.com%2Fwos%2Fwoscc%2Ffull-record%2FWOS%3A001611983300001" TargetMode="External" Type="http://schemas.openxmlformats.org/officeDocument/2006/relationships/hyperlink"/><Relationship Id="rId772" Target="http%3A%2F%2Fdx.doi.org%2F10.1016%2Fj.mex.2025.103584" TargetMode="External" Type="http://schemas.openxmlformats.org/officeDocument/2006/relationships/hyperlink"/><Relationship Id="rId773" Target="https%3A%2F%2Fwww.webofscience.com%2Fwos%2Fwoscc%2Ffull-record%2FWOS%3A001565897200004" TargetMode="External" Type="http://schemas.openxmlformats.org/officeDocument/2006/relationships/hyperlink"/><Relationship Id="rId774" Target="http%3A%2F%2Fdx.doi.org%2F10.1016%2Fj.ejmp.2024.103359" TargetMode="External" Type="http://schemas.openxmlformats.org/officeDocument/2006/relationships/hyperlink"/><Relationship Id="rId775" Target="https%3A%2F%2Fwww.webofscience.com%2Fwos%2Fwoscc%2Ffull-record%2FWOS%3A001236793600001" TargetMode="External" Type="http://schemas.openxmlformats.org/officeDocument/2006/relationships/hyperlink"/><Relationship Id="rId776" Target="http%3A%2F%2Fdx.doi.org%2F10.3389%2Ffnhum.2026.1858163" TargetMode="External" Type="http://schemas.openxmlformats.org/officeDocument/2006/relationships/hyperlink"/><Relationship Id="rId777" Target="https%3A%2F%2Fwww.webofscience.com%2Fwos%2Fwoscc%2Ffull-record%2FWOS%3A001806353300001" TargetMode="External" Type="http://schemas.openxmlformats.org/officeDocument/2006/relationships/hyperlink"/><Relationship Id="rId778" Target="http%3A%2F%2Fdx.doi.org%2F10.1016%2Fj.braindev.2025.104492" TargetMode="External" Type="http://schemas.openxmlformats.org/officeDocument/2006/relationships/hyperlink"/><Relationship Id="rId779" Target="https%3A%2F%2Fwww.webofscience.com%2Fwos%2Fwoscc%2Ffull-record%2FWOS%3A001639960700001" TargetMode="External" Type="http://schemas.openxmlformats.org/officeDocument/2006/relationships/hyperlink"/><Relationship Id="rId78" Target="https%3A%2F%2Fwww.webofscience.com%2Fwos%2Fwoscc%2Ffull-record%2FWOS%3A001749764000001" TargetMode="External" Type="http://schemas.openxmlformats.org/officeDocument/2006/relationships/hyperlink"/><Relationship Id="rId780" Target="http%3A%2F%2Fdx.doi.org%2F10.3390%2Fdiagnostics15232967" TargetMode="External" Type="http://schemas.openxmlformats.org/officeDocument/2006/relationships/hyperlink"/><Relationship Id="rId781" Target="https%3A%2F%2Fwww.webofscience.com%2Fwos%2Fwoscc%2Ffull-record%2FWOS%3A001635561700001" TargetMode="External" Type="http://schemas.openxmlformats.org/officeDocument/2006/relationships/hyperlink"/><Relationship Id="rId782" Target="http%3A%2F%2Fdx.doi.org%2F10.1016%2Fj.bspc.2026.109643" TargetMode="External" Type="http://schemas.openxmlformats.org/officeDocument/2006/relationships/hyperlink"/><Relationship Id="rId783" Target="https%3A%2F%2Fwww.webofscience.com%2Fwos%2Fwoscc%2Ffull-record%2FWOS%3A001677351600001" TargetMode="External" Type="http://schemas.openxmlformats.org/officeDocument/2006/relationships/hyperlink"/><Relationship Id="rId784" Target="http%3A%2F%2Fdx.doi.org%2F10.1097%2FBRS.0000000000005088" TargetMode="External" Type="http://schemas.openxmlformats.org/officeDocument/2006/relationships/hyperlink"/><Relationship Id="rId785" Target="https%3A%2F%2Fwww.webofscience.com%2Fwos%2Fwoscc%2Ffull-record%2FWOS%3A001344566200004" TargetMode="External" Type="http://schemas.openxmlformats.org/officeDocument/2006/relationships/hyperlink"/><Relationship Id="rId786" Target="http%3A%2F%2Fdx.doi.org%2F10.3389%2Ffpsyt.2025.1643552" TargetMode="External" Type="http://schemas.openxmlformats.org/officeDocument/2006/relationships/hyperlink"/><Relationship Id="rId787" Target="https%3A%2F%2Fwww.webofscience.com%2Fwos%2Fwoscc%2Ffull-record%2FWOS%3A001616818500001" TargetMode="External" Type="http://schemas.openxmlformats.org/officeDocument/2006/relationships/hyperlink"/><Relationship Id="rId788" Target="http%3A%2F%2Fdx.doi.org%2F10.1186%2Fs13058-025-02129-z" TargetMode="External" Type="http://schemas.openxmlformats.org/officeDocument/2006/relationships/hyperlink"/><Relationship Id="rId789" Target="https%3A%2F%2Fwww.webofscience.com%2Fwos%2Fwoscc%2Ffull-record%2FWOS%3A001594314800001" TargetMode="External" Type="http://schemas.openxmlformats.org/officeDocument/2006/relationships/hyperlink"/><Relationship Id="rId79" Target="http%3A%2F%2Fdx.doi.org%2F10.34133%2Fresearch.0795" TargetMode="External" Type="http://schemas.openxmlformats.org/officeDocument/2006/relationships/hyperlink"/><Relationship Id="rId790" Target="http%3A%2F%2Fdx.doi.org%2F10.1038%2Fs41598-024-70165-4" TargetMode="External" Type="http://schemas.openxmlformats.org/officeDocument/2006/relationships/hyperlink"/><Relationship Id="rId791" Target="https%3A%2F%2Fwww.webofscience.com%2Fwos%2Fwoscc%2Ffull-record%2FWOS%3A001334500800020" TargetMode="External" Type="http://schemas.openxmlformats.org/officeDocument/2006/relationships/hyperlink"/><Relationship Id="rId792" Target="http%3A%2F%2Fdx.doi.org%2F10.2215%2FCJN.0000000695" TargetMode="External" Type="http://schemas.openxmlformats.org/officeDocument/2006/relationships/hyperlink"/><Relationship Id="rId793" Target="https%3A%2F%2Fwww.webofscience.com%2Fwos%2Fwoscc%2Ffull-record%2FWOS%3A001504732600001" TargetMode="External" Type="http://schemas.openxmlformats.org/officeDocument/2006/relationships/hyperlink"/><Relationship Id="rId794" Target="http%3A%2F%2Fdx.doi.org%2F10.1080%2F07853890.2026.2688297" TargetMode="External" Type="http://schemas.openxmlformats.org/officeDocument/2006/relationships/hyperlink"/><Relationship Id="rId795" Target="https%3A%2F%2Fwww.webofscience.com%2Fwos%2Fwoscc%2Ffull-record%2FWOS%3A001812672200001" TargetMode="External" Type="http://schemas.openxmlformats.org/officeDocument/2006/relationships/hyperlink"/><Relationship Id="rId796" Target="http%3A%2F%2Fdx.doi.org%2F10.1016%2Fj.bspc.2025.107663" TargetMode="External" Type="http://schemas.openxmlformats.org/officeDocument/2006/relationships/hyperlink"/><Relationship Id="rId797" Target="https%3A%2F%2Fwww.webofscience.com%2Fwos%2Fwoscc%2Ffull-record%2FWOS%3A001433619600001" TargetMode="External" Type="http://schemas.openxmlformats.org/officeDocument/2006/relationships/hyperlink"/><Relationship Id="rId798" Target="http%3A%2F%2Fdx.doi.org%2F10.1097%2FJS9.0000000000003448" TargetMode="External" Type="http://schemas.openxmlformats.org/officeDocument/2006/relationships/hyperlink"/><Relationship Id="rId799" Target="https%3A%2F%2Fwww.webofscience.com%2Fwos%2Fwoscc%2Ffull-record%2FWOS%3A001683384100019" TargetMode="External" Type="http://schemas.openxmlformats.org/officeDocument/2006/relationships/hyperlink"/><Relationship Id="rId8" Target="https%3A%2F%2Fwww.webofscience.com%2Fwos%2Fwoscc%2Ffull-record%2FWOS%3A001775877300001" TargetMode="External" Type="http://schemas.openxmlformats.org/officeDocument/2006/relationships/hyperlink"/><Relationship Id="rId80" Target="https%3A%2F%2Fwww.webofscience.com%2Fwos%2Fwoscc%2Ffull-record%2FWOS%3A001543996600001" TargetMode="External" Type="http://schemas.openxmlformats.org/officeDocument/2006/relationships/hyperlink"/><Relationship Id="rId800" Target="http%3A%2F%2Fdx.doi.org%2F10.1038%2Fs43018-022-00388-9" TargetMode="External" Type="http://schemas.openxmlformats.org/officeDocument/2006/relationships/hyperlink"/><Relationship Id="rId801" Target="https%3A%2F%2Fwww.webofscience.com%2Fwos%2Fwoscc%2Ffull-record%2FWOS%3A000819009500006" TargetMode="External" Type="http://schemas.openxmlformats.org/officeDocument/2006/relationships/hyperlink"/><Relationship Id="rId802" Target="http%3A%2F%2Fdx.doi.org%2F10.1016%2Fj.ejso.2022.08.036" TargetMode="External" Type="http://schemas.openxmlformats.org/officeDocument/2006/relationships/hyperlink"/><Relationship Id="rId803" Target="https%3A%2F%2Fwww.webofscience.com%2Fwos%2Fwoscc%2Ffull-record%2FWOS%3A000923363400001" TargetMode="External" Type="http://schemas.openxmlformats.org/officeDocument/2006/relationships/hyperlink"/><Relationship Id="rId804" Target="http%3A%2F%2Fdx.doi.org%2F10.1038%2Fs41746-026-02388-w" TargetMode="External" Type="http://schemas.openxmlformats.org/officeDocument/2006/relationships/hyperlink"/><Relationship Id="rId805" Target="https%3A%2F%2Fwww.webofscience.com%2Fwos%2Fwoscc%2Ffull-record%2FWOS%3A001706132100001" TargetMode="External" Type="http://schemas.openxmlformats.org/officeDocument/2006/relationships/hyperlink"/><Relationship Id="rId806" Target="http%3A%2F%2Fdx.doi.org%2F10.1167%2Fiovs.67.1.12" TargetMode="External" Type="http://schemas.openxmlformats.org/officeDocument/2006/relationships/hyperlink"/><Relationship Id="rId807" Target="https%3A%2F%2Fwww.webofscience.com%2Fwos%2Fwoscc%2Ffull-record%2FWOS%3A001659577500002" TargetMode="External" Type="http://schemas.openxmlformats.org/officeDocument/2006/relationships/hyperlink"/><Relationship Id="rId808" Target="http%3A%2F%2Fdx.doi.org%2F10.3389%2Ffonc.2026.1831252" TargetMode="External" Type="http://schemas.openxmlformats.org/officeDocument/2006/relationships/hyperlink"/><Relationship Id="rId809" Target="https%3A%2F%2Fwww.webofscience.com%2Fwos%2Fwoscc%2Ffull-record%2FWOS%3A001853076100001" TargetMode="External" Type="http://schemas.openxmlformats.org/officeDocument/2006/relationships/hyperlink"/><Relationship Id="rId81" Target="http%3A%2F%2Fdx.doi.org%2F10.1371%2Fjournal.pdig.0000960" TargetMode="External" Type="http://schemas.openxmlformats.org/officeDocument/2006/relationships/hyperlink"/><Relationship Id="rId810" Target="http%3A%2F%2Fdx.doi.org%2F10.1097%2FJS9.0000000000003143" TargetMode="External" Type="http://schemas.openxmlformats.org/officeDocument/2006/relationships/hyperlink"/><Relationship Id="rId811" Target="https%3A%2F%2Fwww.webofscience.com%2Fwos%2Fwoscc%2Ffull-record%2FWOS%3A001651925700017" TargetMode="External" Type="http://schemas.openxmlformats.org/officeDocument/2006/relationships/hyperlink"/><Relationship Id="rId812" Target="http%3A%2F%2Fdx.doi.org%2F10.1016%2Fj.cmpb.2022.107207" TargetMode="External" Type="http://schemas.openxmlformats.org/officeDocument/2006/relationships/hyperlink"/><Relationship Id="rId813" Target="https%3A%2F%2Fwww.webofscience.com%2Fwos%2Fwoscc%2Ffull-record%2FWOS%3A001028233400002" TargetMode="External" Type="http://schemas.openxmlformats.org/officeDocument/2006/relationships/hyperlink"/><Relationship Id="rId814" Target="http%3A%2F%2Fdx.doi.org%2F10.1016%2Fj.ophtha.2021.07.032" TargetMode="External" Type="http://schemas.openxmlformats.org/officeDocument/2006/relationships/hyperlink"/><Relationship Id="rId815" Target="https%3A%2F%2Fwww.webofscience.com%2Fwos%2Fwoscc%2Ffull-record%2FWOS%3A000747770500010" TargetMode="External" Type="http://schemas.openxmlformats.org/officeDocument/2006/relationships/hyperlink"/><Relationship Id="rId816" Target="http%3A%2F%2Fdx.doi.org%2F10.1016%2Fj.rineng.2026.109072" TargetMode="External" Type="http://schemas.openxmlformats.org/officeDocument/2006/relationships/hyperlink"/><Relationship Id="rId817" Target="https%3A%2F%2Fwww.webofscience.com%2Fwos%2Fwoscc%2Ffull-record%2FWOS%3A001676826100001" TargetMode="External" Type="http://schemas.openxmlformats.org/officeDocument/2006/relationships/hyperlink"/><Relationship Id="rId818" Target="http%3A%2F%2Fdx.doi.org%2F10.1186%2Fs12967-024-05025-w" TargetMode="External" Type="http://schemas.openxmlformats.org/officeDocument/2006/relationships/hyperlink"/><Relationship Id="rId819" Target="https%3A%2F%2Fwww.webofscience.com%2Fwos%2Fwoscc%2Ffull-record%2FWOS%3A001182471500003" TargetMode="External" Type="http://schemas.openxmlformats.org/officeDocument/2006/relationships/hyperlink"/><Relationship Id="rId82" Target="https%3A%2F%2Fwww.webofscience.com%2Fwos%2Fwoscc%2Ffull-record%2FWOS%3A001754777700001" TargetMode="External" Type="http://schemas.openxmlformats.org/officeDocument/2006/relationships/hyperlink"/><Relationship Id="rId820" Target="http%3A%2F%2Fdx.doi.org%2F10.1016%2Fj.bspc.2026.109868" TargetMode="External" Type="http://schemas.openxmlformats.org/officeDocument/2006/relationships/hyperlink"/><Relationship Id="rId821" Target="https%3A%2F%2Fwww.webofscience.com%2Fwos%2Fwoscc%2Ffull-record%2FWOS%3A001698150300001" TargetMode="External" Type="http://schemas.openxmlformats.org/officeDocument/2006/relationships/hyperlink"/><Relationship Id="rId822" Target="http%3A%2F%2Fdx.doi.org%2F10.1016%2Fj.biopsych.2023.05.024" TargetMode="External" Type="http://schemas.openxmlformats.org/officeDocument/2006/relationships/hyperlink"/><Relationship Id="rId823" Target="https%3A%2F%2Fwww.webofscience.com%2Fwos%2Fwoscc%2Ffull-record%2FWOS%3A001113664500001" TargetMode="External" Type="http://schemas.openxmlformats.org/officeDocument/2006/relationships/hyperlink"/><Relationship Id="rId824" Target="http%3A%2F%2Fdx.doi.org%2F10.1002%2Fqub2.70030" TargetMode="External" Type="http://schemas.openxmlformats.org/officeDocument/2006/relationships/hyperlink"/><Relationship Id="rId825" Target="https%3A%2F%2Fwww.webofscience.com%2Fwos%2Fwoscc%2Ffull-record%2FWOS%3A001722610100007" TargetMode="External" Type="http://schemas.openxmlformats.org/officeDocument/2006/relationships/hyperlink"/><Relationship Id="rId826" Target="http%3A%2F%2Fdx.doi.org%2F10.1371%2Fjournal.pone.0351405" TargetMode="External" Type="http://schemas.openxmlformats.org/officeDocument/2006/relationships/hyperlink"/><Relationship Id="rId827" Target="https%3A%2F%2Fwww.webofscience.com%2Fwos%2Fwoscc%2Ffull-record%2FWOS%3A001792566300026" TargetMode="External" Type="http://schemas.openxmlformats.org/officeDocument/2006/relationships/hyperlink"/><Relationship Id="rId828" Target="http%3A%2F%2Fdx.doi.org%2F10.1055%2Fa-2780-0974" TargetMode="External" Type="http://schemas.openxmlformats.org/officeDocument/2006/relationships/hyperlink"/><Relationship Id="rId829" Target="https%3A%2F%2Fwww.webofscience.com%2Fwos%2Fwoscc%2Ffull-record%2FWOS%3A001705834000001" TargetMode="External" Type="http://schemas.openxmlformats.org/officeDocument/2006/relationships/hyperlink"/><Relationship Id="rId83" Target="http%3A%2F%2Fdx.doi.org%2F10.1161%2FCIRCIMAGING.126.019610" TargetMode="External" Type="http://schemas.openxmlformats.org/officeDocument/2006/relationships/hyperlink"/><Relationship Id="rId830" Target="http%3A%2F%2Fdx.doi.org%2F10.1038%2Fs41698-025-00914-9" TargetMode="External" Type="http://schemas.openxmlformats.org/officeDocument/2006/relationships/hyperlink"/><Relationship Id="rId831" Target="https%3A%2F%2Fwww.webofscience.com%2Fwos%2Fwoscc%2Ffull-record%2FWOS%3A001482763400002" TargetMode="External" Type="http://schemas.openxmlformats.org/officeDocument/2006/relationships/hyperlink"/><Relationship Id="rId832" Target="http%3A%2F%2Fdx.doi.org%2F10.3389%2Ffneur.2026.1774621" TargetMode="External" Type="http://schemas.openxmlformats.org/officeDocument/2006/relationships/hyperlink"/><Relationship Id="rId833" Target="https%3A%2F%2Fwww.webofscience.com%2Fwos%2Fwoscc%2Ffull-record%2FWOS%3A001718284100001" TargetMode="External" Type="http://schemas.openxmlformats.org/officeDocument/2006/relationships/hyperlink"/><Relationship Id="rId834" Target="http%3A%2F%2Fdx.doi.org%2F10.1016%2Fj.inffus.2022.11.028" TargetMode="External" Type="http://schemas.openxmlformats.org/officeDocument/2006/relationships/hyperlink"/><Relationship Id="rId835" Target="https%3A%2F%2Fwww.webofscience.com%2Fwos%2Fwoscc%2Ffull-record%2FWOS%3A000909699400001" TargetMode="External" Type="http://schemas.openxmlformats.org/officeDocument/2006/relationships/hyperlink"/><Relationship Id="rId836" Target="http%3A%2F%2Fdx.doi.org%2F10.21037%2Fqims-2025-617" TargetMode="External" Type="http://schemas.openxmlformats.org/officeDocument/2006/relationships/hyperlink"/><Relationship Id="rId837" Target="https%3A%2F%2Fwww.webofscience.com%2Fwos%2Fwoscc%2Ffull-record%2FWOS%3A001660704800007" TargetMode="External" Type="http://schemas.openxmlformats.org/officeDocument/2006/relationships/hyperlink"/><Relationship Id="rId838" Target="http%3A%2F%2Fdx.doi.org%2F10.3390%2Fcancers17050869" TargetMode="External" Type="http://schemas.openxmlformats.org/officeDocument/2006/relationships/hyperlink"/><Relationship Id="rId839" Target="https%3A%2F%2Fwww.webofscience.com%2Fwos%2Fwoscc%2Ffull-record%2FWOS%3A001442786700001" TargetMode="External" Type="http://schemas.openxmlformats.org/officeDocument/2006/relationships/hyperlink"/><Relationship Id="rId84" Target="https%3A%2F%2Fwww.webofscience.com%2Fwos%2Fwoscc%2Ffull-record%2FWOS%3A001790614900009" TargetMode="External" Type="http://schemas.openxmlformats.org/officeDocument/2006/relationships/hyperlink"/><Relationship Id="rId840" Target="http%3A%2F%2Fdx.doi.org%2F10.1177%2F13872877261465672" TargetMode="External" Type="http://schemas.openxmlformats.org/officeDocument/2006/relationships/hyperlink"/><Relationship Id="rId841" Target="https%3A%2F%2Fwww.webofscience.com%2Fwos%2Fwoscc%2Ffull-record%2FWOS%3A001837765700001" TargetMode="External" Type="http://schemas.openxmlformats.org/officeDocument/2006/relationships/hyperlink"/><Relationship Id="rId842" Target="http%3A%2F%2Fdx.doi.org%2F10.1016%2Fj.bspc.2026.110579" TargetMode="External" Type="http://schemas.openxmlformats.org/officeDocument/2006/relationships/hyperlink"/><Relationship Id="rId843" Target="https%3A%2F%2Fwww.webofscience.com%2Fwos%2Fwoscc%2Ffull-record%2FWOS%3A001769648600001" TargetMode="External" Type="http://schemas.openxmlformats.org/officeDocument/2006/relationships/hyperlink"/><Relationship Id="rId844" Target="http%3A%2F%2Fdx.doi.org%2F10.1109%2FJSEN.2025.3641648" TargetMode="External" Type="http://schemas.openxmlformats.org/officeDocument/2006/relationships/hyperlink"/><Relationship Id="rId845" Target="https%3A%2F%2Fwww.webofscience.com%2Fwos%2Fwoscc%2Ffull-record%2FWOS%3A001676278100007" TargetMode="External" Type="http://schemas.openxmlformats.org/officeDocument/2006/relationships/hyperlink"/><Relationship Id="rId846" Target="http%3A%2F%2Fdx.doi.org%2F10.1142%2FS0218126625501737" TargetMode="External" Type="http://schemas.openxmlformats.org/officeDocument/2006/relationships/hyperlink"/><Relationship Id="rId847" Target="https%3A%2F%2Fwww.webofscience.com%2Fwos%2Fwoscc%2Ffull-record%2FWOS%3A001467353700001" TargetMode="External" Type="http://schemas.openxmlformats.org/officeDocument/2006/relationships/hyperlink"/><Relationship Id="rId848" Target="http%3A%2F%2Fdx.doi.org%2F10.1007%2Fs00259-025-07134-0" TargetMode="External" Type="http://schemas.openxmlformats.org/officeDocument/2006/relationships/hyperlink"/><Relationship Id="rId849" Target="https%3A%2F%2Fwww.webofscience.com%2Fwos%2Fwoscc%2Ffull-record%2FWOS%3A001426159400001" TargetMode="External" Type="http://schemas.openxmlformats.org/officeDocument/2006/relationships/hyperlink"/><Relationship Id="rId85" Target="http%3A%2F%2Fdx.doi.org%2F10.1016%2Fj.jacep.2025.10.009" TargetMode="External" Type="http://schemas.openxmlformats.org/officeDocument/2006/relationships/hyperlink"/><Relationship Id="rId850" Target="http%3A%2F%2Fdx.doi.org%2F10.1016%2Fj.ejrad.2025.112468" TargetMode="External" Type="http://schemas.openxmlformats.org/officeDocument/2006/relationships/hyperlink"/><Relationship Id="rId851" Target="https%3A%2F%2Fwww.webofscience.com%2Fwos%2Fwoscc%2Ffull-record%2FWOS%3A001599147400001" TargetMode="External" Type="http://schemas.openxmlformats.org/officeDocument/2006/relationships/hyperlink"/><Relationship Id="rId852" Target="http%3A%2F%2Fdx.doi.org%2F10.3390%2Fcancers17071249" TargetMode="External" Type="http://schemas.openxmlformats.org/officeDocument/2006/relationships/hyperlink"/><Relationship Id="rId853" Target="https%3A%2F%2Fwww.webofscience.com%2Fwos%2Fwoscc%2Ffull-record%2FWOS%3A001464797300001" TargetMode="External" Type="http://schemas.openxmlformats.org/officeDocument/2006/relationships/hyperlink"/><Relationship Id="rId854" Target="http%3A%2F%2Fdx.doi.org%2F10.21037%2Fqims-24-234" TargetMode="External" Type="http://schemas.openxmlformats.org/officeDocument/2006/relationships/hyperlink"/><Relationship Id="rId855" Target="https%3A%2F%2Fwww.webofscience.com%2Fwos%2Fwoscc%2Ffull-record%2FWOS%3A001312968100020" TargetMode="External" Type="http://schemas.openxmlformats.org/officeDocument/2006/relationships/hyperlink"/><Relationship Id="rId856" Target="http%3A%2F%2Fdx.doi.org%2F10.1007%2Fs00330-022-09031-8" TargetMode="External" Type="http://schemas.openxmlformats.org/officeDocument/2006/relationships/hyperlink"/><Relationship Id="rId857" Target="https%3A%2F%2Fwww.webofscience.com%2Fwos%2Fwoscc%2Ffull-record%2FWOS%3A000847165700004" TargetMode="External" Type="http://schemas.openxmlformats.org/officeDocument/2006/relationships/hyperlink"/><Relationship Id="rId858" Target="http%3A%2F%2Fdx.doi.org%2F10.36306%2Fkonjes.1716813" TargetMode="External" Type="http://schemas.openxmlformats.org/officeDocument/2006/relationships/hyperlink"/><Relationship Id="rId859" Target="https%3A%2F%2Fwww.webofscience.com%2Fwos%2Fwoscc%2Ffull-record%2FWOS%3A001805107900002" TargetMode="External" Type="http://schemas.openxmlformats.org/officeDocument/2006/relationships/hyperlink"/><Relationship Id="rId86" Target="https%3A%2F%2Fwww.webofscience.com%2Fwos%2Fwoscc%2Ffull-record%2FWOS%3A001728123400001" TargetMode="External" Type="http://schemas.openxmlformats.org/officeDocument/2006/relationships/hyperlink"/><Relationship Id="rId860" Target="http%3A%2F%2Fdx.doi.org%2F10.3390%2Fapp14093883" TargetMode="External" Type="http://schemas.openxmlformats.org/officeDocument/2006/relationships/hyperlink"/><Relationship Id="rId861" Target="https%3A%2F%2Fwww.webofscience.com%2Fwos%2Fwoscc%2Ffull-record%2FWOS%3A001219998000001" TargetMode="External" Type="http://schemas.openxmlformats.org/officeDocument/2006/relationships/hyperlink"/><Relationship Id="rId862" Target="http%3A%2F%2Fdx.doi.org%2F10.1038%2Fs41598-022-04773-3" TargetMode="External" Type="http://schemas.openxmlformats.org/officeDocument/2006/relationships/hyperlink"/><Relationship Id="rId863" Target="https%3A%2F%2Fwww.webofscience.com%2Fwos%2Fwoscc%2Ffull-record%2FWOS%3A000743649400062" TargetMode="External" Type="http://schemas.openxmlformats.org/officeDocument/2006/relationships/hyperlink"/><Relationship Id="rId864" Target="http%3A%2F%2Fdx.doi.org%2F10.3389%2Ffrai.2025.1731062" TargetMode="External" Type="http://schemas.openxmlformats.org/officeDocument/2006/relationships/hyperlink"/><Relationship Id="rId865" Target="https%3A%2F%2Fwww.webofscience.com%2Fwos%2Fwoscc%2Ffull-record%2FWOS%3A001651595900001" TargetMode="External" Type="http://schemas.openxmlformats.org/officeDocument/2006/relationships/hyperlink"/><Relationship Id="rId866" Target="http%3A%2F%2Fdx.doi.org%2F10.1200%2FCCI-24-00284" TargetMode="External" Type="http://schemas.openxmlformats.org/officeDocument/2006/relationships/hyperlink"/><Relationship Id="rId867" Target="https%3A%2F%2Fwww.webofscience.com%2Fwos%2Fwoscc%2Ffull-record%2FWOS%3A001707922600001" TargetMode="External" Type="http://schemas.openxmlformats.org/officeDocument/2006/relationships/hyperlink"/><Relationship Id="rId868" Target="http%3A%2F%2Fdx.doi.org%2F10.32604%2Fcmes.2025.070272" TargetMode="External" Type="http://schemas.openxmlformats.org/officeDocument/2006/relationships/hyperlink"/><Relationship Id="rId869" Target="https%3A%2F%2Fwww.webofscience.com%2Fwos%2Fwoscc%2Ffull-record%2FWOS%3A001590054200001" TargetMode="External" Type="http://schemas.openxmlformats.org/officeDocument/2006/relationships/hyperlink"/><Relationship Id="rId87" Target="http%3A%2F%2Fdx.doi.org%2F10.1007%2Fs10462-026-11522-9" TargetMode="External" Type="http://schemas.openxmlformats.org/officeDocument/2006/relationships/hyperlink"/><Relationship Id="rId870" Target="http%3A%2F%2Fdx.doi.org%2F10.3389%2Ffphys.2025.1558997" TargetMode="External" Type="http://schemas.openxmlformats.org/officeDocument/2006/relationships/hyperlink"/><Relationship Id="rId871" Target="https%3A%2F%2Fwww.webofscience.com%2Fwos%2Fwoscc%2Ffull-record%2FWOS%3A001449371000001" TargetMode="External" Type="http://schemas.openxmlformats.org/officeDocument/2006/relationships/hyperlink"/><Relationship Id="rId872" Target="http%3A%2F%2Fdx.doi.org%2F10.3390%2Fs23249834" TargetMode="External" Type="http://schemas.openxmlformats.org/officeDocument/2006/relationships/hyperlink"/><Relationship Id="rId873" Target="https%3A%2F%2Fwww.webofscience.com%2Fwos%2Fwoscc%2Ffull-record%2FWOS%3A001130933800001" TargetMode="External" Type="http://schemas.openxmlformats.org/officeDocument/2006/relationships/hyperlink"/><Relationship Id="rId874" Target="http%3A%2F%2Fdx.doi.org%2F10.1080%2F07853890.2026.2664903" TargetMode="External" Type="http://schemas.openxmlformats.org/officeDocument/2006/relationships/hyperlink"/><Relationship Id="rId875" Target="https%3A%2F%2Fwww.webofscience.com%2Fwos%2Fwoscc%2Ffull-record%2FWOS%3A001762373500001" TargetMode="External" Type="http://schemas.openxmlformats.org/officeDocument/2006/relationships/hyperlink"/><Relationship Id="rId876" Target="http%3A%2F%2Fdx.doi.org%2F10.1007%2Fs00464-025-12021-8" TargetMode="External" Type="http://schemas.openxmlformats.org/officeDocument/2006/relationships/hyperlink"/><Relationship Id="rId877" Target="https%3A%2F%2Fwww.webofscience.com%2Fwos%2Fwoscc%2Ffull-record%2FWOS%3A001546386800001" TargetMode="External" Type="http://schemas.openxmlformats.org/officeDocument/2006/relationships/hyperlink"/><Relationship Id="rId878" Target="http%3A%2F%2Fdx.doi.org%2F10.1016%2Fj.eswa.2026.131440" TargetMode="External" Type="http://schemas.openxmlformats.org/officeDocument/2006/relationships/hyperlink"/><Relationship Id="rId879" Target="https%3A%2F%2Fwww.webofscience.com%2Fwos%2Fwoscc%2Ffull-record%2FWOS%3A001689609400001" TargetMode="External" Type="http://schemas.openxmlformats.org/officeDocument/2006/relationships/hyperlink"/><Relationship Id="rId88" Target="https%3A%2F%2Fwww.webofscience.com%2Fwos%2Fwoscc%2Ffull-record%2FWOS%3A001714071400002" TargetMode="External" Type="http://schemas.openxmlformats.org/officeDocument/2006/relationships/hyperlink"/><Relationship Id="rId880" Target="http%3A%2F%2Fdx.doi.org%2F10.1038%2Fs41598-022-06273-w" TargetMode="External" Type="http://schemas.openxmlformats.org/officeDocument/2006/relationships/hyperlink"/><Relationship Id="rId881" Target="https%3A%2F%2Fwww.webofscience.com%2Fwos%2Fwoscc%2Ffull-record%2FWOS%3A000757107700067" TargetMode="External" Type="http://schemas.openxmlformats.org/officeDocument/2006/relationships/hyperlink"/><Relationship Id="rId882" Target="http%3A%2F%2Fdx.doi.org%2F10.1136%2Frmdopen-2026-006995" TargetMode="External" Type="http://schemas.openxmlformats.org/officeDocument/2006/relationships/hyperlink"/><Relationship Id="rId883" Target="https%3A%2F%2Fwww.webofscience.com%2Fwos%2Fwoscc%2Ffull-record%2FWOS%3A001818773500001" TargetMode="External" Type="http://schemas.openxmlformats.org/officeDocument/2006/relationships/hyperlink"/><Relationship Id="rId884" Target="http%3A%2F%2Fdx.doi.org%2F10.3389%2Ffphar.2026.1753893" TargetMode="External" Type="http://schemas.openxmlformats.org/officeDocument/2006/relationships/hyperlink"/><Relationship Id="rId885" Target="https%3A%2F%2Fwww.webofscience.com%2Fwos%2Fwoscc%2Ffull-record%2FWOS%3A001828687000001" TargetMode="External" Type="http://schemas.openxmlformats.org/officeDocument/2006/relationships/hyperlink"/><Relationship Id="rId886" Target="http%3A%2F%2Fdx.doi.org%2F10.1016%2Fj.heliyon.2023.e16552" TargetMode="External" Type="http://schemas.openxmlformats.org/officeDocument/2006/relationships/hyperlink"/><Relationship Id="rId887" Target="https%3A%2F%2Fwww.webofscience.com%2Fwos%2Fwoscc%2Ffull-record%2FWOS%3A001022048000001" TargetMode="External" Type="http://schemas.openxmlformats.org/officeDocument/2006/relationships/hyperlink"/><Relationship Id="rId888" Target="http%3A%2F%2Fdx.doi.org%2F10.1016%2Fj.bspc.2026.110977" TargetMode="External" Type="http://schemas.openxmlformats.org/officeDocument/2006/relationships/hyperlink"/><Relationship Id="rId889" Target="https%3A%2F%2Fwww.webofscience.com%2Fwos%2Fwoscc%2Ffull-record%2FWOS%3A001819971700001" TargetMode="External" Type="http://schemas.openxmlformats.org/officeDocument/2006/relationships/hyperlink"/><Relationship Id="rId89" Target="http%3A%2F%2Fdx.doi.org%2F10.1016%2Fj.xops.2023.100417" TargetMode="External" Type="http://schemas.openxmlformats.org/officeDocument/2006/relationships/hyperlink"/><Relationship Id="rId890" Target="http%3A%2F%2Fdx.doi.org%2F10.1109%2FTCBB.2022.3204619" TargetMode="External" Type="http://schemas.openxmlformats.org/officeDocument/2006/relationships/hyperlink"/><Relationship Id="rId891" Target="https%3A%2F%2Fwww.webofscience.com%2Fwos%2Fwoscc%2Ffull-record%2FWOS%3A001290429100049" TargetMode="External" Type="http://schemas.openxmlformats.org/officeDocument/2006/relationships/hyperlink"/><Relationship Id="rId892" Target="http%3A%2F%2Fdx.doi.org%2F10.1016%2Fj.cie.2024.110625" TargetMode="External" Type="http://schemas.openxmlformats.org/officeDocument/2006/relationships/hyperlink"/><Relationship Id="rId893" Target="https%3A%2F%2Fwww.webofscience.com%2Fwos%2Fwoscc%2Ffull-record%2FWOS%3A001334915400001" TargetMode="External" Type="http://schemas.openxmlformats.org/officeDocument/2006/relationships/hyperlink"/><Relationship Id="rId894" Target="http%3A%2F%2Fdx.doi.org%2F10.1007%2Fs00259-024-07065-2" TargetMode="External" Type="http://schemas.openxmlformats.org/officeDocument/2006/relationships/hyperlink"/><Relationship Id="rId895" Target="https%3A%2F%2Fwww.webofscience.com%2Fwos%2Fwoscc%2Ffull-record%2FWOS%3A001405809100001" TargetMode="External" Type="http://schemas.openxmlformats.org/officeDocument/2006/relationships/hyperlink"/><Relationship Id="rId896" Target="http%3A%2F%2Fdx.doi.org%2F10.1038%2Fs41746-025-02255-0" TargetMode="External" Type="http://schemas.openxmlformats.org/officeDocument/2006/relationships/hyperlink"/><Relationship Id="rId897" Target="https%3A%2F%2Fwww.webofscience.com%2Fwos%2Fwoscc%2Ffull-record%2FWOS%3A001789879400001" TargetMode="External" Type="http://schemas.openxmlformats.org/officeDocument/2006/relationships/hyperlink"/><Relationship Id="rId898" Target="http%3A%2F%2Fdx.doi.org%2F10.1016%2Fj.hroo.2024.04.014" TargetMode="External" Type="http://schemas.openxmlformats.org/officeDocument/2006/relationships/hyperlink"/><Relationship Id="rId899" Target="https%3A%2F%2Fwww.webofscience.com%2Fwos%2Fwoscc%2Ffull-record%2FWOS%3A001275592500001" TargetMode="External" Type="http://schemas.openxmlformats.org/officeDocument/2006/relationships/hyperlink"/><Relationship Id="rId9" Target="http%3A%2F%2Fdx.doi.org%2F10.1080%2F21681163.2025.2509672" TargetMode="External" Type="http://schemas.openxmlformats.org/officeDocument/2006/relationships/hyperlink"/><Relationship Id="rId90" Target="https%3A%2F%2Fwww.webofscience.com%2Fwos%2Fwoscc%2Ffull-record%2FWOS%3A001128126600001" TargetMode="External" Type="http://schemas.openxmlformats.org/officeDocument/2006/relationships/hyperlink"/><Relationship Id="rId900" Target="http%3A%2F%2Fdx.doi.org%2F10.1080%2F07853890.2024.2399759" TargetMode="External" Type="http://schemas.openxmlformats.org/officeDocument/2006/relationships/hyperlink"/><Relationship Id="rId901" Target="https%3A%2F%2Fwww.webofscience.com%2Fwos%2Fwoscc%2Ffull-record%2FWOS%3A001310526600001" TargetMode="External" Type="http://schemas.openxmlformats.org/officeDocument/2006/relationships/hyperlink"/><Relationship Id="rId902" Target="http%3A%2F%2Fdx.doi.org%2F10.1002%2Fcam4.71077" TargetMode="External" Type="http://schemas.openxmlformats.org/officeDocument/2006/relationships/hyperlink"/><Relationship Id="rId903" Target="https%3A%2F%2Fwww.webofscience.com%2Fwos%2Fwoscc%2Ffull-record%2FWOS%3A001543956200001" TargetMode="External" Type="http://schemas.openxmlformats.org/officeDocument/2006/relationships/hyperlink"/><Relationship Id="rId904" Target="http%3A%2F%2Fdx.doi.org%2F10.3837%2Ftiis.2026.03.004" TargetMode="External" Type="http://schemas.openxmlformats.org/officeDocument/2006/relationships/hyperlink"/><Relationship Id="rId905" Target="https%3A%2F%2Fwww.webofscience.com%2Fwos%2Fwoscc%2Ffull-record%2FWOS%3A001733493400004" TargetMode="External" Type="http://schemas.openxmlformats.org/officeDocument/2006/relationships/hyperlink"/><Relationship Id="rId906" Target="http%3A%2F%2Fdx.doi.org%2F10.1093%2Fbioinformatics%2Fbtad717" TargetMode="External" Type="http://schemas.openxmlformats.org/officeDocument/2006/relationships/hyperlink"/><Relationship Id="rId907" Target="https%3A%2F%2Fwww.webofscience.com%2Fwos%2Fwoscc%2Ffull-record%2FWOS%3A001127409600002" TargetMode="External" Type="http://schemas.openxmlformats.org/officeDocument/2006/relationships/hyperlink"/><Relationship Id="rId908" Target="http%3A%2F%2Fdx.doi.org%2F10.1021%2Facssensors.5c04441" TargetMode="External" Type="http://schemas.openxmlformats.org/officeDocument/2006/relationships/hyperlink"/><Relationship Id="rId909" Target="https%3A%2F%2Fwww.webofscience.com%2Fwos%2Fwoscc%2Ffull-record%2FWOS%3A001778370100001" TargetMode="External" Type="http://schemas.openxmlformats.org/officeDocument/2006/relationships/hyperlink"/><Relationship Id="rId91" Target="http%3A%2F%2Fdx.doi.org%2F10.1038%2Fs41746-025-02282-x" TargetMode="External" Type="http://schemas.openxmlformats.org/officeDocument/2006/relationships/hyperlink"/><Relationship Id="rId910" Target="http%3A%2F%2Fdx.doi.org%2F10.3389%2Ffmed.2023.1058919" TargetMode="External" Type="http://schemas.openxmlformats.org/officeDocument/2006/relationships/hyperlink"/><Relationship Id="rId911" Target="https%3A%2F%2Fwww.webofscience.com%2Fwos%2Fwoscc%2Ffull-record%2FWOS%3A000953770400001" TargetMode="External" Type="http://schemas.openxmlformats.org/officeDocument/2006/relationships/hyperlink"/><Relationship Id="rId912" Target="http%3A%2F%2Fdx.doi.org%2F10.1016%2Fj.jad.2026.122270" TargetMode="External" Type="http://schemas.openxmlformats.org/officeDocument/2006/relationships/hyperlink"/><Relationship Id="rId913" Target="https%3A%2F%2Fwww.webofscience.com%2Fwos%2Fwoscc%2Ffull-record%2FWOS%3A001838718900001" TargetMode="External" Type="http://schemas.openxmlformats.org/officeDocument/2006/relationships/hyperlink"/><Relationship Id="rId914" Target="http%3A%2F%2Fdx.doi.org%2F10.1016%2Fj.ejogrb.2026.115018" TargetMode="External" Type="http://schemas.openxmlformats.org/officeDocument/2006/relationships/hyperlink"/><Relationship Id="rId915" Target="https%3A%2F%2Fwww.webofscience.com%2Fwos%2Fwoscc%2Ffull-record%2FWOS%3A001709428900001" TargetMode="External" Type="http://schemas.openxmlformats.org/officeDocument/2006/relationships/hyperlink"/><Relationship Id="rId916" Target="http%3A%2F%2Fdx.doi.org%2F10.3390%2Fs25196105" TargetMode="External" Type="http://schemas.openxmlformats.org/officeDocument/2006/relationships/hyperlink"/><Relationship Id="rId917" Target="https%3A%2F%2Fwww.webofscience.com%2Fwos%2Fwoscc%2Ffull-record%2FWOS%3A001593938200001" TargetMode="External" Type="http://schemas.openxmlformats.org/officeDocument/2006/relationships/hyperlink"/><Relationship Id="rId918" Target="http%3A%2F%2Fdx.doi.org%2F10.1016%2Fj.artmed.2024.102871" TargetMode="External" Type="http://schemas.openxmlformats.org/officeDocument/2006/relationships/hyperlink"/><Relationship Id="rId919" Target="https%3A%2F%2Fwww.webofscience.com%2Fwos%2Fwoscc%2Ffull-record%2FWOS%3A001236646900001" TargetMode="External" Type="http://schemas.openxmlformats.org/officeDocument/2006/relationships/hyperlink"/><Relationship Id="rId92" Target="https%3A%2F%2Fwww.webofscience.com%2Fwos%2Fwoscc%2Ffull-record%2FWOS%3A001674389900001" TargetMode="External" Type="http://schemas.openxmlformats.org/officeDocument/2006/relationships/hyperlink"/><Relationship Id="rId920" Target="http%3A%2F%2Fdx.doi.org%2F10.1016%2Fj.jpsychires.2025.01.001" TargetMode="External" Type="http://schemas.openxmlformats.org/officeDocument/2006/relationships/hyperlink"/><Relationship Id="rId921" Target="https%3A%2F%2Fwww.webofscience.com%2Fwos%2Fwoscc%2Ffull-record%2FWOS%3A001404920800001" TargetMode="External" Type="http://schemas.openxmlformats.org/officeDocument/2006/relationships/hyperlink"/><Relationship Id="rId922" Target="http%3A%2F%2Fdx.doi.org%2F10.1016%2Fj.landig.2025.100885" TargetMode="External" Type="http://schemas.openxmlformats.org/officeDocument/2006/relationships/hyperlink"/><Relationship Id="rId923" Target="https%3A%2F%2Fwww.webofscience.com%2Fwos%2Fwoscc%2Ffull-record%2FWOS%3A001583605800007" TargetMode="External" Type="http://schemas.openxmlformats.org/officeDocument/2006/relationships/hyperlink"/><Relationship Id="rId924" Target="http%3A%2F%2Fdx.doi.org%2F10.2196%2F54538" TargetMode="External" Type="http://schemas.openxmlformats.org/officeDocument/2006/relationships/hyperlink"/><Relationship Id="rId925" Target="https%3A%2F%2Fwww.webofscience.com%2Fwos%2Fwoscc%2Ffull-record%2FWOS%3A001223618300006" TargetMode="External" Type="http://schemas.openxmlformats.org/officeDocument/2006/relationships/hyperlink"/><Relationship Id="rId93" Target="http%3A%2F%2Fdx.doi.org%2F10.3389%2Ffonc.2022.925079" TargetMode="External" Type="http://schemas.openxmlformats.org/officeDocument/2006/relationships/hyperlink"/><Relationship Id="rId94" Target="https%3A%2F%2Fwww.webofscience.com%2Fwos%2Fwoscc%2Ffull-record%2FWOS%3A000828624400001" TargetMode="External" Type="http://schemas.openxmlformats.org/officeDocument/2006/relationships/hyperlink"/><Relationship Id="rId95" Target="http%3A%2F%2Fdx.doi.org%2F10.2196%2F67356" TargetMode="External" Type="http://schemas.openxmlformats.org/officeDocument/2006/relationships/hyperlink"/><Relationship Id="rId96" Target="https%3A%2F%2Fwww.webofscience.com%2Fwos%2Fwoscc%2Ffull-record%2FWOS%3A001488674200001" TargetMode="External" Type="http://schemas.openxmlformats.org/officeDocument/2006/relationships/hyperlink"/><Relationship Id="rId97" Target="http%3A%2F%2Fdx.doi.org%2F10.34133%2Fresearch.1136" TargetMode="External" Type="http://schemas.openxmlformats.org/officeDocument/2006/relationships/hyperlink"/><Relationship Id="rId98" Target="https%3A%2F%2Fwww.webofscience.com%2Fwos%2Fwoscc%2Ffull-record%2FWOS%3A001727655000001" TargetMode="External" Type="http://schemas.openxmlformats.org/officeDocument/2006/relationships/hyperlink"/><Relationship Id="rId99" Target="http%3A%2F%2Fdx.doi.org%2F10.3390%2Fapp1508451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465"/>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85</v>
      </c>
      <c r="M2" t="s" s="0">
        <v>86</v>
      </c>
      <c r="N2" t="s" s="0">
        <v>87</v>
      </c>
      <c r="O2" t="s" s="0">
        <v>88</v>
      </c>
      <c r="P2" t="s" s="0">
        <v>89</v>
      </c>
      <c r="Q2" t="s" s="0">
        <v>90</v>
      </c>
      <c r="R2" t="s" s="0">
        <v>81</v>
      </c>
      <c r="S2" t="s" s="0">
        <v>81</v>
      </c>
      <c r="T2" t="s" s="0">
        <v>81</v>
      </c>
      <c r="U2" t="s" s="0">
        <v>81</v>
      </c>
      <c r="V2" t="s" s="0">
        <v>91</v>
      </c>
      <c r="W2" t="s" s="0">
        <v>92</v>
      </c>
      <c r="X2" t="s" s="0">
        <v>81</v>
      </c>
      <c r="Y2" t="s" s="0">
        <v>81</v>
      </c>
      <c r="Z2" t="s" s="0">
        <v>93</v>
      </c>
      <c r="AA2" t="s" s="0">
        <v>94</v>
      </c>
      <c r="AB2" t="s" s="0">
        <v>81</v>
      </c>
      <c r="AC2" t="s" s="0">
        <v>81</v>
      </c>
      <c r="AD2" t="s" s="0">
        <v>81</v>
      </c>
      <c r="AE2" t="s" s="0">
        <v>81</v>
      </c>
      <c r="AF2" t="s" s="0">
        <v>81</v>
      </c>
      <c r="AG2" t="s" s="0">
        <v>95</v>
      </c>
      <c r="AH2" t="s" s="0">
        <v>81</v>
      </c>
      <c r="AI2" t="s" s="0">
        <v>81</v>
      </c>
      <c r="AJ2" t="s" s="0">
        <v>81</v>
      </c>
      <c r="AK2" t="s" s="0">
        <v>81</v>
      </c>
      <c r="AL2" t="s" s="0">
        <v>96</v>
      </c>
      <c r="AM2" t="s" s="0">
        <v>77</v>
      </c>
      <c r="AN2" t="s" s="0">
        <v>77</v>
      </c>
      <c r="AO2" t="s" s="0">
        <v>77</v>
      </c>
      <c r="AP2" t="s" s="0">
        <v>77</v>
      </c>
      <c r="AQ2" t="s" s="0">
        <v>97</v>
      </c>
      <c r="AR2" t="s" s="0">
        <v>98</v>
      </c>
      <c r="AS2" t="s" s="0">
        <v>99</v>
      </c>
      <c r="AT2" t="s" s="0">
        <v>81</v>
      </c>
      <c r="AU2" t="s" s="0">
        <v>100</v>
      </c>
      <c r="AV2" t="s" s="0">
        <v>81</v>
      </c>
      <c r="AW2" t="s" s="0">
        <v>101</v>
      </c>
      <c r="AX2" t="s" s="0">
        <v>102</v>
      </c>
      <c r="AY2" t="s" s="0">
        <v>103</v>
      </c>
      <c r="AZ2" t="s" s="0">
        <v>104</v>
      </c>
      <c r="BA2" t="s" s="0">
        <v>105</v>
      </c>
      <c r="BB2" t="s" s="0">
        <v>81</v>
      </c>
      <c r="BC2" t="s" s="0">
        <v>81</v>
      </c>
      <c r="BD2" t="s" s="0">
        <v>81</v>
      </c>
      <c r="BE2" t="s" s="0">
        <v>81</v>
      </c>
      <c r="BF2" t="s" s="0">
        <v>81</v>
      </c>
      <c r="BG2" t="s" s="0">
        <v>81</v>
      </c>
      <c r="BH2" t="s" s="0">
        <v>81</v>
      </c>
      <c r="BI2" t="s" s="0">
        <v>106</v>
      </c>
      <c r="BJ2" t="s" s="0">
        <v>107</v>
      </c>
      <c r="BK2" t="s" s="1">
        <f>HYPERLINK("http://dx.doi.org/10.3389/fnins.2026.1894285","http://dx.doi.org/10.3389/fnins.2026.1894285")</f>
        <v>108</v>
      </c>
      <c r="BL2" t="s" s="0">
        <v>81</v>
      </c>
      <c r="BM2" t="s" s="0">
        <v>81</v>
      </c>
      <c r="BN2" t="s" s="0">
        <v>109</v>
      </c>
      <c r="BO2" t="s" s="0">
        <v>110</v>
      </c>
      <c r="BP2" t="s" s="0">
        <v>111</v>
      </c>
      <c r="BQ2" t="s" s="0">
        <v>112</v>
      </c>
      <c r="BR2" t="s" s="0">
        <v>81</v>
      </c>
      <c r="BS2" t="s" s="0">
        <v>113</v>
      </c>
      <c r="BT2" t="s" s="2">
        <f>HYPERLINK("https://www.webofscience.com/wos/woscc/full-record/WOS:001849196900001","View Record in Web of Science")</f>
        <v>114</v>
      </c>
      <c r="BU2" t="s" s="0">
        <v>115</v>
      </c>
      <c r="BV2" t="s" s="0">
        <v>81</v>
      </c>
      <c r="BW2" t="s" s="0">
        <v>81</v>
      </c>
      <c r="BX2" t="s" s="0">
        <v>116</v>
      </c>
    </row>
    <row r="3">
      <c r="A3" t="s" s="0">
        <v>77</v>
      </c>
      <c r="B3" t="s" s="0">
        <v>77</v>
      </c>
      <c r="C3" t="s" s="0">
        <v>117</v>
      </c>
      <c r="D3" t="s" s="0">
        <v>77</v>
      </c>
      <c r="E3" t="s" s="0">
        <v>118</v>
      </c>
      <c r="F3" t="s" s="0">
        <v>119</v>
      </c>
      <c r="G3" t="s" s="0">
        <v>120</v>
      </c>
      <c r="H3" t="s" s="0">
        <v>81</v>
      </c>
      <c r="I3" t="s" s="0">
        <v>82</v>
      </c>
      <c r="J3" t="s" s="0">
        <v>121</v>
      </c>
      <c r="K3" t="s" s="0">
        <v>122</v>
      </c>
      <c r="L3" t="s" s="0">
        <v>81</v>
      </c>
      <c r="M3" t="s" s="0">
        <v>81</v>
      </c>
      <c r="N3" t="s" s="0">
        <v>81</v>
      </c>
      <c r="O3" t="s" s="0">
        <v>123</v>
      </c>
      <c r="P3" t="s" s="0">
        <v>81</v>
      </c>
      <c r="Q3" t="s" s="0">
        <v>90</v>
      </c>
      <c r="R3" t="s" s="0">
        <v>81</v>
      </c>
      <c r="S3" t="s" s="0">
        <v>81</v>
      </c>
      <c r="T3" t="s" s="0">
        <v>81</v>
      </c>
      <c r="U3" t="s" s="0">
        <v>81</v>
      </c>
      <c r="V3" t="s" s="0">
        <v>124</v>
      </c>
      <c r="W3" t="s" s="0">
        <v>125</v>
      </c>
      <c r="X3" t="s" s="0">
        <v>81</v>
      </c>
      <c r="Y3" t="s" s="0">
        <v>81</v>
      </c>
      <c r="Z3" t="s" s="0">
        <v>93</v>
      </c>
      <c r="AA3" t="s" s="0">
        <v>94</v>
      </c>
      <c r="AB3" t="s" s="0">
        <v>81</v>
      </c>
      <c r="AC3" t="s" s="0">
        <v>81</v>
      </c>
      <c r="AD3" t="s" s="0">
        <v>81</v>
      </c>
      <c r="AE3" t="s" s="0">
        <v>81</v>
      </c>
      <c r="AF3" t="s" s="0">
        <v>81</v>
      </c>
      <c r="AG3" t="s" s="0">
        <v>126</v>
      </c>
      <c r="AH3" t="s" s="0">
        <v>81</v>
      </c>
      <c r="AI3" t="s" s="0">
        <v>81</v>
      </c>
      <c r="AJ3" t="s" s="0">
        <v>81</v>
      </c>
      <c r="AK3" t="s" s="0">
        <v>81</v>
      </c>
      <c r="AL3" t="s" s="0">
        <v>127</v>
      </c>
      <c r="AM3" t="s" s="0">
        <v>128</v>
      </c>
      <c r="AN3" t="s" s="0">
        <v>129</v>
      </c>
      <c r="AO3" t="s" s="0">
        <v>130</v>
      </c>
      <c r="AP3" t="s" s="0">
        <v>131</v>
      </c>
      <c r="AQ3" t="s" s="0">
        <v>97</v>
      </c>
      <c r="AR3" t="s" s="0">
        <v>98</v>
      </c>
      <c r="AS3" t="s" s="0">
        <v>99</v>
      </c>
      <c r="AT3" t="s" s="0">
        <v>81</v>
      </c>
      <c r="AU3" t="s" s="0">
        <v>132</v>
      </c>
      <c r="AV3" t="s" s="0">
        <v>81</v>
      </c>
      <c r="AW3" t="s" s="0">
        <v>133</v>
      </c>
      <c r="AX3" t="s" s="0">
        <v>134</v>
      </c>
      <c r="AY3" t="s" s="0">
        <v>135</v>
      </c>
      <c r="AZ3" t="s" s="0">
        <v>136</v>
      </c>
      <c r="BA3" t="s" s="0">
        <v>137</v>
      </c>
      <c r="BB3" t="s" s="0">
        <v>81</v>
      </c>
      <c r="BC3" t="s" s="0">
        <v>81</v>
      </c>
      <c r="BD3" t="s" s="0">
        <v>81</v>
      </c>
      <c r="BE3" t="s" s="0">
        <v>81</v>
      </c>
      <c r="BF3" t="s" s="0">
        <v>81</v>
      </c>
      <c r="BG3" t="s" s="0">
        <v>81</v>
      </c>
      <c r="BH3" t="s" s="0">
        <v>81</v>
      </c>
      <c r="BI3" t="s" s="0">
        <v>138</v>
      </c>
      <c r="BJ3" t="s" s="0">
        <v>139</v>
      </c>
      <c r="BK3" t="s" s="3">
        <f>HYPERLINK("http://dx.doi.org/10.3389/fphys.2025.1605406","http://dx.doi.org/10.3389/fphys.2025.1605406")</f>
        <v>140</v>
      </c>
      <c r="BL3" t="s" s="0">
        <v>81</v>
      </c>
      <c r="BM3" t="s" s="0">
        <v>81</v>
      </c>
      <c r="BN3" t="s" s="0">
        <v>137</v>
      </c>
      <c r="BO3" t="s" s="0">
        <v>141</v>
      </c>
      <c r="BP3" t="s" s="0">
        <v>141</v>
      </c>
      <c r="BQ3" t="s" s="0">
        <v>142</v>
      </c>
      <c r="BR3" t="s" s="0">
        <v>143</v>
      </c>
      <c r="BS3" t="s" s="0">
        <v>144</v>
      </c>
      <c r="BT3" t="s" s="4">
        <f>HYPERLINK("https://www.webofscience.com/wos/woscc/full-record/WOS:001584638200001","View Record in Web of Science")</f>
        <v>114</v>
      </c>
      <c r="BU3" t="s" s="0">
        <v>145</v>
      </c>
      <c r="BV3" t="s" s="0">
        <v>81</v>
      </c>
      <c r="BW3" t="s" s="0">
        <v>81</v>
      </c>
      <c r="BX3" t="s" s="0">
        <v>116</v>
      </c>
    </row>
    <row r="4">
      <c r="A4" t="s" s="0">
        <v>77</v>
      </c>
      <c r="B4" t="s" s="0">
        <v>77</v>
      </c>
      <c r="C4" t="s" s="0">
        <v>117</v>
      </c>
      <c r="D4" t="s" s="0">
        <v>77</v>
      </c>
      <c r="E4" t="s" s="0">
        <v>146</v>
      </c>
      <c r="F4" t="s" s="0">
        <v>147</v>
      </c>
      <c r="G4" t="s" s="0">
        <v>148</v>
      </c>
      <c r="H4" t="s" s="0">
        <v>81</v>
      </c>
      <c r="I4" t="s" s="0">
        <v>82</v>
      </c>
      <c r="J4" t="s" s="0">
        <v>149</v>
      </c>
      <c r="K4" t="s" s="0">
        <v>150</v>
      </c>
      <c r="L4" t="s" s="0">
        <v>81</v>
      </c>
      <c r="M4" t="s" s="0">
        <v>81</v>
      </c>
      <c r="N4" t="s" s="0">
        <v>81</v>
      </c>
      <c r="O4" t="s" s="0">
        <v>151</v>
      </c>
      <c r="P4" t="s" s="0">
        <v>152</v>
      </c>
      <c r="Q4" t="s" s="0">
        <v>90</v>
      </c>
      <c r="R4" t="s" s="0">
        <v>81</v>
      </c>
      <c r="S4" t="s" s="0">
        <v>81</v>
      </c>
      <c r="T4" t="s" s="0">
        <v>81</v>
      </c>
      <c r="U4" t="s" s="0">
        <v>81</v>
      </c>
      <c r="V4" t="s" s="0">
        <v>153</v>
      </c>
      <c r="W4" t="s" s="0">
        <v>154</v>
      </c>
      <c r="X4" t="s" s="0">
        <v>81</v>
      </c>
      <c r="Y4" t="s" s="0">
        <v>81</v>
      </c>
      <c r="Z4" t="s" s="0">
        <v>93</v>
      </c>
      <c r="AA4" t="s" s="0">
        <v>94</v>
      </c>
      <c r="AB4" t="s" s="0">
        <v>81</v>
      </c>
      <c r="AC4" t="s" s="0">
        <v>81</v>
      </c>
      <c r="AD4" t="s" s="0">
        <v>81</v>
      </c>
      <c r="AE4" t="s" s="0">
        <v>81</v>
      </c>
      <c r="AF4" t="s" s="0">
        <v>81</v>
      </c>
      <c r="AG4" t="s" s="0">
        <v>155</v>
      </c>
      <c r="AH4" t="s" s="0">
        <v>156</v>
      </c>
      <c r="AI4" t="s" s="0">
        <v>157</v>
      </c>
      <c r="AJ4" t="s" s="0">
        <v>158</v>
      </c>
      <c r="AK4" t="s" s="0">
        <v>81</v>
      </c>
      <c r="AL4" t="s" s="0">
        <v>159</v>
      </c>
      <c r="AM4" t="s" s="0">
        <v>160</v>
      </c>
      <c r="AN4" t="s" s="0">
        <v>160</v>
      </c>
      <c r="AO4" t="s" s="0">
        <v>130</v>
      </c>
      <c r="AP4" t="s" s="0">
        <v>161</v>
      </c>
      <c r="AQ4" t="s" s="0">
        <v>162</v>
      </c>
      <c r="AR4" t="s" s="0">
        <v>163</v>
      </c>
      <c r="AS4" t="s" s="0">
        <v>164</v>
      </c>
      <c r="AT4" t="s" s="0">
        <v>165</v>
      </c>
      <c r="AU4" t="s" s="0">
        <v>81</v>
      </c>
      <c r="AV4" t="s" s="0">
        <v>81</v>
      </c>
      <c r="AW4" t="s" s="0">
        <v>154</v>
      </c>
      <c r="AX4" t="s" s="0">
        <v>166</v>
      </c>
      <c r="AY4" t="s" s="0">
        <v>136</v>
      </c>
      <c r="AZ4" t="s" s="0">
        <v>136</v>
      </c>
      <c r="BA4" t="s" s="0">
        <v>167</v>
      </c>
      <c r="BB4" t="s" s="0">
        <v>81</v>
      </c>
      <c r="BC4" t="s" s="0">
        <v>81</v>
      </c>
      <c r="BD4" t="s" s="0">
        <v>81</v>
      </c>
      <c r="BE4" t="s" s="0">
        <v>81</v>
      </c>
      <c r="BF4" t="s" s="0">
        <v>81</v>
      </c>
      <c r="BG4" t="s" s="0">
        <v>168</v>
      </c>
      <c r="BH4" t="s" s="0">
        <v>169</v>
      </c>
      <c r="BI4" t="s" s="0">
        <v>81</v>
      </c>
      <c r="BJ4" t="s" s="0">
        <v>170</v>
      </c>
      <c r="BK4" t="s" s="5">
        <f>HYPERLINK("http://dx.doi.org/10.1109/ACCESS.2025.3552254","http://dx.doi.org/10.1109/ACCESS.2025.3552254")</f>
        <v>171</v>
      </c>
      <c r="BL4" t="s" s="0">
        <v>81</v>
      </c>
      <c r="BM4" t="s" s="0">
        <v>81</v>
      </c>
      <c r="BN4" t="s" s="0">
        <v>172</v>
      </c>
      <c r="BO4" t="s" s="0">
        <v>173</v>
      </c>
      <c r="BP4" t="s" s="0">
        <v>174</v>
      </c>
      <c r="BQ4" t="s" s="0">
        <v>175</v>
      </c>
      <c r="BR4" t="s" s="0">
        <v>81</v>
      </c>
      <c r="BS4" t="s" s="0">
        <v>176</v>
      </c>
      <c r="BT4" t="s" s="6">
        <f>HYPERLINK("https://www.webofscience.com/wos/woscc/full-record/WOS:001455585800012","View Record in Web of Science")</f>
        <v>114</v>
      </c>
      <c r="BU4" t="s" s="0">
        <v>145</v>
      </c>
      <c r="BV4" t="s" s="0">
        <v>81</v>
      </c>
      <c r="BW4" t="s" s="0">
        <v>81</v>
      </c>
      <c r="BX4" t="s" s="0">
        <v>116</v>
      </c>
    </row>
    <row r="5">
      <c r="A5" t="s" s="0">
        <v>77</v>
      </c>
      <c r="B5" t="s" s="0">
        <v>77</v>
      </c>
      <c r="C5" t="s" s="0">
        <v>77</v>
      </c>
      <c r="D5" t="s" s="0">
        <v>77</v>
      </c>
      <c r="E5" t="s" s="0">
        <v>177</v>
      </c>
      <c r="F5" t="s" s="0">
        <v>178</v>
      </c>
      <c r="G5" t="s" s="0">
        <v>179</v>
      </c>
      <c r="H5" t="s" s="0">
        <v>81</v>
      </c>
      <c r="I5" t="s" s="0">
        <v>180</v>
      </c>
      <c r="J5" t="s" s="0">
        <v>181</v>
      </c>
      <c r="K5" t="s" s="0">
        <v>182</v>
      </c>
      <c r="L5" t="s" s="0">
        <v>183</v>
      </c>
      <c r="M5" t="s" s="0">
        <v>184</v>
      </c>
      <c r="N5" t="s" s="0">
        <v>185</v>
      </c>
      <c r="O5" t="s" s="0">
        <v>186</v>
      </c>
      <c r="P5" t="s" s="0">
        <v>187</v>
      </c>
      <c r="Q5" t="s" s="0">
        <v>90</v>
      </c>
      <c r="R5" t="s" s="0">
        <v>81</v>
      </c>
      <c r="S5" t="s" s="0">
        <v>81</v>
      </c>
      <c r="T5" t="s" s="0">
        <v>81</v>
      </c>
      <c r="U5" t="s" s="0">
        <v>81</v>
      </c>
      <c r="V5" t="s" s="0">
        <v>188</v>
      </c>
      <c r="W5" t="s" s="0">
        <v>189</v>
      </c>
      <c r="X5" t="s" s="0">
        <v>81</v>
      </c>
      <c r="Y5" t="s" s="0">
        <v>81</v>
      </c>
      <c r="Z5" t="s" s="0">
        <v>93</v>
      </c>
      <c r="AA5" t="s" s="0">
        <v>190</v>
      </c>
      <c r="AB5" t="s" s="0">
        <v>81</v>
      </c>
      <c r="AC5" t="s" s="0">
        <v>81</v>
      </c>
      <c r="AD5" t="s" s="0">
        <v>81</v>
      </c>
      <c r="AE5" t="s" s="0">
        <v>81</v>
      </c>
      <c r="AF5" t="s" s="0">
        <v>81</v>
      </c>
      <c r="AG5" t="s" s="0">
        <v>191</v>
      </c>
      <c r="AH5" t="s" s="0">
        <v>81</v>
      </c>
      <c r="AI5" t="s" s="0">
        <v>192</v>
      </c>
      <c r="AJ5" t="s" s="0">
        <v>81</v>
      </c>
      <c r="AK5" t="s" s="0">
        <v>81</v>
      </c>
      <c r="AL5" t="s" s="0">
        <v>193</v>
      </c>
      <c r="AM5" t="s" s="0">
        <v>77</v>
      </c>
      <c r="AN5" t="s" s="0">
        <v>77</v>
      </c>
      <c r="AO5" t="s" s="0">
        <v>160</v>
      </c>
      <c r="AP5" t="s" s="0">
        <v>160</v>
      </c>
      <c r="AQ5" t="s" s="0">
        <v>194</v>
      </c>
      <c r="AR5" t="s" s="0">
        <v>195</v>
      </c>
      <c r="AS5" t="s" s="0">
        <v>196</v>
      </c>
      <c r="AT5" t="s" s="0">
        <v>197</v>
      </c>
      <c r="AU5" t="s" s="0">
        <v>198</v>
      </c>
      <c r="AV5" t="s" s="0">
        <v>81</v>
      </c>
      <c r="AW5" t="s" s="0">
        <v>199</v>
      </c>
      <c r="AX5" t="s" s="0">
        <v>200</v>
      </c>
      <c r="AY5" t="s" s="0">
        <v>81</v>
      </c>
      <c r="AZ5" t="s" s="0">
        <v>104</v>
      </c>
      <c r="BA5" t="s" s="0">
        <v>81</v>
      </c>
      <c r="BB5" t="s" s="0">
        <v>81</v>
      </c>
      <c r="BC5" t="s" s="0">
        <v>81</v>
      </c>
      <c r="BD5" t="s" s="0">
        <v>81</v>
      </c>
      <c r="BE5" t="s" s="0">
        <v>81</v>
      </c>
      <c r="BF5" t="s" s="0">
        <v>81</v>
      </c>
      <c r="BG5" t="s" s="0">
        <v>81</v>
      </c>
      <c r="BH5" t="s" s="0">
        <v>81</v>
      </c>
      <c r="BI5" t="s" s="0">
        <v>81</v>
      </c>
      <c r="BJ5" t="s" s="0">
        <v>201</v>
      </c>
      <c r="BK5" t="s" s="7">
        <f>HYPERLINK("http://dx.doi.org/10.1080/10255842.2026.2676676","http://dx.doi.org/10.1080/10255842.2026.2676676")</f>
        <v>202</v>
      </c>
      <c r="BL5" t="s" s="0">
        <v>81</v>
      </c>
      <c r="BM5" t="s" s="0">
        <v>203</v>
      </c>
      <c r="BN5" t="s" s="0">
        <v>204</v>
      </c>
      <c r="BO5" t="s" s="0">
        <v>205</v>
      </c>
      <c r="BP5" t="s" s="0">
        <v>206</v>
      </c>
      <c r="BQ5" t="s" s="0">
        <v>207</v>
      </c>
      <c r="BR5" t="s" s="0">
        <v>208</v>
      </c>
      <c r="BS5" t="s" s="0">
        <v>209</v>
      </c>
      <c r="BT5" t="s" s="8">
        <f>HYPERLINK("https://www.webofscience.com/wos/woscc/full-record/WOS:001775877300001","View Record in Web of Science")</f>
        <v>114</v>
      </c>
      <c r="BU5" t="s" s="0">
        <v>81</v>
      </c>
      <c r="BV5" t="s" s="0">
        <v>81</v>
      </c>
      <c r="BW5" t="s" s="0">
        <v>81</v>
      </c>
      <c r="BX5" t="s" s="0">
        <v>116</v>
      </c>
    </row>
    <row r="6">
      <c r="A6" t="s" s="0">
        <v>117</v>
      </c>
      <c r="B6" t="s" s="0">
        <v>77</v>
      </c>
      <c r="C6" t="s" s="0">
        <v>77</v>
      </c>
      <c r="D6" t="s" s="0">
        <v>77</v>
      </c>
      <c r="E6" t="s" s="0">
        <v>210</v>
      </c>
      <c r="F6" t="s" s="0">
        <v>211</v>
      </c>
      <c r="G6" t="s" s="0">
        <v>212</v>
      </c>
      <c r="H6" t="s" s="0">
        <v>81</v>
      </c>
      <c r="I6" t="s" s="0">
        <v>213</v>
      </c>
      <c r="J6" t="s" s="0">
        <v>214</v>
      </c>
      <c r="K6" t="s" s="0">
        <v>215</v>
      </c>
      <c r="L6" t="s" s="0">
        <v>81</v>
      </c>
      <c r="M6" t="s" s="0">
        <v>81</v>
      </c>
      <c r="N6" t="s" s="0">
        <v>81</v>
      </c>
      <c r="O6" t="s" s="0">
        <v>216</v>
      </c>
      <c r="P6" t="s" s="0">
        <v>217</v>
      </c>
      <c r="Q6" t="s" s="0">
        <v>90</v>
      </c>
      <c r="R6" t="s" s="0">
        <v>81</v>
      </c>
      <c r="S6" t="s" s="0">
        <v>81</v>
      </c>
      <c r="T6" t="s" s="0">
        <v>81</v>
      </c>
      <c r="U6" t="s" s="0">
        <v>81</v>
      </c>
      <c r="V6" t="s" s="0">
        <v>218</v>
      </c>
      <c r="W6" t="s" s="0">
        <v>219</v>
      </c>
      <c r="X6" t="s" s="0">
        <v>81</v>
      </c>
      <c r="Y6" t="s" s="0">
        <v>81</v>
      </c>
      <c r="Z6" t="s" s="0">
        <v>93</v>
      </c>
      <c r="AA6" t="s" s="0">
        <v>94</v>
      </c>
      <c r="AB6" t="s" s="0">
        <v>81</v>
      </c>
      <c r="AC6" t="s" s="0">
        <v>81</v>
      </c>
      <c r="AD6" t="s" s="0">
        <v>81</v>
      </c>
      <c r="AE6" t="s" s="0">
        <v>81</v>
      </c>
      <c r="AF6" t="s" s="0">
        <v>81</v>
      </c>
      <c r="AG6" t="s" s="0">
        <v>220</v>
      </c>
      <c r="AH6" t="s" s="0">
        <v>221</v>
      </c>
      <c r="AI6" t="s" s="0">
        <v>222</v>
      </c>
      <c r="AJ6" t="s" s="0">
        <v>223</v>
      </c>
      <c r="AK6" t="s" s="0">
        <v>81</v>
      </c>
      <c r="AL6" t="s" s="0">
        <v>224</v>
      </c>
      <c r="AM6" t="s" s="0">
        <v>225</v>
      </c>
      <c r="AN6" t="s" s="0">
        <v>226</v>
      </c>
      <c r="AO6" t="s" s="0">
        <v>227</v>
      </c>
      <c r="AP6" t="s" s="0">
        <v>228</v>
      </c>
      <c r="AQ6" t="s" s="0">
        <v>194</v>
      </c>
      <c r="AR6" t="s" s="0">
        <v>195</v>
      </c>
      <c r="AS6" t="s" s="0">
        <v>196</v>
      </c>
      <c r="AT6" t="s" s="0">
        <v>229</v>
      </c>
      <c r="AU6" t="s" s="0">
        <v>230</v>
      </c>
      <c r="AV6" t="s" s="0">
        <v>81</v>
      </c>
      <c r="AW6" t="s" s="0">
        <v>231</v>
      </c>
      <c r="AX6" t="s" s="0">
        <v>232</v>
      </c>
      <c r="AY6" t="s" s="0">
        <v>233</v>
      </c>
      <c r="AZ6" t="s" s="0">
        <v>136</v>
      </c>
      <c r="BA6" t="s" s="0">
        <v>167</v>
      </c>
      <c r="BB6" t="s" s="0">
        <v>117</v>
      </c>
      <c r="BC6" t="s" s="0">
        <v>81</v>
      </c>
      <c r="BD6" t="s" s="0">
        <v>81</v>
      </c>
      <c r="BE6" t="s" s="0">
        <v>81</v>
      </c>
      <c r="BF6" t="s" s="0">
        <v>81</v>
      </c>
      <c r="BG6" t="s" s="0">
        <v>81</v>
      </c>
      <c r="BH6" t="s" s="0">
        <v>81</v>
      </c>
      <c r="BI6" t="s" s="0">
        <v>234</v>
      </c>
      <c r="BJ6" t="s" s="0">
        <v>235</v>
      </c>
      <c r="BK6" t="s" s="9">
        <f>HYPERLINK("http://dx.doi.org/10.1080/21681163.2025.2509672","http://dx.doi.org/10.1080/21681163.2025.2509672")</f>
        <v>236</v>
      </c>
      <c r="BL6" t="s" s="0">
        <v>81</v>
      </c>
      <c r="BM6" t="s" s="0">
        <v>81</v>
      </c>
      <c r="BN6" t="s" s="0">
        <v>237</v>
      </c>
      <c r="BO6" t="s" s="0">
        <v>238</v>
      </c>
      <c r="BP6" t="s" s="0">
        <v>239</v>
      </c>
      <c r="BQ6" t="s" s="0">
        <v>240</v>
      </c>
      <c r="BR6" t="s" s="0">
        <v>81</v>
      </c>
      <c r="BS6" t="s" s="0">
        <v>241</v>
      </c>
      <c r="BT6" t="s" s="10">
        <f>HYPERLINK("https://www.webofscience.com/wos/woscc/full-record/WOS:001498892600001","View Record in Web of Science")</f>
        <v>114</v>
      </c>
      <c r="BU6" t="s" s="0">
        <v>145</v>
      </c>
      <c r="BV6" t="s" s="0">
        <v>81</v>
      </c>
      <c r="BW6" t="s" s="0">
        <v>81</v>
      </c>
      <c r="BX6" t="s" s="0">
        <v>116</v>
      </c>
    </row>
    <row r="7">
      <c r="A7" t="s" s="0">
        <v>77</v>
      </c>
      <c r="B7" t="s" s="0">
        <v>77</v>
      </c>
      <c r="C7" t="s" s="0">
        <v>77</v>
      </c>
      <c r="D7" t="s" s="0">
        <v>77</v>
      </c>
      <c r="E7" t="s" s="0">
        <v>242</v>
      </c>
      <c r="F7" t="s" s="0">
        <v>243</v>
      </c>
      <c r="G7" t="s" s="0">
        <v>244</v>
      </c>
      <c r="H7" t="s" s="0">
        <v>81</v>
      </c>
      <c r="I7" t="s" s="0">
        <v>82</v>
      </c>
      <c r="J7" t="s" s="0">
        <v>245</v>
      </c>
      <c r="K7" t="s" s="0">
        <v>246</v>
      </c>
      <c r="L7" t="s" s="0">
        <v>81</v>
      </c>
      <c r="M7" t="s" s="0">
        <v>81</v>
      </c>
      <c r="N7" t="s" s="0">
        <v>81</v>
      </c>
      <c r="O7" t="s" s="0">
        <v>247</v>
      </c>
      <c r="P7" t="s" s="0">
        <v>248</v>
      </c>
      <c r="Q7" t="s" s="0">
        <v>90</v>
      </c>
      <c r="R7" t="s" s="0">
        <v>81</v>
      </c>
      <c r="S7" t="s" s="0">
        <v>81</v>
      </c>
      <c r="T7" t="s" s="0">
        <v>81</v>
      </c>
      <c r="U7" t="s" s="0">
        <v>81</v>
      </c>
      <c r="V7" t="s" s="0">
        <v>249</v>
      </c>
      <c r="W7" t="s" s="0">
        <v>154</v>
      </c>
      <c r="X7" t="s" s="0">
        <v>81</v>
      </c>
      <c r="Y7" t="s" s="0">
        <v>81</v>
      </c>
      <c r="Z7" t="s" s="0">
        <v>93</v>
      </c>
      <c r="AA7" t="s" s="0">
        <v>94</v>
      </c>
      <c r="AB7" t="s" s="0">
        <v>81</v>
      </c>
      <c r="AC7" t="s" s="0">
        <v>81</v>
      </c>
      <c r="AD7" t="s" s="0">
        <v>81</v>
      </c>
      <c r="AE7" t="s" s="0">
        <v>81</v>
      </c>
      <c r="AF7" t="s" s="0">
        <v>81</v>
      </c>
      <c r="AG7" t="s" s="0">
        <v>250</v>
      </c>
      <c r="AH7" t="s" s="0">
        <v>81</v>
      </c>
      <c r="AI7" t="s" s="0">
        <v>81</v>
      </c>
      <c r="AJ7" t="s" s="0">
        <v>251</v>
      </c>
      <c r="AK7" t="s" s="0">
        <v>81</v>
      </c>
      <c r="AL7" t="s" s="0">
        <v>252</v>
      </c>
      <c r="AM7" t="s" s="0">
        <v>117</v>
      </c>
      <c r="AN7" t="s" s="0">
        <v>227</v>
      </c>
      <c r="AO7" t="s" s="0">
        <v>227</v>
      </c>
      <c r="AP7" t="s" s="0">
        <v>253</v>
      </c>
      <c r="AQ7" t="s" s="0">
        <v>162</v>
      </c>
      <c r="AR7" t="s" s="0">
        <v>163</v>
      </c>
      <c r="AS7" t="s" s="0">
        <v>164</v>
      </c>
      <c r="AT7" t="s" s="0">
        <v>165</v>
      </c>
      <c r="AU7" t="s" s="0">
        <v>81</v>
      </c>
      <c r="AV7" t="s" s="0">
        <v>81</v>
      </c>
      <c r="AW7" t="s" s="0">
        <v>154</v>
      </c>
      <c r="AX7" t="s" s="0">
        <v>166</v>
      </c>
      <c r="AY7" t="s" s="0">
        <v>136</v>
      </c>
      <c r="AZ7" t="s" s="0">
        <v>136</v>
      </c>
      <c r="BA7" t="s" s="0">
        <v>167</v>
      </c>
      <c r="BB7" t="s" s="0">
        <v>81</v>
      </c>
      <c r="BC7" t="s" s="0">
        <v>81</v>
      </c>
      <c r="BD7" t="s" s="0">
        <v>81</v>
      </c>
      <c r="BE7" t="s" s="0">
        <v>81</v>
      </c>
      <c r="BF7" t="s" s="0">
        <v>81</v>
      </c>
      <c r="BG7" t="s" s="0">
        <v>254</v>
      </c>
      <c r="BH7" t="s" s="0">
        <v>255</v>
      </c>
      <c r="BI7" t="s" s="0">
        <v>81</v>
      </c>
      <c r="BJ7" t="s" s="0">
        <v>256</v>
      </c>
      <c r="BK7" t="s" s="11">
        <f>HYPERLINK("http://dx.doi.org/10.1109/ACCESS.2025.3577064","http://dx.doi.org/10.1109/ACCESS.2025.3577064")</f>
        <v>257</v>
      </c>
      <c r="BL7" t="s" s="0">
        <v>81</v>
      </c>
      <c r="BM7" t="s" s="0">
        <v>81</v>
      </c>
      <c r="BN7" t="s" s="0">
        <v>258</v>
      </c>
      <c r="BO7" t="s" s="0">
        <v>173</v>
      </c>
      <c r="BP7" t="s" s="0">
        <v>174</v>
      </c>
      <c r="BQ7" t="s" s="0">
        <v>259</v>
      </c>
      <c r="BR7" t="s" s="0">
        <v>81</v>
      </c>
      <c r="BS7" t="s" s="0">
        <v>260</v>
      </c>
      <c r="BT7" t="s" s="12">
        <f>HYPERLINK("https://www.webofscience.com/wos/woscc/full-record/WOS:001508113300028","View Record in Web of Science")</f>
        <v>114</v>
      </c>
      <c r="BU7" t="s" s="0">
        <v>145</v>
      </c>
      <c r="BV7" t="s" s="0">
        <v>81</v>
      </c>
      <c r="BW7" t="s" s="0">
        <v>81</v>
      </c>
      <c r="BX7" t="s" s="0">
        <v>116</v>
      </c>
    </row>
    <row r="8">
      <c r="A8" t="s" s="0">
        <v>77</v>
      </c>
      <c r="B8" t="s" s="0">
        <v>77</v>
      </c>
      <c r="C8" t="s" s="0">
        <v>77</v>
      </c>
      <c r="D8" t="s" s="0">
        <v>77</v>
      </c>
      <c r="E8" t="s" s="0">
        <v>261</v>
      </c>
      <c r="F8" t="s" s="0">
        <v>262</v>
      </c>
      <c r="G8" t="s" s="0">
        <v>263</v>
      </c>
      <c r="H8" t="s" s="0">
        <v>81</v>
      </c>
      <c r="I8" t="s" s="0">
        <v>82</v>
      </c>
      <c r="J8" t="s" s="0">
        <v>264</v>
      </c>
      <c r="K8" t="s" s="0">
        <v>265</v>
      </c>
      <c r="L8" t="s" s="0">
        <v>266</v>
      </c>
      <c r="M8" t="s" s="0">
        <v>266</v>
      </c>
      <c r="N8" t="s" s="0">
        <v>267</v>
      </c>
      <c r="O8" t="s" s="0">
        <v>268</v>
      </c>
      <c r="P8" t="s" s="0">
        <v>269</v>
      </c>
      <c r="Q8" t="s" s="0">
        <v>90</v>
      </c>
      <c r="R8" t="s" s="0">
        <v>81</v>
      </c>
      <c r="S8" t="s" s="0">
        <v>81</v>
      </c>
      <c r="T8" t="s" s="0">
        <v>81</v>
      </c>
      <c r="U8" t="s" s="0">
        <v>81</v>
      </c>
      <c r="V8" t="s" s="0">
        <v>270</v>
      </c>
      <c r="W8" t="s" s="0">
        <v>271</v>
      </c>
      <c r="X8" t="s" s="0">
        <v>81</v>
      </c>
      <c r="Y8" t="s" s="0">
        <v>81</v>
      </c>
      <c r="Z8" t="s" s="0">
        <v>93</v>
      </c>
      <c r="AA8" t="s" s="0">
        <v>94</v>
      </c>
      <c r="AB8" t="s" s="0">
        <v>81</v>
      </c>
      <c r="AC8" t="s" s="0">
        <v>81</v>
      </c>
      <c r="AD8" t="s" s="0">
        <v>81</v>
      </c>
      <c r="AE8" t="s" s="0">
        <v>81</v>
      </c>
      <c r="AF8" t="s" s="0">
        <v>81</v>
      </c>
      <c r="AG8" t="s" s="0">
        <v>272</v>
      </c>
      <c r="AH8" t="s" s="0">
        <v>81</v>
      </c>
      <c r="AI8" t="s" s="0">
        <v>273</v>
      </c>
      <c r="AJ8" t="s" s="0">
        <v>81</v>
      </c>
      <c r="AK8" t="s" s="0">
        <v>81</v>
      </c>
      <c r="AL8" t="s" s="0">
        <v>237</v>
      </c>
      <c r="AM8" t="s" s="0">
        <v>77</v>
      </c>
      <c r="AN8" t="s" s="0">
        <v>77</v>
      </c>
      <c r="AO8" t="s" s="0">
        <v>128</v>
      </c>
      <c r="AP8" t="s" s="0">
        <v>128</v>
      </c>
      <c r="AQ8" t="s" s="0">
        <v>274</v>
      </c>
      <c r="AR8" t="s" s="0">
        <v>275</v>
      </c>
      <c r="AS8" t="s" s="0">
        <v>276</v>
      </c>
      <c r="AT8" t="s" s="0">
        <v>277</v>
      </c>
      <c r="AU8" t="s" s="0">
        <v>81</v>
      </c>
      <c r="AV8" t="s" s="0">
        <v>81</v>
      </c>
      <c r="AW8" t="s" s="0">
        <v>278</v>
      </c>
      <c r="AX8" t="s" s="0">
        <v>279</v>
      </c>
      <c r="AY8" t="s" s="0">
        <v>280</v>
      </c>
      <c r="AZ8" t="s" s="0">
        <v>104</v>
      </c>
      <c r="BA8" t="s" s="0">
        <v>137</v>
      </c>
      <c r="BB8" t="s" s="0">
        <v>117</v>
      </c>
      <c r="BC8" t="s" s="0">
        <v>81</v>
      </c>
      <c r="BD8" t="s" s="0">
        <v>81</v>
      </c>
      <c r="BE8" t="s" s="0">
        <v>81</v>
      </c>
      <c r="BF8" t="s" s="0">
        <v>81</v>
      </c>
      <c r="BG8" t="s" s="0">
        <v>81</v>
      </c>
      <c r="BH8" t="s" s="0">
        <v>81</v>
      </c>
      <c r="BI8" t="s" s="0">
        <v>281</v>
      </c>
      <c r="BJ8" t="s" s="0">
        <v>282</v>
      </c>
      <c r="BK8" t="s" s="13">
        <f>HYPERLINK("http://dx.doi.org/10.1038/s41598-026-44499-0","http://dx.doi.org/10.1038/s41598-026-44499-0")</f>
        <v>283</v>
      </c>
      <c r="BL8" t="s" s="0">
        <v>81</v>
      </c>
      <c r="BM8" t="s" s="0">
        <v>284</v>
      </c>
      <c r="BN8" t="s" s="0">
        <v>137</v>
      </c>
      <c r="BO8" t="s" s="0">
        <v>285</v>
      </c>
      <c r="BP8" t="s" s="0">
        <v>286</v>
      </c>
      <c r="BQ8" t="s" s="0">
        <v>287</v>
      </c>
      <c r="BR8" t="s" s="0">
        <v>288</v>
      </c>
      <c r="BS8" t="s" s="0">
        <v>289</v>
      </c>
      <c r="BT8" t="s" s="14">
        <f>HYPERLINK("https://www.webofscience.com/wos/woscc/full-record/WOS:001767529000001","View Record in Web of Science")</f>
        <v>114</v>
      </c>
      <c r="BU8" t="s" s="0">
        <v>145</v>
      </c>
      <c r="BV8" t="s" s="0">
        <v>81</v>
      </c>
      <c r="BW8" t="s" s="0">
        <v>81</v>
      </c>
      <c r="BX8" t="s" s="0">
        <v>116</v>
      </c>
    </row>
    <row r="9">
      <c r="A9" t="s" s="0">
        <v>77</v>
      </c>
      <c r="B9" t="s" s="0">
        <v>77</v>
      </c>
      <c r="C9" t="s" s="0">
        <v>77</v>
      </c>
      <c r="D9" t="s" s="0">
        <v>77</v>
      </c>
      <c r="E9" t="s" s="0">
        <v>290</v>
      </c>
      <c r="F9" t="s" s="0">
        <v>291</v>
      </c>
      <c r="G9" t="s" s="0">
        <v>292</v>
      </c>
      <c r="H9" t="s" s="0">
        <v>81</v>
      </c>
      <c r="I9" t="s" s="0">
        <v>82</v>
      </c>
      <c r="J9" t="s" s="0">
        <v>293</v>
      </c>
      <c r="K9" t="s" s="0">
        <v>294</v>
      </c>
      <c r="L9" t="s" s="0">
        <v>295</v>
      </c>
      <c r="M9" t="s" s="0">
        <v>296</v>
      </c>
      <c r="N9" t="s" s="0">
        <v>297</v>
      </c>
      <c r="O9" t="s" s="0">
        <v>298</v>
      </c>
      <c r="P9" t="s" s="0">
        <v>299</v>
      </c>
      <c r="Q9" t="s" s="0">
        <v>90</v>
      </c>
      <c r="R9" t="s" s="0">
        <v>81</v>
      </c>
      <c r="S9" t="s" s="0">
        <v>81</v>
      </c>
      <c r="T9" t="s" s="0">
        <v>81</v>
      </c>
      <c r="U9" t="s" s="0">
        <v>81</v>
      </c>
      <c r="V9" t="s" s="0">
        <v>300</v>
      </c>
      <c r="W9" t="s" s="0">
        <v>301</v>
      </c>
      <c r="X9" t="s" s="0">
        <v>81</v>
      </c>
      <c r="Y9" t="s" s="0">
        <v>81</v>
      </c>
      <c r="Z9" t="s" s="0">
        <v>93</v>
      </c>
      <c r="AA9" t="s" s="0">
        <v>94</v>
      </c>
      <c r="AB9" t="s" s="0">
        <v>81</v>
      </c>
      <c r="AC9" t="s" s="0">
        <v>81</v>
      </c>
      <c r="AD9" t="s" s="0">
        <v>81</v>
      </c>
      <c r="AE9" t="s" s="0">
        <v>81</v>
      </c>
      <c r="AF9" t="s" s="0">
        <v>81</v>
      </c>
      <c r="AG9" t="s" s="0">
        <v>302</v>
      </c>
      <c r="AH9" t="s" s="0">
        <v>81</v>
      </c>
      <c r="AI9" t="s" s="0">
        <v>303</v>
      </c>
      <c r="AJ9" t="s" s="0">
        <v>81</v>
      </c>
      <c r="AK9" t="s" s="0">
        <v>81</v>
      </c>
      <c r="AL9" t="s" s="0">
        <v>304</v>
      </c>
      <c r="AM9" t="s" s="0">
        <v>77</v>
      </c>
      <c r="AN9" t="s" s="0">
        <v>77</v>
      </c>
      <c r="AO9" t="s" s="0">
        <v>77</v>
      </c>
      <c r="AP9" t="s" s="0">
        <v>77</v>
      </c>
      <c r="AQ9" t="s" s="0">
        <v>305</v>
      </c>
      <c r="AR9" t="s" s="0">
        <v>306</v>
      </c>
      <c r="AS9" t="s" s="0">
        <v>307</v>
      </c>
      <c r="AT9" t="s" s="0">
        <v>308</v>
      </c>
      <c r="AU9" t="s" s="0">
        <v>309</v>
      </c>
      <c r="AV9" t="s" s="0">
        <v>81</v>
      </c>
      <c r="AW9" t="s" s="0">
        <v>310</v>
      </c>
      <c r="AX9" t="s" s="0">
        <v>311</v>
      </c>
      <c r="AY9" t="s" s="0">
        <v>312</v>
      </c>
      <c r="AZ9" t="s" s="0">
        <v>104</v>
      </c>
      <c r="BA9" t="s" s="0">
        <v>313</v>
      </c>
      <c r="BB9" t="s" s="0">
        <v>81</v>
      </c>
      <c r="BC9" t="s" s="0">
        <v>81</v>
      </c>
      <c r="BD9" t="s" s="0">
        <v>160</v>
      </c>
      <c r="BE9" t="s" s="0">
        <v>81</v>
      </c>
      <c r="BF9" t="s" s="0">
        <v>81</v>
      </c>
      <c r="BG9" t="s" s="0">
        <v>81</v>
      </c>
      <c r="BH9" t="s" s="0">
        <v>81</v>
      </c>
      <c r="BI9" t="s" s="0">
        <v>314</v>
      </c>
      <c r="BJ9" t="s" s="0">
        <v>315</v>
      </c>
      <c r="BK9" t="s" s="15">
        <f>HYPERLINK("http://dx.doi.org/10.1016/j.engappai.2026.115544","http://dx.doi.org/10.1016/j.engappai.2026.115544")</f>
        <v>316</v>
      </c>
      <c r="BL9" t="s" s="0">
        <v>81</v>
      </c>
      <c r="BM9" t="s" s="0">
        <v>317</v>
      </c>
      <c r="BN9" t="s" s="0">
        <v>318</v>
      </c>
      <c r="BO9" t="s" s="0">
        <v>319</v>
      </c>
      <c r="BP9" t="s" s="0">
        <v>320</v>
      </c>
      <c r="BQ9" t="s" s="0">
        <v>321</v>
      </c>
      <c r="BR9" t="s" s="0">
        <v>81</v>
      </c>
      <c r="BS9" t="s" s="0">
        <v>322</v>
      </c>
      <c r="BT9" t="s" s="16">
        <f>HYPERLINK("https://www.webofscience.com/wos/woscc/full-record/WOS:001814882400001","View Record in Web of Science")</f>
        <v>114</v>
      </c>
      <c r="BU9" t="s" s="0">
        <v>81</v>
      </c>
      <c r="BV9" t="s" s="0">
        <v>81</v>
      </c>
      <c r="BW9" t="s" s="0">
        <v>81</v>
      </c>
      <c r="BX9" t="s" s="0">
        <v>116</v>
      </c>
    </row>
    <row r="10">
      <c r="A10" t="s" s="0">
        <v>77</v>
      </c>
      <c r="B10" t="s" s="0">
        <v>77</v>
      </c>
      <c r="C10" t="s" s="0">
        <v>77</v>
      </c>
      <c r="D10" t="s" s="0">
        <v>77</v>
      </c>
      <c r="E10" t="s" s="0">
        <v>323</v>
      </c>
      <c r="F10" t="s" s="0">
        <v>324</v>
      </c>
      <c r="G10" t="s" s="0">
        <v>325</v>
      </c>
      <c r="H10" t="s" s="0">
        <v>81</v>
      </c>
      <c r="I10" t="s" s="0">
        <v>82</v>
      </c>
      <c r="J10" t="s" s="0">
        <v>326</v>
      </c>
      <c r="K10" t="s" s="0">
        <v>327</v>
      </c>
      <c r="L10" t="s" s="0">
        <v>328</v>
      </c>
      <c r="M10" t="s" s="0">
        <v>329</v>
      </c>
      <c r="N10" t="s" s="0">
        <v>330</v>
      </c>
      <c r="O10" t="s" s="0">
        <v>331</v>
      </c>
      <c r="P10" t="s" s="0">
        <v>332</v>
      </c>
      <c r="Q10" t="s" s="0">
        <v>90</v>
      </c>
      <c r="R10" t="s" s="0">
        <v>81</v>
      </c>
      <c r="S10" t="s" s="0">
        <v>81</v>
      </c>
      <c r="T10" t="s" s="0">
        <v>81</v>
      </c>
      <c r="U10" t="s" s="0">
        <v>81</v>
      </c>
      <c r="V10" t="s" s="0">
        <v>333</v>
      </c>
      <c r="W10" t="s" s="0">
        <v>334</v>
      </c>
      <c r="X10" t="s" s="0">
        <v>81</v>
      </c>
      <c r="Y10" t="s" s="0">
        <v>81</v>
      </c>
      <c r="Z10" t="s" s="0">
        <v>93</v>
      </c>
      <c r="AA10" t="s" s="0">
        <v>94</v>
      </c>
      <c r="AB10" t="s" s="0">
        <v>81</v>
      </c>
      <c r="AC10" t="s" s="0">
        <v>81</v>
      </c>
      <c r="AD10" t="s" s="0">
        <v>81</v>
      </c>
      <c r="AE10" t="s" s="0">
        <v>81</v>
      </c>
      <c r="AF10" t="s" s="0">
        <v>81</v>
      </c>
      <c r="AG10" t="s" s="0">
        <v>335</v>
      </c>
      <c r="AH10" t="s" s="0">
        <v>336</v>
      </c>
      <c r="AI10" t="s" s="0">
        <v>81</v>
      </c>
      <c r="AJ10" t="s" s="0">
        <v>81</v>
      </c>
      <c r="AK10" t="s" s="0">
        <v>81</v>
      </c>
      <c r="AL10" t="s" s="0">
        <v>337</v>
      </c>
      <c r="AM10" t="s" s="0">
        <v>117</v>
      </c>
      <c r="AN10" t="s" s="0">
        <v>117</v>
      </c>
      <c r="AO10" t="s" s="0">
        <v>161</v>
      </c>
      <c r="AP10" t="s" s="0">
        <v>161</v>
      </c>
      <c r="AQ10" t="s" s="0">
        <v>338</v>
      </c>
      <c r="AR10" t="s" s="0">
        <v>339</v>
      </c>
      <c r="AS10" t="s" s="0">
        <v>340</v>
      </c>
      <c r="AT10" t="s" s="0">
        <v>81</v>
      </c>
      <c r="AU10" t="s" s="0">
        <v>341</v>
      </c>
      <c r="AV10" t="s" s="0">
        <v>81</v>
      </c>
      <c r="AW10" t="s" s="0">
        <v>342</v>
      </c>
      <c r="AX10" t="s" s="0">
        <v>343</v>
      </c>
      <c r="AY10" t="s" s="0">
        <v>344</v>
      </c>
      <c r="AZ10" t="s" s="0">
        <v>104</v>
      </c>
      <c r="BA10" t="s" s="0">
        <v>345</v>
      </c>
      <c r="BB10" t="s" s="0">
        <v>117</v>
      </c>
      <c r="BC10" t="s" s="0">
        <v>81</v>
      </c>
      <c r="BD10" t="s" s="0">
        <v>81</v>
      </c>
      <c r="BE10" t="s" s="0">
        <v>81</v>
      </c>
      <c r="BF10" t="s" s="0">
        <v>81</v>
      </c>
      <c r="BG10" t="s" s="0">
        <v>81</v>
      </c>
      <c r="BH10" t="s" s="0">
        <v>81</v>
      </c>
      <c r="BI10" t="s" s="0">
        <v>346</v>
      </c>
      <c r="BJ10" t="s" s="0">
        <v>347</v>
      </c>
      <c r="BK10" t="s" s="17">
        <f>HYPERLINK("http://dx.doi.org/10.1186/s12874-026-02845-w","http://dx.doi.org/10.1186/s12874-026-02845-w")</f>
        <v>348</v>
      </c>
      <c r="BL10" t="s" s="0">
        <v>81</v>
      </c>
      <c r="BM10" t="s" s="0">
        <v>349</v>
      </c>
      <c r="BN10" t="s" s="0">
        <v>226</v>
      </c>
      <c r="BO10" t="s" s="0">
        <v>350</v>
      </c>
      <c r="BP10" t="s" s="0">
        <v>350</v>
      </c>
      <c r="BQ10" t="s" s="0">
        <v>351</v>
      </c>
      <c r="BR10" t="s" s="0">
        <v>352</v>
      </c>
      <c r="BS10" t="s" s="0">
        <v>353</v>
      </c>
      <c r="BT10" t="s" s="18">
        <f>HYPERLINK("https://www.webofscience.com/wos/woscc/full-record/WOS:001764747700001","View Record in Web of Science")</f>
        <v>114</v>
      </c>
      <c r="BU10" t="s" s="0">
        <v>145</v>
      </c>
      <c r="BV10" t="s" s="0">
        <v>81</v>
      </c>
      <c r="BW10" t="s" s="0">
        <v>81</v>
      </c>
      <c r="BX10" t="s" s="0">
        <v>116</v>
      </c>
    </row>
    <row r="11">
      <c r="A11" t="s" s="0">
        <v>77</v>
      </c>
      <c r="B11" t="s" s="0">
        <v>77</v>
      </c>
      <c r="C11" t="s" s="0">
        <v>117</v>
      </c>
      <c r="D11" t="s" s="0">
        <v>77</v>
      </c>
      <c r="E11" t="s" s="0">
        <v>354</v>
      </c>
      <c r="F11" t="s" s="0">
        <v>355</v>
      </c>
      <c r="G11" t="s" s="0">
        <v>356</v>
      </c>
      <c r="H11" t="s" s="0">
        <v>81</v>
      </c>
      <c r="I11" t="s" s="0">
        <v>82</v>
      </c>
      <c r="J11" t="s" s="0">
        <v>357</v>
      </c>
      <c r="K11" t="s" s="0">
        <v>358</v>
      </c>
      <c r="L11" t="s" s="0">
        <v>359</v>
      </c>
      <c r="M11" t="s" s="0">
        <v>360</v>
      </c>
      <c r="N11" t="s" s="0">
        <v>361</v>
      </c>
      <c r="O11" t="s" s="0">
        <v>362</v>
      </c>
      <c r="P11" t="s" s="0">
        <v>363</v>
      </c>
      <c r="Q11" t="s" s="0">
        <v>90</v>
      </c>
      <c r="R11" t="s" s="0">
        <v>81</v>
      </c>
      <c r="S11" t="s" s="0">
        <v>81</v>
      </c>
      <c r="T11" t="s" s="0">
        <v>81</v>
      </c>
      <c r="U11" t="s" s="0">
        <v>81</v>
      </c>
      <c r="V11" t="s" s="0">
        <v>364</v>
      </c>
      <c r="W11" t="s" s="0">
        <v>365</v>
      </c>
      <c r="X11" t="s" s="0">
        <v>81</v>
      </c>
      <c r="Y11" t="s" s="0">
        <v>81</v>
      </c>
      <c r="Z11" t="s" s="0">
        <v>93</v>
      </c>
      <c r="AA11" t="s" s="0">
        <v>94</v>
      </c>
      <c r="AB11" t="s" s="0">
        <v>81</v>
      </c>
      <c r="AC11" t="s" s="0">
        <v>81</v>
      </c>
      <c r="AD11" t="s" s="0">
        <v>81</v>
      </c>
      <c r="AE11" t="s" s="0">
        <v>81</v>
      </c>
      <c r="AF11" t="s" s="0">
        <v>81</v>
      </c>
      <c r="AG11" t="s" s="0">
        <v>366</v>
      </c>
      <c r="AH11" t="s" s="0">
        <v>81</v>
      </c>
      <c r="AI11" t="s" s="0">
        <v>367</v>
      </c>
      <c r="AJ11" t="s" s="0">
        <v>81</v>
      </c>
      <c r="AK11" t="s" s="0">
        <v>81</v>
      </c>
      <c r="AL11" t="s" s="0">
        <v>368</v>
      </c>
      <c r="AM11" t="s" s="0">
        <v>225</v>
      </c>
      <c r="AN11" t="s" s="0">
        <v>226</v>
      </c>
      <c r="AO11" t="s" s="0">
        <v>161</v>
      </c>
      <c r="AP11" t="s" s="0">
        <v>369</v>
      </c>
      <c r="AQ11" t="s" s="0">
        <v>370</v>
      </c>
      <c r="AR11" t="s" s="0">
        <v>371</v>
      </c>
      <c r="AS11" t="s" s="0">
        <v>372</v>
      </c>
      <c r="AT11" t="s" s="0">
        <v>373</v>
      </c>
      <c r="AU11" t="s" s="0">
        <v>374</v>
      </c>
      <c r="AV11" t="s" s="0">
        <v>81</v>
      </c>
      <c r="AW11" t="s" s="0">
        <v>375</v>
      </c>
      <c r="AX11" t="s" s="0">
        <v>376</v>
      </c>
      <c r="AY11" t="s" s="0">
        <v>377</v>
      </c>
      <c r="AZ11" t="s" s="0">
        <v>136</v>
      </c>
      <c r="BA11" t="s" s="0">
        <v>304</v>
      </c>
      <c r="BB11" t="s" s="0">
        <v>227</v>
      </c>
      <c r="BC11" t="s" s="0">
        <v>81</v>
      </c>
      <c r="BD11" t="s" s="0">
        <v>81</v>
      </c>
      <c r="BE11" t="s" s="0">
        <v>81</v>
      </c>
      <c r="BF11" t="s" s="0">
        <v>81</v>
      </c>
      <c r="BG11" t="s" s="0">
        <v>378</v>
      </c>
      <c r="BH11" t="s" s="0">
        <v>379</v>
      </c>
      <c r="BI11" t="s" s="0">
        <v>81</v>
      </c>
      <c r="BJ11" t="s" s="0">
        <v>380</v>
      </c>
      <c r="BK11" t="s" s="19">
        <f>HYPERLINK("http://dx.doi.org/10.1007/s10554-025-03322-z","http://dx.doi.org/10.1007/s10554-025-03322-z")</f>
        <v>381</v>
      </c>
      <c r="BL11" t="s" s="0">
        <v>81</v>
      </c>
      <c r="BM11" t="s" s="0">
        <v>382</v>
      </c>
      <c r="BN11" t="s" s="0">
        <v>228</v>
      </c>
      <c r="BO11" t="s" s="0">
        <v>383</v>
      </c>
      <c r="BP11" t="s" s="0">
        <v>384</v>
      </c>
      <c r="BQ11" t="s" s="0">
        <v>385</v>
      </c>
      <c r="BR11" t="s" s="0">
        <v>386</v>
      </c>
      <c r="BS11" t="s" s="0">
        <v>387</v>
      </c>
      <c r="BT11" t="s" s="20">
        <f>HYPERLINK("https://www.webofscience.com/wos/woscc/full-record/WOS:001392691800001","View Record in Web of Science")</f>
        <v>114</v>
      </c>
      <c r="BU11" t="s" s="0">
        <v>81</v>
      </c>
      <c r="BV11" t="s" s="0">
        <v>81</v>
      </c>
      <c r="BW11" t="s" s="0">
        <v>81</v>
      </c>
      <c r="BX11" t="s" s="0">
        <v>116</v>
      </c>
    </row>
    <row r="12">
      <c r="A12" t="s" s="0">
        <v>77</v>
      </c>
      <c r="B12" t="s" s="0">
        <v>77</v>
      </c>
      <c r="C12" t="s" s="0">
        <v>227</v>
      </c>
      <c r="D12" t="s" s="0">
        <v>77</v>
      </c>
      <c r="E12" t="s" s="0">
        <v>388</v>
      </c>
      <c r="F12" t="s" s="0">
        <v>389</v>
      </c>
      <c r="G12" t="s" s="0">
        <v>390</v>
      </c>
      <c r="H12" t="s" s="0">
        <v>81</v>
      </c>
      <c r="I12" t="s" s="0">
        <v>82</v>
      </c>
      <c r="J12" t="s" s="0">
        <v>391</v>
      </c>
      <c r="K12" t="s" s="0">
        <v>392</v>
      </c>
      <c r="L12" t="s" s="0">
        <v>393</v>
      </c>
      <c r="M12" t="s" s="0">
        <v>394</v>
      </c>
      <c r="N12" t="s" s="0">
        <v>395</v>
      </c>
      <c r="O12" t="s" s="0">
        <v>396</v>
      </c>
      <c r="P12" t="s" s="0">
        <v>397</v>
      </c>
      <c r="Q12" t="s" s="0">
        <v>90</v>
      </c>
      <c r="R12" t="s" s="0">
        <v>81</v>
      </c>
      <c r="S12" t="s" s="0">
        <v>81</v>
      </c>
      <c r="T12" t="s" s="0">
        <v>81</v>
      </c>
      <c r="U12" t="s" s="0">
        <v>81</v>
      </c>
      <c r="V12" t="s" s="0">
        <v>398</v>
      </c>
      <c r="W12" t="s" s="0">
        <v>399</v>
      </c>
      <c r="X12" t="s" s="0">
        <v>81</v>
      </c>
      <c r="Y12" t="s" s="0">
        <v>81</v>
      </c>
      <c r="Z12" t="s" s="0">
        <v>93</v>
      </c>
      <c r="AA12" t="s" s="0">
        <v>94</v>
      </c>
      <c r="AB12" t="s" s="0">
        <v>81</v>
      </c>
      <c r="AC12" t="s" s="0">
        <v>81</v>
      </c>
      <c r="AD12" t="s" s="0">
        <v>81</v>
      </c>
      <c r="AE12" t="s" s="0">
        <v>81</v>
      </c>
      <c r="AF12" t="s" s="0">
        <v>81</v>
      </c>
      <c r="AG12" t="s" s="0">
        <v>400</v>
      </c>
      <c r="AH12" t="s" s="0">
        <v>401</v>
      </c>
      <c r="AI12" t="s" s="0">
        <v>402</v>
      </c>
      <c r="AJ12" t="s" s="0">
        <v>403</v>
      </c>
      <c r="AK12" t="s" s="0">
        <v>81</v>
      </c>
      <c r="AL12" t="s" s="0">
        <v>404</v>
      </c>
      <c r="AM12" t="s" s="0">
        <v>129</v>
      </c>
      <c r="AN12" t="s" s="0">
        <v>167</v>
      </c>
      <c r="AO12" t="s" s="0">
        <v>226</v>
      </c>
      <c r="AP12" t="s" s="0">
        <v>405</v>
      </c>
      <c r="AQ12" t="s" s="0">
        <v>406</v>
      </c>
      <c r="AR12" t="s" s="0">
        <v>407</v>
      </c>
      <c r="AS12" t="s" s="0">
        <v>408</v>
      </c>
      <c r="AT12" t="s" s="0">
        <v>409</v>
      </c>
      <c r="AU12" t="s" s="0">
        <v>410</v>
      </c>
      <c r="AV12" t="s" s="0">
        <v>81</v>
      </c>
      <c r="AW12" t="s" s="0">
        <v>411</v>
      </c>
      <c r="AX12" t="s" s="0">
        <v>412</v>
      </c>
      <c r="AY12" t="s" s="0">
        <v>413</v>
      </c>
      <c r="AZ12" t="s" s="0">
        <v>136</v>
      </c>
      <c r="BA12" t="s" s="0">
        <v>414</v>
      </c>
      <c r="BB12" t="s" s="0">
        <v>81</v>
      </c>
      <c r="BC12" t="s" s="0">
        <v>81</v>
      </c>
      <c r="BD12" t="s" s="0">
        <v>81</v>
      </c>
      <c r="BE12" t="s" s="0">
        <v>81</v>
      </c>
      <c r="BF12" t="s" s="0">
        <v>81</v>
      </c>
      <c r="BG12" t="s" s="0">
        <v>81</v>
      </c>
      <c r="BH12" t="s" s="0">
        <v>81</v>
      </c>
      <c r="BI12" t="s" s="0">
        <v>415</v>
      </c>
      <c r="BJ12" t="s" s="0">
        <v>416</v>
      </c>
      <c r="BK12" t="s" s="21">
        <f>HYPERLINK("http://dx.doi.org/10.1016/j.inffus.2025.102981","http://dx.doi.org/10.1016/j.inffus.2025.102981")</f>
        <v>417</v>
      </c>
      <c r="BL12" t="s" s="0">
        <v>81</v>
      </c>
      <c r="BM12" t="s" s="0">
        <v>418</v>
      </c>
      <c r="BN12" t="s" s="0">
        <v>337</v>
      </c>
      <c r="BO12" t="s" s="0">
        <v>419</v>
      </c>
      <c r="BP12" t="s" s="0">
        <v>420</v>
      </c>
      <c r="BQ12" t="s" s="0">
        <v>421</v>
      </c>
      <c r="BR12" t="s" s="0">
        <v>81</v>
      </c>
      <c r="BS12" t="s" s="0">
        <v>422</v>
      </c>
      <c r="BT12" t="s" s="22">
        <f>HYPERLINK("https://www.webofscience.com/wos/woscc/full-record/WOS:001424816800001","View Record in Web of Science")</f>
        <v>114</v>
      </c>
      <c r="BU12" t="s" s="0">
        <v>81</v>
      </c>
      <c r="BV12" t="s" s="0">
        <v>81</v>
      </c>
      <c r="BW12" t="s" s="0">
        <v>81</v>
      </c>
      <c r="BX12" t="s" s="0">
        <v>116</v>
      </c>
    </row>
    <row r="13">
      <c r="A13" t="s" s="0">
        <v>77</v>
      </c>
      <c r="B13" t="s" s="0">
        <v>77</v>
      </c>
      <c r="C13" t="s" s="0">
        <v>77</v>
      </c>
      <c r="D13" t="s" s="0">
        <v>77</v>
      </c>
      <c r="E13" t="s" s="0">
        <v>423</v>
      </c>
      <c r="F13" t="s" s="0">
        <v>424</v>
      </c>
      <c r="G13" t="s" s="0">
        <v>425</v>
      </c>
      <c r="H13" t="s" s="0">
        <v>81</v>
      </c>
      <c r="I13" t="s" s="0">
        <v>213</v>
      </c>
      <c r="J13" t="s" s="0">
        <v>426</v>
      </c>
      <c r="K13" t="s" s="0">
        <v>427</v>
      </c>
      <c r="L13" t="s" s="0">
        <v>428</v>
      </c>
      <c r="M13" t="s" s="0">
        <v>429</v>
      </c>
      <c r="N13" t="s" s="0">
        <v>430</v>
      </c>
      <c r="O13" t="s" s="0">
        <v>431</v>
      </c>
      <c r="P13" t="s" s="0">
        <v>432</v>
      </c>
      <c r="Q13" t="s" s="0">
        <v>90</v>
      </c>
      <c r="R13" t="s" s="0">
        <v>81</v>
      </c>
      <c r="S13" t="s" s="0">
        <v>81</v>
      </c>
      <c r="T13" t="s" s="0">
        <v>81</v>
      </c>
      <c r="U13" t="s" s="0">
        <v>81</v>
      </c>
      <c r="V13" t="s" s="0">
        <v>433</v>
      </c>
      <c r="W13" t="s" s="0">
        <v>434</v>
      </c>
      <c r="X13" t="s" s="0">
        <v>81</v>
      </c>
      <c r="Y13" t="s" s="0">
        <v>81</v>
      </c>
      <c r="Z13" t="s" s="0">
        <v>93</v>
      </c>
      <c r="AA13" t="s" s="0">
        <v>94</v>
      </c>
      <c r="AB13" t="s" s="0">
        <v>81</v>
      </c>
      <c r="AC13" t="s" s="0">
        <v>81</v>
      </c>
      <c r="AD13" t="s" s="0">
        <v>81</v>
      </c>
      <c r="AE13" t="s" s="0">
        <v>81</v>
      </c>
      <c r="AF13" t="s" s="0">
        <v>81</v>
      </c>
      <c r="AG13" t="s" s="0">
        <v>435</v>
      </c>
      <c r="AH13" t="s" s="0">
        <v>436</v>
      </c>
      <c r="AI13" t="s" s="0">
        <v>437</v>
      </c>
      <c r="AJ13" t="s" s="0">
        <v>81</v>
      </c>
      <c r="AK13" t="s" s="0">
        <v>81</v>
      </c>
      <c r="AL13" t="s" s="0">
        <v>438</v>
      </c>
      <c r="AM13" t="s" s="0">
        <v>130</v>
      </c>
      <c r="AN13" t="s" s="0">
        <v>130</v>
      </c>
      <c r="AO13" t="s" s="0">
        <v>117</v>
      </c>
      <c r="AP13" t="s" s="0">
        <v>117</v>
      </c>
      <c r="AQ13" t="s" s="0">
        <v>439</v>
      </c>
      <c r="AR13" t="s" s="0">
        <v>339</v>
      </c>
      <c r="AS13" t="s" s="0">
        <v>440</v>
      </c>
      <c r="AT13" t="s" s="0">
        <v>441</v>
      </c>
      <c r="AU13" t="s" s="0">
        <v>442</v>
      </c>
      <c r="AV13" t="s" s="0">
        <v>81</v>
      </c>
      <c r="AW13" t="s" s="0">
        <v>443</v>
      </c>
      <c r="AX13" t="s" s="0">
        <v>444</v>
      </c>
      <c r="AY13" t="s" s="0">
        <v>445</v>
      </c>
      <c r="AZ13" t="s" s="0">
        <v>104</v>
      </c>
      <c r="BA13" t="s" s="0">
        <v>129</v>
      </c>
      <c r="BB13" t="s" s="0">
        <v>130</v>
      </c>
      <c r="BC13" t="s" s="0">
        <v>81</v>
      </c>
      <c r="BD13" t="s" s="0">
        <v>81</v>
      </c>
      <c r="BE13" t="s" s="0">
        <v>81</v>
      </c>
      <c r="BF13" t="s" s="0">
        <v>81</v>
      </c>
      <c r="BG13" t="s" s="0">
        <v>446</v>
      </c>
      <c r="BH13" t="s" s="0">
        <v>447</v>
      </c>
      <c r="BI13" t="s" s="0">
        <v>81</v>
      </c>
      <c r="BJ13" t="s" s="0">
        <v>448</v>
      </c>
      <c r="BK13" t="s" s="23">
        <f>HYPERLINK("http://dx.doi.org/10.1007/s41666-025-00219-3","http://dx.doi.org/10.1007/s41666-025-00219-3")</f>
        <v>449</v>
      </c>
      <c r="BL13" t="s" s="0">
        <v>81</v>
      </c>
      <c r="BM13" t="s" s="0">
        <v>450</v>
      </c>
      <c r="BN13" t="s" s="0">
        <v>451</v>
      </c>
      <c r="BO13" t="s" s="0">
        <v>452</v>
      </c>
      <c r="BP13" t="s" s="0">
        <v>453</v>
      </c>
      <c r="BQ13" t="s" s="0">
        <v>454</v>
      </c>
      <c r="BR13" t="s" s="0">
        <v>455</v>
      </c>
      <c r="BS13" t="s" s="0">
        <v>456</v>
      </c>
      <c r="BT13" t="s" s="24">
        <f>HYPERLINK("https://www.webofscience.com/wos/woscc/full-record/WOS:001626599800001","View Record in Web of Science")</f>
        <v>114</v>
      </c>
      <c r="BU13" t="s" s="0">
        <v>457</v>
      </c>
      <c r="BV13" t="s" s="0">
        <v>81</v>
      </c>
      <c r="BW13" t="s" s="0">
        <v>81</v>
      </c>
      <c r="BX13" t="s" s="0">
        <v>116</v>
      </c>
    </row>
    <row r="14">
      <c r="A14" t="s" s="0">
        <v>77</v>
      </c>
      <c r="B14" t="s" s="0">
        <v>77</v>
      </c>
      <c r="C14" t="s" s="0">
        <v>77</v>
      </c>
      <c r="D14" t="s" s="0">
        <v>77</v>
      </c>
      <c r="E14" t="s" s="0">
        <v>458</v>
      </c>
      <c r="F14" t="s" s="0">
        <v>459</v>
      </c>
      <c r="G14" t="s" s="0">
        <v>460</v>
      </c>
      <c r="H14" t="s" s="0">
        <v>81</v>
      </c>
      <c r="I14" t="s" s="0">
        <v>82</v>
      </c>
      <c r="J14" t="s" s="0">
        <v>461</v>
      </c>
      <c r="K14" t="s" s="0">
        <v>462</v>
      </c>
      <c r="L14" t="s" s="0">
        <v>463</v>
      </c>
      <c r="M14" t="s" s="0">
        <v>464</v>
      </c>
      <c r="N14" t="s" s="0">
        <v>465</v>
      </c>
      <c r="O14" t="s" s="0">
        <v>466</v>
      </c>
      <c r="P14" t="s" s="0">
        <v>467</v>
      </c>
      <c r="Q14" t="s" s="0">
        <v>90</v>
      </c>
      <c r="R14" t="s" s="0">
        <v>81</v>
      </c>
      <c r="S14" t="s" s="0">
        <v>81</v>
      </c>
      <c r="T14" t="s" s="0">
        <v>81</v>
      </c>
      <c r="U14" t="s" s="0">
        <v>81</v>
      </c>
      <c r="V14" t="s" s="0">
        <v>468</v>
      </c>
      <c r="W14" t="s" s="0">
        <v>469</v>
      </c>
      <c r="X14" t="s" s="0">
        <v>81</v>
      </c>
      <c r="Y14" t="s" s="0">
        <v>81</v>
      </c>
      <c r="Z14" t="s" s="0">
        <v>93</v>
      </c>
      <c r="AA14" t="s" s="0">
        <v>94</v>
      </c>
      <c r="AB14" t="s" s="0">
        <v>81</v>
      </c>
      <c r="AC14" t="s" s="0">
        <v>81</v>
      </c>
      <c r="AD14" t="s" s="0">
        <v>81</v>
      </c>
      <c r="AE14" t="s" s="0">
        <v>81</v>
      </c>
      <c r="AF14" t="s" s="0">
        <v>81</v>
      </c>
      <c r="AG14" t="s" s="0">
        <v>470</v>
      </c>
      <c r="AH14" t="s" s="0">
        <v>471</v>
      </c>
      <c r="AI14" t="s" s="0">
        <v>472</v>
      </c>
      <c r="AJ14" t="s" s="0">
        <v>473</v>
      </c>
      <c r="AK14" t="s" s="0">
        <v>81</v>
      </c>
      <c r="AL14" t="s" s="0">
        <v>474</v>
      </c>
      <c r="AM14" t="s" s="0">
        <v>225</v>
      </c>
      <c r="AN14" t="s" s="0">
        <v>129</v>
      </c>
      <c r="AO14" t="s" s="0">
        <v>160</v>
      </c>
      <c r="AP14" t="s" s="0">
        <v>475</v>
      </c>
      <c r="AQ14" t="s" s="0">
        <v>476</v>
      </c>
      <c r="AR14" t="s" s="0">
        <v>477</v>
      </c>
      <c r="AS14" t="s" s="0">
        <v>478</v>
      </c>
      <c r="AT14" t="s" s="0">
        <v>81</v>
      </c>
      <c r="AU14" t="s" s="0">
        <v>479</v>
      </c>
      <c r="AV14" t="s" s="0">
        <v>81</v>
      </c>
      <c r="AW14" t="s" s="0">
        <v>469</v>
      </c>
      <c r="AX14" t="s" s="0">
        <v>480</v>
      </c>
      <c r="AY14" t="s" s="0">
        <v>481</v>
      </c>
      <c r="AZ14" t="s" s="0">
        <v>482</v>
      </c>
      <c r="BA14" t="s" s="0">
        <v>226</v>
      </c>
      <c r="BB14" t="s" s="0">
        <v>226</v>
      </c>
      <c r="BC14" t="s" s="0">
        <v>81</v>
      </c>
      <c r="BD14" t="s" s="0">
        <v>81</v>
      </c>
      <c r="BE14" t="s" s="0">
        <v>81</v>
      </c>
      <c r="BF14" t="s" s="0">
        <v>81</v>
      </c>
      <c r="BG14" t="s" s="0">
        <v>81</v>
      </c>
      <c r="BH14" t="s" s="0">
        <v>81</v>
      </c>
      <c r="BI14" t="s" s="0">
        <v>483</v>
      </c>
      <c r="BJ14" t="s" s="0">
        <v>484</v>
      </c>
      <c r="BK14" t="s" s="25">
        <f>HYPERLINK("http://dx.doi.org/10.3390/diagnostics12123192","http://dx.doi.org/10.3390/diagnostics12123192")</f>
        <v>485</v>
      </c>
      <c r="BL14" t="s" s="0">
        <v>81</v>
      </c>
      <c r="BM14" t="s" s="0">
        <v>81</v>
      </c>
      <c r="BN14" t="s" s="0">
        <v>226</v>
      </c>
      <c r="BO14" t="s" s="0">
        <v>486</v>
      </c>
      <c r="BP14" t="s" s="0">
        <v>487</v>
      </c>
      <c r="BQ14" t="s" s="0">
        <v>488</v>
      </c>
      <c r="BR14" t="s" s="0">
        <v>489</v>
      </c>
      <c r="BS14" t="s" s="0">
        <v>490</v>
      </c>
      <c r="BT14" t="s" s="26">
        <f>HYPERLINK("https://www.webofscience.com/wos/woscc/full-record/WOS:000902265200001","View Record in Web of Science")</f>
        <v>114</v>
      </c>
      <c r="BU14" t="s" s="0">
        <v>145</v>
      </c>
      <c r="BV14" t="s" s="0">
        <v>81</v>
      </c>
      <c r="BW14" t="s" s="0">
        <v>81</v>
      </c>
      <c r="BX14" t="s" s="0">
        <v>116</v>
      </c>
    </row>
    <row r="15">
      <c r="A15" t="s" s="0">
        <v>77</v>
      </c>
      <c r="B15" t="s" s="0">
        <v>77</v>
      </c>
      <c r="C15" t="s" s="0">
        <v>77</v>
      </c>
      <c r="D15" t="s" s="0">
        <v>77</v>
      </c>
      <c r="E15" t="s" s="0">
        <v>491</v>
      </c>
      <c r="F15" t="s" s="0">
        <v>492</v>
      </c>
      <c r="G15" t="s" s="0">
        <v>493</v>
      </c>
      <c r="H15" t="s" s="0">
        <v>81</v>
      </c>
      <c r="I15" t="s" s="0">
        <v>82</v>
      </c>
      <c r="J15" t="s" s="0">
        <v>494</v>
      </c>
      <c r="K15" t="s" s="0">
        <v>495</v>
      </c>
      <c r="L15" t="s" s="0">
        <v>496</v>
      </c>
      <c r="M15" t="s" s="0">
        <v>497</v>
      </c>
      <c r="N15" t="s" s="0">
        <v>498</v>
      </c>
      <c r="O15" t="s" s="0">
        <v>499</v>
      </c>
      <c r="P15" t="s" s="0">
        <v>500</v>
      </c>
      <c r="Q15" t="s" s="0">
        <v>90</v>
      </c>
      <c r="R15" t="s" s="0">
        <v>81</v>
      </c>
      <c r="S15" t="s" s="0">
        <v>81</v>
      </c>
      <c r="T15" t="s" s="0">
        <v>81</v>
      </c>
      <c r="U15" t="s" s="0">
        <v>81</v>
      </c>
      <c r="V15" t="s" s="0">
        <v>501</v>
      </c>
      <c r="W15" t="s" s="0">
        <v>502</v>
      </c>
      <c r="X15" t="s" s="0">
        <v>81</v>
      </c>
      <c r="Y15" t="s" s="0">
        <v>81</v>
      </c>
      <c r="Z15" t="s" s="0">
        <v>93</v>
      </c>
      <c r="AA15" t="s" s="0">
        <v>94</v>
      </c>
      <c r="AB15" t="s" s="0">
        <v>81</v>
      </c>
      <c r="AC15" t="s" s="0">
        <v>81</v>
      </c>
      <c r="AD15" t="s" s="0">
        <v>81</v>
      </c>
      <c r="AE15" t="s" s="0">
        <v>81</v>
      </c>
      <c r="AF15" t="s" s="0">
        <v>81</v>
      </c>
      <c r="AG15" t="s" s="0">
        <v>503</v>
      </c>
      <c r="AH15" t="s" s="0">
        <v>504</v>
      </c>
      <c r="AI15" t="s" s="0">
        <v>505</v>
      </c>
      <c r="AJ15" t="s" s="0">
        <v>506</v>
      </c>
      <c r="AK15" t="s" s="0">
        <v>81</v>
      </c>
      <c r="AL15" t="s" s="0">
        <v>507</v>
      </c>
      <c r="AM15" t="s" s="0">
        <v>77</v>
      </c>
      <c r="AN15" t="s" s="0">
        <v>77</v>
      </c>
      <c r="AO15" t="s" s="0">
        <v>117</v>
      </c>
      <c r="AP15" t="s" s="0">
        <v>117</v>
      </c>
      <c r="AQ15" t="s" s="0">
        <v>338</v>
      </c>
      <c r="AR15" t="s" s="0">
        <v>339</v>
      </c>
      <c r="AS15" t="s" s="0">
        <v>340</v>
      </c>
      <c r="AT15" t="s" s="0">
        <v>508</v>
      </c>
      <c r="AU15" t="s" s="0">
        <v>81</v>
      </c>
      <c r="AV15" t="s" s="0">
        <v>81</v>
      </c>
      <c r="AW15" t="s" s="0">
        <v>509</v>
      </c>
      <c r="AX15" t="s" s="0">
        <v>510</v>
      </c>
      <c r="AY15" t="s" s="0">
        <v>511</v>
      </c>
      <c r="AZ15" t="s" s="0">
        <v>104</v>
      </c>
      <c r="BA15" t="s" s="0">
        <v>345</v>
      </c>
      <c r="BB15" t="s" s="0">
        <v>117</v>
      </c>
      <c r="BC15" t="s" s="0">
        <v>81</v>
      </c>
      <c r="BD15" t="s" s="0">
        <v>81</v>
      </c>
      <c r="BE15" t="s" s="0">
        <v>81</v>
      </c>
      <c r="BF15" t="s" s="0">
        <v>81</v>
      </c>
      <c r="BG15" t="s" s="0">
        <v>81</v>
      </c>
      <c r="BH15" t="s" s="0">
        <v>81</v>
      </c>
      <c r="BI15" t="s" s="0">
        <v>512</v>
      </c>
      <c r="BJ15" t="s" s="0">
        <v>513</v>
      </c>
      <c r="BK15" t="s" s="27">
        <f>HYPERLINK("http://dx.doi.org/10.1186/s12872-026-05660-9","http://dx.doi.org/10.1186/s12872-026-05660-9")</f>
        <v>514</v>
      </c>
      <c r="BL15" t="s" s="0">
        <v>81</v>
      </c>
      <c r="BM15" t="s" s="0">
        <v>284</v>
      </c>
      <c r="BN15" t="s" s="0">
        <v>167</v>
      </c>
      <c r="BO15" t="s" s="0">
        <v>515</v>
      </c>
      <c r="BP15" t="s" s="0">
        <v>516</v>
      </c>
      <c r="BQ15" t="s" s="0">
        <v>517</v>
      </c>
      <c r="BR15" t="s" s="0">
        <v>518</v>
      </c>
      <c r="BS15" t="s" s="0">
        <v>519</v>
      </c>
      <c r="BT15" t="s" s="28">
        <f>HYPERLINK("https://www.webofscience.com/wos/woscc/full-record/WOS:001735183900001","View Record in Web of Science")</f>
        <v>114</v>
      </c>
      <c r="BU15" t="s" s="0">
        <v>145</v>
      </c>
      <c r="BV15" t="s" s="0">
        <v>81</v>
      </c>
      <c r="BW15" t="s" s="0">
        <v>81</v>
      </c>
      <c r="BX15" t="s" s="0">
        <v>116</v>
      </c>
    </row>
    <row r="16">
      <c r="A16" t="s" s="0">
        <v>77</v>
      </c>
      <c r="B16" t="s" s="0">
        <v>77</v>
      </c>
      <c r="C16" t="s" s="0">
        <v>77</v>
      </c>
      <c r="D16" t="s" s="0">
        <v>77</v>
      </c>
      <c r="E16" t="s" s="0">
        <v>520</v>
      </c>
      <c r="F16" t="s" s="0">
        <v>521</v>
      </c>
      <c r="G16" t="s" s="0">
        <v>522</v>
      </c>
      <c r="H16" t="s" s="0">
        <v>81</v>
      </c>
      <c r="I16" t="s" s="0">
        <v>82</v>
      </c>
      <c r="J16" t="s" s="0">
        <v>523</v>
      </c>
      <c r="K16" t="s" s="0">
        <v>524</v>
      </c>
      <c r="L16" t="s" s="0">
        <v>525</v>
      </c>
      <c r="M16" t="s" s="0">
        <v>526</v>
      </c>
      <c r="N16" t="s" s="0">
        <v>527</v>
      </c>
      <c r="O16" t="s" s="0">
        <v>528</v>
      </c>
      <c r="P16" t="s" s="0">
        <v>529</v>
      </c>
      <c r="Q16" t="s" s="0">
        <v>90</v>
      </c>
      <c r="R16" t="s" s="0">
        <v>81</v>
      </c>
      <c r="S16" t="s" s="0">
        <v>81</v>
      </c>
      <c r="T16" t="s" s="0">
        <v>81</v>
      </c>
      <c r="U16" t="s" s="0">
        <v>81</v>
      </c>
      <c r="V16" t="s" s="0">
        <v>530</v>
      </c>
      <c r="W16" t="s" s="0">
        <v>531</v>
      </c>
      <c r="X16" t="s" s="0">
        <v>81</v>
      </c>
      <c r="Y16" t="s" s="0">
        <v>81</v>
      </c>
      <c r="Z16" t="s" s="0">
        <v>93</v>
      </c>
      <c r="AA16" t="s" s="0">
        <v>94</v>
      </c>
      <c r="AB16" t="s" s="0">
        <v>81</v>
      </c>
      <c r="AC16" t="s" s="0">
        <v>81</v>
      </c>
      <c r="AD16" t="s" s="0">
        <v>81</v>
      </c>
      <c r="AE16" t="s" s="0">
        <v>81</v>
      </c>
      <c r="AF16" t="s" s="0">
        <v>81</v>
      </c>
      <c r="AG16" t="s" s="0">
        <v>532</v>
      </c>
      <c r="AH16" t="s" s="0">
        <v>533</v>
      </c>
      <c r="AI16" t="s" s="0">
        <v>534</v>
      </c>
      <c r="AJ16" t="s" s="0">
        <v>535</v>
      </c>
      <c r="AK16" t="s" s="0">
        <v>81</v>
      </c>
      <c r="AL16" t="s" s="0">
        <v>536</v>
      </c>
      <c r="AM16" t="s" s="0">
        <v>130</v>
      </c>
      <c r="AN16" t="s" s="0">
        <v>130</v>
      </c>
      <c r="AO16" t="s" s="0">
        <v>226</v>
      </c>
      <c r="AP16" t="s" s="0">
        <v>226</v>
      </c>
      <c r="AQ16" t="s" s="0">
        <v>338</v>
      </c>
      <c r="AR16" t="s" s="0">
        <v>339</v>
      </c>
      <c r="AS16" t="s" s="0">
        <v>340</v>
      </c>
      <c r="AT16" t="s" s="0">
        <v>81</v>
      </c>
      <c r="AU16" t="s" s="0">
        <v>537</v>
      </c>
      <c r="AV16" t="s" s="0">
        <v>81</v>
      </c>
      <c r="AW16" t="s" s="0">
        <v>538</v>
      </c>
      <c r="AX16" t="s" s="0">
        <v>539</v>
      </c>
      <c r="AY16" t="s" s="0">
        <v>540</v>
      </c>
      <c r="AZ16" t="s" s="0">
        <v>104</v>
      </c>
      <c r="BA16" t="s" s="0">
        <v>541</v>
      </c>
      <c r="BB16" t="s" s="0">
        <v>117</v>
      </c>
      <c r="BC16" t="s" s="0">
        <v>81</v>
      </c>
      <c r="BD16" t="s" s="0">
        <v>81</v>
      </c>
      <c r="BE16" t="s" s="0">
        <v>81</v>
      </c>
      <c r="BF16" t="s" s="0">
        <v>81</v>
      </c>
      <c r="BG16" t="s" s="0">
        <v>81</v>
      </c>
      <c r="BH16" t="s" s="0">
        <v>81</v>
      </c>
      <c r="BI16" t="s" s="0">
        <v>369</v>
      </c>
      <c r="BJ16" t="s" s="0">
        <v>542</v>
      </c>
      <c r="BK16" t="s" s="29">
        <f>HYPERLINK("http://dx.doi.org/10.1186/s12984-025-01796-5","http://dx.doi.org/10.1186/s12984-025-01796-5")</f>
        <v>543</v>
      </c>
      <c r="BL16" t="s" s="0">
        <v>81</v>
      </c>
      <c r="BM16" t="s" s="0">
        <v>81</v>
      </c>
      <c r="BN16" t="s" s="0">
        <v>105</v>
      </c>
      <c r="BO16" t="s" s="0">
        <v>544</v>
      </c>
      <c r="BP16" t="s" s="0">
        <v>545</v>
      </c>
      <c r="BQ16" t="s" s="0">
        <v>546</v>
      </c>
      <c r="BR16" t="s" s="0">
        <v>547</v>
      </c>
      <c r="BS16" t="s" s="0">
        <v>548</v>
      </c>
      <c r="BT16" t="s" s="30">
        <f>HYPERLINK("https://www.webofscience.com/wos/woscc/full-record/WOS:001669053700001","View Record in Web of Science")</f>
        <v>114</v>
      </c>
      <c r="BU16" t="s" s="0">
        <v>145</v>
      </c>
      <c r="BV16" t="s" s="0">
        <v>81</v>
      </c>
      <c r="BW16" t="s" s="0">
        <v>81</v>
      </c>
      <c r="BX16" t="s" s="0">
        <v>116</v>
      </c>
    </row>
    <row r="17">
      <c r="A17" t="s" s="0">
        <v>77</v>
      </c>
      <c r="B17" t="s" s="0">
        <v>77</v>
      </c>
      <c r="C17" t="s" s="0">
        <v>160</v>
      </c>
      <c r="D17" t="s" s="0">
        <v>77</v>
      </c>
      <c r="E17" t="s" s="0">
        <v>549</v>
      </c>
      <c r="F17" t="s" s="0">
        <v>550</v>
      </c>
      <c r="G17" t="s" s="0">
        <v>551</v>
      </c>
      <c r="H17" t="s" s="0">
        <v>81</v>
      </c>
      <c r="I17" t="s" s="0">
        <v>82</v>
      </c>
      <c r="J17" t="s" s="0">
        <v>552</v>
      </c>
      <c r="K17" t="s" s="0">
        <v>553</v>
      </c>
      <c r="L17" t="s" s="0">
        <v>81</v>
      </c>
      <c r="M17" t="s" s="0">
        <v>81</v>
      </c>
      <c r="N17" t="s" s="0">
        <v>81</v>
      </c>
      <c r="O17" t="s" s="0">
        <v>554</v>
      </c>
      <c r="P17" t="s" s="0">
        <v>555</v>
      </c>
      <c r="Q17" t="s" s="0">
        <v>90</v>
      </c>
      <c r="R17" t="s" s="0">
        <v>81</v>
      </c>
      <c r="S17" t="s" s="0">
        <v>81</v>
      </c>
      <c r="T17" t="s" s="0">
        <v>81</v>
      </c>
      <c r="U17" t="s" s="0">
        <v>81</v>
      </c>
      <c r="V17" t="s" s="0">
        <v>556</v>
      </c>
      <c r="W17" t="s" s="0">
        <v>557</v>
      </c>
      <c r="X17" t="s" s="0">
        <v>81</v>
      </c>
      <c r="Y17" t="s" s="0">
        <v>81</v>
      </c>
      <c r="Z17" t="s" s="0">
        <v>93</v>
      </c>
      <c r="AA17" t="s" s="0">
        <v>94</v>
      </c>
      <c r="AB17" t="s" s="0">
        <v>81</v>
      </c>
      <c r="AC17" t="s" s="0">
        <v>81</v>
      </c>
      <c r="AD17" t="s" s="0">
        <v>81</v>
      </c>
      <c r="AE17" t="s" s="0">
        <v>81</v>
      </c>
      <c r="AF17" t="s" s="0">
        <v>81</v>
      </c>
      <c r="AG17" t="s" s="0">
        <v>558</v>
      </c>
      <c r="AH17" t="s" s="0">
        <v>559</v>
      </c>
      <c r="AI17" t="s" s="0">
        <v>560</v>
      </c>
      <c r="AJ17" t="s" s="0">
        <v>561</v>
      </c>
      <c r="AK17" t="s" s="0">
        <v>81</v>
      </c>
      <c r="AL17" t="s" s="0">
        <v>562</v>
      </c>
      <c r="AM17" t="s" s="0">
        <v>137</v>
      </c>
      <c r="AN17" t="s" s="0">
        <v>563</v>
      </c>
      <c r="AO17" t="s" s="0">
        <v>77</v>
      </c>
      <c r="AP17" t="s" s="0">
        <v>564</v>
      </c>
      <c r="AQ17" t="s" s="0">
        <v>565</v>
      </c>
      <c r="AR17" t="s" s="0">
        <v>566</v>
      </c>
      <c r="AS17" t="s" s="0">
        <v>567</v>
      </c>
      <c r="AT17" t="s" s="0">
        <v>568</v>
      </c>
      <c r="AU17" t="s" s="0">
        <v>569</v>
      </c>
      <c r="AV17" t="s" s="0">
        <v>81</v>
      </c>
      <c r="AW17" t="s" s="0">
        <v>570</v>
      </c>
      <c r="AX17" t="s" s="0">
        <v>571</v>
      </c>
      <c r="AY17" t="s" s="0">
        <v>572</v>
      </c>
      <c r="AZ17" t="s" s="0">
        <v>573</v>
      </c>
      <c r="BA17" t="s" s="0">
        <v>574</v>
      </c>
      <c r="BB17" t="s" s="0">
        <v>81</v>
      </c>
      <c r="BC17" t="s" s="0">
        <v>81</v>
      </c>
      <c r="BD17" t="s" s="0">
        <v>81</v>
      </c>
      <c r="BE17" t="s" s="0">
        <v>81</v>
      </c>
      <c r="BF17" t="s" s="0">
        <v>81</v>
      </c>
      <c r="BG17" t="s" s="0">
        <v>81</v>
      </c>
      <c r="BH17" t="s" s="0">
        <v>81</v>
      </c>
      <c r="BI17" t="s" s="0">
        <v>575</v>
      </c>
      <c r="BJ17" t="s" s="0">
        <v>576</v>
      </c>
      <c r="BK17" t="s" s="31">
        <f>HYPERLINK("http://dx.doi.org/10.1016/j.cmpb.2024.108357","http://dx.doi.org/10.1016/j.cmpb.2024.108357")</f>
        <v>577</v>
      </c>
      <c r="BL17" t="s" s="0">
        <v>81</v>
      </c>
      <c r="BM17" t="s" s="0">
        <v>578</v>
      </c>
      <c r="BN17" t="s" s="0">
        <v>204</v>
      </c>
      <c r="BO17" t="s" s="0">
        <v>579</v>
      </c>
      <c r="BP17" t="s" s="0">
        <v>580</v>
      </c>
      <c r="BQ17" t="s" s="0">
        <v>581</v>
      </c>
      <c r="BR17" t="s" s="0">
        <v>582</v>
      </c>
      <c r="BS17" t="s" s="0">
        <v>583</v>
      </c>
      <c r="BT17" t="s" s="32">
        <f>HYPERLINK("https://www.webofscience.com/wos/woscc/full-record/WOS:001293805800001","View Record in Web of Science")</f>
        <v>114</v>
      </c>
      <c r="BU17" t="s" s="0">
        <v>81</v>
      </c>
      <c r="BV17" t="s" s="0">
        <v>81</v>
      </c>
      <c r="BW17" t="s" s="0">
        <v>81</v>
      </c>
      <c r="BX17" t="s" s="0">
        <v>116</v>
      </c>
    </row>
    <row r="18">
      <c r="A18" t="s" s="0">
        <v>117</v>
      </c>
      <c r="B18" t="s" s="0">
        <v>77</v>
      </c>
      <c r="C18" t="s" s="0">
        <v>160</v>
      </c>
      <c r="D18" t="s" s="0">
        <v>77</v>
      </c>
      <c r="E18" t="s" s="0">
        <v>584</v>
      </c>
      <c r="F18" t="s" s="0">
        <v>585</v>
      </c>
      <c r="G18" t="s" s="0">
        <v>586</v>
      </c>
      <c r="H18" t="s" s="0">
        <v>81</v>
      </c>
      <c r="I18" t="s" s="0">
        <v>82</v>
      </c>
      <c r="J18" t="s" s="0">
        <v>587</v>
      </c>
      <c r="K18" t="s" s="0">
        <v>588</v>
      </c>
      <c r="L18" t="s" s="0">
        <v>589</v>
      </c>
      <c r="M18" t="s" s="0">
        <v>590</v>
      </c>
      <c r="N18" t="s" s="0">
        <v>591</v>
      </c>
      <c r="O18" t="s" s="0">
        <v>592</v>
      </c>
      <c r="P18" t="s" s="0">
        <v>593</v>
      </c>
      <c r="Q18" t="s" s="0">
        <v>90</v>
      </c>
      <c r="R18" t="s" s="0">
        <v>81</v>
      </c>
      <c r="S18" t="s" s="0">
        <v>81</v>
      </c>
      <c r="T18" t="s" s="0">
        <v>81</v>
      </c>
      <c r="U18" t="s" s="0">
        <v>81</v>
      </c>
      <c r="V18" t="s" s="0">
        <v>594</v>
      </c>
      <c r="W18" t="s" s="0">
        <v>595</v>
      </c>
      <c r="X18" t="s" s="0">
        <v>81</v>
      </c>
      <c r="Y18" t="s" s="0">
        <v>81</v>
      </c>
      <c r="Z18" t="s" s="0">
        <v>93</v>
      </c>
      <c r="AA18" t="s" s="0">
        <v>94</v>
      </c>
      <c r="AB18" t="s" s="0">
        <v>81</v>
      </c>
      <c r="AC18" t="s" s="0">
        <v>81</v>
      </c>
      <c r="AD18" t="s" s="0">
        <v>81</v>
      </c>
      <c r="AE18" t="s" s="0">
        <v>81</v>
      </c>
      <c r="AF18" t="s" s="0">
        <v>81</v>
      </c>
      <c r="AG18" t="s" s="0">
        <v>596</v>
      </c>
      <c r="AH18" t="s" s="0">
        <v>81</v>
      </c>
      <c r="AI18" t="s" s="0">
        <v>81</v>
      </c>
      <c r="AJ18" t="s" s="0">
        <v>597</v>
      </c>
      <c r="AK18" t="s" s="0">
        <v>81</v>
      </c>
      <c r="AL18" t="s" s="0">
        <v>345</v>
      </c>
      <c r="AM18" t="s" s="0">
        <v>204</v>
      </c>
      <c r="AN18" t="s" s="0">
        <v>226</v>
      </c>
      <c r="AO18" t="s" s="0">
        <v>130</v>
      </c>
      <c r="AP18" t="s" s="0">
        <v>253</v>
      </c>
      <c r="AQ18" t="s" s="0">
        <v>598</v>
      </c>
      <c r="AR18" t="s" s="0">
        <v>599</v>
      </c>
      <c r="AS18" t="s" s="0">
        <v>600</v>
      </c>
      <c r="AT18" t="s" s="0">
        <v>601</v>
      </c>
      <c r="AU18" t="s" s="0">
        <v>81</v>
      </c>
      <c r="AV18" t="s" s="0">
        <v>81</v>
      </c>
      <c r="AW18" t="s" s="0">
        <v>602</v>
      </c>
      <c r="AX18" t="s" s="0">
        <v>603</v>
      </c>
      <c r="AY18" t="s" s="0">
        <v>377</v>
      </c>
      <c r="AZ18" t="s" s="0">
        <v>136</v>
      </c>
      <c r="BA18" t="s" s="0">
        <v>228</v>
      </c>
      <c r="BB18" t="s" s="0">
        <v>227</v>
      </c>
      <c r="BC18" t="s" s="0">
        <v>81</v>
      </c>
      <c r="BD18" t="s" s="0">
        <v>81</v>
      </c>
      <c r="BE18" t="s" s="0">
        <v>81</v>
      </c>
      <c r="BF18" t="s" s="0">
        <v>81</v>
      </c>
      <c r="BG18" t="s" s="0">
        <v>81</v>
      </c>
      <c r="BH18" t="s" s="0">
        <v>81</v>
      </c>
      <c r="BI18" t="s" s="0">
        <v>237</v>
      </c>
      <c r="BJ18" t="s" s="0">
        <v>604</v>
      </c>
      <c r="BK18" t="s" s="33">
        <f>HYPERLINK("http://dx.doi.org/10.1167/tvst.14.3.27","http://dx.doi.org/10.1167/tvst.14.3.27")</f>
        <v>605</v>
      </c>
      <c r="BL18" t="s" s="0">
        <v>81</v>
      </c>
      <c r="BM18" t="s" s="0">
        <v>81</v>
      </c>
      <c r="BN18" t="s" s="0">
        <v>204</v>
      </c>
      <c r="BO18" t="s" s="0">
        <v>606</v>
      </c>
      <c r="BP18" t="s" s="0">
        <v>606</v>
      </c>
      <c r="BQ18" t="s" s="0">
        <v>607</v>
      </c>
      <c r="BR18" t="s" s="0">
        <v>608</v>
      </c>
      <c r="BS18" t="s" s="0">
        <v>609</v>
      </c>
      <c r="BT18" t="s" s="34">
        <f>HYPERLINK("https://www.webofscience.com/wos/woscc/full-record/WOS:001464516600001","View Record in Web of Science")</f>
        <v>114</v>
      </c>
      <c r="BU18" t="s" s="0">
        <v>145</v>
      </c>
      <c r="BV18" t="s" s="0">
        <v>81</v>
      </c>
      <c r="BW18" t="s" s="0">
        <v>81</v>
      </c>
      <c r="BX18" t="s" s="0">
        <v>116</v>
      </c>
    </row>
    <row r="19">
      <c r="A19" t="s" s="0">
        <v>117</v>
      </c>
      <c r="B19" t="s" s="0">
        <v>77</v>
      </c>
      <c r="C19" t="s" s="0">
        <v>227</v>
      </c>
      <c r="D19" t="s" s="0">
        <v>77</v>
      </c>
      <c r="E19" t="s" s="0">
        <v>610</v>
      </c>
      <c r="F19" t="s" s="0">
        <v>611</v>
      </c>
      <c r="G19" t="s" s="0">
        <v>612</v>
      </c>
      <c r="H19" t="s" s="0">
        <v>81</v>
      </c>
      <c r="I19" t="s" s="0">
        <v>82</v>
      </c>
      <c r="J19" t="s" s="0">
        <v>613</v>
      </c>
      <c r="K19" t="s" s="0">
        <v>614</v>
      </c>
      <c r="L19" t="s" s="0">
        <v>615</v>
      </c>
      <c r="M19" t="s" s="0">
        <v>615</v>
      </c>
      <c r="N19" t="s" s="0">
        <v>616</v>
      </c>
      <c r="O19" t="s" s="0">
        <v>617</v>
      </c>
      <c r="P19" t="s" s="0">
        <v>618</v>
      </c>
      <c r="Q19" t="s" s="0">
        <v>90</v>
      </c>
      <c r="R19" t="s" s="0">
        <v>81</v>
      </c>
      <c r="S19" t="s" s="0">
        <v>81</v>
      </c>
      <c r="T19" t="s" s="0">
        <v>81</v>
      </c>
      <c r="U19" t="s" s="0">
        <v>81</v>
      </c>
      <c r="V19" t="s" s="0">
        <v>619</v>
      </c>
      <c r="W19" t="s" s="0">
        <v>620</v>
      </c>
      <c r="X19" t="s" s="0">
        <v>81</v>
      </c>
      <c r="Y19" t="s" s="0">
        <v>81</v>
      </c>
      <c r="Z19" t="s" s="0">
        <v>93</v>
      </c>
      <c r="AA19" t="s" s="0">
        <v>94</v>
      </c>
      <c r="AB19" t="s" s="0">
        <v>81</v>
      </c>
      <c r="AC19" t="s" s="0">
        <v>81</v>
      </c>
      <c r="AD19" t="s" s="0">
        <v>81</v>
      </c>
      <c r="AE19" t="s" s="0">
        <v>81</v>
      </c>
      <c r="AF19" t="s" s="0">
        <v>81</v>
      </c>
      <c r="AG19" t="s" s="0">
        <v>621</v>
      </c>
      <c r="AH19" t="s" s="0">
        <v>622</v>
      </c>
      <c r="AI19" t="s" s="0">
        <v>623</v>
      </c>
      <c r="AJ19" t="s" s="0">
        <v>624</v>
      </c>
      <c r="AK19" t="s" s="0">
        <v>81</v>
      </c>
      <c r="AL19" t="s" s="0">
        <v>625</v>
      </c>
      <c r="AM19" t="s" s="0">
        <v>161</v>
      </c>
      <c r="AN19" t="s" s="0">
        <v>225</v>
      </c>
      <c r="AO19" t="s" s="0">
        <v>253</v>
      </c>
      <c r="AP19" t="s" s="0">
        <v>109</v>
      </c>
      <c r="AQ19" t="s" s="0">
        <v>626</v>
      </c>
      <c r="AR19" t="s" s="0">
        <v>627</v>
      </c>
      <c r="AS19" t="s" s="0">
        <v>628</v>
      </c>
      <c r="AT19" t="s" s="0">
        <v>81</v>
      </c>
      <c r="AU19" t="s" s="0">
        <v>629</v>
      </c>
      <c r="AV19" t="s" s="0">
        <v>81</v>
      </c>
      <c r="AW19" t="s" s="0">
        <v>630</v>
      </c>
      <c r="AX19" t="s" s="0">
        <v>631</v>
      </c>
      <c r="AY19" t="s" s="0">
        <v>632</v>
      </c>
      <c r="AZ19" t="s" s="0">
        <v>136</v>
      </c>
      <c r="BA19" t="s" s="0">
        <v>226</v>
      </c>
      <c r="BB19" t="s" s="0">
        <v>369</v>
      </c>
      <c r="BC19" t="s" s="0">
        <v>81</v>
      </c>
      <c r="BD19" t="s" s="0">
        <v>81</v>
      </c>
      <c r="BE19" t="s" s="0">
        <v>81</v>
      </c>
      <c r="BF19" t="s" s="0">
        <v>81</v>
      </c>
      <c r="BG19" t="s" s="0">
        <v>81</v>
      </c>
      <c r="BH19" t="s" s="0">
        <v>81</v>
      </c>
      <c r="BI19" t="s" s="0">
        <v>633</v>
      </c>
      <c r="BJ19" t="s" s="0">
        <v>634</v>
      </c>
      <c r="BK19" t="s" s="35">
        <f>HYPERLINK("http://dx.doi.org/10.1002/advs.202502833","http://dx.doi.org/10.1002/advs.202502833")</f>
        <v>635</v>
      </c>
      <c r="BL19" t="s" s="0">
        <v>81</v>
      </c>
      <c r="BM19" t="s" s="0">
        <v>636</v>
      </c>
      <c r="BN19" t="s" s="0">
        <v>228</v>
      </c>
      <c r="BO19" t="s" s="0">
        <v>637</v>
      </c>
      <c r="BP19" t="s" s="0">
        <v>638</v>
      </c>
      <c r="BQ19" t="s" s="0">
        <v>639</v>
      </c>
      <c r="BR19" t="s" s="0">
        <v>640</v>
      </c>
      <c r="BS19" t="s" s="0">
        <v>641</v>
      </c>
      <c r="BT19" t="s" s="36">
        <f>HYPERLINK("https://www.webofscience.com/wos/woscc/full-record/WOS:001498606600001","View Record in Web of Science")</f>
        <v>114</v>
      </c>
      <c r="BU19" t="s" s="0">
        <v>145</v>
      </c>
      <c r="BV19" t="s" s="0">
        <v>81</v>
      </c>
      <c r="BW19" t="s" s="0">
        <v>81</v>
      </c>
      <c r="BX19" t="s" s="0">
        <v>116</v>
      </c>
    </row>
    <row r="20">
      <c r="A20" t="s" s="0">
        <v>117</v>
      </c>
      <c r="B20" t="s" s="0">
        <v>77</v>
      </c>
      <c r="C20" t="s" s="0">
        <v>227</v>
      </c>
      <c r="D20" t="s" s="0">
        <v>77</v>
      </c>
      <c r="E20" t="s" s="0">
        <v>642</v>
      </c>
      <c r="F20" t="s" s="0">
        <v>643</v>
      </c>
      <c r="G20" t="s" s="0">
        <v>644</v>
      </c>
      <c r="H20" t="s" s="0">
        <v>81</v>
      </c>
      <c r="I20" t="s" s="0">
        <v>82</v>
      </c>
      <c r="J20" t="s" s="0">
        <v>645</v>
      </c>
      <c r="K20" t="s" s="0">
        <v>646</v>
      </c>
      <c r="L20" t="s" s="0">
        <v>647</v>
      </c>
      <c r="M20" t="s" s="0">
        <v>648</v>
      </c>
      <c r="N20" t="s" s="0">
        <v>649</v>
      </c>
      <c r="O20" t="s" s="0">
        <v>650</v>
      </c>
      <c r="P20" t="s" s="0">
        <v>651</v>
      </c>
      <c r="Q20" t="s" s="0">
        <v>90</v>
      </c>
      <c r="R20" t="s" s="0">
        <v>81</v>
      </c>
      <c r="S20" t="s" s="0">
        <v>81</v>
      </c>
      <c r="T20" t="s" s="0">
        <v>81</v>
      </c>
      <c r="U20" t="s" s="0">
        <v>81</v>
      </c>
      <c r="V20" t="s" s="0">
        <v>652</v>
      </c>
      <c r="W20" t="s" s="0">
        <v>399</v>
      </c>
      <c r="X20" t="s" s="0">
        <v>81</v>
      </c>
      <c r="Y20" t="s" s="0">
        <v>81</v>
      </c>
      <c r="Z20" t="s" s="0">
        <v>93</v>
      </c>
      <c r="AA20" t="s" s="0">
        <v>94</v>
      </c>
      <c r="AB20" t="s" s="0">
        <v>81</v>
      </c>
      <c r="AC20" t="s" s="0">
        <v>81</v>
      </c>
      <c r="AD20" t="s" s="0">
        <v>81</v>
      </c>
      <c r="AE20" t="s" s="0">
        <v>81</v>
      </c>
      <c r="AF20" t="s" s="0">
        <v>81</v>
      </c>
      <c r="AG20" t="s" s="0">
        <v>653</v>
      </c>
      <c r="AH20" t="s" s="0">
        <v>654</v>
      </c>
      <c r="AI20" t="s" s="0">
        <v>655</v>
      </c>
      <c r="AJ20" t="s" s="0">
        <v>656</v>
      </c>
      <c r="AK20" t="s" s="0">
        <v>81</v>
      </c>
      <c r="AL20" t="s" s="0">
        <v>625</v>
      </c>
      <c r="AM20" t="s" s="0">
        <v>127</v>
      </c>
      <c r="AN20" t="s" s="0">
        <v>474</v>
      </c>
      <c r="AO20" t="s" s="0">
        <v>253</v>
      </c>
      <c r="AP20" t="s" s="0">
        <v>657</v>
      </c>
      <c r="AQ20" t="s" s="0">
        <v>406</v>
      </c>
      <c r="AR20" t="s" s="0">
        <v>407</v>
      </c>
      <c r="AS20" t="s" s="0">
        <v>408</v>
      </c>
      <c r="AT20" t="s" s="0">
        <v>409</v>
      </c>
      <c r="AU20" t="s" s="0">
        <v>410</v>
      </c>
      <c r="AV20" t="s" s="0">
        <v>81</v>
      </c>
      <c r="AW20" t="s" s="0">
        <v>411</v>
      </c>
      <c r="AX20" t="s" s="0">
        <v>412</v>
      </c>
      <c r="AY20" t="s" s="0">
        <v>658</v>
      </c>
      <c r="AZ20" t="s" s="0">
        <v>573</v>
      </c>
      <c r="BA20" t="s" s="0">
        <v>659</v>
      </c>
      <c r="BB20" t="s" s="0">
        <v>81</v>
      </c>
      <c r="BC20" t="s" s="0">
        <v>81</v>
      </c>
      <c r="BD20" t="s" s="0">
        <v>81</v>
      </c>
      <c r="BE20" t="s" s="0">
        <v>81</v>
      </c>
      <c r="BF20" t="s" s="0">
        <v>81</v>
      </c>
      <c r="BG20" t="s" s="0">
        <v>81</v>
      </c>
      <c r="BH20" t="s" s="0">
        <v>81</v>
      </c>
      <c r="BI20" t="s" s="0">
        <v>660</v>
      </c>
      <c r="BJ20" t="s" s="0">
        <v>661</v>
      </c>
      <c r="BK20" t="s" s="37">
        <f>HYPERLINK("http://dx.doi.org/10.1016/j.inffus.2023.102069","http://dx.doi.org/10.1016/j.inffus.2023.102069")</f>
        <v>662</v>
      </c>
      <c r="BL20" t="s" s="0">
        <v>81</v>
      </c>
      <c r="BM20" t="s" s="0">
        <v>663</v>
      </c>
      <c r="BN20" t="s" s="0">
        <v>167</v>
      </c>
      <c r="BO20" t="s" s="0">
        <v>419</v>
      </c>
      <c r="BP20" t="s" s="0">
        <v>420</v>
      </c>
      <c r="BQ20" t="s" s="0">
        <v>664</v>
      </c>
      <c r="BR20" t="s" s="0">
        <v>81</v>
      </c>
      <c r="BS20" t="s" s="0">
        <v>665</v>
      </c>
      <c r="BT20" t="s" s="38">
        <f>HYPERLINK("https://www.webofscience.com/wos/woscc/full-record/WOS:001097294000001","View Record in Web of Science")</f>
        <v>114</v>
      </c>
      <c r="BU20" t="s" s="0">
        <v>666</v>
      </c>
      <c r="BV20" t="s" s="0">
        <v>81</v>
      </c>
      <c r="BW20" t="s" s="0">
        <v>81</v>
      </c>
      <c r="BX20" t="s" s="0">
        <v>116</v>
      </c>
    </row>
    <row r="21">
      <c r="A21" t="s" s="0">
        <v>77</v>
      </c>
      <c r="B21" t="s" s="0">
        <v>77</v>
      </c>
      <c r="C21" t="s" s="0">
        <v>117</v>
      </c>
      <c r="D21" t="s" s="0">
        <v>77</v>
      </c>
      <c r="E21" t="s" s="0">
        <v>667</v>
      </c>
      <c r="F21" t="s" s="0">
        <v>668</v>
      </c>
      <c r="G21" t="s" s="0">
        <v>669</v>
      </c>
      <c r="H21" t="s" s="0">
        <v>81</v>
      </c>
      <c r="I21" t="s" s="0">
        <v>82</v>
      </c>
      <c r="J21" t="s" s="0">
        <v>670</v>
      </c>
      <c r="K21" t="s" s="0">
        <v>671</v>
      </c>
      <c r="L21" t="s" s="0">
        <v>81</v>
      </c>
      <c r="M21" t="s" s="0">
        <v>81</v>
      </c>
      <c r="N21" t="s" s="0">
        <v>672</v>
      </c>
      <c r="O21" t="s" s="0">
        <v>673</v>
      </c>
      <c r="P21" t="s" s="0">
        <v>674</v>
      </c>
      <c r="Q21" t="s" s="0">
        <v>90</v>
      </c>
      <c r="R21" t="s" s="0">
        <v>81</v>
      </c>
      <c r="S21" t="s" s="0">
        <v>81</v>
      </c>
      <c r="T21" t="s" s="0">
        <v>81</v>
      </c>
      <c r="U21" t="s" s="0">
        <v>81</v>
      </c>
      <c r="V21" t="s" s="0">
        <v>675</v>
      </c>
      <c r="W21" t="s" s="0">
        <v>676</v>
      </c>
      <c r="X21" t="s" s="0">
        <v>81</v>
      </c>
      <c r="Y21" t="s" s="0">
        <v>81</v>
      </c>
      <c r="Z21" t="s" s="0">
        <v>93</v>
      </c>
      <c r="AA21" t="s" s="0">
        <v>94</v>
      </c>
      <c r="AB21" t="s" s="0">
        <v>81</v>
      </c>
      <c r="AC21" t="s" s="0">
        <v>81</v>
      </c>
      <c r="AD21" t="s" s="0">
        <v>81</v>
      </c>
      <c r="AE21" t="s" s="0">
        <v>81</v>
      </c>
      <c r="AF21" t="s" s="0">
        <v>81</v>
      </c>
      <c r="AG21" t="s" s="0">
        <v>677</v>
      </c>
      <c r="AH21" t="s" s="0">
        <v>81</v>
      </c>
      <c r="AI21" t="s" s="0">
        <v>81</v>
      </c>
      <c r="AJ21" t="s" s="0">
        <v>81</v>
      </c>
      <c r="AK21" t="s" s="0">
        <v>81</v>
      </c>
      <c r="AL21" t="s" s="0">
        <v>127</v>
      </c>
      <c r="AM21" t="s" s="0">
        <v>117</v>
      </c>
      <c r="AN21" t="s" s="0">
        <v>227</v>
      </c>
      <c r="AO21" t="s" s="0">
        <v>77</v>
      </c>
      <c r="AP21" t="s" s="0">
        <v>227</v>
      </c>
      <c r="AQ21" t="s" s="0">
        <v>97</v>
      </c>
      <c r="AR21" t="s" s="0">
        <v>98</v>
      </c>
      <c r="AS21" t="s" s="0">
        <v>99</v>
      </c>
      <c r="AT21" t="s" s="0">
        <v>678</v>
      </c>
      <c r="AU21" t="s" s="0">
        <v>81</v>
      </c>
      <c r="AV21" t="s" s="0">
        <v>81</v>
      </c>
      <c r="AW21" t="s" s="0">
        <v>679</v>
      </c>
      <c r="AX21" t="s" s="0">
        <v>680</v>
      </c>
      <c r="AY21" t="s" s="0">
        <v>681</v>
      </c>
      <c r="AZ21" t="s" s="0">
        <v>136</v>
      </c>
      <c r="BA21" t="s" s="0">
        <v>226</v>
      </c>
      <c r="BB21" t="s" s="0">
        <v>81</v>
      </c>
      <c r="BC21" t="s" s="0">
        <v>81</v>
      </c>
      <c r="BD21" t="s" s="0">
        <v>81</v>
      </c>
      <c r="BE21" t="s" s="0">
        <v>81</v>
      </c>
      <c r="BF21" t="s" s="0">
        <v>81</v>
      </c>
      <c r="BG21" t="s" s="0">
        <v>81</v>
      </c>
      <c r="BH21" t="s" s="0">
        <v>81</v>
      </c>
      <c r="BI21" t="s" s="0">
        <v>682</v>
      </c>
      <c r="BJ21" t="s" s="0">
        <v>683</v>
      </c>
      <c r="BK21" t="s" s="39">
        <f>HYPERLINK("http://dx.doi.org/10.3389/fcvm.2025.1606159","http://dx.doi.org/10.3389/fcvm.2025.1606159")</f>
        <v>684</v>
      </c>
      <c r="BL21" t="s" s="0">
        <v>81</v>
      </c>
      <c r="BM21" t="s" s="0">
        <v>81</v>
      </c>
      <c r="BN21" t="s" s="0">
        <v>258</v>
      </c>
      <c r="BO21" t="s" s="0">
        <v>515</v>
      </c>
      <c r="BP21" t="s" s="0">
        <v>516</v>
      </c>
      <c r="BQ21" t="s" s="0">
        <v>685</v>
      </c>
      <c r="BR21" t="s" s="0">
        <v>686</v>
      </c>
      <c r="BS21" t="s" s="0">
        <v>687</v>
      </c>
      <c r="BT21" t="s" s="40">
        <f>HYPERLINK("https://www.webofscience.com/wos/woscc/full-record/WOS:001553133900001","View Record in Web of Science")</f>
        <v>114</v>
      </c>
      <c r="BU21" t="s" s="0">
        <v>145</v>
      </c>
      <c r="BV21" t="s" s="0">
        <v>81</v>
      </c>
      <c r="BW21" t="s" s="0">
        <v>81</v>
      </c>
      <c r="BX21" t="s" s="0">
        <v>116</v>
      </c>
    </row>
    <row r="22">
      <c r="A22" t="s" s="0">
        <v>77</v>
      </c>
      <c r="B22" t="s" s="0">
        <v>77</v>
      </c>
      <c r="C22" t="s" s="0">
        <v>117</v>
      </c>
      <c r="D22" t="s" s="0">
        <v>77</v>
      </c>
      <c r="E22" t="s" s="0">
        <v>688</v>
      </c>
      <c r="F22" t="s" s="0">
        <v>689</v>
      </c>
      <c r="G22" t="s" s="0">
        <v>690</v>
      </c>
      <c r="H22" t="s" s="0">
        <v>81</v>
      </c>
      <c r="I22" t="s" s="0">
        <v>691</v>
      </c>
      <c r="J22" t="s" s="0">
        <v>692</v>
      </c>
      <c r="K22" t="s" s="0">
        <v>693</v>
      </c>
      <c r="L22" t="s" s="0">
        <v>694</v>
      </c>
      <c r="M22" t="s" s="0">
        <v>695</v>
      </c>
      <c r="N22" t="s" s="0">
        <v>696</v>
      </c>
      <c r="O22" t="s" s="0">
        <v>697</v>
      </c>
      <c r="P22" t="s" s="0">
        <v>698</v>
      </c>
      <c r="Q22" t="s" s="0">
        <v>90</v>
      </c>
      <c r="R22" t="s" s="0">
        <v>81</v>
      </c>
      <c r="S22" t="s" s="0">
        <v>81</v>
      </c>
      <c r="T22" t="s" s="0">
        <v>81</v>
      </c>
      <c r="U22" t="s" s="0">
        <v>81</v>
      </c>
      <c r="V22" t="s" s="0">
        <v>699</v>
      </c>
      <c r="W22" t="s" s="0">
        <v>700</v>
      </c>
      <c r="X22" t="s" s="0">
        <v>81</v>
      </c>
      <c r="Y22" t="s" s="0">
        <v>81</v>
      </c>
      <c r="Z22" t="s" s="0">
        <v>93</v>
      </c>
      <c r="AA22" t="s" s="0">
        <v>94</v>
      </c>
      <c r="AB22" t="s" s="0">
        <v>81</v>
      </c>
      <c r="AC22" t="s" s="0">
        <v>81</v>
      </c>
      <c r="AD22" t="s" s="0">
        <v>81</v>
      </c>
      <c r="AE22" t="s" s="0">
        <v>81</v>
      </c>
      <c r="AF22" t="s" s="0">
        <v>81</v>
      </c>
      <c r="AG22" t="s" s="0">
        <v>701</v>
      </c>
      <c r="AH22" t="s" s="0">
        <v>702</v>
      </c>
      <c r="AI22" t="s" s="0">
        <v>703</v>
      </c>
      <c r="AJ22" t="s" s="0">
        <v>704</v>
      </c>
      <c r="AK22" t="s" s="0">
        <v>81</v>
      </c>
      <c r="AL22" t="s" s="0">
        <v>96</v>
      </c>
      <c r="AM22" t="s" s="0">
        <v>705</v>
      </c>
      <c r="AN22" t="s" s="0">
        <v>224</v>
      </c>
      <c r="AO22" t="s" s="0">
        <v>706</v>
      </c>
      <c r="AP22" t="s" s="0">
        <v>707</v>
      </c>
      <c r="AQ22" t="s" s="0">
        <v>708</v>
      </c>
      <c r="AR22" t="s" s="0">
        <v>709</v>
      </c>
      <c r="AS22" t="s" s="0">
        <v>710</v>
      </c>
      <c r="AT22" t="s" s="0">
        <v>711</v>
      </c>
      <c r="AU22" t="s" s="0">
        <v>712</v>
      </c>
      <c r="AV22" t="s" s="0">
        <v>81</v>
      </c>
      <c r="AW22" t="s" s="0">
        <v>713</v>
      </c>
      <c r="AX22" t="s" s="0">
        <v>714</v>
      </c>
      <c r="AY22" t="s" s="0">
        <v>715</v>
      </c>
      <c r="AZ22" t="s" s="0">
        <v>573</v>
      </c>
      <c r="BA22" t="s" s="0">
        <v>438</v>
      </c>
      <c r="BB22" t="s" s="0">
        <v>253</v>
      </c>
      <c r="BC22" t="s" s="0">
        <v>81</v>
      </c>
      <c r="BD22" t="s" s="0">
        <v>81</v>
      </c>
      <c r="BE22" t="s" s="0">
        <v>81</v>
      </c>
      <c r="BF22" t="s" s="0">
        <v>81</v>
      </c>
      <c r="BG22" t="s" s="0">
        <v>716</v>
      </c>
      <c r="BH22" t="s" s="0">
        <v>717</v>
      </c>
      <c r="BI22" t="s" s="0">
        <v>81</v>
      </c>
      <c r="BJ22" t="s" s="0">
        <v>718</v>
      </c>
      <c r="BK22" t="s" s="41">
        <f>HYPERLINK("http://dx.doi.org/10.1111/bjet.13498","http://dx.doi.org/10.1111/bjet.13498")</f>
        <v>719</v>
      </c>
      <c r="BL22" t="s" s="0">
        <v>81</v>
      </c>
      <c r="BM22" t="s" s="0">
        <v>720</v>
      </c>
      <c r="BN22" t="s" s="0">
        <v>345</v>
      </c>
      <c r="BO22" t="s" s="0">
        <v>721</v>
      </c>
      <c r="BP22" t="s" s="0">
        <v>721</v>
      </c>
      <c r="BQ22" t="s" s="0">
        <v>722</v>
      </c>
      <c r="BR22" t="s" s="0">
        <v>81</v>
      </c>
      <c r="BS22" t="s" s="0">
        <v>723</v>
      </c>
      <c r="BT22" t="s" s="42">
        <f>HYPERLINK("https://www.webofscience.com/wos/woscc/full-record/WOS:001251837900001","View Record in Web of Science")</f>
        <v>114</v>
      </c>
      <c r="BU22" t="s" s="0">
        <v>457</v>
      </c>
      <c r="BV22" t="s" s="0">
        <v>81</v>
      </c>
      <c r="BW22" t="s" s="0">
        <v>81</v>
      </c>
      <c r="BX22" t="s" s="0">
        <v>116</v>
      </c>
    </row>
    <row r="23">
      <c r="A23" t="s" s="0">
        <v>117</v>
      </c>
      <c r="B23" t="s" s="0">
        <v>77</v>
      </c>
      <c r="C23" t="s" s="0">
        <v>253</v>
      </c>
      <c r="D23" t="s" s="0">
        <v>77</v>
      </c>
      <c r="E23" t="s" s="0">
        <v>724</v>
      </c>
      <c r="F23" t="s" s="0">
        <v>725</v>
      </c>
      <c r="G23" t="s" s="0">
        <v>726</v>
      </c>
      <c r="H23" t="s" s="0">
        <v>81</v>
      </c>
      <c r="I23" t="s" s="0">
        <v>213</v>
      </c>
      <c r="J23" t="s" s="0">
        <v>727</v>
      </c>
      <c r="K23" t="s" s="0">
        <v>728</v>
      </c>
      <c r="L23" t="s" s="0">
        <v>729</v>
      </c>
      <c r="M23" t="s" s="0">
        <v>729</v>
      </c>
      <c r="N23" t="s" s="0">
        <v>730</v>
      </c>
      <c r="O23" t="s" s="0">
        <v>731</v>
      </c>
      <c r="P23" t="s" s="0">
        <v>732</v>
      </c>
      <c r="Q23" t="s" s="0">
        <v>90</v>
      </c>
      <c r="R23" t="s" s="0">
        <v>81</v>
      </c>
      <c r="S23" t="s" s="0">
        <v>81</v>
      </c>
      <c r="T23" t="s" s="0">
        <v>81</v>
      </c>
      <c r="U23" t="s" s="0">
        <v>81</v>
      </c>
      <c r="V23" t="s" s="0">
        <v>733</v>
      </c>
      <c r="W23" t="s" s="0">
        <v>734</v>
      </c>
      <c r="X23" t="s" s="0">
        <v>81</v>
      </c>
      <c r="Y23" t="s" s="0">
        <v>81</v>
      </c>
      <c r="Z23" t="s" s="0">
        <v>93</v>
      </c>
      <c r="AA23" t="s" s="0">
        <v>94</v>
      </c>
      <c r="AB23" t="s" s="0">
        <v>81</v>
      </c>
      <c r="AC23" t="s" s="0">
        <v>81</v>
      </c>
      <c r="AD23" t="s" s="0">
        <v>81</v>
      </c>
      <c r="AE23" t="s" s="0">
        <v>81</v>
      </c>
      <c r="AF23" t="s" s="0">
        <v>81</v>
      </c>
      <c r="AG23" t="s" s="0">
        <v>735</v>
      </c>
      <c r="AH23" t="s" s="0">
        <v>81</v>
      </c>
      <c r="AI23" t="s" s="0">
        <v>736</v>
      </c>
      <c r="AJ23" t="s" s="0">
        <v>737</v>
      </c>
      <c r="AK23" t="s" s="0">
        <v>81</v>
      </c>
      <c r="AL23" t="s" s="0">
        <v>337</v>
      </c>
      <c r="AM23" t="s" s="0">
        <v>128</v>
      </c>
      <c r="AN23" t="s" s="0">
        <v>129</v>
      </c>
      <c r="AO23" t="s" s="0">
        <v>77</v>
      </c>
      <c r="AP23" t="s" s="0">
        <v>117</v>
      </c>
      <c r="AQ23" t="s" s="0">
        <v>738</v>
      </c>
      <c r="AR23" t="s" s="0">
        <v>306</v>
      </c>
      <c r="AS23" t="s" s="0">
        <v>739</v>
      </c>
      <c r="AT23" t="s" s="0">
        <v>81</v>
      </c>
      <c r="AU23" t="s" s="0">
        <v>740</v>
      </c>
      <c r="AV23" t="s" s="0">
        <v>81</v>
      </c>
      <c r="AW23" t="s" s="0">
        <v>741</v>
      </c>
      <c r="AX23" t="s" s="0">
        <v>742</v>
      </c>
      <c r="AY23" t="s" s="0">
        <v>743</v>
      </c>
      <c r="AZ23" t="s" s="0">
        <v>573</v>
      </c>
      <c r="BA23" t="s" s="0">
        <v>128</v>
      </c>
      <c r="BB23" t="s" s="0">
        <v>117</v>
      </c>
      <c r="BC23" t="s" s="0">
        <v>81</v>
      </c>
      <c r="BD23" t="s" s="0">
        <v>81</v>
      </c>
      <c r="BE23" t="s" s="0">
        <v>81</v>
      </c>
      <c r="BF23" t="s" s="0">
        <v>81</v>
      </c>
      <c r="BG23" t="s" s="0">
        <v>81</v>
      </c>
      <c r="BH23" t="s" s="0">
        <v>81</v>
      </c>
      <c r="BI23" t="s" s="0">
        <v>744</v>
      </c>
      <c r="BJ23" t="s" s="0">
        <v>745</v>
      </c>
      <c r="BK23" t="s" s="43">
        <f>HYPERLINK("http://dx.doi.org/10.1093/biomethods/bpae040","http://dx.doi.org/10.1093/biomethods/bpae040")</f>
        <v>746</v>
      </c>
      <c r="BL23" t="s" s="0">
        <v>81</v>
      </c>
      <c r="BM23" t="s" s="0">
        <v>720</v>
      </c>
      <c r="BN23" t="s" s="0">
        <v>131</v>
      </c>
      <c r="BO23" t="s" s="0">
        <v>747</v>
      </c>
      <c r="BP23" t="s" s="0">
        <v>748</v>
      </c>
      <c r="BQ23" t="s" s="0">
        <v>749</v>
      </c>
      <c r="BR23" t="s" s="0">
        <v>750</v>
      </c>
      <c r="BS23" t="s" s="0">
        <v>751</v>
      </c>
      <c r="BT23" t="s" s="44">
        <f>HYPERLINK("https://www.webofscience.com/wos/woscc/full-record/WOS:001246051600001","View Record in Web of Science")</f>
        <v>114</v>
      </c>
      <c r="BU23" t="s" s="0">
        <v>145</v>
      </c>
      <c r="BV23" t="s" s="0">
        <v>81</v>
      </c>
      <c r="BW23" t="s" s="0">
        <v>81</v>
      </c>
      <c r="BX23" t="s" s="0">
        <v>116</v>
      </c>
    </row>
    <row r="24">
      <c r="A24" t="s" s="0">
        <v>77</v>
      </c>
      <c r="B24" t="s" s="0">
        <v>77</v>
      </c>
      <c r="C24" t="s" s="0">
        <v>77</v>
      </c>
      <c r="D24" t="s" s="0">
        <v>77</v>
      </c>
      <c r="E24" t="s" s="0">
        <v>752</v>
      </c>
      <c r="F24" t="s" s="0">
        <v>753</v>
      </c>
      <c r="G24" t="s" s="0">
        <v>754</v>
      </c>
      <c r="H24" t="s" s="0">
        <v>81</v>
      </c>
      <c r="I24" t="s" s="0">
        <v>82</v>
      </c>
      <c r="J24" t="s" s="0">
        <v>755</v>
      </c>
      <c r="K24" t="s" s="0">
        <v>756</v>
      </c>
      <c r="L24" t="s" s="0">
        <v>757</v>
      </c>
      <c r="M24" t="s" s="0">
        <v>758</v>
      </c>
      <c r="N24" t="s" s="0">
        <v>759</v>
      </c>
      <c r="O24" t="s" s="0">
        <v>760</v>
      </c>
      <c r="P24" t="s" s="0">
        <v>761</v>
      </c>
      <c r="Q24" t="s" s="0">
        <v>90</v>
      </c>
      <c r="R24" t="s" s="0">
        <v>81</v>
      </c>
      <c r="S24" t="s" s="0">
        <v>81</v>
      </c>
      <c r="T24" t="s" s="0">
        <v>81</v>
      </c>
      <c r="U24" t="s" s="0">
        <v>81</v>
      </c>
      <c r="V24" t="s" s="0">
        <v>762</v>
      </c>
      <c r="W24" t="s" s="0">
        <v>763</v>
      </c>
      <c r="X24" t="s" s="0">
        <v>81</v>
      </c>
      <c r="Y24" t="s" s="0">
        <v>81</v>
      </c>
      <c r="Z24" t="s" s="0">
        <v>93</v>
      </c>
      <c r="AA24" t="s" s="0">
        <v>94</v>
      </c>
      <c r="AB24" t="s" s="0">
        <v>81</v>
      </c>
      <c r="AC24" t="s" s="0">
        <v>81</v>
      </c>
      <c r="AD24" t="s" s="0">
        <v>81</v>
      </c>
      <c r="AE24" t="s" s="0">
        <v>81</v>
      </c>
      <c r="AF24" t="s" s="0">
        <v>81</v>
      </c>
      <c r="AG24" t="s" s="0">
        <v>764</v>
      </c>
      <c r="AH24" t="s" s="0">
        <v>81</v>
      </c>
      <c r="AI24" t="s" s="0">
        <v>765</v>
      </c>
      <c r="AJ24" t="s" s="0">
        <v>766</v>
      </c>
      <c r="AK24" t="s" s="0">
        <v>81</v>
      </c>
      <c r="AL24" t="s" s="0">
        <v>767</v>
      </c>
      <c r="AM24" t="s" s="0">
        <v>130</v>
      </c>
      <c r="AN24" t="s" s="0">
        <v>227</v>
      </c>
      <c r="AO24" t="s" s="0">
        <v>77</v>
      </c>
      <c r="AP24" t="s" s="0">
        <v>167</v>
      </c>
      <c r="AQ24" t="s" s="0">
        <v>370</v>
      </c>
      <c r="AR24" t="s" s="0">
        <v>371</v>
      </c>
      <c r="AS24" t="s" s="0">
        <v>372</v>
      </c>
      <c r="AT24" t="s" s="0">
        <v>768</v>
      </c>
      <c r="AU24" t="s" s="0">
        <v>769</v>
      </c>
      <c r="AV24" t="s" s="0">
        <v>81</v>
      </c>
      <c r="AW24" t="s" s="0">
        <v>770</v>
      </c>
      <c r="AX24" t="s" s="0">
        <v>771</v>
      </c>
      <c r="AY24" t="s" s="0">
        <v>636</v>
      </c>
      <c r="AZ24" t="s" s="0">
        <v>136</v>
      </c>
      <c r="BA24" t="s" s="0">
        <v>772</v>
      </c>
      <c r="BB24" t="s" s="0">
        <v>117</v>
      </c>
      <c r="BC24" t="s" s="0">
        <v>773</v>
      </c>
      <c r="BD24" t="s" s="0">
        <v>81</v>
      </c>
      <c r="BE24" t="s" s="0">
        <v>81</v>
      </c>
      <c r="BF24" t="s" s="0">
        <v>81</v>
      </c>
      <c r="BG24" t="s" s="0">
        <v>774</v>
      </c>
      <c r="BH24" t="s" s="0">
        <v>775</v>
      </c>
      <c r="BI24" t="s" s="0">
        <v>81</v>
      </c>
      <c r="BJ24" t="s" s="0">
        <v>776</v>
      </c>
      <c r="BK24" t="s" s="45">
        <f>HYPERLINK("http://dx.doi.org/10.1007/s10479-023-05545-6","http://dx.doi.org/10.1007/s10479-023-05545-6")</f>
        <v>777</v>
      </c>
      <c r="BL24" t="s" s="0">
        <v>81</v>
      </c>
      <c r="BM24" t="s" s="0">
        <v>778</v>
      </c>
      <c r="BN24" t="s" s="0">
        <v>193</v>
      </c>
      <c r="BO24" t="s" s="0">
        <v>779</v>
      </c>
      <c r="BP24" t="s" s="0">
        <v>779</v>
      </c>
      <c r="BQ24" t="s" s="0">
        <v>780</v>
      </c>
      <c r="BR24" t="s" s="0">
        <v>81</v>
      </c>
      <c r="BS24" t="s" s="0">
        <v>781</v>
      </c>
      <c r="BT24" t="s" s="46">
        <f>HYPERLINK("https://www.webofscience.com/wos/woscc/full-record/WOS:001060633400003","View Record in Web of Science")</f>
        <v>114</v>
      </c>
      <c r="BU24" t="s" s="0">
        <v>666</v>
      </c>
      <c r="BV24" t="s" s="0">
        <v>81</v>
      </c>
      <c r="BW24" t="s" s="0">
        <v>81</v>
      </c>
      <c r="BX24" t="s" s="0">
        <v>116</v>
      </c>
    </row>
    <row r="25">
      <c r="A25" t="s" s="0">
        <v>77</v>
      </c>
      <c r="B25" t="s" s="0">
        <v>77</v>
      </c>
      <c r="C25" t="s" s="0">
        <v>130</v>
      </c>
      <c r="D25" t="s" s="0">
        <v>77</v>
      </c>
      <c r="E25" t="s" s="0">
        <v>782</v>
      </c>
      <c r="F25" t="s" s="0">
        <v>783</v>
      </c>
      <c r="G25" t="s" s="0">
        <v>784</v>
      </c>
      <c r="H25" t="s" s="0">
        <v>81</v>
      </c>
      <c r="I25" t="s" s="0">
        <v>82</v>
      </c>
      <c r="J25" t="s" s="0">
        <v>785</v>
      </c>
      <c r="K25" t="s" s="0">
        <v>786</v>
      </c>
      <c r="L25" t="s" s="0">
        <v>81</v>
      </c>
      <c r="M25" t="s" s="0">
        <v>81</v>
      </c>
      <c r="N25" t="s" s="0">
        <v>81</v>
      </c>
      <c r="O25" t="s" s="0">
        <v>787</v>
      </c>
      <c r="P25" t="s" s="0">
        <v>788</v>
      </c>
      <c r="Q25" t="s" s="0">
        <v>90</v>
      </c>
      <c r="R25" t="s" s="0">
        <v>81</v>
      </c>
      <c r="S25" t="s" s="0">
        <v>81</v>
      </c>
      <c r="T25" t="s" s="0">
        <v>81</v>
      </c>
      <c r="U25" t="s" s="0">
        <v>81</v>
      </c>
      <c r="V25" t="s" s="0">
        <v>789</v>
      </c>
      <c r="W25" t="s" s="0">
        <v>790</v>
      </c>
      <c r="X25" t="s" s="0">
        <v>81</v>
      </c>
      <c r="Y25" t="s" s="0">
        <v>81</v>
      </c>
      <c r="Z25" t="s" s="0">
        <v>93</v>
      </c>
      <c r="AA25" t="s" s="0">
        <v>94</v>
      </c>
      <c r="AB25" t="s" s="0">
        <v>81</v>
      </c>
      <c r="AC25" t="s" s="0">
        <v>81</v>
      </c>
      <c r="AD25" t="s" s="0">
        <v>81</v>
      </c>
      <c r="AE25" t="s" s="0">
        <v>81</v>
      </c>
      <c r="AF25" t="s" s="0">
        <v>81</v>
      </c>
      <c r="AG25" t="s" s="0">
        <v>81</v>
      </c>
      <c r="AH25" t="s" s="0">
        <v>791</v>
      </c>
      <c r="AI25" t="s" s="0">
        <v>792</v>
      </c>
      <c r="AJ25" t="s" s="0">
        <v>793</v>
      </c>
      <c r="AK25" t="s" s="0">
        <v>81</v>
      </c>
      <c r="AL25" t="s" s="0">
        <v>794</v>
      </c>
      <c r="AM25" t="s" s="0">
        <v>161</v>
      </c>
      <c r="AN25" t="s" s="0">
        <v>128</v>
      </c>
      <c r="AO25" t="s" s="0">
        <v>117</v>
      </c>
      <c r="AP25" t="s" s="0">
        <v>130</v>
      </c>
      <c r="AQ25" t="s" s="0">
        <v>406</v>
      </c>
      <c r="AR25" t="s" s="0">
        <v>407</v>
      </c>
      <c r="AS25" t="s" s="0">
        <v>408</v>
      </c>
      <c r="AT25" t="s" s="0">
        <v>795</v>
      </c>
      <c r="AU25" t="s" s="0">
        <v>81</v>
      </c>
      <c r="AV25" t="s" s="0">
        <v>81</v>
      </c>
      <c r="AW25" t="s" s="0">
        <v>796</v>
      </c>
      <c r="AX25" t="s" s="0">
        <v>797</v>
      </c>
      <c r="AY25" t="s" s="0">
        <v>284</v>
      </c>
      <c r="AZ25" t="s" s="0">
        <v>104</v>
      </c>
      <c r="BA25" t="s" s="0">
        <v>798</v>
      </c>
      <c r="BB25" t="s" s="0">
        <v>81</v>
      </c>
      <c r="BC25" t="s" s="0">
        <v>81</v>
      </c>
      <c r="BD25" t="s" s="0">
        <v>81</v>
      </c>
      <c r="BE25" t="s" s="0">
        <v>81</v>
      </c>
      <c r="BF25" t="s" s="0">
        <v>81</v>
      </c>
      <c r="BG25" t="s" s="0">
        <v>81</v>
      </c>
      <c r="BH25" t="s" s="0">
        <v>81</v>
      </c>
      <c r="BI25" t="s" s="0">
        <v>799</v>
      </c>
      <c r="BJ25" t="s" s="0">
        <v>800</v>
      </c>
      <c r="BK25" t="s" s="47">
        <f>HYPERLINK("http://dx.doi.org/10.1016/j.cobme.2025.100632","http://dx.doi.org/10.1016/j.cobme.2025.100632")</f>
        <v>801</v>
      </c>
      <c r="BL25" t="s" s="0">
        <v>81</v>
      </c>
      <c r="BM25" t="s" s="0">
        <v>382</v>
      </c>
      <c r="BN25" t="s" s="0">
        <v>228</v>
      </c>
      <c r="BO25" t="s" s="0">
        <v>238</v>
      </c>
      <c r="BP25" t="s" s="0">
        <v>239</v>
      </c>
      <c r="BQ25" t="s" s="0">
        <v>802</v>
      </c>
      <c r="BR25" t="s" s="0">
        <v>81</v>
      </c>
      <c r="BS25" t="s" s="0">
        <v>803</v>
      </c>
      <c r="BT25" t="s" s="48">
        <f>HYPERLINK("https://www.webofscience.com/wos/woscc/full-record/WOS:001633748500001","View Record in Web of Science")</f>
        <v>114</v>
      </c>
      <c r="BU25" t="s" s="0">
        <v>804</v>
      </c>
      <c r="BV25" t="s" s="0">
        <v>81</v>
      </c>
      <c r="BW25" t="s" s="0">
        <v>81</v>
      </c>
      <c r="BX25" t="s" s="0">
        <v>116</v>
      </c>
    </row>
    <row r="26">
      <c r="A26" t="s" s="0">
        <v>130</v>
      </c>
      <c r="B26" t="s" s="0">
        <v>77</v>
      </c>
      <c r="C26" t="s" s="0">
        <v>227</v>
      </c>
      <c r="D26" t="s" s="0">
        <v>77</v>
      </c>
      <c r="E26" t="s" s="0">
        <v>805</v>
      </c>
      <c r="F26" t="s" s="0">
        <v>806</v>
      </c>
      <c r="G26" t="s" s="0">
        <v>807</v>
      </c>
      <c r="H26" t="s" s="0">
        <v>81</v>
      </c>
      <c r="I26" t="s" s="0">
        <v>213</v>
      </c>
      <c r="J26" t="s" s="0">
        <v>808</v>
      </c>
      <c r="K26" t="s" s="0">
        <v>809</v>
      </c>
      <c r="L26" t="s" s="0">
        <v>810</v>
      </c>
      <c r="M26" t="s" s="0">
        <v>811</v>
      </c>
      <c r="N26" t="s" s="0">
        <v>812</v>
      </c>
      <c r="O26" t="s" s="0">
        <v>813</v>
      </c>
      <c r="P26" t="s" s="0">
        <v>814</v>
      </c>
      <c r="Q26" t="s" s="0">
        <v>90</v>
      </c>
      <c r="R26" t="s" s="0">
        <v>81</v>
      </c>
      <c r="S26" t="s" s="0">
        <v>81</v>
      </c>
      <c r="T26" t="s" s="0">
        <v>81</v>
      </c>
      <c r="U26" t="s" s="0">
        <v>81</v>
      </c>
      <c r="V26" t="s" s="0">
        <v>815</v>
      </c>
      <c r="W26" t="s" s="0">
        <v>816</v>
      </c>
      <c r="X26" t="s" s="0">
        <v>81</v>
      </c>
      <c r="Y26" t="s" s="0">
        <v>81</v>
      </c>
      <c r="Z26" t="s" s="0">
        <v>93</v>
      </c>
      <c r="AA26" t="s" s="0">
        <v>94</v>
      </c>
      <c r="AB26" t="s" s="0">
        <v>81</v>
      </c>
      <c r="AC26" t="s" s="0">
        <v>81</v>
      </c>
      <c r="AD26" t="s" s="0">
        <v>81</v>
      </c>
      <c r="AE26" t="s" s="0">
        <v>81</v>
      </c>
      <c r="AF26" t="s" s="0">
        <v>81</v>
      </c>
      <c r="AG26" t="s" s="0">
        <v>81</v>
      </c>
      <c r="AH26" t="s" s="0">
        <v>817</v>
      </c>
      <c r="AI26" t="s" s="0">
        <v>818</v>
      </c>
      <c r="AJ26" t="s" s="0">
        <v>819</v>
      </c>
      <c r="AK26" t="s" s="0">
        <v>81</v>
      </c>
      <c r="AL26" t="s" s="0">
        <v>438</v>
      </c>
      <c r="AM26" t="s" s="0">
        <v>541</v>
      </c>
      <c r="AN26" t="s" s="0">
        <v>237</v>
      </c>
      <c r="AO26" t="s" s="0">
        <v>128</v>
      </c>
      <c r="AP26" t="s" s="0">
        <v>405</v>
      </c>
      <c r="AQ26" t="s" s="0">
        <v>439</v>
      </c>
      <c r="AR26" t="s" s="0">
        <v>339</v>
      </c>
      <c r="AS26" t="s" s="0">
        <v>820</v>
      </c>
      <c r="AT26" t="s" s="0">
        <v>81</v>
      </c>
      <c r="AU26" t="s" s="0">
        <v>821</v>
      </c>
      <c r="AV26" t="s" s="0">
        <v>81</v>
      </c>
      <c r="AW26" t="s" s="0">
        <v>822</v>
      </c>
      <c r="AX26" t="s" s="0">
        <v>823</v>
      </c>
      <c r="AY26" t="s" s="0">
        <v>824</v>
      </c>
      <c r="AZ26" t="s" s="0">
        <v>136</v>
      </c>
      <c r="BA26" t="s" s="0">
        <v>160</v>
      </c>
      <c r="BB26" t="s" s="0">
        <v>161</v>
      </c>
      <c r="BC26" t="s" s="0">
        <v>81</v>
      </c>
      <c r="BD26" t="s" s="0">
        <v>81</v>
      </c>
      <c r="BE26" t="s" s="0">
        <v>81</v>
      </c>
      <c r="BF26" t="s" s="0">
        <v>81</v>
      </c>
      <c r="BG26" t="s" s="0">
        <v>81</v>
      </c>
      <c r="BH26" t="s" s="0">
        <v>81</v>
      </c>
      <c r="BI26" t="s" s="0">
        <v>81</v>
      </c>
      <c r="BJ26" t="s" s="0">
        <v>825</v>
      </c>
      <c r="BK26" t="s" s="49">
        <f>HYPERLINK("http://dx.doi.org/10.1038/s44161-025-00679-1","http://dx.doi.org/10.1038/s44161-025-00679-1")</f>
        <v>826</v>
      </c>
      <c r="BL26" t="s" s="0">
        <v>81</v>
      </c>
      <c r="BM26" t="s" s="0">
        <v>824</v>
      </c>
      <c r="BN26" t="s" s="0">
        <v>337</v>
      </c>
      <c r="BO26" t="s" s="0">
        <v>515</v>
      </c>
      <c r="BP26" t="s" s="0">
        <v>516</v>
      </c>
      <c r="BQ26" t="s" s="0">
        <v>827</v>
      </c>
      <c r="BR26" t="s" s="0">
        <v>828</v>
      </c>
      <c r="BS26" t="s" s="0">
        <v>829</v>
      </c>
      <c r="BT26" t="s" s="50">
        <f>HYPERLINK("https://www.webofscience.com/wos/woscc/full-record/WOS:001521547800001","View Record in Web of Science")</f>
        <v>114</v>
      </c>
      <c r="BU26" t="s" s="0">
        <v>457</v>
      </c>
      <c r="BV26" t="s" s="0">
        <v>81</v>
      </c>
      <c r="BW26" t="s" s="0">
        <v>81</v>
      </c>
      <c r="BX26" t="s" s="0">
        <v>116</v>
      </c>
    </row>
    <row r="27">
      <c r="A27" t="s" s="0">
        <v>117</v>
      </c>
      <c r="B27" t="s" s="0">
        <v>77</v>
      </c>
      <c r="C27" t="s" s="0">
        <v>227</v>
      </c>
      <c r="D27" t="s" s="0">
        <v>77</v>
      </c>
      <c r="E27" t="s" s="0">
        <v>830</v>
      </c>
      <c r="F27" t="s" s="0">
        <v>831</v>
      </c>
      <c r="G27" t="s" s="0">
        <v>832</v>
      </c>
      <c r="H27" t="s" s="0">
        <v>81</v>
      </c>
      <c r="I27" t="s" s="0">
        <v>82</v>
      </c>
      <c r="J27" t="s" s="0">
        <v>833</v>
      </c>
      <c r="K27" t="s" s="0">
        <v>834</v>
      </c>
      <c r="L27" t="s" s="0">
        <v>835</v>
      </c>
      <c r="M27" t="s" s="0">
        <v>836</v>
      </c>
      <c r="N27" t="s" s="0">
        <v>837</v>
      </c>
      <c r="O27" t="s" s="0">
        <v>838</v>
      </c>
      <c r="P27" t="s" s="0">
        <v>839</v>
      </c>
      <c r="Q27" t="s" s="0">
        <v>90</v>
      </c>
      <c r="R27" t="s" s="0">
        <v>81</v>
      </c>
      <c r="S27" t="s" s="0">
        <v>81</v>
      </c>
      <c r="T27" t="s" s="0">
        <v>81</v>
      </c>
      <c r="U27" t="s" s="0">
        <v>81</v>
      </c>
      <c r="V27" t="s" s="0">
        <v>840</v>
      </c>
      <c r="W27" t="s" s="0">
        <v>841</v>
      </c>
      <c r="X27" t="s" s="0">
        <v>81</v>
      </c>
      <c r="Y27" t="s" s="0">
        <v>81</v>
      </c>
      <c r="Z27" t="s" s="0">
        <v>93</v>
      </c>
      <c r="AA27" t="s" s="0">
        <v>94</v>
      </c>
      <c r="AB27" t="s" s="0">
        <v>81</v>
      </c>
      <c r="AC27" t="s" s="0">
        <v>81</v>
      </c>
      <c r="AD27" t="s" s="0">
        <v>81</v>
      </c>
      <c r="AE27" t="s" s="0">
        <v>81</v>
      </c>
      <c r="AF27" t="s" s="0">
        <v>81</v>
      </c>
      <c r="AG27" t="s" s="0">
        <v>842</v>
      </c>
      <c r="AH27" t="s" s="0">
        <v>843</v>
      </c>
      <c r="AI27" t="s" s="0">
        <v>844</v>
      </c>
      <c r="AJ27" t="s" s="0">
        <v>845</v>
      </c>
      <c r="AK27" t="s" s="0">
        <v>81</v>
      </c>
      <c r="AL27" t="s" s="0">
        <v>438</v>
      </c>
      <c r="AM27" t="s" s="0">
        <v>337</v>
      </c>
      <c r="AN27" t="s" s="0">
        <v>846</v>
      </c>
      <c r="AO27" t="s" s="0">
        <v>160</v>
      </c>
      <c r="AP27" t="s" s="0">
        <v>369</v>
      </c>
      <c r="AQ27" t="s" s="0">
        <v>305</v>
      </c>
      <c r="AR27" t="s" s="0">
        <v>306</v>
      </c>
      <c r="AS27" t="s" s="0">
        <v>307</v>
      </c>
      <c r="AT27" t="s" s="0">
        <v>847</v>
      </c>
      <c r="AU27" t="s" s="0">
        <v>848</v>
      </c>
      <c r="AV27" t="s" s="0">
        <v>81</v>
      </c>
      <c r="AW27" t="s" s="0">
        <v>849</v>
      </c>
      <c r="AX27" t="s" s="0">
        <v>850</v>
      </c>
      <c r="AY27" t="s" s="0">
        <v>851</v>
      </c>
      <c r="AZ27" t="s" s="0">
        <v>573</v>
      </c>
      <c r="BA27" t="s" s="0">
        <v>852</v>
      </c>
      <c r="BB27" t="s" s="0">
        <v>81</v>
      </c>
      <c r="BC27" t="s" s="0">
        <v>81</v>
      </c>
      <c r="BD27" t="s" s="0">
        <v>81</v>
      </c>
      <c r="BE27" t="s" s="0">
        <v>81</v>
      </c>
      <c r="BF27" t="s" s="0">
        <v>81</v>
      </c>
      <c r="BG27" t="s" s="0">
        <v>81</v>
      </c>
      <c r="BH27" t="s" s="0">
        <v>81</v>
      </c>
      <c r="BI27" t="s" s="0">
        <v>853</v>
      </c>
      <c r="BJ27" t="s" s="0">
        <v>854</v>
      </c>
      <c r="BK27" t="s" s="51">
        <f>HYPERLINK("http://dx.doi.org/10.1016/j.compbiomed.2023.107704","http://dx.doi.org/10.1016/j.compbiomed.2023.107704")</f>
        <v>855</v>
      </c>
      <c r="BL27" t="s" s="0">
        <v>81</v>
      </c>
      <c r="BM27" t="s" s="0">
        <v>856</v>
      </c>
      <c r="BN27" t="s" s="0">
        <v>228</v>
      </c>
      <c r="BO27" t="s" s="0">
        <v>857</v>
      </c>
      <c r="BP27" t="s" s="0">
        <v>858</v>
      </c>
      <c r="BQ27" t="s" s="0">
        <v>859</v>
      </c>
      <c r="BR27" t="s" s="0">
        <v>860</v>
      </c>
      <c r="BS27" t="s" s="0">
        <v>861</v>
      </c>
      <c r="BT27" t="s" s="52">
        <f>HYPERLINK("https://www.webofscience.com/wos/woscc/full-record/WOS:001119023400001","View Record in Web of Science")</f>
        <v>114</v>
      </c>
      <c r="BU27" t="s" s="0">
        <v>457</v>
      </c>
      <c r="BV27" t="s" s="0">
        <v>81</v>
      </c>
      <c r="BW27" t="s" s="0">
        <v>81</v>
      </c>
      <c r="BX27" t="s" s="0">
        <v>116</v>
      </c>
    </row>
    <row r="28">
      <c r="A28" t="s" s="0">
        <v>117</v>
      </c>
      <c r="B28" t="s" s="0">
        <v>77</v>
      </c>
      <c r="C28" t="s" s="0">
        <v>204</v>
      </c>
      <c r="D28" t="s" s="0">
        <v>77</v>
      </c>
      <c r="E28" t="s" s="0">
        <v>862</v>
      </c>
      <c r="F28" t="s" s="0">
        <v>863</v>
      </c>
      <c r="G28" t="s" s="0">
        <v>864</v>
      </c>
      <c r="H28" t="s" s="0">
        <v>81</v>
      </c>
      <c r="I28" t="s" s="0">
        <v>213</v>
      </c>
      <c r="J28" t="s" s="0">
        <v>865</v>
      </c>
      <c r="K28" t="s" s="0">
        <v>866</v>
      </c>
      <c r="L28" t="s" s="0">
        <v>867</v>
      </c>
      <c r="M28" t="s" s="0">
        <v>868</v>
      </c>
      <c r="N28" t="s" s="0">
        <v>869</v>
      </c>
      <c r="O28" t="s" s="0">
        <v>870</v>
      </c>
      <c r="P28" t="s" s="0">
        <v>871</v>
      </c>
      <c r="Q28" t="s" s="0">
        <v>90</v>
      </c>
      <c r="R28" t="s" s="0">
        <v>81</v>
      </c>
      <c r="S28" t="s" s="0">
        <v>81</v>
      </c>
      <c r="T28" t="s" s="0">
        <v>81</v>
      </c>
      <c r="U28" t="s" s="0">
        <v>81</v>
      </c>
      <c r="V28" t="s" s="0">
        <v>872</v>
      </c>
      <c r="W28" t="s" s="0">
        <v>873</v>
      </c>
      <c r="X28" t="s" s="0">
        <v>81</v>
      </c>
      <c r="Y28" t="s" s="0">
        <v>81</v>
      </c>
      <c r="Z28" t="s" s="0">
        <v>93</v>
      </c>
      <c r="AA28" t="s" s="0">
        <v>94</v>
      </c>
      <c r="AB28" t="s" s="0">
        <v>81</v>
      </c>
      <c r="AC28" t="s" s="0">
        <v>81</v>
      </c>
      <c r="AD28" t="s" s="0">
        <v>81</v>
      </c>
      <c r="AE28" t="s" s="0">
        <v>81</v>
      </c>
      <c r="AF28" t="s" s="0">
        <v>81</v>
      </c>
      <c r="AG28" t="s" s="0">
        <v>874</v>
      </c>
      <c r="AH28" t="s" s="0">
        <v>875</v>
      </c>
      <c r="AI28" t="s" s="0">
        <v>876</v>
      </c>
      <c r="AJ28" t="s" s="0">
        <v>877</v>
      </c>
      <c r="AK28" t="s" s="0">
        <v>81</v>
      </c>
      <c r="AL28" t="s" s="0">
        <v>337</v>
      </c>
      <c r="AM28" t="s" s="0">
        <v>878</v>
      </c>
      <c r="AN28" t="s" s="0">
        <v>705</v>
      </c>
      <c r="AO28" t="s" s="0">
        <v>77</v>
      </c>
      <c r="AP28" t="s" s="0">
        <v>137</v>
      </c>
      <c r="AQ28" t="s" s="0">
        <v>738</v>
      </c>
      <c r="AR28" t="s" s="0">
        <v>306</v>
      </c>
      <c r="AS28" t="s" s="0">
        <v>739</v>
      </c>
      <c r="AT28" t="s" s="0">
        <v>81</v>
      </c>
      <c r="AU28" t="s" s="0">
        <v>879</v>
      </c>
      <c r="AV28" t="s" s="0">
        <v>81</v>
      </c>
      <c r="AW28" t="s" s="0">
        <v>880</v>
      </c>
      <c r="AX28" t="s" s="0">
        <v>881</v>
      </c>
      <c r="AY28" t="s" s="0">
        <v>882</v>
      </c>
      <c r="AZ28" t="s" s="0">
        <v>482</v>
      </c>
      <c r="BA28" t="s" s="0">
        <v>227</v>
      </c>
      <c r="BB28" t="s" s="0">
        <v>227</v>
      </c>
      <c r="BC28" t="s" s="0">
        <v>81</v>
      </c>
      <c r="BD28" t="s" s="0">
        <v>81</v>
      </c>
      <c r="BE28" t="s" s="0">
        <v>81</v>
      </c>
      <c r="BF28" t="s" s="0">
        <v>81</v>
      </c>
      <c r="BG28" t="s" s="0">
        <v>883</v>
      </c>
      <c r="BH28" t="s" s="0">
        <v>884</v>
      </c>
      <c r="BI28" t="s" s="0">
        <v>81</v>
      </c>
      <c r="BJ28" t="s" s="0">
        <v>885</v>
      </c>
      <c r="BK28" t="s" s="53">
        <f>HYPERLINK("http://dx.doi.org/10.1093/ehjdh/ztac033","http://dx.doi.org/10.1093/ehjdh/ztac033")</f>
        <v>886</v>
      </c>
      <c r="BL28" t="s" s="0">
        <v>81</v>
      </c>
      <c r="BM28" t="s" s="0">
        <v>887</v>
      </c>
      <c r="BN28" t="s" s="0">
        <v>129</v>
      </c>
      <c r="BO28" t="s" s="0">
        <v>515</v>
      </c>
      <c r="BP28" t="s" s="0">
        <v>516</v>
      </c>
      <c r="BQ28" t="s" s="0">
        <v>888</v>
      </c>
      <c r="BR28" t="s" s="0">
        <v>889</v>
      </c>
      <c r="BS28" t="s" s="0">
        <v>890</v>
      </c>
      <c r="BT28" t="s" s="54">
        <f>HYPERLINK("https://www.webofscience.com/wos/woscc/full-record/WOS:001129574400012","View Record in Web of Science")</f>
        <v>114</v>
      </c>
      <c r="BU28" t="s" s="0">
        <v>891</v>
      </c>
      <c r="BV28" t="s" s="0">
        <v>81</v>
      </c>
      <c r="BW28" t="s" s="0">
        <v>81</v>
      </c>
      <c r="BX28" t="s" s="0">
        <v>116</v>
      </c>
    </row>
    <row r="29">
      <c r="A29" t="s" s="0">
        <v>227</v>
      </c>
      <c r="B29" t="s" s="0">
        <v>77</v>
      </c>
      <c r="C29" t="s" s="0">
        <v>345</v>
      </c>
      <c r="D29" t="s" s="0">
        <v>77</v>
      </c>
      <c r="E29" t="s" s="0">
        <v>892</v>
      </c>
      <c r="F29" t="s" s="0">
        <v>893</v>
      </c>
      <c r="G29" t="s" s="0">
        <v>894</v>
      </c>
      <c r="H29" t="s" s="0">
        <v>81</v>
      </c>
      <c r="I29" t="s" s="0">
        <v>82</v>
      </c>
      <c r="J29" t="s" s="0">
        <v>895</v>
      </c>
      <c r="K29" t="s" s="0">
        <v>728</v>
      </c>
      <c r="L29" t="s" s="0">
        <v>896</v>
      </c>
      <c r="M29" t="s" s="0">
        <v>896</v>
      </c>
      <c r="N29" t="s" s="0">
        <v>897</v>
      </c>
      <c r="O29" t="s" s="0">
        <v>898</v>
      </c>
      <c r="P29" t="s" s="0">
        <v>899</v>
      </c>
      <c r="Q29" t="s" s="0">
        <v>90</v>
      </c>
      <c r="R29" t="s" s="0">
        <v>81</v>
      </c>
      <c r="S29" t="s" s="0">
        <v>81</v>
      </c>
      <c r="T29" t="s" s="0">
        <v>81</v>
      </c>
      <c r="U29" t="s" s="0">
        <v>81</v>
      </c>
      <c r="V29" t="s" s="0">
        <v>900</v>
      </c>
      <c r="W29" t="s" s="0">
        <v>271</v>
      </c>
      <c r="X29" t="s" s="0">
        <v>81</v>
      </c>
      <c r="Y29" t="s" s="0">
        <v>81</v>
      </c>
      <c r="Z29" t="s" s="0">
        <v>93</v>
      </c>
      <c r="AA29" t="s" s="0">
        <v>94</v>
      </c>
      <c r="AB29" t="s" s="0">
        <v>81</v>
      </c>
      <c r="AC29" t="s" s="0">
        <v>81</v>
      </c>
      <c r="AD29" t="s" s="0">
        <v>81</v>
      </c>
      <c r="AE29" t="s" s="0">
        <v>81</v>
      </c>
      <c r="AF29" t="s" s="0">
        <v>81</v>
      </c>
      <c r="AG29" t="s" s="0">
        <v>901</v>
      </c>
      <c r="AH29" t="s" s="0">
        <v>902</v>
      </c>
      <c r="AI29" t="s" s="0">
        <v>903</v>
      </c>
      <c r="AJ29" t="s" s="0">
        <v>904</v>
      </c>
      <c r="AK29" t="s" s="0">
        <v>81</v>
      </c>
      <c r="AL29" t="s" s="0">
        <v>905</v>
      </c>
      <c r="AM29" t="s" s="0">
        <v>906</v>
      </c>
      <c r="AN29" t="s" s="0">
        <v>907</v>
      </c>
      <c r="AO29" t="s" s="0">
        <v>225</v>
      </c>
      <c r="AP29" t="s" s="0">
        <v>237</v>
      </c>
      <c r="AQ29" t="s" s="0">
        <v>274</v>
      </c>
      <c r="AR29" t="s" s="0">
        <v>275</v>
      </c>
      <c r="AS29" t="s" s="0">
        <v>276</v>
      </c>
      <c r="AT29" t="s" s="0">
        <v>277</v>
      </c>
      <c r="AU29" t="s" s="0">
        <v>81</v>
      </c>
      <c r="AV29" t="s" s="0">
        <v>81</v>
      </c>
      <c r="AW29" t="s" s="0">
        <v>278</v>
      </c>
      <c r="AX29" t="s" s="0">
        <v>279</v>
      </c>
      <c r="AY29" t="s" s="0">
        <v>908</v>
      </c>
      <c r="AZ29" t="s" s="0">
        <v>573</v>
      </c>
      <c r="BA29" t="s" s="0">
        <v>228</v>
      </c>
      <c r="BB29" t="s" s="0">
        <v>117</v>
      </c>
      <c r="BC29" t="s" s="0">
        <v>81</v>
      </c>
      <c r="BD29" t="s" s="0">
        <v>81</v>
      </c>
      <c r="BE29" t="s" s="0">
        <v>81</v>
      </c>
      <c r="BF29" t="s" s="0">
        <v>81</v>
      </c>
      <c r="BG29" t="s" s="0">
        <v>81</v>
      </c>
      <c r="BH29" t="s" s="0">
        <v>81</v>
      </c>
      <c r="BI29" t="s" s="0">
        <v>909</v>
      </c>
      <c r="BJ29" t="s" s="0">
        <v>910</v>
      </c>
      <c r="BK29" t="s" s="55">
        <f>HYPERLINK("http://dx.doi.org/10.1038/s41598-024-78553-6","http://dx.doi.org/10.1038/s41598-024-78553-6")</f>
        <v>911</v>
      </c>
      <c r="BL29" t="s" s="0">
        <v>81</v>
      </c>
      <c r="BM29" t="s" s="0">
        <v>81</v>
      </c>
      <c r="BN29" t="s" s="0">
        <v>563</v>
      </c>
      <c r="BO29" t="s" s="0">
        <v>285</v>
      </c>
      <c r="BP29" t="s" s="0">
        <v>286</v>
      </c>
      <c r="BQ29" t="s" s="0">
        <v>912</v>
      </c>
      <c r="BR29" t="s" s="0">
        <v>913</v>
      </c>
      <c r="BS29" t="s" s="0">
        <v>914</v>
      </c>
      <c r="BT29" t="s" s="56">
        <f>HYPERLINK("https://www.webofscience.com/wos/woscc/full-record/WOS:001349432200035","View Record in Web of Science")</f>
        <v>114</v>
      </c>
      <c r="BU29" t="s" s="0">
        <v>145</v>
      </c>
      <c r="BV29" t="s" s="0">
        <v>915</v>
      </c>
      <c r="BW29" t="s" s="0">
        <v>916</v>
      </c>
      <c r="BX29" t="s" s="0">
        <v>116</v>
      </c>
    </row>
    <row r="30">
      <c r="A30" t="s" s="0">
        <v>77</v>
      </c>
      <c r="B30" t="s" s="0">
        <v>77</v>
      </c>
      <c r="C30" t="s" s="0">
        <v>77</v>
      </c>
      <c r="D30" t="s" s="0">
        <v>77</v>
      </c>
      <c r="E30" t="s" s="0">
        <v>917</v>
      </c>
      <c r="F30" t="s" s="0">
        <v>918</v>
      </c>
      <c r="G30" t="s" s="0">
        <v>919</v>
      </c>
      <c r="H30" t="s" s="0">
        <v>81</v>
      </c>
      <c r="I30" t="s" s="0">
        <v>213</v>
      </c>
      <c r="J30" t="s" s="0">
        <v>920</v>
      </c>
      <c r="K30" t="s" s="0">
        <v>921</v>
      </c>
      <c r="L30" t="s" s="0">
        <v>922</v>
      </c>
      <c r="M30" t="s" s="0">
        <v>923</v>
      </c>
      <c r="N30" t="s" s="0">
        <v>924</v>
      </c>
      <c r="O30" t="s" s="0">
        <v>925</v>
      </c>
      <c r="P30" t="s" s="0">
        <v>926</v>
      </c>
      <c r="Q30" t="s" s="0">
        <v>90</v>
      </c>
      <c r="R30" t="s" s="0">
        <v>81</v>
      </c>
      <c r="S30" t="s" s="0">
        <v>81</v>
      </c>
      <c r="T30" t="s" s="0">
        <v>81</v>
      </c>
      <c r="U30" t="s" s="0">
        <v>81</v>
      </c>
      <c r="V30" t="s" s="0">
        <v>927</v>
      </c>
      <c r="W30" t="s" s="0">
        <v>928</v>
      </c>
      <c r="X30" t="s" s="0">
        <v>81</v>
      </c>
      <c r="Y30" t="s" s="0">
        <v>81</v>
      </c>
      <c r="Z30" t="s" s="0">
        <v>93</v>
      </c>
      <c r="AA30" t="s" s="0">
        <v>94</v>
      </c>
      <c r="AB30" t="s" s="0">
        <v>81</v>
      </c>
      <c r="AC30" t="s" s="0">
        <v>81</v>
      </c>
      <c r="AD30" t="s" s="0">
        <v>81</v>
      </c>
      <c r="AE30" t="s" s="0">
        <v>81</v>
      </c>
      <c r="AF30" t="s" s="0">
        <v>81</v>
      </c>
      <c r="AG30" t="s" s="0">
        <v>81</v>
      </c>
      <c r="AH30" t="s" s="0">
        <v>929</v>
      </c>
      <c r="AI30" t="s" s="0">
        <v>81</v>
      </c>
      <c r="AJ30" t="s" s="0">
        <v>81</v>
      </c>
      <c r="AK30" t="s" s="0">
        <v>81</v>
      </c>
      <c r="AL30" t="s" s="0">
        <v>127</v>
      </c>
      <c r="AM30" t="s" s="0">
        <v>77</v>
      </c>
      <c r="AN30" t="s" s="0">
        <v>77</v>
      </c>
      <c r="AO30" t="s" s="0">
        <v>77</v>
      </c>
      <c r="AP30" t="s" s="0">
        <v>77</v>
      </c>
      <c r="AQ30" t="s" s="0">
        <v>930</v>
      </c>
      <c r="AR30" t="s" s="0">
        <v>931</v>
      </c>
      <c r="AS30" t="s" s="0">
        <v>932</v>
      </c>
      <c r="AT30" t="s" s="0">
        <v>933</v>
      </c>
      <c r="AU30" t="s" s="0">
        <v>81</v>
      </c>
      <c r="AV30" t="s" s="0">
        <v>81</v>
      </c>
      <c r="AW30" t="s" s="0">
        <v>934</v>
      </c>
      <c r="AX30" t="s" s="0">
        <v>935</v>
      </c>
      <c r="AY30" t="s" s="0">
        <v>445</v>
      </c>
      <c r="AZ30" t="s" s="0">
        <v>104</v>
      </c>
      <c r="BA30" t="s" s="0">
        <v>129</v>
      </c>
      <c r="BB30" t="s" s="0">
        <v>131</v>
      </c>
      <c r="BC30" t="s" s="0">
        <v>81</v>
      </c>
      <c r="BD30" t="s" s="0">
        <v>81</v>
      </c>
      <c r="BE30" t="s" s="0">
        <v>81</v>
      </c>
      <c r="BF30" t="s" s="0">
        <v>81</v>
      </c>
      <c r="BG30" t="s" s="0">
        <v>81</v>
      </c>
      <c r="BH30" t="s" s="0">
        <v>81</v>
      </c>
      <c r="BI30" t="s" s="0">
        <v>936</v>
      </c>
      <c r="BJ30" t="s" s="0">
        <v>937</v>
      </c>
      <c r="BK30" t="s" s="57">
        <f>HYPERLINK("http://dx.doi.org/10.1200/CCI-25-00141","http://dx.doi.org/10.1200/CCI-25-00141")</f>
        <v>938</v>
      </c>
      <c r="BL30" t="s" s="0">
        <v>81</v>
      </c>
      <c r="BM30" t="s" s="0">
        <v>81</v>
      </c>
      <c r="BN30" t="s" s="0">
        <v>128</v>
      </c>
      <c r="BO30" t="s" s="0">
        <v>939</v>
      </c>
      <c r="BP30" t="s" s="0">
        <v>939</v>
      </c>
      <c r="BQ30" t="s" s="0">
        <v>940</v>
      </c>
      <c r="BR30" t="s" s="0">
        <v>941</v>
      </c>
      <c r="BS30" t="s" s="0">
        <v>942</v>
      </c>
      <c r="BT30" t="s" s="58">
        <f>HYPERLINK("https://www.webofscience.com/wos/woscc/full-record/WOS:001800356100001","View Record in Web of Science")</f>
        <v>114</v>
      </c>
      <c r="BU30" t="s" s="0">
        <v>81</v>
      </c>
      <c r="BV30" t="s" s="0">
        <v>81</v>
      </c>
      <c r="BW30" t="s" s="0">
        <v>81</v>
      </c>
      <c r="BX30" t="s" s="0">
        <v>116</v>
      </c>
    </row>
    <row r="31">
      <c r="A31" t="s" s="0">
        <v>77</v>
      </c>
      <c r="B31" t="s" s="0">
        <v>77</v>
      </c>
      <c r="C31" t="s" s="0">
        <v>77</v>
      </c>
      <c r="D31" t="s" s="0">
        <v>77</v>
      </c>
      <c r="E31" t="s" s="0">
        <v>943</v>
      </c>
      <c r="F31" t="s" s="0">
        <v>944</v>
      </c>
      <c r="G31" t="s" s="0">
        <v>945</v>
      </c>
      <c r="H31" t="s" s="0">
        <v>81</v>
      </c>
      <c r="I31" t="s" s="0">
        <v>82</v>
      </c>
      <c r="J31" t="s" s="0">
        <v>946</v>
      </c>
      <c r="K31" t="s" s="0">
        <v>947</v>
      </c>
      <c r="L31" t="s" s="0">
        <v>948</v>
      </c>
      <c r="M31" t="s" s="0">
        <v>949</v>
      </c>
      <c r="N31" t="s" s="0">
        <v>950</v>
      </c>
      <c r="O31" t="s" s="0">
        <v>951</v>
      </c>
      <c r="P31" t="s" s="0">
        <v>952</v>
      </c>
      <c r="Q31" t="s" s="0">
        <v>90</v>
      </c>
      <c r="R31" t="s" s="0">
        <v>81</v>
      </c>
      <c r="S31" t="s" s="0">
        <v>81</v>
      </c>
      <c r="T31" t="s" s="0">
        <v>81</v>
      </c>
      <c r="U31" t="s" s="0">
        <v>81</v>
      </c>
      <c r="V31" t="s" s="0">
        <v>953</v>
      </c>
      <c r="W31" t="s" s="0">
        <v>954</v>
      </c>
      <c r="X31" t="s" s="0">
        <v>81</v>
      </c>
      <c r="Y31" t="s" s="0">
        <v>81</v>
      </c>
      <c r="Z31" t="s" s="0">
        <v>93</v>
      </c>
      <c r="AA31" t="s" s="0">
        <v>94</v>
      </c>
      <c r="AB31" t="s" s="0">
        <v>81</v>
      </c>
      <c r="AC31" t="s" s="0">
        <v>81</v>
      </c>
      <c r="AD31" t="s" s="0">
        <v>81</v>
      </c>
      <c r="AE31" t="s" s="0">
        <v>81</v>
      </c>
      <c r="AF31" t="s" s="0">
        <v>81</v>
      </c>
      <c r="AG31" t="s" s="0">
        <v>955</v>
      </c>
      <c r="AH31" t="s" s="0">
        <v>81</v>
      </c>
      <c r="AI31" t="s" s="0">
        <v>956</v>
      </c>
      <c r="AJ31" t="s" s="0">
        <v>81</v>
      </c>
      <c r="AK31" t="s" s="0">
        <v>81</v>
      </c>
      <c r="AL31" t="s" s="0">
        <v>625</v>
      </c>
      <c r="AM31" t="s" s="0">
        <v>77</v>
      </c>
      <c r="AN31" t="s" s="0">
        <v>77</v>
      </c>
      <c r="AO31" t="s" s="0">
        <v>227</v>
      </c>
      <c r="AP31" t="s" s="0">
        <v>227</v>
      </c>
      <c r="AQ31" t="s" s="0">
        <v>957</v>
      </c>
      <c r="AR31" t="s" s="0">
        <v>958</v>
      </c>
      <c r="AS31" t="s" s="0">
        <v>959</v>
      </c>
      <c r="AT31" t="s" s="0">
        <v>960</v>
      </c>
      <c r="AU31" t="s" s="0">
        <v>961</v>
      </c>
      <c r="AV31" t="s" s="0">
        <v>81</v>
      </c>
      <c r="AW31" t="s" s="0">
        <v>962</v>
      </c>
      <c r="AX31" t="s" s="0">
        <v>963</v>
      </c>
      <c r="AY31" t="s" s="0">
        <v>203</v>
      </c>
      <c r="AZ31" t="s" s="0">
        <v>104</v>
      </c>
      <c r="BA31" t="s" s="0">
        <v>964</v>
      </c>
      <c r="BB31" t="s" s="0">
        <v>81</v>
      </c>
      <c r="BC31" t="s" s="0">
        <v>81</v>
      </c>
      <c r="BD31" t="s" s="0">
        <v>81</v>
      </c>
      <c r="BE31" t="s" s="0">
        <v>81</v>
      </c>
      <c r="BF31" t="s" s="0">
        <v>81</v>
      </c>
      <c r="BG31" t="s" s="0">
        <v>81</v>
      </c>
      <c r="BH31" t="s" s="0">
        <v>81</v>
      </c>
      <c r="BI31" t="s" s="0">
        <v>965</v>
      </c>
      <c r="BJ31" t="s" s="0">
        <v>966</v>
      </c>
      <c r="BK31" t="s" s="59">
        <f>HYPERLINK("http://dx.doi.org/10.1016/j.jbi.2026.105001","http://dx.doi.org/10.1016/j.jbi.2026.105001")</f>
        <v>967</v>
      </c>
      <c r="BL31" t="s" s="0">
        <v>81</v>
      </c>
      <c r="BM31" t="s" s="0">
        <v>81</v>
      </c>
      <c r="BN31" t="s" s="0">
        <v>204</v>
      </c>
      <c r="BO31" t="s" s="0">
        <v>968</v>
      </c>
      <c r="BP31" t="s" s="0">
        <v>969</v>
      </c>
      <c r="BQ31" t="s" s="0">
        <v>970</v>
      </c>
      <c r="BR31" t="s" s="0">
        <v>971</v>
      </c>
      <c r="BS31" t="s" s="0">
        <v>972</v>
      </c>
      <c r="BT31" t="s" s="60">
        <f>HYPERLINK("https://www.webofscience.com/wos/woscc/full-record/WOS:001707715400001","View Record in Web of Science")</f>
        <v>114</v>
      </c>
      <c r="BU31" t="s" s="0">
        <v>973</v>
      </c>
      <c r="BV31" t="s" s="0">
        <v>81</v>
      </c>
      <c r="BW31" t="s" s="0">
        <v>81</v>
      </c>
      <c r="BX31" t="s" s="0">
        <v>116</v>
      </c>
    </row>
    <row r="32">
      <c r="A32" t="s" s="0">
        <v>77</v>
      </c>
      <c r="B32" t="s" s="0">
        <v>77</v>
      </c>
      <c r="C32" t="s" s="0">
        <v>77</v>
      </c>
      <c r="D32" t="s" s="0">
        <v>77</v>
      </c>
      <c r="E32" t="s" s="0">
        <v>974</v>
      </c>
      <c r="F32" t="s" s="0">
        <v>975</v>
      </c>
      <c r="G32" t="s" s="0">
        <v>976</v>
      </c>
      <c r="H32" t="s" s="0">
        <v>81</v>
      </c>
      <c r="I32" t="s" s="0">
        <v>977</v>
      </c>
      <c r="J32" t="s" s="0">
        <v>978</v>
      </c>
      <c r="K32" t="s" s="0">
        <v>979</v>
      </c>
      <c r="L32" t="s" s="0">
        <v>980</v>
      </c>
      <c r="M32" t="s" s="0">
        <v>981</v>
      </c>
      <c r="N32" t="s" s="0">
        <v>982</v>
      </c>
      <c r="O32" t="s" s="0">
        <v>983</v>
      </c>
      <c r="P32" t="s" s="0">
        <v>984</v>
      </c>
      <c r="Q32" t="s" s="0">
        <v>90</v>
      </c>
      <c r="R32" t="s" s="0">
        <v>81</v>
      </c>
      <c r="S32" t="s" s="0">
        <v>81</v>
      </c>
      <c r="T32" t="s" s="0">
        <v>81</v>
      </c>
      <c r="U32" t="s" s="0">
        <v>81</v>
      </c>
      <c r="V32" t="s" s="0">
        <v>985</v>
      </c>
      <c r="W32" t="s" s="0">
        <v>986</v>
      </c>
      <c r="X32" t="s" s="0">
        <v>81</v>
      </c>
      <c r="Y32" t="s" s="0">
        <v>81</v>
      </c>
      <c r="Z32" t="s" s="0">
        <v>93</v>
      </c>
      <c r="AA32" t="s" s="0">
        <v>94</v>
      </c>
      <c r="AB32" t="s" s="0">
        <v>81</v>
      </c>
      <c r="AC32" t="s" s="0">
        <v>81</v>
      </c>
      <c r="AD32" t="s" s="0">
        <v>81</v>
      </c>
      <c r="AE32" t="s" s="0">
        <v>81</v>
      </c>
      <c r="AF32" t="s" s="0">
        <v>81</v>
      </c>
      <c r="AG32" t="s" s="0">
        <v>987</v>
      </c>
      <c r="AH32" t="s" s="0">
        <v>988</v>
      </c>
      <c r="AI32" t="s" s="0">
        <v>81</v>
      </c>
      <c r="AJ32" t="s" s="0">
        <v>989</v>
      </c>
      <c r="AK32" t="s" s="0">
        <v>81</v>
      </c>
      <c r="AL32" t="s" s="0">
        <v>990</v>
      </c>
      <c r="AM32" t="s" s="0">
        <v>77</v>
      </c>
      <c r="AN32" t="s" s="0">
        <v>117</v>
      </c>
      <c r="AO32" t="s" s="0">
        <v>77</v>
      </c>
      <c r="AP32" t="s" s="0">
        <v>77</v>
      </c>
      <c r="AQ32" t="s" s="0">
        <v>162</v>
      </c>
      <c r="AR32" t="s" s="0">
        <v>163</v>
      </c>
      <c r="AS32" t="s" s="0">
        <v>164</v>
      </c>
      <c r="AT32" t="s" s="0">
        <v>991</v>
      </c>
      <c r="AU32" t="s" s="0">
        <v>992</v>
      </c>
      <c r="AV32" t="s" s="0">
        <v>81</v>
      </c>
      <c r="AW32" t="s" s="0">
        <v>993</v>
      </c>
      <c r="AX32" t="s" s="0">
        <v>994</v>
      </c>
      <c r="AY32" t="s" s="0">
        <v>317</v>
      </c>
      <c r="AZ32" t="s" s="0">
        <v>104</v>
      </c>
      <c r="BA32" t="s" s="0">
        <v>995</v>
      </c>
      <c r="BB32" t="s" s="0">
        <v>161</v>
      </c>
      <c r="BC32" t="s" s="0">
        <v>81</v>
      </c>
      <c r="BD32" t="s" s="0">
        <v>81</v>
      </c>
      <c r="BE32" t="s" s="0">
        <v>81</v>
      </c>
      <c r="BF32" t="s" s="0">
        <v>81</v>
      </c>
      <c r="BG32" t="s" s="0">
        <v>996</v>
      </c>
      <c r="BH32" t="s" s="0">
        <v>997</v>
      </c>
      <c r="BI32" t="s" s="0">
        <v>81</v>
      </c>
      <c r="BJ32" t="s" s="0">
        <v>998</v>
      </c>
      <c r="BK32" t="s" s="61">
        <f>HYPERLINK("http://dx.doi.org/10.1109/TMI.2026.3681722","http://dx.doi.org/10.1109/TMI.2026.3681722")</f>
        <v>999</v>
      </c>
      <c r="BL32" t="s" s="0">
        <v>81</v>
      </c>
      <c r="BM32" t="s" s="0">
        <v>81</v>
      </c>
      <c r="BN32" t="s" s="0">
        <v>226</v>
      </c>
      <c r="BO32" t="s" s="0">
        <v>1000</v>
      </c>
      <c r="BP32" t="s" s="0">
        <v>1001</v>
      </c>
      <c r="BQ32" t="s" s="0">
        <v>1002</v>
      </c>
      <c r="BR32" t="s" s="0">
        <v>1003</v>
      </c>
      <c r="BS32" t="s" s="0">
        <v>1004</v>
      </c>
      <c r="BT32" t="s" s="62">
        <f>HYPERLINK("https://www.webofscience.com/wos/woscc/full-record/WOS:001841529200043","View Record in Web of Science")</f>
        <v>114</v>
      </c>
      <c r="BU32" t="s" s="0">
        <v>973</v>
      </c>
      <c r="BV32" t="s" s="0">
        <v>81</v>
      </c>
      <c r="BW32" t="s" s="0">
        <v>81</v>
      </c>
      <c r="BX32" t="s" s="0">
        <v>116</v>
      </c>
    </row>
    <row r="33">
      <c r="A33" t="s" s="0">
        <v>77</v>
      </c>
      <c r="B33" t="s" s="0">
        <v>77</v>
      </c>
      <c r="C33" t="s" s="0">
        <v>77</v>
      </c>
      <c r="D33" t="s" s="0">
        <v>77</v>
      </c>
      <c r="E33" t="s" s="0">
        <v>1005</v>
      </c>
      <c r="F33" t="s" s="0">
        <v>1006</v>
      </c>
      <c r="G33" t="s" s="0">
        <v>1007</v>
      </c>
      <c r="H33" t="s" s="0">
        <v>81</v>
      </c>
      <c r="I33" t="s" s="0">
        <v>82</v>
      </c>
      <c r="J33" t="s" s="0">
        <v>1008</v>
      </c>
      <c r="K33" t="s" s="0">
        <v>1009</v>
      </c>
      <c r="L33" t="s" s="0">
        <v>81</v>
      </c>
      <c r="M33" t="s" s="0">
        <v>81</v>
      </c>
      <c r="N33" t="s" s="0">
        <v>1010</v>
      </c>
      <c r="O33" t="s" s="0">
        <v>1011</v>
      </c>
      <c r="P33" t="s" s="0">
        <v>1012</v>
      </c>
      <c r="Q33" t="s" s="0">
        <v>90</v>
      </c>
      <c r="R33" t="s" s="0">
        <v>81</v>
      </c>
      <c r="S33" t="s" s="0">
        <v>81</v>
      </c>
      <c r="T33" t="s" s="0">
        <v>81</v>
      </c>
      <c r="U33" t="s" s="0">
        <v>81</v>
      </c>
      <c r="V33" t="s" s="0">
        <v>1013</v>
      </c>
      <c r="W33" t="s" s="0">
        <v>1014</v>
      </c>
      <c r="X33" t="s" s="0">
        <v>81</v>
      </c>
      <c r="Y33" t="s" s="0">
        <v>81</v>
      </c>
      <c r="Z33" t="s" s="0">
        <v>93</v>
      </c>
      <c r="AA33" t="s" s="0">
        <v>94</v>
      </c>
      <c r="AB33" t="s" s="0">
        <v>81</v>
      </c>
      <c r="AC33" t="s" s="0">
        <v>81</v>
      </c>
      <c r="AD33" t="s" s="0">
        <v>81</v>
      </c>
      <c r="AE33" t="s" s="0">
        <v>81</v>
      </c>
      <c r="AF33" t="s" s="0">
        <v>81</v>
      </c>
      <c r="AG33" t="s" s="0">
        <v>1015</v>
      </c>
      <c r="AH33" t="s" s="0">
        <v>1016</v>
      </c>
      <c r="AI33" t="s" s="0">
        <v>1017</v>
      </c>
      <c r="AJ33" t="s" s="0">
        <v>1018</v>
      </c>
      <c r="AK33" t="s" s="0">
        <v>81</v>
      </c>
      <c r="AL33" t="s" s="0">
        <v>252</v>
      </c>
      <c r="AM33" t="s" s="0">
        <v>77</v>
      </c>
      <c r="AN33" t="s" s="0">
        <v>77</v>
      </c>
      <c r="AO33" t="s" s="0">
        <v>77</v>
      </c>
      <c r="AP33" t="s" s="0">
        <v>77</v>
      </c>
      <c r="AQ33" t="s" s="0">
        <v>708</v>
      </c>
      <c r="AR33" t="s" s="0">
        <v>709</v>
      </c>
      <c r="AS33" t="s" s="0">
        <v>710</v>
      </c>
      <c r="AT33" t="s" s="0">
        <v>81</v>
      </c>
      <c r="AU33" t="s" s="0">
        <v>1019</v>
      </c>
      <c r="AV33" t="s" s="0">
        <v>81</v>
      </c>
      <c r="AW33" t="s" s="0">
        <v>1020</v>
      </c>
      <c r="AX33" t="s" s="0">
        <v>1021</v>
      </c>
      <c r="AY33" t="s" s="0">
        <v>1022</v>
      </c>
      <c r="AZ33" t="s" s="0">
        <v>104</v>
      </c>
      <c r="BA33" t="s" s="0">
        <v>172</v>
      </c>
      <c r="BB33" t="s" s="0">
        <v>226</v>
      </c>
      <c r="BC33" t="s" s="0">
        <v>81</v>
      </c>
      <c r="BD33" t="s" s="0">
        <v>81</v>
      </c>
      <c r="BE33" t="s" s="0">
        <v>81</v>
      </c>
      <c r="BF33" t="s" s="0">
        <v>81</v>
      </c>
      <c r="BG33" t="s" s="0">
        <v>81</v>
      </c>
      <c r="BH33" t="s" s="0">
        <v>81</v>
      </c>
      <c r="BI33" t="s" s="0">
        <v>1023</v>
      </c>
      <c r="BJ33" t="s" s="0">
        <v>1024</v>
      </c>
      <c r="BK33" t="s" s="63">
        <f>HYPERLINK("http://dx.doi.org/10.1161/JAHA.125.048151","http://dx.doi.org/10.1161/JAHA.125.048151")</f>
        <v>1025</v>
      </c>
      <c r="BL33" t="s" s="0">
        <v>81</v>
      </c>
      <c r="BM33" t="s" s="0">
        <v>81</v>
      </c>
      <c r="BN33" t="s" s="0">
        <v>563</v>
      </c>
      <c r="BO33" t="s" s="0">
        <v>515</v>
      </c>
      <c r="BP33" t="s" s="0">
        <v>516</v>
      </c>
      <c r="BQ33" t="s" s="0">
        <v>1026</v>
      </c>
      <c r="BR33" t="s" s="0">
        <v>1027</v>
      </c>
      <c r="BS33" t="s" s="0">
        <v>1028</v>
      </c>
      <c r="BT33" t="s" s="64">
        <f>HYPERLINK("https://www.webofscience.com/wos/woscc/full-record/WOS:001794737800001","View Record in Web of Science")</f>
        <v>114</v>
      </c>
      <c r="BU33" t="s" s="0">
        <v>145</v>
      </c>
      <c r="BV33" t="s" s="0">
        <v>81</v>
      </c>
      <c r="BW33" t="s" s="0">
        <v>81</v>
      </c>
      <c r="BX33" t="s" s="0">
        <v>116</v>
      </c>
    </row>
    <row r="34">
      <c r="A34" t="s" s="0">
        <v>77</v>
      </c>
      <c r="B34" t="s" s="0">
        <v>77</v>
      </c>
      <c r="C34" t="s" s="0">
        <v>77</v>
      </c>
      <c r="D34" t="s" s="0">
        <v>77</v>
      </c>
      <c r="E34" t="s" s="0">
        <v>1029</v>
      </c>
      <c r="F34" t="s" s="0">
        <v>1030</v>
      </c>
      <c r="G34" t="s" s="0">
        <v>1031</v>
      </c>
      <c r="H34" t="s" s="0">
        <v>81</v>
      </c>
      <c r="I34" t="s" s="0">
        <v>213</v>
      </c>
      <c r="J34" t="s" s="0">
        <v>1032</v>
      </c>
      <c r="K34" t="s" s="0">
        <v>1033</v>
      </c>
      <c r="L34" t="s" s="0">
        <v>1034</v>
      </c>
      <c r="M34" t="s" s="0">
        <v>1035</v>
      </c>
      <c r="N34" t="s" s="0">
        <v>1036</v>
      </c>
      <c r="O34" t="s" s="0">
        <v>1037</v>
      </c>
      <c r="P34" t="s" s="0">
        <v>1038</v>
      </c>
      <c r="Q34" t="s" s="0">
        <v>90</v>
      </c>
      <c r="R34" t="s" s="0">
        <v>81</v>
      </c>
      <c r="S34" t="s" s="0">
        <v>81</v>
      </c>
      <c r="T34" t="s" s="0">
        <v>81</v>
      </c>
      <c r="U34" t="s" s="0">
        <v>81</v>
      </c>
      <c r="V34" t="s" s="0">
        <v>1039</v>
      </c>
      <c r="W34" t="s" s="0">
        <v>1040</v>
      </c>
      <c r="X34" t="s" s="0">
        <v>81</v>
      </c>
      <c r="Y34" t="s" s="0">
        <v>81</v>
      </c>
      <c r="Z34" t="s" s="0">
        <v>93</v>
      </c>
      <c r="AA34" t="s" s="0">
        <v>94</v>
      </c>
      <c r="AB34" t="s" s="0">
        <v>81</v>
      </c>
      <c r="AC34" t="s" s="0">
        <v>81</v>
      </c>
      <c r="AD34" t="s" s="0">
        <v>81</v>
      </c>
      <c r="AE34" t="s" s="0">
        <v>81</v>
      </c>
      <c r="AF34" t="s" s="0">
        <v>81</v>
      </c>
      <c r="AG34" t="s" s="0">
        <v>1041</v>
      </c>
      <c r="AH34" t="s" s="0">
        <v>81</v>
      </c>
      <c r="AI34" t="s" s="0">
        <v>1042</v>
      </c>
      <c r="AJ34" t="s" s="0">
        <v>81</v>
      </c>
      <c r="AK34" t="s" s="0">
        <v>81</v>
      </c>
      <c r="AL34" t="s" s="0">
        <v>193</v>
      </c>
      <c r="AM34" t="s" s="0">
        <v>77</v>
      </c>
      <c r="AN34" t="s" s="0">
        <v>77</v>
      </c>
      <c r="AO34" t="s" s="0">
        <v>77</v>
      </c>
      <c r="AP34" t="s" s="0">
        <v>77</v>
      </c>
      <c r="AQ34" t="s" s="0">
        <v>708</v>
      </c>
      <c r="AR34" t="s" s="0">
        <v>709</v>
      </c>
      <c r="AS34" t="s" s="0">
        <v>710</v>
      </c>
      <c r="AT34" t="s" s="0">
        <v>81</v>
      </c>
      <c r="AU34" t="s" s="0">
        <v>1043</v>
      </c>
      <c r="AV34" t="s" s="0">
        <v>81</v>
      </c>
      <c r="AW34" t="s" s="0">
        <v>1044</v>
      </c>
      <c r="AX34" t="s" s="0">
        <v>1045</v>
      </c>
      <c r="AY34" t="s" s="0">
        <v>1046</v>
      </c>
      <c r="AZ34" t="s" s="0">
        <v>104</v>
      </c>
      <c r="BA34" t="s" s="0">
        <v>128</v>
      </c>
      <c r="BB34" t="s" s="0">
        <v>160</v>
      </c>
      <c r="BC34" t="s" s="0">
        <v>81</v>
      </c>
      <c r="BD34" t="s" s="0">
        <v>81</v>
      </c>
      <c r="BE34" t="s" s="0">
        <v>81</v>
      </c>
      <c r="BF34" t="s" s="0">
        <v>81</v>
      </c>
      <c r="BG34" t="s" s="0">
        <v>81</v>
      </c>
      <c r="BH34" t="s" s="0">
        <v>81</v>
      </c>
      <c r="BI34" t="s" s="0">
        <v>1047</v>
      </c>
      <c r="BJ34" t="s" s="0">
        <v>1048</v>
      </c>
      <c r="BK34" t="s" s="65">
        <f>HYPERLINK("http://dx.doi.org/10.1002/itl2.70324","http://dx.doi.org/10.1002/itl2.70324")</f>
        <v>1049</v>
      </c>
      <c r="BL34" t="s" s="0">
        <v>81</v>
      </c>
      <c r="BM34" t="s" s="0">
        <v>81</v>
      </c>
      <c r="BN34" t="s" s="0">
        <v>228</v>
      </c>
      <c r="BO34" t="s" s="0">
        <v>1050</v>
      </c>
      <c r="BP34" t="s" s="0">
        <v>1050</v>
      </c>
      <c r="BQ34" t="s" s="0">
        <v>1051</v>
      </c>
      <c r="BR34" t="s" s="0">
        <v>81</v>
      </c>
      <c r="BS34" t="s" s="0">
        <v>1052</v>
      </c>
      <c r="BT34" t="s" s="66">
        <f>HYPERLINK("https://www.webofscience.com/wos/woscc/full-record/WOS:001786616500001","View Record in Web of Science")</f>
        <v>114</v>
      </c>
      <c r="BU34" t="s" s="0">
        <v>81</v>
      </c>
      <c r="BV34" t="s" s="0">
        <v>81</v>
      </c>
      <c r="BW34" t="s" s="0">
        <v>81</v>
      </c>
      <c r="BX34" t="s" s="0">
        <v>116</v>
      </c>
    </row>
    <row r="35">
      <c r="A35" t="s" s="0">
        <v>77</v>
      </c>
      <c r="B35" t="s" s="0">
        <v>77</v>
      </c>
      <c r="C35" t="s" s="0">
        <v>77</v>
      </c>
      <c r="D35" t="s" s="0">
        <v>77</v>
      </c>
      <c r="E35" t="s" s="0">
        <v>1053</v>
      </c>
      <c r="F35" t="s" s="0">
        <v>1054</v>
      </c>
      <c r="G35" t="s" s="0">
        <v>1055</v>
      </c>
      <c r="H35" t="s" s="0">
        <v>81</v>
      </c>
      <c r="I35" t="s" s="0">
        <v>82</v>
      </c>
      <c r="J35" t="s" s="0">
        <v>1056</v>
      </c>
      <c r="K35" t="s" s="0">
        <v>1057</v>
      </c>
      <c r="L35" t="s" s="0">
        <v>1058</v>
      </c>
      <c r="M35" t="s" s="0">
        <v>184</v>
      </c>
      <c r="N35" t="s" s="0">
        <v>1059</v>
      </c>
      <c r="O35" t="s" s="0">
        <v>1060</v>
      </c>
      <c r="P35" t="s" s="0">
        <v>1061</v>
      </c>
      <c r="Q35" t="s" s="0">
        <v>90</v>
      </c>
      <c r="R35" t="s" s="0">
        <v>81</v>
      </c>
      <c r="S35" t="s" s="0">
        <v>81</v>
      </c>
      <c r="T35" t="s" s="0">
        <v>81</v>
      </c>
      <c r="U35" t="s" s="0">
        <v>81</v>
      </c>
      <c r="V35" t="s" s="0">
        <v>1062</v>
      </c>
      <c r="W35" t="s" s="0">
        <v>1063</v>
      </c>
      <c r="X35" t="s" s="0">
        <v>81</v>
      </c>
      <c r="Y35" t="s" s="0">
        <v>81</v>
      </c>
      <c r="Z35" t="s" s="0">
        <v>93</v>
      </c>
      <c r="AA35" t="s" s="0">
        <v>94</v>
      </c>
      <c r="AB35" t="s" s="0">
        <v>81</v>
      </c>
      <c r="AC35" t="s" s="0">
        <v>81</v>
      </c>
      <c r="AD35" t="s" s="0">
        <v>81</v>
      </c>
      <c r="AE35" t="s" s="0">
        <v>81</v>
      </c>
      <c r="AF35" t="s" s="0">
        <v>81</v>
      </c>
      <c r="AG35" t="s" s="0">
        <v>1064</v>
      </c>
      <c r="AH35" t="s" s="0">
        <v>81</v>
      </c>
      <c r="AI35" t="s" s="0">
        <v>1065</v>
      </c>
      <c r="AJ35" t="s" s="0">
        <v>1066</v>
      </c>
      <c r="AK35" t="s" s="0">
        <v>81</v>
      </c>
      <c r="AL35" t="s" s="0">
        <v>1067</v>
      </c>
      <c r="AM35" t="s" s="0">
        <v>77</v>
      </c>
      <c r="AN35" t="s" s="0">
        <v>77</v>
      </c>
      <c r="AO35" t="s" s="0">
        <v>131</v>
      </c>
      <c r="AP35" t="s" s="0">
        <v>172</v>
      </c>
      <c r="AQ35" t="s" s="0">
        <v>1068</v>
      </c>
      <c r="AR35" t="s" s="0">
        <v>1069</v>
      </c>
      <c r="AS35" t="s" s="0">
        <v>1070</v>
      </c>
      <c r="AT35" t="s" s="0">
        <v>1071</v>
      </c>
      <c r="AU35" t="s" s="0">
        <v>1072</v>
      </c>
      <c r="AV35" t="s" s="0">
        <v>81</v>
      </c>
      <c r="AW35" t="s" s="0">
        <v>1073</v>
      </c>
      <c r="AX35" t="s" s="0">
        <v>1074</v>
      </c>
      <c r="AY35" t="s" s="0">
        <v>349</v>
      </c>
      <c r="AZ35" t="s" s="0">
        <v>104</v>
      </c>
      <c r="BA35" t="s" s="0">
        <v>1075</v>
      </c>
      <c r="BB35" t="s" s="0">
        <v>81</v>
      </c>
      <c r="BC35" t="s" s="0">
        <v>81</v>
      </c>
      <c r="BD35" t="s" s="0">
        <v>1076</v>
      </c>
      <c r="BE35" t="s" s="0">
        <v>81</v>
      </c>
      <c r="BF35" t="s" s="0">
        <v>81</v>
      </c>
      <c r="BG35" t="s" s="0">
        <v>81</v>
      </c>
      <c r="BH35" t="s" s="0">
        <v>81</v>
      </c>
      <c r="BI35" t="s" s="0">
        <v>1077</v>
      </c>
      <c r="BJ35" t="s" s="0">
        <v>1078</v>
      </c>
      <c r="BK35" t="s" s="67">
        <f>HYPERLINK("http://dx.doi.org/10.1016/j.patcog.2025.112413","http://dx.doi.org/10.1016/j.patcog.2025.112413")</f>
        <v>1079</v>
      </c>
      <c r="BL35" t="s" s="0">
        <v>81</v>
      </c>
      <c r="BM35" t="s" s="0">
        <v>1080</v>
      </c>
      <c r="BN35" t="s" s="0">
        <v>226</v>
      </c>
      <c r="BO35" t="s" s="0">
        <v>1081</v>
      </c>
      <c r="BP35" t="s" s="0">
        <v>206</v>
      </c>
      <c r="BQ35" t="s" s="0">
        <v>1082</v>
      </c>
      <c r="BR35" t="s" s="0">
        <v>81</v>
      </c>
      <c r="BS35" t="s" s="0">
        <v>1083</v>
      </c>
      <c r="BT35" t="s" s="68">
        <f>HYPERLINK("https://www.webofscience.com/wos/woscc/full-record/WOS:001571771800001","View Record in Web of Science")</f>
        <v>114</v>
      </c>
      <c r="BU35" t="s" s="0">
        <v>81</v>
      </c>
      <c r="BV35" t="s" s="0">
        <v>81</v>
      </c>
      <c r="BW35" t="s" s="0">
        <v>81</v>
      </c>
      <c r="BX35" t="s" s="0">
        <v>116</v>
      </c>
    </row>
    <row r="36">
      <c r="A36" t="s" s="0">
        <v>77</v>
      </c>
      <c r="B36" t="s" s="0">
        <v>77</v>
      </c>
      <c r="C36" t="s" s="0">
        <v>77</v>
      </c>
      <c r="D36" t="s" s="0">
        <v>77</v>
      </c>
      <c r="E36" t="s" s="0">
        <v>1084</v>
      </c>
      <c r="F36" t="s" s="0">
        <v>1085</v>
      </c>
      <c r="G36" t="s" s="0">
        <v>1086</v>
      </c>
      <c r="H36" t="s" s="0">
        <v>81</v>
      </c>
      <c r="I36" t="s" s="0">
        <v>82</v>
      </c>
      <c r="J36" t="s" s="0">
        <v>1087</v>
      </c>
      <c r="K36" t="s" s="0">
        <v>1088</v>
      </c>
      <c r="L36" t="s" s="0">
        <v>81</v>
      </c>
      <c r="M36" t="s" s="0">
        <v>81</v>
      </c>
      <c r="N36" t="s" s="0">
        <v>81</v>
      </c>
      <c r="O36" t="s" s="0">
        <v>1089</v>
      </c>
      <c r="P36" t="s" s="0">
        <v>1090</v>
      </c>
      <c r="Q36" t="s" s="0">
        <v>90</v>
      </c>
      <c r="R36" t="s" s="0">
        <v>81</v>
      </c>
      <c r="S36" t="s" s="0">
        <v>81</v>
      </c>
      <c r="T36" t="s" s="0">
        <v>81</v>
      </c>
      <c r="U36" t="s" s="0">
        <v>81</v>
      </c>
      <c r="V36" t="s" s="0">
        <v>1091</v>
      </c>
      <c r="W36" t="s" s="0">
        <v>1092</v>
      </c>
      <c r="X36" t="s" s="0">
        <v>81</v>
      </c>
      <c r="Y36" t="s" s="0">
        <v>81</v>
      </c>
      <c r="Z36" t="s" s="0">
        <v>93</v>
      </c>
      <c r="AA36" t="s" s="0">
        <v>94</v>
      </c>
      <c r="AB36" t="s" s="0">
        <v>81</v>
      </c>
      <c r="AC36" t="s" s="0">
        <v>81</v>
      </c>
      <c r="AD36" t="s" s="0">
        <v>81</v>
      </c>
      <c r="AE36" t="s" s="0">
        <v>81</v>
      </c>
      <c r="AF36" t="s" s="0">
        <v>81</v>
      </c>
      <c r="AG36" t="s" s="0">
        <v>1093</v>
      </c>
      <c r="AH36" t="s" s="0">
        <v>1094</v>
      </c>
      <c r="AI36" t="s" s="0">
        <v>1095</v>
      </c>
      <c r="AJ36" t="s" s="0">
        <v>1096</v>
      </c>
      <c r="AK36" t="s" s="0">
        <v>81</v>
      </c>
      <c r="AL36" t="s" s="0">
        <v>1097</v>
      </c>
      <c r="AM36" t="s" s="0">
        <v>160</v>
      </c>
      <c r="AN36" t="s" s="0">
        <v>253</v>
      </c>
      <c r="AO36" t="s" s="0">
        <v>117</v>
      </c>
      <c r="AP36" t="s" s="0">
        <v>161</v>
      </c>
      <c r="AQ36" t="s" s="0">
        <v>1098</v>
      </c>
      <c r="AR36" t="s" s="0">
        <v>1099</v>
      </c>
      <c r="AS36" t="s" s="0">
        <v>1100</v>
      </c>
      <c r="AT36" t="s" s="0">
        <v>1101</v>
      </c>
      <c r="AU36" t="s" s="0">
        <v>1102</v>
      </c>
      <c r="AV36" t="s" s="0">
        <v>81</v>
      </c>
      <c r="AW36" t="s" s="0">
        <v>1103</v>
      </c>
      <c r="AX36" t="s" s="0">
        <v>1104</v>
      </c>
      <c r="AY36" t="s" s="0">
        <v>450</v>
      </c>
      <c r="AZ36" t="s" s="0">
        <v>136</v>
      </c>
      <c r="BA36" t="s" s="0">
        <v>318</v>
      </c>
      <c r="BB36" t="s" s="0">
        <v>204</v>
      </c>
      <c r="BC36" t="s" s="0">
        <v>81</v>
      </c>
      <c r="BD36" t="s" s="0">
        <v>81</v>
      </c>
      <c r="BE36" t="s" s="0">
        <v>81</v>
      </c>
      <c r="BF36" t="s" s="0">
        <v>81</v>
      </c>
      <c r="BG36" t="s" s="0">
        <v>1105</v>
      </c>
      <c r="BH36" t="s" s="0">
        <v>1106</v>
      </c>
      <c r="BI36" t="s" s="0">
        <v>81</v>
      </c>
      <c r="BJ36" t="s" s="0">
        <v>1107</v>
      </c>
      <c r="BK36" t="s" s="69">
        <f>HYPERLINK("http://dx.doi.org/10.1016/j.spinee.2025.03.021","http://dx.doi.org/10.1016/j.spinee.2025.03.021")</f>
        <v>1108</v>
      </c>
      <c r="BL36" t="s" s="0">
        <v>81</v>
      </c>
      <c r="BM36" t="s" s="0">
        <v>382</v>
      </c>
      <c r="BN36" t="s" s="0">
        <v>204</v>
      </c>
      <c r="BO36" t="s" s="0">
        <v>1109</v>
      </c>
      <c r="BP36" t="s" s="0">
        <v>1110</v>
      </c>
      <c r="BQ36" t="s" s="0">
        <v>1111</v>
      </c>
      <c r="BR36" t="s" s="0">
        <v>1112</v>
      </c>
      <c r="BS36" t="s" s="0">
        <v>1113</v>
      </c>
      <c r="BT36" t="s" s="70">
        <f>HYPERLINK("https://www.webofscience.com/wos/woscc/full-record/WOS:001597693500010","View Record in Web of Science")</f>
        <v>114</v>
      </c>
      <c r="BU36" t="s" s="0">
        <v>81</v>
      </c>
      <c r="BV36" t="s" s="0">
        <v>81</v>
      </c>
      <c r="BW36" t="s" s="0">
        <v>81</v>
      </c>
      <c r="BX36" t="s" s="0">
        <v>116</v>
      </c>
    </row>
    <row r="37">
      <c r="A37" t="s" s="0">
        <v>77</v>
      </c>
      <c r="B37" t="s" s="0">
        <v>77</v>
      </c>
      <c r="C37" t="s" s="0">
        <v>253</v>
      </c>
      <c r="D37" t="s" s="0">
        <v>77</v>
      </c>
      <c r="E37" t="s" s="0">
        <v>1114</v>
      </c>
      <c r="F37" t="s" s="0">
        <v>1115</v>
      </c>
      <c r="G37" t="s" s="0">
        <v>1116</v>
      </c>
      <c r="H37" t="s" s="0">
        <v>81</v>
      </c>
      <c r="I37" t="s" s="0">
        <v>82</v>
      </c>
      <c r="J37" t="s" s="0">
        <v>1117</v>
      </c>
      <c r="K37" t="s" s="0">
        <v>1118</v>
      </c>
      <c r="L37" t="s" s="0">
        <v>1119</v>
      </c>
      <c r="M37" t="s" s="0">
        <v>1120</v>
      </c>
      <c r="N37" t="s" s="0">
        <v>1121</v>
      </c>
      <c r="O37" t="s" s="0">
        <v>1122</v>
      </c>
      <c r="P37" t="s" s="0">
        <v>1123</v>
      </c>
      <c r="Q37" t="s" s="0">
        <v>90</v>
      </c>
      <c r="R37" t="s" s="0">
        <v>81</v>
      </c>
      <c r="S37" t="s" s="0">
        <v>81</v>
      </c>
      <c r="T37" t="s" s="0">
        <v>81</v>
      </c>
      <c r="U37" t="s" s="0">
        <v>81</v>
      </c>
      <c r="V37" t="s" s="0">
        <v>1124</v>
      </c>
      <c r="W37" t="s" s="0">
        <v>1125</v>
      </c>
      <c r="X37" t="s" s="0">
        <v>81</v>
      </c>
      <c r="Y37" t="s" s="0">
        <v>81</v>
      </c>
      <c r="Z37" t="s" s="0">
        <v>93</v>
      </c>
      <c r="AA37" t="s" s="0">
        <v>94</v>
      </c>
      <c r="AB37" t="s" s="0">
        <v>81</v>
      </c>
      <c r="AC37" t="s" s="0">
        <v>81</v>
      </c>
      <c r="AD37" t="s" s="0">
        <v>81</v>
      </c>
      <c r="AE37" t="s" s="0">
        <v>81</v>
      </c>
      <c r="AF37" t="s" s="0">
        <v>81</v>
      </c>
      <c r="AG37" t="s" s="0">
        <v>1126</v>
      </c>
      <c r="AH37" t="s" s="0">
        <v>1127</v>
      </c>
      <c r="AI37" t="s" s="0">
        <v>1128</v>
      </c>
      <c r="AJ37" t="s" s="0">
        <v>1129</v>
      </c>
      <c r="AK37" t="s" s="0">
        <v>81</v>
      </c>
      <c r="AL37" t="s" s="0">
        <v>1130</v>
      </c>
      <c r="AM37" t="s" s="0">
        <v>129</v>
      </c>
      <c r="AN37" t="s" s="0">
        <v>167</v>
      </c>
      <c r="AO37" t="s" s="0">
        <v>130</v>
      </c>
      <c r="AP37" t="s" s="0">
        <v>345</v>
      </c>
      <c r="AQ37" t="s" s="0">
        <v>1131</v>
      </c>
      <c r="AR37" t="s" s="0">
        <v>1132</v>
      </c>
      <c r="AS37" t="s" s="0">
        <v>1133</v>
      </c>
      <c r="AT37" t="s" s="0">
        <v>1134</v>
      </c>
      <c r="AU37" t="s" s="0">
        <v>1135</v>
      </c>
      <c r="AV37" t="s" s="0">
        <v>81</v>
      </c>
      <c r="AW37" t="s" s="0">
        <v>1125</v>
      </c>
      <c r="AX37" t="s" s="0">
        <v>1136</v>
      </c>
      <c r="AY37" t="s" s="0">
        <v>1137</v>
      </c>
      <c r="AZ37" t="s" s="0">
        <v>136</v>
      </c>
      <c r="BA37" t="s" s="0">
        <v>1138</v>
      </c>
      <c r="BB37" t="s" s="0">
        <v>81</v>
      </c>
      <c r="BC37" t="s" s="0">
        <v>81</v>
      </c>
      <c r="BD37" t="s" s="0">
        <v>81</v>
      </c>
      <c r="BE37" t="s" s="0">
        <v>81</v>
      </c>
      <c r="BF37" t="s" s="0">
        <v>81</v>
      </c>
      <c r="BG37" t="s" s="0">
        <v>81</v>
      </c>
      <c r="BH37" t="s" s="0">
        <v>81</v>
      </c>
      <c r="BI37" t="s" s="0">
        <v>1139</v>
      </c>
      <c r="BJ37" t="s" s="0">
        <v>1140</v>
      </c>
      <c r="BK37" t="s" s="71">
        <f>HYPERLINK("http://dx.doi.org/10.1016/j.breast.2025.103892","http://dx.doi.org/10.1016/j.breast.2025.103892")</f>
        <v>1141</v>
      </c>
      <c r="BL37" t="s" s="0">
        <v>81</v>
      </c>
      <c r="BM37" t="s" s="0">
        <v>382</v>
      </c>
      <c r="BN37" t="s" s="0">
        <v>129</v>
      </c>
      <c r="BO37" t="s" s="0">
        <v>1142</v>
      </c>
      <c r="BP37" t="s" s="0">
        <v>1142</v>
      </c>
      <c r="BQ37" t="s" s="0">
        <v>1143</v>
      </c>
      <c r="BR37" t="s" s="0">
        <v>1144</v>
      </c>
      <c r="BS37" t="s" s="0">
        <v>1145</v>
      </c>
      <c r="BT37" t="s" s="72">
        <f>HYPERLINK("https://www.webofscience.com/wos/woscc/full-record/WOS:001424560700001","View Record in Web of Science")</f>
        <v>114</v>
      </c>
      <c r="BU37" t="s" s="0">
        <v>145</v>
      </c>
      <c r="BV37" t="s" s="0">
        <v>81</v>
      </c>
      <c r="BW37" t="s" s="0">
        <v>81</v>
      </c>
      <c r="BX37" t="s" s="0">
        <v>116</v>
      </c>
    </row>
    <row r="38">
      <c r="A38" t="s" s="0">
        <v>77</v>
      </c>
      <c r="B38" t="s" s="0">
        <v>77</v>
      </c>
      <c r="C38" t="s" s="0">
        <v>227</v>
      </c>
      <c r="D38" t="s" s="0">
        <v>77</v>
      </c>
      <c r="E38" t="s" s="0">
        <v>1146</v>
      </c>
      <c r="F38" t="s" s="0">
        <v>1147</v>
      </c>
      <c r="G38" t="s" s="0">
        <v>1148</v>
      </c>
      <c r="H38" t="s" s="0">
        <v>81</v>
      </c>
      <c r="I38" t="s" s="0">
        <v>82</v>
      </c>
      <c r="J38" t="s" s="0">
        <v>1149</v>
      </c>
      <c r="K38" t="s" s="0">
        <v>1150</v>
      </c>
      <c r="L38" t="s" s="0">
        <v>1151</v>
      </c>
      <c r="M38" t="s" s="0">
        <v>1152</v>
      </c>
      <c r="N38" t="s" s="0">
        <v>1153</v>
      </c>
      <c r="O38" t="s" s="0">
        <v>1154</v>
      </c>
      <c r="P38" t="s" s="0">
        <v>1155</v>
      </c>
      <c r="Q38" t="s" s="0">
        <v>90</v>
      </c>
      <c r="R38" t="s" s="0">
        <v>81</v>
      </c>
      <c r="S38" t="s" s="0">
        <v>81</v>
      </c>
      <c r="T38" t="s" s="0">
        <v>81</v>
      </c>
      <c r="U38" t="s" s="0">
        <v>81</v>
      </c>
      <c r="V38" t="s" s="0">
        <v>1156</v>
      </c>
      <c r="W38" t="s" s="0">
        <v>1157</v>
      </c>
      <c r="X38" t="s" s="0">
        <v>81</v>
      </c>
      <c r="Y38" t="s" s="0">
        <v>81</v>
      </c>
      <c r="Z38" t="s" s="0">
        <v>93</v>
      </c>
      <c r="AA38" t="s" s="0">
        <v>94</v>
      </c>
      <c r="AB38" t="s" s="0">
        <v>81</v>
      </c>
      <c r="AC38" t="s" s="0">
        <v>81</v>
      </c>
      <c r="AD38" t="s" s="0">
        <v>81</v>
      </c>
      <c r="AE38" t="s" s="0">
        <v>81</v>
      </c>
      <c r="AF38" t="s" s="0">
        <v>81</v>
      </c>
      <c r="AG38" t="s" s="0">
        <v>1158</v>
      </c>
      <c r="AH38" t="s" s="0">
        <v>81</v>
      </c>
      <c r="AI38" t="s" s="0">
        <v>1159</v>
      </c>
      <c r="AJ38" t="s" s="0">
        <v>1160</v>
      </c>
      <c r="AK38" t="s" s="0">
        <v>81</v>
      </c>
      <c r="AL38" t="s" s="0">
        <v>562</v>
      </c>
      <c r="AM38" t="s" s="0">
        <v>846</v>
      </c>
      <c r="AN38" t="s" s="0">
        <v>405</v>
      </c>
      <c r="AO38" t="s" s="0">
        <v>130</v>
      </c>
      <c r="AP38" t="s" s="0">
        <v>1161</v>
      </c>
      <c r="AQ38" t="s" s="0">
        <v>1162</v>
      </c>
      <c r="AR38" t="s" s="0">
        <v>1163</v>
      </c>
      <c r="AS38" t="s" s="0">
        <v>1164</v>
      </c>
      <c r="AT38" t="s" s="0">
        <v>1165</v>
      </c>
      <c r="AU38" t="s" s="0">
        <v>81</v>
      </c>
      <c r="AV38" t="s" s="0">
        <v>81</v>
      </c>
      <c r="AW38" t="s" s="0">
        <v>1166</v>
      </c>
      <c r="AX38" t="s" s="0">
        <v>1167</v>
      </c>
      <c r="AY38" t="s" s="0">
        <v>1168</v>
      </c>
      <c r="AZ38" t="s" s="0">
        <v>573</v>
      </c>
      <c r="BA38" t="s" s="0">
        <v>345</v>
      </c>
      <c r="BB38" t="s" s="0">
        <v>81</v>
      </c>
      <c r="BC38" t="s" s="0">
        <v>81</v>
      </c>
      <c r="BD38" t="s" s="0">
        <v>81</v>
      </c>
      <c r="BE38" t="s" s="0">
        <v>81</v>
      </c>
      <c r="BF38" t="s" s="0">
        <v>81</v>
      </c>
      <c r="BG38" t="s" s="0">
        <v>81</v>
      </c>
      <c r="BH38" t="s" s="0">
        <v>81</v>
      </c>
      <c r="BI38" t="s" s="0">
        <v>1169</v>
      </c>
      <c r="BJ38" t="s" s="0">
        <v>1170</v>
      </c>
      <c r="BK38" t="s" s="73">
        <f>HYPERLINK("http://dx.doi.org/10.2196/54363","http://dx.doi.org/10.2196/54363")</f>
        <v>1171</v>
      </c>
      <c r="BL38" t="s" s="0">
        <v>81</v>
      </c>
      <c r="BM38" t="s" s="0">
        <v>81</v>
      </c>
      <c r="BN38" t="s" s="0">
        <v>204</v>
      </c>
      <c r="BO38" t="s" s="0">
        <v>1172</v>
      </c>
      <c r="BP38" t="s" s="0">
        <v>1172</v>
      </c>
      <c r="BQ38" t="s" s="0">
        <v>1173</v>
      </c>
      <c r="BR38" t="s" s="0">
        <v>1174</v>
      </c>
      <c r="BS38" t="s" s="0">
        <v>1175</v>
      </c>
      <c r="BT38" t="s" s="74">
        <f>HYPERLINK("https://www.webofscience.com/wos/woscc/full-record/WOS:001226586000002","View Record in Web of Science")</f>
        <v>114</v>
      </c>
      <c r="BU38" t="s" s="0">
        <v>145</v>
      </c>
      <c r="BV38" t="s" s="0">
        <v>81</v>
      </c>
      <c r="BW38" t="s" s="0">
        <v>81</v>
      </c>
      <c r="BX38" t="s" s="0">
        <v>116</v>
      </c>
    </row>
    <row r="39">
      <c r="A39" t="s" s="0">
        <v>77</v>
      </c>
      <c r="B39" t="s" s="0">
        <v>77</v>
      </c>
      <c r="C39" t="s" s="0">
        <v>77</v>
      </c>
      <c r="D39" t="s" s="0">
        <v>77</v>
      </c>
      <c r="E39" t="s" s="0">
        <v>1176</v>
      </c>
      <c r="F39" t="s" s="0">
        <v>1177</v>
      </c>
      <c r="G39" t="s" s="0">
        <v>1178</v>
      </c>
      <c r="H39" t="s" s="0">
        <v>81</v>
      </c>
      <c r="I39" t="s" s="0">
        <v>82</v>
      </c>
      <c r="J39" t="s" s="0">
        <v>1179</v>
      </c>
      <c r="K39" t="s" s="0">
        <v>1180</v>
      </c>
      <c r="L39" t="s" s="0">
        <v>1181</v>
      </c>
      <c r="M39" t="s" s="0">
        <v>1182</v>
      </c>
      <c r="N39" t="s" s="0">
        <v>1183</v>
      </c>
      <c r="O39" t="s" s="0">
        <v>1184</v>
      </c>
      <c r="P39" t="s" s="0">
        <v>1185</v>
      </c>
      <c r="Q39" t="s" s="0">
        <v>90</v>
      </c>
      <c r="R39" t="s" s="0">
        <v>81</v>
      </c>
      <c r="S39" t="s" s="0">
        <v>81</v>
      </c>
      <c r="T39" t="s" s="0">
        <v>81</v>
      </c>
      <c r="U39" t="s" s="0">
        <v>81</v>
      </c>
      <c r="V39" t="s" s="0">
        <v>1186</v>
      </c>
      <c r="W39" t="s" s="0">
        <v>557</v>
      </c>
      <c r="X39" t="s" s="0">
        <v>81</v>
      </c>
      <c r="Y39" t="s" s="0">
        <v>81</v>
      </c>
      <c r="Z39" t="s" s="0">
        <v>93</v>
      </c>
      <c r="AA39" t="s" s="0">
        <v>94</v>
      </c>
      <c r="AB39" t="s" s="0">
        <v>81</v>
      </c>
      <c r="AC39" t="s" s="0">
        <v>81</v>
      </c>
      <c r="AD39" t="s" s="0">
        <v>81</v>
      </c>
      <c r="AE39" t="s" s="0">
        <v>81</v>
      </c>
      <c r="AF39" t="s" s="0">
        <v>81</v>
      </c>
      <c r="AG39" t="s" s="0">
        <v>1187</v>
      </c>
      <c r="AH39" t="s" s="0">
        <v>1188</v>
      </c>
      <c r="AI39" t="s" s="0">
        <v>1189</v>
      </c>
      <c r="AJ39" t="s" s="0">
        <v>81</v>
      </c>
      <c r="AK39" t="s" s="0">
        <v>81</v>
      </c>
      <c r="AL39" t="s" s="0">
        <v>705</v>
      </c>
      <c r="AM39" t="s" s="0">
        <v>77</v>
      </c>
      <c r="AN39" t="s" s="0">
        <v>77</v>
      </c>
      <c r="AO39" t="s" s="0">
        <v>253</v>
      </c>
      <c r="AP39" t="s" s="0">
        <v>253</v>
      </c>
      <c r="AQ39" t="s" s="0">
        <v>565</v>
      </c>
      <c r="AR39" t="s" s="0">
        <v>566</v>
      </c>
      <c r="AS39" t="s" s="0">
        <v>567</v>
      </c>
      <c r="AT39" t="s" s="0">
        <v>568</v>
      </c>
      <c r="AU39" t="s" s="0">
        <v>569</v>
      </c>
      <c r="AV39" t="s" s="0">
        <v>81</v>
      </c>
      <c r="AW39" t="s" s="0">
        <v>570</v>
      </c>
      <c r="AX39" t="s" s="0">
        <v>571</v>
      </c>
      <c r="AY39" t="s" s="0">
        <v>1190</v>
      </c>
      <c r="AZ39" t="s" s="0">
        <v>104</v>
      </c>
      <c r="BA39" t="s" s="0">
        <v>1191</v>
      </c>
      <c r="BB39" t="s" s="0">
        <v>81</v>
      </c>
      <c r="BC39" t="s" s="0">
        <v>81</v>
      </c>
      <c r="BD39" t="s" s="0">
        <v>81</v>
      </c>
      <c r="BE39" t="s" s="0">
        <v>81</v>
      </c>
      <c r="BF39" t="s" s="0">
        <v>81</v>
      </c>
      <c r="BG39" t="s" s="0">
        <v>81</v>
      </c>
      <c r="BH39" t="s" s="0">
        <v>81</v>
      </c>
      <c r="BI39" t="s" s="0">
        <v>1192</v>
      </c>
      <c r="BJ39" t="s" s="0">
        <v>1193</v>
      </c>
      <c r="BK39" t="s" s="75">
        <f>HYPERLINK("http://dx.doi.org/10.1016/j.cmpb.2026.109265","http://dx.doi.org/10.1016/j.cmpb.2026.109265")</f>
        <v>1194</v>
      </c>
      <c r="BL39" t="s" s="0">
        <v>81</v>
      </c>
      <c r="BM39" t="s" s="0">
        <v>203</v>
      </c>
      <c r="BN39" t="s" s="0">
        <v>204</v>
      </c>
      <c r="BO39" t="s" s="0">
        <v>579</v>
      </c>
      <c r="BP39" t="s" s="0">
        <v>580</v>
      </c>
      <c r="BQ39" t="s" s="0">
        <v>1195</v>
      </c>
      <c r="BR39" t="s" s="0">
        <v>1196</v>
      </c>
      <c r="BS39" t="s" s="0">
        <v>1197</v>
      </c>
      <c r="BT39" t="s" s="76">
        <f>HYPERLINK("https://www.webofscience.com/wos/woscc/full-record/WOS:001682508600001","View Record in Web of Science")</f>
        <v>114</v>
      </c>
      <c r="BU39" t="s" s="0">
        <v>81</v>
      </c>
      <c r="BV39" t="s" s="0">
        <v>81</v>
      </c>
      <c r="BW39" t="s" s="0">
        <v>81</v>
      </c>
      <c r="BX39" t="s" s="0">
        <v>116</v>
      </c>
    </row>
    <row r="40">
      <c r="A40" t="s" s="0">
        <v>77</v>
      </c>
      <c r="B40" t="s" s="0">
        <v>77</v>
      </c>
      <c r="C40" t="s" s="0">
        <v>77</v>
      </c>
      <c r="D40" t="s" s="0">
        <v>77</v>
      </c>
      <c r="E40" t="s" s="0">
        <v>1198</v>
      </c>
      <c r="F40" t="s" s="0">
        <v>1199</v>
      </c>
      <c r="G40" t="s" s="0">
        <v>1200</v>
      </c>
      <c r="H40" t="s" s="0">
        <v>81</v>
      </c>
      <c r="I40" t="s" s="0">
        <v>691</v>
      </c>
      <c r="J40" t="s" s="0">
        <v>1201</v>
      </c>
      <c r="K40" t="s" s="0">
        <v>1202</v>
      </c>
      <c r="L40" t="s" s="0">
        <v>1203</v>
      </c>
      <c r="M40" t="s" s="0">
        <v>1204</v>
      </c>
      <c r="N40" t="s" s="0">
        <v>1205</v>
      </c>
      <c r="O40" t="s" s="0">
        <v>1206</v>
      </c>
      <c r="P40" t="s" s="0">
        <v>1207</v>
      </c>
      <c r="Q40" t="s" s="0">
        <v>90</v>
      </c>
      <c r="R40" t="s" s="0">
        <v>81</v>
      </c>
      <c r="S40" t="s" s="0">
        <v>81</v>
      </c>
      <c r="T40" t="s" s="0">
        <v>81</v>
      </c>
      <c r="U40" t="s" s="0">
        <v>81</v>
      </c>
      <c r="V40" t="s" s="0">
        <v>1208</v>
      </c>
      <c r="W40" t="s" s="0">
        <v>1209</v>
      </c>
      <c r="X40" t="s" s="0">
        <v>81</v>
      </c>
      <c r="Y40" t="s" s="0">
        <v>81</v>
      </c>
      <c r="Z40" t="s" s="0">
        <v>93</v>
      </c>
      <c r="AA40" t="s" s="0">
        <v>94</v>
      </c>
      <c r="AB40" t="s" s="0">
        <v>81</v>
      </c>
      <c r="AC40" t="s" s="0">
        <v>81</v>
      </c>
      <c r="AD40" t="s" s="0">
        <v>81</v>
      </c>
      <c r="AE40" t="s" s="0">
        <v>81</v>
      </c>
      <c r="AF40" t="s" s="0">
        <v>81</v>
      </c>
      <c r="AG40" t="s" s="0">
        <v>1210</v>
      </c>
      <c r="AH40" t="s" s="0">
        <v>81</v>
      </c>
      <c r="AI40" t="s" s="0">
        <v>1211</v>
      </c>
      <c r="AJ40" t="s" s="0">
        <v>1212</v>
      </c>
      <c r="AK40" t="s" s="0">
        <v>81</v>
      </c>
      <c r="AL40" t="s" s="0">
        <v>878</v>
      </c>
      <c r="AM40" t="s" s="0">
        <v>77</v>
      </c>
      <c r="AN40" t="s" s="0">
        <v>77</v>
      </c>
      <c r="AO40" t="s" s="0">
        <v>117</v>
      </c>
      <c r="AP40" t="s" s="0">
        <v>117</v>
      </c>
      <c r="AQ40" t="s" s="0">
        <v>476</v>
      </c>
      <c r="AR40" t="s" s="0">
        <v>477</v>
      </c>
      <c r="AS40" t="s" s="0">
        <v>478</v>
      </c>
      <c r="AT40" t="s" s="0">
        <v>81</v>
      </c>
      <c r="AU40" t="s" s="0">
        <v>1213</v>
      </c>
      <c r="AV40" t="s" s="0">
        <v>81</v>
      </c>
      <c r="AW40" t="s" s="0">
        <v>1214</v>
      </c>
      <c r="AX40" t="s" s="0">
        <v>1215</v>
      </c>
      <c r="AY40" t="s" s="0">
        <v>1216</v>
      </c>
      <c r="AZ40" t="s" s="0">
        <v>104</v>
      </c>
      <c r="BA40" t="s" s="0">
        <v>228</v>
      </c>
      <c r="BB40" t="s" s="0">
        <v>160</v>
      </c>
      <c r="BC40" t="s" s="0">
        <v>81</v>
      </c>
      <c r="BD40" t="s" s="0">
        <v>81</v>
      </c>
      <c r="BE40" t="s" s="0">
        <v>81</v>
      </c>
      <c r="BF40" t="s" s="0">
        <v>81</v>
      </c>
      <c r="BG40" t="s" s="0">
        <v>81</v>
      </c>
      <c r="BH40" t="s" s="0">
        <v>81</v>
      </c>
      <c r="BI40" t="s" s="0">
        <v>1217</v>
      </c>
      <c r="BJ40" t="s" s="0">
        <v>1218</v>
      </c>
      <c r="BK40" t="s" s="77">
        <f>HYPERLINK("http://dx.doi.org/10.3390/jintelligence14040066","http://dx.doi.org/10.3390/jintelligence14040066")</f>
        <v>1219</v>
      </c>
      <c r="BL40" t="s" s="0">
        <v>81</v>
      </c>
      <c r="BM40" t="s" s="0">
        <v>349</v>
      </c>
      <c r="BN40" t="s" s="0">
        <v>846</v>
      </c>
      <c r="BO40" t="s" s="0">
        <v>1220</v>
      </c>
      <c r="BP40" t="s" s="0">
        <v>1221</v>
      </c>
      <c r="BQ40" t="s" s="0">
        <v>1222</v>
      </c>
      <c r="BR40" t="s" s="0">
        <v>1223</v>
      </c>
      <c r="BS40" t="s" s="0">
        <v>1224</v>
      </c>
      <c r="BT40" t="s" s="78">
        <f>HYPERLINK("https://www.webofscience.com/wos/woscc/full-record/WOS:001749764000001","View Record in Web of Science")</f>
        <v>114</v>
      </c>
      <c r="BU40" t="s" s="0">
        <v>145</v>
      </c>
      <c r="BV40" t="s" s="0">
        <v>81</v>
      </c>
      <c r="BW40" t="s" s="0">
        <v>81</v>
      </c>
      <c r="BX40" t="s" s="0">
        <v>116</v>
      </c>
    </row>
    <row r="41">
      <c r="A41" t="s" s="0">
        <v>117</v>
      </c>
      <c r="B41" t="s" s="0">
        <v>77</v>
      </c>
      <c r="C41" t="s" s="0">
        <v>130</v>
      </c>
      <c r="D41" t="s" s="0">
        <v>77</v>
      </c>
      <c r="E41" t="s" s="0">
        <v>1225</v>
      </c>
      <c r="F41" t="s" s="0">
        <v>1226</v>
      </c>
      <c r="G41" t="s" s="0">
        <v>1227</v>
      </c>
      <c r="H41" t="s" s="0">
        <v>81</v>
      </c>
      <c r="I41" t="s" s="0">
        <v>82</v>
      </c>
      <c r="J41" t="s" s="0">
        <v>1228</v>
      </c>
      <c r="K41" t="s" s="0">
        <v>1229</v>
      </c>
      <c r="L41" t="s" s="0">
        <v>81</v>
      </c>
      <c r="M41" t="s" s="0">
        <v>81</v>
      </c>
      <c r="N41" t="s" s="0">
        <v>81</v>
      </c>
      <c r="O41" t="s" s="0">
        <v>1230</v>
      </c>
      <c r="P41" t="s" s="0">
        <v>1231</v>
      </c>
      <c r="Q41" t="s" s="0">
        <v>90</v>
      </c>
      <c r="R41" t="s" s="0">
        <v>81</v>
      </c>
      <c r="S41" t="s" s="0">
        <v>81</v>
      </c>
      <c r="T41" t="s" s="0">
        <v>81</v>
      </c>
      <c r="U41" t="s" s="0">
        <v>81</v>
      </c>
      <c r="V41" t="s" s="0">
        <v>1232</v>
      </c>
      <c r="W41" t="s" s="0">
        <v>1233</v>
      </c>
      <c r="X41" t="s" s="0">
        <v>81</v>
      </c>
      <c r="Y41" t="s" s="0">
        <v>81</v>
      </c>
      <c r="Z41" t="s" s="0">
        <v>93</v>
      </c>
      <c r="AA41" t="s" s="0">
        <v>94</v>
      </c>
      <c r="AB41" t="s" s="0">
        <v>81</v>
      </c>
      <c r="AC41" t="s" s="0">
        <v>81</v>
      </c>
      <c r="AD41" t="s" s="0">
        <v>81</v>
      </c>
      <c r="AE41" t="s" s="0">
        <v>81</v>
      </c>
      <c r="AF41" t="s" s="0">
        <v>81</v>
      </c>
      <c r="AG41" t="s" s="0">
        <v>81</v>
      </c>
      <c r="AH41" t="s" s="0">
        <v>81</v>
      </c>
      <c r="AI41" t="s" s="0">
        <v>1234</v>
      </c>
      <c r="AJ41" t="s" s="0">
        <v>81</v>
      </c>
      <c r="AK41" t="s" s="0">
        <v>81</v>
      </c>
      <c r="AL41" t="s" s="0">
        <v>475</v>
      </c>
      <c r="AM41" t="s" s="0">
        <v>128</v>
      </c>
      <c r="AN41" t="s" s="0">
        <v>129</v>
      </c>
      <c r="AO41" t="s" s="0">
        <v>160</v>
      </c>
      <c r="AP41" t="s" s="0">
        <v>204</v>
      </c>
      <c r="AQ41" t="s" s="0">
        <v>1235</v>
      </c>
      <c r="AR41" t="s" s="0">
        <v>1236</v>
      </c>
      <c r="AS41" t="s" s="0">
        <v>1237</v>
      </c>
      <c r="AT41" t="s" s="0">
        <v>1238</v>
      </c>
      <c r="AU41" t="s" s="0">
        <v>1239</v>
      </c>
      <c r="AV41" t="s" s="0">
        <v>81</v>
      </c>
      <c r="AW41" t="s" s="0">
        <v>1240</v>
      </c>
      <c r="AX41" t="s" s="0">
        <v>1241</v>
      </c>
      <c r="AY41" t="s" s="0">
        <v>1242</v>
      </c>
      <c r="AZ41" t="s" s="0">
        <v>136</v>
      </c>
      <c r="BA41" t="s" s="0">
        <v>225</v>
      </c>
      <c r="BB41" t="s" s="0">
        <v>81</v>
      </c>
      <c r="BC41" t="s" s="0">
        <v>81</v>
      </c>
      <c r="BD41" t="s" s="0">
        <v>81</v>
      </c>
      <c r="BE41" t="s" s="0">
        <v>81</v>
      </c>
      <c r="BF41" t="s" s="0">
        <v>81</v>
      </c>
      <c r="BG41" t="s" s="0">
        <v>81</v>
      </c>
      <c r="BH41" t="s" s="0">
        <v>81</v>
      </c>
      <c r="BI41" t="s" s="0">
        <v>1243</v>
      </c>
      <c r="BJ41" t="s" s="0">
        <v>1244</v>
      </c>
      <c r="BK41" t="s" s="79">
        <f>HYPERLINK("http://dx.doi.org/10.34133/research.0795","http://dx.doi.org/10.34133/research.0795")</f>
        <v>1245</v>
      </c>
      <c r="BL41" t="s" s="0">
        <v>81</v>
      </c>
      <c r="BM41" t="s" s="0">
        <v>81</v>
      </c>
      <c r="BN41" t="s" s="0">
        <v>225</v>
      </c>
      <c r="BO41" t="s" s="0">
        <v>285</v>
      </c>
      <c r="BP41" t="s" s="0">
        <v>286</v>
      </c>
      <c r="BQ41" t="s" s="0">
        <v>1246</v>
      </c>
      <c r="BR41" t="s" s="0">
        <v>1247</v>
      </c>
      <c r="BS41" t="s" s="0">
        <v>1248</v>
      </c>
      <c r="BT41" t="s" s="80">
        <f>HYPERLINK("https://www.webofscience.com/wos/woscc/full-record/WOS:001543996600001","View Record in Web of Science")</f>
        <v>114</v>
      </c>
      <c r="BU41" t="s" s="0">
        <v>145</v>
      </c>
      <c r="BV41" t="s" s="0">
        <v>81</v>
      </c>
      <c r="BW41" t="s" s="0">
        <v>81</v>
      </c>
      <c r="BX41" t="s" s="0">
        <v>116</v>
      </c>
    </row>
    <row r="42">
      <c r="A42" t="s" s="0">
        <v>77</v>
      </c>
      <c r="B42" t="s" s="0">
        <v>77</v>
      </c>
      <c r="C42" t="s" s="0">
        <v>77</v>
      </c>
      <c r="D42" t="s" s="0">
        <v>77</v>
      </c>
      <c r="E42" t="s" s="0">
        <v>1249</v>
      </c>
      <c r="F42" t="s" s="0">
        <v>1250</v>
      </c>
      <c r="G42" t="s" s="0">
        <v>1251</v>
      </c>
      <c r="H42" t="s" s="0">
        <v>81</v>
      </c>
      <c r="I42" t="s" s="0">
        <v>213</v>
      </c>
      <c r="J42" t="s" s="0">
        <v>1252</v>
      </c>
      <c r="K42" t="s" s="0">
        <v>1253</v>
      </c>
      <c r="L42" t="s" s="0">
        <v>1254</v>
      </c>
      <c r="M42" t="s" s="0">
        <v>1255</v>
      </c>
      <c r="N42" t="s" s="0">
        <v>1256</v>
      </c>
      <c r="O42" t="s" s="0">
        <v>1257</v>
      </c>
      <c r="P42" t="s" s="0">
        <v>1258</v>
      </c>
      <c r="Q42" t="s" s="0">
        <v>90</v>
      </c>
      <c r="R42" t="s" s="0">
        <v>81</v>
      </c>
      <c r="S42" t="s" s="0">
        <v>81</v>
      </c>
      <c r="T42" t="s" s="0">
        <v>81</v>
      </c>
      <c r="U42" t="s" s="0">
        <v>81</v>
      </c>
      <c r="V42" t="s" s="0">
        <v>1259</v>
      </c>
      <c r="W42" t="s" s="0">
        <v>1260</v>
      </c>
      <c r="X42" t="s" s="0">
        <v>81</v>
      </c>
      <c r="Y42" t="s" s="0">
        <v>81</v>
      </c>
      <c r="Z42" t="s" s="0">
        <v>93</v>
      </c>
      <c r="AA42" t="s" s="0">
        <v>94</v>
      </c>
      <c r="AB42" t="s" s="0">
        <v>81</v>
      </c>
      <c r="AC42" t="s" s="0">
        <v>81</v>
      </c>
      <c r="AD42" t="s" s="0">
        <v>81</v>
      </c>
      <c r="AE42" t="s" s="0">
        <v>81</v>
      </c>
      <c r="AF42" t="s" s="0">
        <v>81</v>
      </c>
      <c r="AG42" t="s" s="0">
        <v>81</v>
      </c>
      <c r="AH42" t="s" s="0">
        <v>1261</v>
      </c>
      <c r="AI42" t="s" s="0">
        <v>1262</v>
      </c>
      <c r="AJ42" t="s" s="0">
        <v>1263</v>
      </c>
      <c r="AK42" t="s" s="0">
        <v>81</v>
      </c>
      <c r="AL42" t="s" s="0">
        <v>507</v>
      </c>
      <c r="AM42" t="s" s="0">
        <v>77</v>
      </c>
      <c r="AN42" t="s" s="0">
        <v>77</v>
      </c>
      <c r="AO42" t="s" s="0">
        <v>77</v>
      </c>
      <c r="AP42" t="s" s="0">
        <v>77</v>
      </c>
      <c r="AQ42" t="s" s="0">
        <v>1264</v>
      </c>
      <c r="AR42" t="s" s="0">
        <v>1265</v>
      </c>
      <c r="AS42" t="s" s="0">
        <v>1266</v>
      </c>
      <c r="AT42" t="s" s="0">
        <v>81</v>
      </c>
      <c r="AU42" t="s" s="0">
        <v>1267</v>
      </c>
      <c r="AV42" t="s" s="0">
        <v>81</v>
      </c>
      <c r="AW42" t="s" s="0">
        <v>1268</v>
      </c>
      <c r="AX42" t="s" s="0">
        <v>1269</v>
      </c>
      <c r="AY42" t="s" s="0">
        <v>349</v>
      </c>
      <c r="AZ42" t="s" s="0">
        <v>104</v>
      </c>
      <c r="BA42" t="s" s="0">
        <v>253</v>
      </c>
      <c r="BB42" t="s" s="0">
        <v>160</v>
      </c>
      <c r="BC42" t="s" s="0">
        <v>81</v>
      </c>
      <c r="BD42" t="s" s="0">
        <v>81</v>
      </c>
      <c r="BE42" t="s" s="0">
        <v>81</v>
      </c>
      <c r="BF42" t="s" s="0">
        <v>81</v>
      </c>
      <c r="BG42" t="s" s="0">
        <v>81</v>
      </c>
      <c r="BH42" t="s" s="0">
        <v>81</v>
      </c>
      <c r="BI42" t="s" s="0">
        <v>1270</v>
      </c>
      <c r="BJ42" t="s" s="0">
        <v>1271</v>
      </c>
      <c r="BK42" t="s" s="81">
        <f>HYPERLINK("http://dx.doi.org/10.1371/journal.pdig.0000960","http://dx.doi.org/10.1371/journal.pdig.0000960")</f>
        <v>1272</v>
      </c>
      <c r="BL42" t="s" s="0">
        <v>81</v>
      </c>
      <c r="BM42" t="s" s="0">
        <v>81</v>
      </c>
      <c r="BN42" t="s" s="0">
        <v>475</v>
      </c>
      <c r="BO42" t="s" s="0">
        <v>1172</v>
      </c>
      <c r="BP42" t="s" s="0">
        <v>1172</v>
      </c>
      <c r="BQ42" t="s" s="0">
        <v>1273</v>
      </c>
      <c r="BR42" t="s" s="0">
        <v>1274</v>
      </c>
      <c r="BS42" t="s" s="0">
        <v>1275</v>
      </c>
      <c r="BT42" t="s" s="82">
        <f>HYPERLINK("https://www.webofscience.com/wos/woscc/full-record/WOS:001754777700001","View Record in Web of Science")</f>
        <v>114</v>
      </c>
      <c r="BU42" t="s" s="0">
        <v>145</v>
      </c>
      <c r="BV42" t="s" s="0">
        <v>81</v>
      </c>
      <c r="BW42" t="s" s="0">
        <v>81</v>
      </c>
      <c r="BX42" t="s" s="0">
        <v>116</v>
      </c>
    </row>
    <row r="43">
      <c r="A43" t="s" s="0">
        <v>77</v>
      </c>
      <c r="B43" t="s" s="0">
        <v>77</v>
      </c>
      <c r="C43" t="s" s="0">
        <v>77</v>
      </c>
      <c r="D43" t="s" s="0">
        <v>77</v>
      </c>
      <c r="E43" t="s" s="0">
        <v>1276</v>
      </c>
      <c r="F43" t="s" s="0">
        <v>1277</v>
      </c>
      <c r="G43" t="s" s="0">
        <v>1278</v>
      </c>
      <c r="H43" t="s" s="0">
        <v>81</v>
      </c>
      <c r="I43" t="s" s="0">
        <v>82</v>
      </c>
      <c r="J43" t="s" s="0">
        <v>1279</v>
      </c>
      <c r="K43" t="s" s="0">
        <v>1280</v>
      </c>
      <c r="L43" t="s" s="0">
        <v>81</v>
      </c>
      <c r="M43" t="s" s="0">
        <v>81</v>
      </c>
      <c r="N43" t="s" s="0">
        <v>81</v>
      </c>
      <c r="O43" t="s" s="0">
        <v>1281</v>
      </c>
      <c r="P43" t="s" s="0">
        <v>1282</v>
      </c>
      <c r="Q43" t="s" s="0">
        <v>90</v>
      </c>
      <c r="R43" t="s" s="0">
        <v>81</v>
      </c>
      <c r="S43" t="s" s="0">
        <v>81</v>
      </c>
      <c r="T43" t="s" s="0">
        <v>81</v>
      </c>
      <c r="U43" t="s" s="0">
        <v>81</v>
      </c>
      <c r="V43" t="s" s="0">
        <v>1283</v>
      </c>
      <c r="W43" t="s" s="0">
        <v>1284</v>
      </c>
      <c r="X43" t="s" s="0">
        <v>81</v>
      </c>
      <c r="Y43" t="s" s="0">
        <v>81</v>
      </c>
      <c r="Z43" t="s" s="0">
        <v>93</v>
      </c>
      <c r="AA43" t="s" s="0">
        <v>94</v>
      </c>
      <c r="AB43" t="s" s="0">
        <v>81</v>
      </c>
      <c r="AC43" t="s" s="0">
        <v>81</v>
      </c>
      <c r="AD43" t="s" s="0">
        <v>81</v>
      </c>
      <c r="AE43" t="s" s="0">
        <v>81</v>
      </c>
      <c r="AF43" t="s" s="0">
        <v>81</v>
      </c>
      <c r="AG43" t="s" s="0">
        <v>1285</v>
      </c>
      <c r="AH43" t="s" s="0">
        <v>1286</v>
      </c>
      <c r="AI43" t="s" s="0">
        <v>1287</v>
      </c>
      <c r="AJ43" t="s" s="0">
        <v>1288</v>
      </c>
      <c r="AK43" t="s" s="0">
        <v>81</v>
      </c>
      <c r="AL43" t="s" s="0">
        <v>237</v>
      </c>
      <c r="AM43" t="s" s="0">
        <v>130</v>
      </c>
      <c r="AN43" t="s" s="0">
        <v>130</v>
      </c>
      <c r="AO43" t="s" s="0">
        <v>77</v>
      </c>
      <c r="AP43" t="s" s="0">
        <v>77</v>
      </c>
      <c r="AQ43" t="s" s="0">
        <v>930</v>
      </c>
      <c r="AR43" t="s" s="0">
        <v>931</v>
      </c>
      <c r="AS43" t="s" s="0">
        <v>932</v>
      </c>
      <c r="AT43" t="s" s="0">
        <v>1289</v>
      </c>
      <c r="AU43" t="s" s="0">
        <v>1290</v>
      </c>
      <c r="AV43" t="s" s="0">
        <v>81</v>
      </c>
      <c r="AW43" t="s" s="0">
        <v>1291</v>
      </c>
      <c r="AX43" t="s" s="0">
        <v>1292</v>
      </c>
      <c r="AY43" t="s" s="0">
        <v>445</v>
      </c>
      <c r="AZ43" t="s" s="0">
        <v>104</v>
      </c>
      <c r="BA43" t="s" s="0">
        <v>564</v>
      </c>
      <c r="BB43" t="s" s="0">
        <v>131</v>
      </c>
      <c r="BC43" t="s" s="0">
        <v>81</v>
      </c>
      <c r="BD43" t="s" s="0">
        <v>81</v>
      </c>
      <c r="BE43" t="s" s="0">
        <v>81</v>
      </c>
      <c r="BF43" t="s" s="0">
        <v>81</v>
      </c>
      <c r="BG43" t="s" s="0">
        <v>81</v>
      </c>
      <c r="BH43" t="s" s="0">
        <v>81</v>
      </c>
      <c r="BI43" t="s" s="0">
        <v>1293</v>
      </c>
      <c r="BJ43" t="s" s="0">
        <v>1294</v>
      </c>
      <c r="BK43" t="s" s="83">
        <f>HYPERLINK("http://dx.doi.org/10.1161/CIRCIMAGING.126.019610","http://dx.doi.org/10.1161/CIRCIMAGING.126.019610")</f>
        <v>1295</v>
      </c>
      <c r="BL43" t="s" s="0">
        <v>81</v>
      </c>
      <c r="BM43" t="s" s="0">
        <v>81</v>
      </c>
      <c r="BN43" t="s" s="0">
        <v>226</v>
      </c>
      <c r="BO43" t="s" s="0">
        <v>383</v>
      </c>
      <c r="BP43" t="s" s="0">
        <v>384</v>
      </c>
      <c r="BQ43" t="s" s="0">
        <v>1296</v>
      </c>
      <c r="BR43" t="s" s="0">
        <v>1297</v>
      </c>
      <c r="BS43" t="s" s="0">
        <v>1298</v>
      </c>
      <c r="BT43" t="s" s="84">
        <f>HYPERLINK("https://www.webofscience.com/wos/woscc/full-record/WOS:001790614900009","View Record in Web of Science")</f>
        <v>114</v>
      </c>
      <c r="BU43" t="s" s="0">
        <v>81</v>
      </c>
      <c r="BV43" t="s" s="0">
        <v>81</v>
      </c>
      <c r="BW43" t="s" s="0">
        <v>81</v>
      </c>
      <c r="BX43" t="s" s="0">
        <v>116</v>
      </c>
    </row>
    <row r="44">
      <c r="A44" t="s" s="0">
        <v>77</v>
      </c>
      <c r="B44" t="s" s="0">
        <v>77</v>
      </c>
      <c r="C44" t="s" s="0">
        <v>117</v>
      </c>
      <c r="D44" t="s" s="0">
        <v>77</v>
      </c>
      <c r="E44" t="s" s="0">
        <v>1299</v>
      </c>
      <c r="F44" t="s" s="0">
        <v>1300</v>
      </c>
      <c r="G44" t="s" s="0">
        <v>1301</v>
      </c>
      <c r="H44" t="s" s="0">
        <v>81</v>
      </c>
      <c r="I44" t="s" s="0">
        <v>82</v>
      </c>
      <c r="J44" t="s" s="0">
        <v>1302</v>
      </c>
      <c r="K44" t="s" s="0">
        <v>1303</v>
      </c>
      <c r="L44" t="s" s="0">
        <v>1304</v>
      </c>
      <c r="M44" t="s" s="0">
        <v>1305</v>
      </c>
      <c r="N44" t="s" s="0">
        <v>1306</v>
      </c>
      <c r="O44" t="s" s="0">
        <v>1307</v>
      </c>
      <c r="P44" t="s" s="0">
        <v>1308</v>
      </c>
      <c r="Q44" t="s" s="0">
        <v>90</v>
      </c>
      <c r="R44" t="s" s="0">
        <v>81</v>
      </c>
      <c r="S44" t="s" s="0">
        <v>81</v>
      </c>
      <c r="T44" t="s" s="0">
        <v>81</v>
      </c>
      <c r="U44" t="s" s="0">
        <v>81</v>
      </c>
      <c r="V44" t="s" s="0">
        <v>1309</v>
      </c>
      <c r="W44" t="s" s="0">
        <v>1310</v>
      </c>
      <c r="X44" t="s" s="0">
        <v>81</v>
      </c>
      <c r="Y44" t="s" s="0">
        <v>81</v>
      </c>
      <c r="Z44" t="s" s="0">
        <v>93</v>
      </c>
      <c r="AA44" t="s" s="0">
        <v>94</v>
      </c>
      <c r="AB44" t="s" s="0">
        <v>81</v>
      </c>
      <c r="AC44" t="s" s="0">
        <v>81</v>
      </c>
      <c r="AD44" t="s" s="0">
        <v>81</v>
      </c>
      <c r="AE44" t="s" s="0">
        <v>81</v>
      </c>
      <c r="AF44" t="s" s="0">
        <v>81</v>
      </c>
      <c r="AG44" t="s" s="0">
        <v>1311</v>
      </c>
      <c r="AH44" t="s" s="0">
        <v>1312</v>
      </c>
      <c r="AI44" t="s" s="0">
        <v>1313</v>
      </c>
      <c r="AJ44" t="s" s="0">
        <v>81</v>
      </c>
      <c r="AK44" t="s" s="0">
        <v>81</v>
      </c>
      <c r="AL44" t="s" s="0">
        <v>252</v>
      </c>
      <c r="AM44" t="s" s="0">
        <v>130</v>
      </c>
      <c r="AN44" t="s" s="0">
        <v>130</v>
      </c>
      <c r="AO44" t="s" s="0">
        <v>77</v>
      </c>
      <c r="AP44" t="s" s="0">
        <v>77</v>
      </c>
      <c r="AQ44" t="s" s="0">
        <v>406</v>
      </c>
      <c r="AR44" t="s" s="0">
        <v>407</v>
      </c>
      <c r="AS44" t="s" s="0">
        <v>408</v>
      </c>
      <c r="AT44" t="s" s="0">
        <v>1314</v>
      </c>
      <c r="AU44" t="s" s="0">
        <v>1315</v>
      </c>
      <c r="AV44" t="s" s="0">
        <v>81</v>
      </c>
      <c r="AW44" t="s" s="0">
        <v>1316</v>
      </c>
      <c r="AX44" t="s" s="0">
        <v>1317</v>
      </c>
      <c r="AY44" t="s" s="0">
        <v>284</v>
      </c>
      <c r="AZ44" t="s" s="0">
        <v>104</v>
      </c>
      <c r="BA44" t="s" s="0">
        <v>226</v>
      </c>
      <c r="BB44" t="s" s="0">
        <v>227</v>
      </c>
      <c r="BC44" t="s" s="0">
        <v>81</v>
      </c>
      <c r="BD44" t="s" s="0">
        <v>81</v>
      </c>
      <c r="BE44" t="s" s="0">
        <v>81</v>
      </c>
      <c r="BF44" t="s" s="0">
        <v>81</v>
      </c>
      <c r="BG44" t="s" s="0">
        <v>1318</v>
      </c>
      <c r="BH44" t="s" s="0">
        <v>1319</v>
      </c>
      <c r="BI44" t="s" s="0">
        <v>81</v>
      </c>
      <c r="BJ44" t="s" s="0">
        <v>1320</v>
      </c>
      <c r="BK44" t="s" s="85">
        <f>HYPERLINK("http://dx.doi.org/10.1016/j.jacep.2025.10.009","http://dx.doi.org/10.1016/j.jacep.2025.10.009")</f>
        <v>1321</v>
      </c>
      <c r="BL44" t="s" s="0">
        <v>81</v>
      </c>
      <c r="BM44" t="s" s="0">
        <v>284</v>
      </c>
      <c r="BN44" t="s" s="0">
        <v>228</v>
      </c>
      <c r="BO44" t="s" s="0">
        <v>515</v>
      </c>
      <c r="BP44" t="s" s="0">
        <v>516</v>
      </c>
      <c r="BQ44" t="s" s="0">
        <v>1322</v>
      </c>
      <c r="BR44" t="s" s="0">
        <v>1323</v>
      </c>
      <c r="BS44" t="s" s="0">
        <v>1324</v>
      </c>
      <c r="BT44" t="s" s="86">
        <f>HYPERLINK("https://www.webofscience.com/wos/woscc/full-record/WOS:001728123400001","View Record in Web of Science")</f>
        <v>114</v>
      </c>
      <c r="BU44" t="s" s="0">
        <v>81</v>
      </c>
      <c r="BV44" t="s" s="0">
        <v>81</v>
      </c>
      <c r="BW44" t="s" s="0">
        <v>81</v>
      </c>
      <c r="BX44" t="s" s="0">
        <v>116</v>
      </c>
    </row>
    <row r="45">
      <c r="A45" t="s" s="0">
        <v>77</v>
      </c>
      <c r="B45" t="s" s="0">
        <v>77</v>
      </c>
      <c r="C45" t="s" s="0">
        <v>130</v>
      </c>
      <c r="D45" t="s" s="0">
        <v>77</v>
      </c>
      <c r="E45" t="s" s="0">
        <v>1325</v>
      </c>
      <c r="F45" t="s" s="0">
        <v>1326</v>
      </c>
      <c r="G45" t="s" s="0">
        <v>1327</v>
      </c>
      <c r="H45" t="s" s="0">
        <v>81</v>
      </c>
      <c r="I45" t="s" s="0">
        <v>82</v>
      </c>
      <c r="J45" t="s" s="0">
        <v>1328</v>
      </c>
      <c r="K45" t="s" s="0">
        <v>1329</v>
      </c>
      <c r="L45" t="s" s="0">
        <v>1330</v>
      </c>
      <c r="M45" t="s" s="0">
        <v>1330</v>
      </c>
      <c r="N45" t="s" s="0">
        <v>1331</v>
      </c>
      <c r="O45" t="s" s="0">
        <v>1332</v>
      </c>
      <c r="P45" t="s" s="0">
        <v>1333</v>
      </c>
      <c r="Q45" t="s" s="0">
        <v>90</v>
      </c>
      <c r="R45" t="s" s="0">
        <v>81</v>
      </c>
      <c r="S45" t="s" s="0">
        <v>81</v>
      </c>
      <c r="T45" t="s" s="0">
        <v>81</v>
      </c>
      <c r="U45" t="s" s="0">
        <v>81</v>
      </c>
      <c r="V45" t="s" s="0">
        <v>1334</v>
      </c>
      <c r="W45" t="s" s="0">
        <v>1335</v>
      </c>
      <c r="X45" t="s" s="0">
        <v>81</v>
      </c>
      <c r="Y45" t="s" s="0">
        <v>81</v>
      </c>
      <c r="Z45" t="s" s="0">
        <v>93</v>
      </c>
      <c r="AA45" t="s" s="0">
        <v>94</v>
      </c>
      <c r="AB45" t="s" s="0">
        <v>81</v>
      </c>
      <c r="AC45" t="s" s="0">
        <v>81</v>
      </c>
      <c r="AD45" t="s" s="0">
        <v>81</v>
      </c>
      <c r="AE45" t="s" s="0">
        <v>81</v>
      </c>
      <c r="AF45" t="s" s="0">
        <v>81</v>
      </c>
      <c r="AG45" t="s" s="0">
        <v>1336</v>
      </c>
      <c r="AH45" t="s" s="0">
        <v>1337</v>
      </c>
      <c r="AI45" t="s" s="0">
        <v>1338</v>
      </c>
      <c r="AJ45" t="s" s="0">
        <v>1339</v>
      </c>
      <c r="AK45" t="s" s="0">
        <v>81</v>
      </c>
      <c r="AL45" t="s" s="0">
        <v>1340</v>
      </c>
      <c r="AM45" t="s" s="0">
        <v>131</v>
      </c>
      <c r="AN45" t="s" s="0">
        <v>225</v>
      </c>
      <c r="AO45" t="s" s="0">
        <v>225</v>
      </c>
      <c r="AP45" t="s" s="0">
        <v>225</v>
      </c>
      <c r="AQ45" t="s" s="0">
        <v>370</v>
      </c>
      <c r="AR45" t="s" s="0">
        <v>371</v>
      </c>
      <c r="AS45" t="s" s="0">
        <v>372</v>
      </c>
      <c r="AT45" t="s" s="0">
        <v>1341</v>
      </c>
      <c r="AU45" t="s" s="0">
        <v>1342</v>
      </c>
      <c r="AV45" t="s" s="0">
        <v>81</v>
      </c>
      <c r="AW45" t="s" s="0">
        <v>1343</v>
      </c>
      <c r="AX45" t="s" s="0">
        <v>1344</v>
      </c>
      <c r="AY45" t="s" s="0">
        <v>1345</v>
      </c>
      <c r="AZ45" t="s" s="0">
        <v>104</v>
      </c>
      <c r="BA45" t="s" s="0">
        <v>1346</v>
      </c>
      <c r="BB45" t="s" s="0">
        <v>160</v>
      </c>
      <c r="BC45" t="s" s="0">
        <v>81</v>
      </c>
      <c r="BD45" t="s" s="0">
        <v>81</v>
      </c>
      <c r="BE45" t="s" s="0">
        <v>81</v>
      </c>
      <c r="BF45" t="s" s="0">
        <v>81</v>
      </c>
      <c r="BG45" t="s" s="0">
        <v>81</v>
      </c>
      <c r="BH45" t="s" s="0">
        <v>81</v>
      </c>
      <c r="BI45" t="s" s="0">
        <v>1347</v>
      </c>
      <c r="BJ45" t="s" s="0">
        <v>1348</v>
      </c>
      <c r="BK45" t="s" s="87">
        <f>HYPERLINK("http://dx.doi.org/10.1007/s10462-026-11522-9","http://dx.doi.org/10.1007/s10462-026-11522-9")</f>
        <v>1349</v>
      </c>
      <c r="BL45" t="s" s="0">
        <v>81</v>
      </c>
      <c r="BM45" t="s" s="0">
        <v>81</v>
      </c>
      <c r="BN45" t="s" s="0">
        <v>1350</v>
      </c>
      <c r="BO45" t="s" s="0">
        <v>1351</v>
      </c>
      <c r="BP45" t="s" s="0">
        <v>420</v>
      </c>
      <c r="BQ45" t="s" s="0">
        <v>1352</v>
      </c>
      <c r="BR45" t="s" s="0">
        <v>81</v>
      </c>
      <c r="BS45" t="s" s="0">
        <v>1353</v>
      </c>
      <c r="BT45" t="s" s="88">
        <f>HYPERLINK("https://www.webofscience.com/wos/woscc/full-record/WOS:001714071400002","View Record in Web of Science")</f>
        <v>114</v>
      </c>
      <c r="BU45" t="s" s="0">
        <v>457</v>
      </c>
      <c r="BV45" t="s" s="0">
        <v>81</v>
      </c>
      <c r="BW45" t="s" s="0">
        <v>81</v>
      </c>
      <c r="BX45" t="s" s="0">
        <v>116</v>
      </c>
    </row>
    <row r="46">
      <c r="A46" t="s" s="0">
        <v>77</v>
      </c>
      <c r="B46" t="s" s="0">
        <v>77</v>
      </c>
      <c r="C46" t="s" s="0">
        <v>160</v>
      </c>
      <c r="D46" t="s" s="0">
        <v>77</v>
      </c>
      <c r="E46" t="s" s="0">
        <v>1354</v>
      </c>
      <c r="F46" t="s" s="0">
        <v>1355</v>
      </c>
      <c r="G46" t="s" s="0">
        <v>1356</v>
      </c>
      <c r="H46" t="s" s="0">
        <v>81</v>
      </c>
      <c r="I46" t="s" s="0">
        <v>213</v>
      </c>
      <c r="J46" t="s" s="0">
        <v>1357</v>
      </c>
      <c r="K46" t="s" s="0">
        <v>1358</v>
      </c>
      <c r="L46" t="s" s="0">
        <v>1359</v>
      </c>
      <c r="M46" t="s" s="0">
        <v>1360</v>
      </c>
      <c r="N46" t="s" s="0">
        <v>1361</v>
      </c>
      <c r="O46" t="s" s="0">
        <v>1362</v>
      </c>
      <c r="P46" t="s" s="0">
        <v>1363</v>
      </c>
      <c r="Q46" t="s" s="0">
        <v>90</v>
      </c>
      <c r="R46" t="s" s="0">
        <v>81</v>
      </c>
      <c r="S46" t="s" s="0">
        <v>81</v>
      </c>
      <c r="T46" t="s" s="0">
        <v>81</v>
      </c>
      <c r="U46" t="s" s="0">
        <v>81</v>
      </c>
      <c r="V46" t="s" s="0">
        <v>1364</v>
      </c>
      <c r="W46" t="s" s="0">
        <v>1365</v>
      </c>
      <c r="X46" t="s" s="0">
        <v>81</v>
      </c>
      <c r="Y46" t="s" s="0">
        <v>81</v>
      </c>
      <c r="Z46" t="s" s="0">
        <v>93</v>
      </c>
      <c r="AA46" t="s" s="0">
        <v>94</v>
      </c>
      <c r="AB46" t="s" s="0">
        <v>81</v>
      </c>
      <c r="AC46" t="s" s="0">
        <v>81</v>
      </c>
      <c r="AD46" t="s" s="0">
        <v>81</v>
      </c>
      <c r="AE46" t="s" s="0">
        <v>81</v>
      </c>
      <c r="AF46" t="s" s="0">
        <v>81</v>
      </c>
      <c r="AG46" t="s" s="0">
        <v>1366</v>
      </c>
      <c r="AH46" t="s" s="0">
        <v>1367</v>
      </c>
      <c r="AI46" t="s" s="0">
        <v>1368</v>
      </c>
      <c r="AJ46" t="s" s="0">
        <v>1369</v>
      </c>
      <c r="AK46" t="s" s="0">
        <v>81</v>
      </c>
      <c r="AL46" t="s" s="0">
        <v>304</v>
      </c>
      <c r="AM46" t="s" s="0">
        <v>228</v>
      </c>
      <c r="AN46" t="s" s="0">
        <v>137</v>
      </c>
      <c r="AO46" t="s" s="0">
        <v>77</v>
      </c>
      <c r="AP46" t="s" s="0">
        <v>227</v>
      </c>
      <c r="AQ46" t="s" s="0">
        <v>406</v>
      </c>
      <c r="AR46" t="s" s="0">
        <v>407</v>
      </c>
      <c r="AS46" t="s" s="0">
        <v>408</v>
      </c>
      <c r="AT46" t="s" s="0">
        <v>1370</v>
      </c>
      <c r="AU46" t="s" s="0">
        <v>81</v>
      </c>
      <c r="AV46" t="s" s="0">
        <v>81</v>
      </c>
      <c r="AW46" t="s" s="0">
        <v>1371</v>
      </c>
      <c r="AX46" t="s" s="0">
        <v>1372</v>
      </c>
      <c r="AY46" t="s" s="0">
        <v>1373</v>
      </c>
      <c r="AZ46" t="s" s="0">
        <v>573</v>
      </c>
      <c r="BA46" t="s" s="0">
        <v>160</v>
      </c>
      <c r="BB46" t="s" s="0">
        <v>130</v>
      </c>
      <c r="BC46" t="s" s="0">
        <v>81</v>
      </c>
      <c r="BD46" t="s" s="0">
        <v>81</v>
      </c>
      <c r="BE46" t="s" s="0">
        <v>81</v>
      </c>
      <c r="BF46" t="s" s="0">
        <v>81</v>
      </c>
      <c r="BG46" t="s" s="0">
        <v>81</v>
      </c>
      <c r="BH46" t="s" s="0">
        <v>81</v>
      </c>
      <c r="BI46" t="s" s="0">
        <v>1374</v>
      </c>
      <c r="BJ46" t="s" s="0">
        <v>1375</v>
      </c>
      <c r="BK46" t="s" s="89">
        <f>HYPERLINK("http://dx.doi.org/10.1016/j.xops.2023.100417","http://dx.doi.org/10.1016/j.xops.2023.100417")</f>
        <v>1376</v>
      </c>
      <c r="BL46" t="s" s="0">
        <v>81</v>
      </c>
      <c r="BM46" t="s" s="0">
        <v>856</v>
      </c>
      <c r="BN46" t="s" s="0">
        <v>225</v>
      </c>
      <c r="BO46" t="s" s="0">
        <v>606</v>
      </c>
      <c r="BP46" t="s" s="0">
        <v>606</v>
      </c>
      <c r="BQ46" t="s" s="0">
        <v>1377</v>
      </c>
      <c r="BR46" t="s" s="0">
        <v>1378</v>
      </c>
      <c r="BS46" t="s" s="0">
        <v>1379</v>
      </c>
      <c r="BT46" t="s" s="90">
        <f>HYPERLINK("https://www.webofscience.com/wos/woscc/full-record/WOS:001128126600001","View Record in Web of Science")</f>
        <v>114</v>
      </c>
      <c r="BU46" t="s" s="0">
        <v>145</v>
      </c>
      <c r="BV46" t="s" s="0">
        <v>81</v>
      </c>
      <c r="BW46" t="s" s="0">
        <v>81</v>
      </c>
      <c r="BX46" t="s" s="0">
        <v>116</v>
      </c>
    </row>
    <row r="47">
      <c r="A47" t="s" s="0">
        <v>77</v>
      </c>
      <c r="B47" t="s" s="0">
        <v>77</v>
      </c>
      <c r="C47" t="s" s="0">
        <v>77</v>
      </c>
      <c r="D47" t="s" s="0">
        <v>77</v>
      </c>
      <c r="E47" t="s" s="0">
        <v>1380</v>
      </c>
      <c r="F47" t="s" s="0">
        <v>1381</v>
      </c>
      <c r="G47" t="s" s="0">
        <v>1382</v>
      </c>
      <c r="H47" t="s" s="0">
        <v>81</v>
      </c>
      <c r="I47" t="s" s="0">
        <v>82</v>
      </c>
      <c r="J47" t="s" s="0">
        <v>1383</v>
      </c>
      <c r="K47" t="s" s="0">
        <v>1384</v>
      </c>
      <c r="L47" t="s" s="0">
        <v>1385</v>
      </c>
      <c r="M47" t="s" s="0">
        <v>1386</v>
      </c>
      <c r="N47" t="s" s="0">
        <v>1387</v>
      </c>
      <c r="O47" t="s" s="0">
        <v>1388</v>
      </c>
      <c r="P47" t="s" s="0">
        <v>1389</v>
      </c>
      <c r="Q47" t="s" s="0">
        <v>90</v>
      </c>
      <c r="R47" t="s" s="0">
        <v>81</v>
      </c>
      <c r="S47" t="s" s="0">
        <v>81</v>
      </c>
      <c r="T47" t="s" s="0">
        <v>81</v>
      </c>
      <c r="U47" t="s" s="0">
        <v>81</v>
      </c>
      <c r="V47" t="s" s="0">
        <v>1390</v>
      </c>
      <c r="W47" t="s" s="0">
        <v>1391</v>
      </c>
      <c r="X47" t="s" s="0">
        <v>81</v>
      </c>
      <c r="Y47" t="s" s="0">
        <v>81</v>
      </c>
      <c r="Z47" t="s" s="0">
        <v>93</v>
      </c>
      <c r="AA47" t="s" s="0">
        <v>94</v>
      </c>
      <c r="AB47" t="s" s="0">
        <v>81</v>
      </c>
      <c r="AC47" t="s" s="0">
        <v>81</v>
      </c>
      <c r="AD47" t="s" s="0">
        <v>81</v>
      </c>
      <c r="AE47" t="s" s="0">
        <v>81</v>
      </c>
      <c r="AF47" t="s" s="0">
        <v>81</v>
      </c>
      <c r="AG47" t="s" s="0">
        <v>81</v>
      </c>
      <c r="AH47" t="s" s="0">
        <v>1392</v>
      </c>
      <c r="AI47" t="s" s="0">
        <v>1393</v>
      </c>
      <c r="AJ47" t="s" s="0">
        <v>1394</v>
      </c>
      <c r="AK47" t="s" s="0">
        <v>81</v>
      </c>
      <c r="AL47" t="s" s="0">
        <v>625</v>
      </c>
      <c r="AM47" t="s" s="0">
        <v>117</v>
      </c>
      <c r="AN47" t="s" s="0">
        <v>117</v>
      </c>
      <c r="AO47" t="s" s="0">
        <v>129</v>
      </c>
      <c r="AP47" t="s" s="0">
        <v>129</v>
      </c>
      <c r="AQ47" t="s" s="0">
        <v>274</v>
      </c>
      <c r="AR47" t="s" s="0">
        <v>275</v>
      </c>
      <c r="AS47" t="s" s="0">
        <v>276</v>
      </c>
      <c r="AT47" t="s" s="0">
        <v>1395</v>
      </c>
      <c r="AU47" t="s" s="0">
        <v>81</v>
      </c>
      <c r="AV47" t="s" s="0">
        <v>81</v>
      </c>
      <c r="AW47" t="s" s="0">
        <v>1396</v>
      </c>
      <c r="AX47" t="s" s="0">
        <v>1397</v>
      </c>
      <c r="AY47" t="s" s="0">
        <v>1398</v>
      </c>
      <c r="AZ47" t="s" s="0">
        <v>136</v>
      </c>
      <c r="BA47" t="s" s="0">
        <v>128</v>
      </c>
      <c r="BB47" t="s" s="0">
        <v>117</v>
      </c>
      <c r="BC47" t="s" s="0">
        <v>81</v>
      </c>
      <c r="BD47" t="s" s="0">
        <v>81</v>
      </c>
      <c r="BE47" t="s" s="0">
        <v>81</v>
      </c>
      <c r="BF47" t="s" s="0">
        <v>81</v>
      </c>
      <c r="BG47" t="s" s="0">
        <v>81</v>
      </c>
      <c r="BH47" t="s" s="0">
        <v>81</v>
      </c>
      <c r="BI47" t="s" s="0">
        <v>1399</v>
      </c>
      <c r="BJ47" t="s" s="0">
        <v>1400</v>
      </c>
      <c r="BK47" t="s" s="91">
        <f>HYPERLINK("http://dx.doi.org/10.1038/s41746-025-02282-x","http://dx.doi.org/10.1038/s41746-025-02282-x")</f>
        <v>1401</v>
      </c>
      <c r="BL47" t="s" s="0">
        <v>81</v>
      </c>
      <c r="BM47" t="s" s="0">
        <v>81</v>
      </c>
      <c r="BN47" t="s" s="0">
        <v>167</v>
      </c>
      <c r="BO47" t="s" s="0">
        <v>1172</v>
      </c>
      <c r="BP47" t="s" s="0">
        <v>1172</v>
      </c>
      <c r="BQ47" t="s" s="0">
        <v>1402</v>
      </c>
      <c r="BR47" t="s" s="0">
        <v>1403</v>
      </c>
      <c r="BS47" t="s" s="0">
        <v>1404</v>
      </c>
      <c r="BT47" t="s" s="92">
        <f>HYPERLINK("https://www.webofscience.com/wos/woscc/full-record/WOS:001674389900001","View Record in Web of Science")</f>
        <v>114</v>
      </c>
      <c r="BU47" t="s" s="0">
        <v>145</v>
      </c>
      <c r="BV47" t="s" s="0">
        <v>81</v>
      </c>
      <c r="BW47" t="s" s="0">
        <v>81</v>
      </c>
      <c r="BX47" t="s" s="0">
        <v>116</v>
      </c>
    </row>
    <row r="48">
      <c r="A48" t="s" s="0">
        <v>77</v>
      </c>
      <c r="B48" t="s" s="0">
        <v>77</v>
      </c>
      <c r="C48" t="s" s="0">
        <v>129</v>
      </c>
      <c r="D48" t="s" s="0">
        <v>77</v>
      </c>
      <c r="E48" t="s" s="0">
        <v>1405</v>
      </c>
      <c r="F48" t="s" s="0">
        <v>1406</v>
      </c>
      <c r="G48" t="s" s="0">
        <v>1407</v>
      </c>
      <c r="H48" t="s" s="0">
        <v>81</v>
      </c>
      <c r="I48" t="s" s="0">
        <v>82</v>
      </c>
      <c r="J48" t="s" s="0">
        <v>1408</v>
      </c>
      <c r="K48" t="s" s="0">
        <v>1409</v>
      </c>
      <c r="L48" t="s" s="0">
        <v>1410</v>
      </c>
      <c r="M48" t="s" s="0">
        <v>1411</v>
      </c>
      <c r="N48" t="s" s="0">
        <v>1412</v>
      </c>
      <c r="O48" t="s" s="0">
        <v>1413</v>
      </c>
      <c r="P48" t="s" s="0">
        <v>1414</v>
      </c>
      <c r="Q48" t="s" s="0">
        <v>90</v>
      </c>
      <c r="R48" t="s" s="0">
        <v>81</v>
      </c>
      <c r="S48" t="s" s="0">
        <v>81</v>
      </c>
      <c r="T48" t="s" s="0">
        <v>81</v>
      </c>
      <c r="U48" t="s" s="0">
        <v>81</v>
      </c>
      <c r="V48" t="s" s="0">
        <v>1415</v>
      </c>
      <c r="W48" t="s" s="0">
        <v>1416</v>
      </c>
      <c r="X48" t="s" s="0">
        <v>81</v>
      </c>
      <c r="Y48" t="s" s="0">
        <v>81</v>
      </c>
      <c r="Z48" t="s" s="0">
        <v>93</v>
      </c>
      <c r="AA48" t="s" s="0">
        <v>94</v>
      </c>
      <c r="AB48" t="s" s="0">
        <v>81</v>
      </c>
      <c r="AC48" t="s" s="0">
        <v>81</v>
      </c>
      <c r="AD48" t="s" s="0">
        <v>81</v>
      </c>
      <c r="AE48" t="s" s="0">
        <v>81</v>
      </c>
      <c r="AF48" t="s" s="0">
        <v>81</v>
      </c>
      <c r="AG48" t="s" s="0">
        <v>1417</v>
      </c>
      <c r="AH48" t="s" s="0">
        <v>1418</v>
      </c>
      <c r="AI48" t="s" s="0">
        <v>1419</v>
      </c>
      <c r="AJ48" t="s" s="0">
        <v>1420</v>
      </c>
      <c r="AK48" t="s" s="0">
        <v>81</v>
      </c>
      <c r="AL48" t="s" s="0">
        <v>625</v>
      </c>
      <c r="AM48" t="s" s="0">
        <v>237</v>
      </c>
      <c r="AN48" t="s" s="0">
        <v>846</v>
      </c>
      <c r="AO48" t="s" s="0">
        <v>77</v>
      </c>
      <c r="AP48" t="s" s="0">
        <v>1421</v>
      </c>
      <c r="AQ48" t="s" s="0">
        <v>97</v>
      </c>
      <c r="AR48" t="s" s="0">
        <v>98</v>
      </c>
      <c r="AS48" t="s" s="0">
        <v>99</v>
      </c>
      <c r="AT48" t="s" s="0">
        <v>1422</v>
      </c>
      <c r="AU48" t="s" s="0">
        <v>81</v>
      </c>
      <c r="AV48" t="s" s="0">
        <v>81</v>
      </c>
      <c r="AW48" t="s" s="0">
        <v>1423</v>
      </c>
      <c r="AX48" t="s" s="0">
        <v>1424</v>
      </c>
      <c r="AY48" t="s" s="0">
        <v>1425</v>
      </c>
      <c r="AZ48" t="s" s="0">
        <v>482</v>
      </c>
      <c r="BA48" t="s" s="0">
        <v>226</v>
      </c>
      <c r="BB48" t="s" s="0">
        <v>81</v>
      </c>
      <c r="BC48" t="s" s="0">
        <v>81</v>
      </c>
      <c r="BD48" t="s" s="0">
        <v>81</v>
      </c>
      <c r="BE48" t="s" s="0">
        <v>81</v>
      </c>
      <c r="BF48" t="s" s="0">
        <v>81</v>
      </c>
      <c r="BG48" t="s" s="0">
        <v>81</v>
      </c>
      <c r="BH48" t="s" s="0">
        <v>81</v>
      </c>
      <c r="BI48" t="s" s="0">
        <v>1426</v>
      </c>
      <c r="BJ48" t="s" s="0">
        <v>1427</v>
      </c>
      <c r="BK48" t="s" s="93">
        <f>HYPERLINK("http://dx.doi.org/10.3389/fonc.2022.925079","http://dx.doi.org/10.3389/fonc.2022.925079")</f>
        <v>1428</v>
      </c>
      <c r="BL48" t="s" s="0">
        <v>81</v>
      </c>
      <c r="BM48" t="s" s="0">
        <v>81</v>
      </c>
      <c r="BN48" t="s" s="0">
        <v>225</v>
      </c>
      <c r="BO48" t="s" s="0">
        <v>939</v>
      </c>
      <c r="BP48" t="s" s="0">
        <v>939</v>
      </c>
      <c r="BQ48" t="s" s="0">
        <v>1429</v>
      </c>
      <c r="BR48" t="s" s="0">
        <v>1430</v>
      </c>
      <c r="BS48" t="s" s="0">
        <v>1431</v>
      </c>
      <c r="BT48" t="s" s="94">
        <f>HYPERLINK("https://www.webofscience.com/wos/woscc/full-record/WOS:000828624400001","View Record in Web of Science")</f>
        <v>114</v>
      </c>
      <c r="BU48" t="s" s="0">
        <v>145</v>
      </c>
      <c r="BV48" t="s" s="0">
        <v>81</v>
      </c>
      <c r="BW48" t="s" s="0">
        <v>81</v>
      </c>
      <c r="BX48" t="s" s="0">
        <v>116</v>
      </c>
    </row>
    <row r="49">
      <c r="A49" t="s" s="0">
        <v>77</v>
      </c>
      <c r="B49" t="s" s="0">
        <v>77</v>
      </c>
      <c r="C49" t="s" s="0">
        <v>77</v>
      </c>
      <c r="D49" t="s" s="0">
        <v>77</v>
      </c>
      <c r="E49" t="s" s="0">
        <v>1432</v>
      </c>
      <c r="F49" t="s" s="0">
        <v>1433</v>
      </c>
      <c r="G49" t="s" s="0">
        <v>1434</v>
      </c>
      <c r="H49" t="s" s="0">
        <v>81</v>
      </c>
      <c r="I49" t="s" s="0">
        <v>213</v>
      </c>
      <c r="J49" t="s" s="0">
        <v>1435</v>
      </c>
      <c r="K49" t="s" s="0">
        <v>1436</v>
      </c>
      <c r="L49" t="s" s="0">
        <v>1437</v>
      </c>
      <c r="M49" t="s" s="0">
        <v>1438</v>
      </c>
      <c r="N49" t="s" s="0">
        <v>1439</v>
      </c>
      <c r="O49" t="s" s="0">
        <v>1440</v>
      </c>
      <c r="P49" t="s" s="0">
        <v>1441</v>
      </c>
      <c r="Q49" t="s" s="0">
        <v>90</v>
      </c>
      <c r="R49" t="s" s="0">
        <v>81</v>
      </c>
      <c r="S49" t="s" s="0">
        <v>81</v>
      </c>
      <c r="T49" t="s" s="0">
        <v>81</v>
      </c>
      <c r="U49" t="s" s="0">
        <v>81</v>
      </c>
      <c r="V49" t="s" s="0">
        <v>1442</v>
      </c>
      <c r="W49" t="s" s="0">
        <v>1443</v>
      </c>
      <c r="X49" t="s" s="0">
        <v>81</v>
      </c>
      <c r="Y49" t="s" s="0">
        <v>81</v>
      </c>
      <c r="Z49" t="s" s="0">
        <v>93</v>
      </c>
      <c r="AA49" t="s" s="0">
        <v>94</v>
      </c>
      <c r="AB49" t="s" s="0">
        <v>81</v>
      </c>
      <c r="AC49" t="s" s="0">
        <v>81</v>
      </c>
      <c r="AD49" t="s" s="0">
        <v>81</v>
      </c>
      <c r="AE49" t="s" s="0">
        <v>81</v>
      </c>
      <c r="AF49" t="s" s="0">
        <v>81</v>
      </c>
      <c r="AG49" t="s" s="0">
        <v>1444</v>
      </c>
      <c r="AH49" t="s" s="0">
        <v>81</v>
      </c>
      <c r="AI49" t="s" s="0">
        <v>1445</v>
      </c>
      <c r="AJ49" t="s" s="0">
        <v>1446</v>
      </c>
      <c r="AK49" t="s" s="0">
        <v>81</v>
      </c>
      <c r="AL49" t="s" s="0">
        <v>252</v>
      </c>
      <c r="AM49" t="s" s="0">
        <v>227</v>
      </c>
      <c r="AN49" t="s" s="0">
        <v>227</v>
      </c>
      <c r="AO49" t="s" s="0">
        <v>160</v>
      </c>
      <c r="AP49" t="s" s="0">
        <v>253</v>
      </c>
      <c r="AQ49" t="s" s="0">
        <v>1162</v>
      </c>
      <c r="AR49" t="s" s="0">
        <v>1163</v>
      </c>
      <c r="AS49" t="s" s="0">
        <v>1164</v>
      </c>
      <c r="AT49" t="s" s="0">
        <v>81</v>
      </c>
      <c r="AU49" t="s" s="0">
        <v>1447</v>
      </c>
      <c r="AV49" t="s" s="0">
        <v>81</v>
      </c>
      <c r="AW49" t="s" s="0">
        <v>1443</v>
      </c>
      <c r="AX49" t="s" s="0">
        <v>1443</v>
      </c>
      <c r="AY49" t="s" s="0">
        <v>136</v>
      </c>
      <c r="AZ49" t="s" s="0">
        <v>136</v>
      </c>
      <c r="BA49" t="s" s="0">
        <v>160</v>
      </c>
      <c r="BB49" t="s" s="0">
        <v>81</v>
      </c>
      <c r="BC49" t="s" s="0">
        <v>81</v>
      </c>
      <c r="BD49" t="s" s="0">
        <v>81</v>
      </c>
      <c r="BE49" t="s" s="0">
        <v>81</v>
      </c>
      <c r="BF49" t="s" s="0">
        <v>81</v>
      </c>
      <c r="BG49" t="s" s="0">
        <v>81</v>
      </c>
      <c r="BH49" t="s" s="0">
        <v>81</v>
      </c>
      <c r="BI49" t="s" s="0">
        <v>1448</v>
      </c>
      <c r="BJ49" t="s" s="0">
        <v>1449</v>
      </c>
      <c r="BK49" t="s" s="95">
        <f>HYPERLINK("http://dx.doi.org/10.2196/67356","http://dx.doi.org/10.2196/67356")</f>
        <v>1450</v>
      </c>
      <c r="BL49" t="s" s="0">
        <v>81</v>
      </c>
      <c r="BM49" t="s" s="0">
        <v>81</v>
      </c>
      <c r="BN49" t="s" s="0">
        <v>167</v>
      </c>
      <c r="BO49" t="s" s="0">
        <v>1172</v>
      </c>
      <c r="BP49" t="s" s="0">
        <v>1172</v>
      </c>
      <c r="BQ49" t="s" s="0">
        <v>1451</v>
      </c>
      <c r="BR49" t="s" s="0">
        <v>1452</v>
      </c>
      <c r="BS49" t="s" s="0">
        <v>1453</v>
      </c>
      <c r="BT49" t="s" s="96">
        <f>HYPERLINK("https://www.webofscience.com/wos/woscc/full-record/WOS:001488674200001","View Record in Web of Science")</f>
        <v>114</v>
      </c>
      <c r="BU49" t="s" s="0">
        <v>145</v>
      </c>
      <c r="BV49" t="s" s="0">
        <v>81</v>
      </c>
      <c r="BW49" t="s" s="0">
        <v>81</v>
      </c>
      <c r="BX49" t="s" s="0">
        <v>116</v>
      </c>
    </row>
    <row r="50">
      <c r="A50" t="s" s="0">
        <v>77</v>
      </c>
      <c r="B50" t="s" s="0">
        <v>77</v>
      </c>
      <c r="C50" t="s" s="0">
        <v>77</v>
      </c>
      <c r="D50" t="s" s="0">
        <v>77</v>
      </c>
      <c r="E50" t="s" s="0">
        <v>1454</v>
      </c>
      <c r="F50" t="s" s="0">
        <v>1455</v>
      </c>
      <c r="G50" t="s" s="0">
        <v>1456</v>
      </c>
      <c r="H50" t="s" s="0">
        <v>81</v>
      </c>
      <c r="I50" t="s" s="0">
        <v>82</v>
      </c>
      <c r="J50" t="s" s="0">
        <v>1457</v>
      </c>
      <c r="K50" t="s" s="0">
        <v>1458</v>
      </c>
      <c r="L50" t="s" s="0">
        <v>1459</v>
      </c>
      <c r="M50" t="s" s="0">
        <v>1460</v>
      </c>
      <c r="N50" t="s" s="0">
        <v>1461</v>
      </c>
      <c r="O50" t="s" s="0">
        <v>1462</v>
      </c>
      <c r="P50" t="s" s="0">
        <v>1463</v>
      </c>
      <c r="Q50" t="s" s="0">
        <v>90</v>
      </c>
      <c r="R50" t="s" s="0">
        <v>81</v>
      </c>
      <c r="S50" t="s" s="0">
        <v>81</v>
      </c>
      <c r="T50" t="s" s="0">
        <v>81</v>
      </c>
      <c r="U50" t="s" s="0">
        <v>81</v>
      </c>
      <c r="V50" t="s" s="0">
        <v>1464</v>
      </c>
      <c r="W50" t="s" s="0">
        <v>1233</v>
      </c>
      <c r="X50" t="s" s="0">
        <v>81</v>
      </c>
      <c r="Y50" t="s" s="0">
        <v>81</v>
      </c>
      <c r="Z50" t="s" s="0">
        <v>93</v>
      </c>
      <c r="AA50" t="s" s="0">
        <v>94</v>
      </c>
      <c r="AB50" t="s" s="0">
        <v>81</v>
      </c>
      <c r="AC50" t="s" s="0">
        <v>81</v>
      </c>
      <c r="AD50" t="s" s="0">
        <v>81</v>
      </c>
      <c r="AE50" t="s" s="0">
        <v>81</v>
      </c>
      <c r="AF50" t="s" s="0">
        <v>81</v>
      </c>
      <c r="AG50" t="s" s="0">
        <v>81</v>
      </c>
      <c r="AH50" t="s" s="0">
        <v>1465</v>
      </c>
      <c r="AI50" t="s" s="0">
        <v>81</v>
      </c>
      <c r="AJ50" t="s" s="0">
        <v>81</v>
      </c>
      <c r="AK50" t="s" s="0">
        <v>81</v>
      </c>
      <c r="AL50" t="s" s="0">
        <v>878</v>
      </c>
      <c r="AM50" t="s" s="0">
        <v>77</v>
      </c>
      <c r="AN50" t="s" s="0">
        <v>77</v>
      </c>
      <c r="AO50" t="s" s="0">
        <v>131</v>
      </c>
      <c r="AP50" t="s" s="0">
        <v>131</v>
      </c>
      <c r="AQ50" t="s" s="0">
        <v>1235</v>
      </c>
      <c r="AR50" t="s" s="0">
        <v>1236</v>
      </c>
      <c r="AS50" t="s" s="0">
        <v>1237</v>
      </c>
      <c r="AT50" t="s" s="0">
        <v>1238</v>
      </c>
      <c r="AU50" t="s" s="0">
        <v>1239</v>
      </c>
      <c r="AV50" t="s" s="0">
        <v>81</v>
      </c>
      <c r="AW50" t="s" s="0">
        <v>1240</v>
      </c>
      <c r="AX50" t="s" s="0">
        <v>1241</v>
      </c>
      <c r="AY50" t="s" s="0">
        <v>1466</v>
      </c>
      <c r="AZ50" t="s" s="0">
        <v>104</v>
      </c>
      <c r="BA50" t="s" s="0">
        <v>128</v>
      </c>
      <c r="BB50" t="s" s="0">
        <v>81</v>
      </c>
      <c r="BC50" t="s" s="0">
        <v>81</v>
      </c>
      <c r="BD50" t="s" s="0">
        <v>81</v>
      </c>
      <c r="BE50" t="s" s="0">
        <v>81</v>
      </c>
      <c r="BF50" t="s" s="0">
        <v>81</v>
      </c>
      <c r="BG50" t="s" s="0">
        <v>81</v>
      </c>
      <c r="BH50" t="s" s="0">
        <v>81</v>
      </c>
      <c r="BI50" t="s" s="0">
        <v>1467</v>
      </c>
      <c r="BJ50" t="s" s="0">
        <v>1468</v>
      </c>
      <c r="BK50" t="s" s="97">
        <f>HYPERLINK("http://dx.doi.org/10.34133/research.1136","http://dx.doi.org/10.34133/research.1136")</f>
        <v>1469</v>
      </c>
      <c r="BL50" t="s" s="0">
        <v>81</v>
      </c>
      <c r="BM50" t="s" s="0">
        <v>81</v>
      </c>
      <c r="BN50" t="s" s="0">
        <v>167</v>
      </c>
      <c r="BO50" t="s" s="0">
        <v>285</v>
      </c>
      <c r="BP50" t="s" s="0">
        <v>286</v>
      </c>
      <c r="BQ50" t="s" s="0">
        <v>1470</v>
      </c>
      <c r="BR50" t="s" s="0">
        <v>1471</v>
      </c>
      <c r="BS50" t="s" s="0">
        <v>1472</v>
      </c>
      <c r="BT50" t="s" s="98">
        <f>HYPERLINK("https://www.webofscience.com/wos/woscc/full-record/WOS:001727655000001","View Record in Web of Science")</f>
        <v>114</v>
      </c>
      <c r="BU50" t="s" s="0">
        <v>145</v>
      </c>
      <c r="BV50" t="s" s="0">
        <v>81</v>
      </c>
      <c r="BW50" t="s" s="0">
        <v>81</v>
      </c>
      <c r="BX50" t="s" s="0">
        <v>116</v>
      </c>
    </row>
    <row r="51">
      <c r="A51" t="s" s="0">
        <v>77</v>
      </c>
      <c r="B51" t="s" s="0">
        <v>77</v>
      </c>
      <c r="C51" t="s" s="0">
        <v>227</v>
      </c>
      <c r="D51" t="s" s="0">
        <v>77</v>
      </c>
      <c r="E51" t="s" s="0">
        <v>1473</v>
      </c>
      <c r="F51" t="s" s="0">
        <v>1474</v>
      </c>
      <c r="G51" t="s" s="0">
        <v>1475</v>
      </c>
      <c r="H51" t="s" s="0">
        <v>81</v>
      </c>
      <c r="I51" t="s" s="0">
        <v>82</v>
      </c>
      <c r="J51" t="s" s="0">
        <v>1476</v>
      </c>
      <c r="K51" t="s" s="0">
        <v>1477</v>
      </c>
      <c r="L51" t="s" s="0">
        <v>1478</v>
      </c>
      <c r="M51" t="s" s="0">
        <v>1479</v>
      </c>
      <c r="N51" t="s" s="0">
        <v>1480</v>
      </c>
      <c r="O51" t="s" s="0">
        <v>1481</v>
      </c>
      <c r="P51" t="s" s="0">
        <v>1482</v>
      </c>
      <c r="Q51" t="s" s="0">
        <v>90</v>
      </c>
      <c r="R51" t="s" s="0">
        <v>81</v>
      </c>
      <c r="S51" t="s" s="0">
        <v>81</v>
      </c>
      <c r="T51" t="s" s="0">
        <v>81</v>
      </c>
      <c r="U51" t="s" s="0">
        <v>81</v>
      </c>
      <c r="V51" t="s" s="0">
        <v>1483</v>
      </c>
      <c r="W51" t="s" s="0">
        <v>1484</v>
      </c>
      <c r="X51" t="s" s="0">
        <v>81</v>
      </c>
      <c r="Y51" t="s" s="0">
        <v>81</v>
      </c>
      <c r="Z51" t="s" s="0">
        <v>93</v>
      </c>
      <c r="AA51" t="s" s="0">
        <v>94</v>
      </c>
      <c r="AB51" t="s" s="0">
        <v>81</v>
      </c>
      <c r="AC51" t="s" s="0">
        <v>81</v>
      </c>
      <c r="AD51" t="s" s="0">
        <v>81</v>
      </c>
      <c r="AE51" t="s" s="0">
        <v>81</v>
      </c>
      <c r="AF51" t="s" s="0">
        <v>81</v>
      </c>
      <c r="AG51" t="s" s="0">
        <v>1485</v>
      </c>
      <c r="AH51" t="s" s="0">
        <v>1486</v>
      </c>
      <c r="AI51" t="s" s="0">
        <v>81</v>
      </c>
      <c r="AJ51" t="s" s="0">
        <v>81</v>
      </c>
      <c r="AK51" t="s" s="0">
        <v>81</v>
      </c>
      <c r="AL51" t="s" s="0">
        <v>1487</v>
      </c>
      <c r="AM51" t="s" s="0">
        <v>225</v>
      </c>
      <c r="AN51" t="s" s="0">
        <v>226</v>
      </c>
      <c r="AO51" t="s" s="0">
        <v>253</v>
      </c>
      <c r="AP51" t="s" s="0">
        <v>228</v>
      </c>
      <c r="AQ51" t="s" s="0">
        <v>476</v>
      </c>
      <c r="AR51" t="s" s="0">
        <v>477</v>
      </c>
      <c r="AS51" t="s" s="0">
        <v>478</v>
      </c>
      <c r="AT51" t="s" s="0">
        <v>81</v>
      </c>
      <c r="AU51" t="s" s="0">
        <v>1488</v>
      </c>
      <c r="AV51" t="s" s="0">
        <v>81</v>
      </c>
      <c r="AW51" t="s" s="0">
        <v>1489</v>
      </c>
      <c r="AX51" t="s" s="0">
        <v>1490</v>
      </c>
      <c r="AY51" t="s" s="0">
        <v>1491</v>
      </c>
      <c r="AZ51" t="s" s="0">
        <v>136</v>
      </c>
      <c r="BA51" t="s" s="0">
        <v>172</v>
      </c>
      <c r="BB51" t="s" s="0">
        <v>225</v>
      </c>
      <c r="BC51" t="s" s="0">
        <v>81</v>
      </c>
      <c r="BD51" t="s" s="0">
        <v>81</v>
      </c>
      <c r="BE51" t="s" s="0">
        <v>81</v>
      </c>
      <c r="BF51" t="s" s="0">
        <v>81</v>
      </c>
      <c r="BG51" t="s" s="0">
        <v>81</v>
      </c>
      <c r="BH51" t="s" s="0">
        <v>81</v>
      </c>
      <c r="BI51" t="s" s="0">
        <v>1492</v>
      </c>
      <c r="BJ51" t="s" s="0">
        <v>1493</v>
      </c>
      <c r="BK51" t="s" s="99">
        <f>HYPERLINK("http://dx.doi.org/10.3390/app15084513","http://dx.doi.org/10.3390/app15084513")</f>
        <v>1494</v>
      </c>
      <c r="BL51" t="s" s="0">
        <v>81</v>
      </c>
      <c r="BM51" t="s" s="0">
        <v>81</v>
      </c>
      <c r="BN51" t="s" s="0">
        <v>137</v>
      </c>
      <c r="BO51" t="s" s="0">
        <v>1495</v>
      </c>
      <c r="BP51" t="s" s="0">
        <v>1496</v>
      </c>
      <c r="BQ51" t="s" s="0">
        <v>1497</v>
      </c>
      <c r="BR51" t="s" s="0">
        <v>81</v>
      </c>
      <c r="BS51" t="s" s="0">
        <v>1498</v>
      </c>
      <c r="BT51" t="s" s="100">
        <f>HYPERLINK("https://www.webofscience.com/wos/woscc/full-record/WOS:001474796300001","View Record in Web of Science")</f>
        <v>114</v>
      </c>
      <c r="BU51" t="s" s="0">
        <v>145</v>
      </c>
      <c r="BV51" t="s" s="0">
        <v>81</v>
      </c>
      <c r="BW51" t="s" s="0">
        <v>81</v>
      </c>
      <c r="BX51" t="s" s="0">
        <v>116</v>
      </c>
    </row>
    <row r="52">
      <c r="A52" t="s" s="0">
        <v>130</v>
      </c>
      <c r="B52" t="s" s="0">
        <v>77</v>
      </c>
      <c r="C52" t="s" s="0">
        <v>160</v>
      </c>
      <c r="D52" t="s" s="0">
        <v>77</v>
      </c>
      <c r="E52" t="s" s="0">
        <v>1499</v>
      </c>
      <c r="F52" t="s" s="0">
        <v>1500</v>
      </c>
      <c r="G52" t="s" s="0">
        <v>1501</v>
      </c>
      <c r="H52" t="s" s="0">
        <v>81</v>
      </c>
      <c r="I52" t="s" s="0">
        <v>82</v>
      </c>
      <c r="J52" t="s" s="0">
        <v>1502</v>
      </c>
      <c r="K52" t="s" s="0">
        <v>1503</v>
      </c>
      <c r="L52" t="s" s="0">
        <v>1504</v>
      </c>
      <c r="M52" t="s" s="0">
        <v>1505</v>
      </c>
      <c r="N52" t="s" s="0">
        <v>1506</v>
      </c>
      <c r="O52" t="s" s="0">
        <v>1507</v>
      </c>
      <c r="P52" t="s" s="0">
        <v>1508</v>
      </c>
      <c r="Q52" t="s" s="0">
        <v>90</v>
      </c>
      <c r="R52" t="s" s="0">
        <v>81</v>
      </c>
      <c r="S52" t="s" s="0">
        <v>81</v>
      </c>
      <c r="T52" t="s" s="0">
        <v>81</v>
      </c>
      <c r="U52" t="s" s="0">
        <v>81</v>
      </c>
      <c r="V52" t="s" s="0">
        <v>1509</v>
      </c>
      <c r="W52" t="s" s="0">
        <v>1510</v>
      </c>
      <c r="X52" t="s" s="0">
        <v>81</v>
      </c>
      <c r="Y52" t="s" s="0">
        <v>81</v>
      </c>
      <c r="Z52" t="s" s="0">
        <v>93</v>
      </c>
      <c r="AA52" t="s" s="0">
        <v>94</v>
      </c>
      <c r="AB52" t="s" s="0">
        <v>81</v>
      </c>
      <c r="AC52" t="s" s="0">
        <v>81</v>
      </c>
      <c r="AD52" t="s" s="0">
        <v>81</v>
      </c>
      <c r="AE52" t="s" s="0">
        <v>81</v>
      </c>
      <c r="AF52" t="s" s="0">
        <v>81</v>
      </c>
      <c r="AG52" t="s" s="0">
        <v>1511</v>
      </c>
      <c r="AH52" t="s" s="0">
        <v>1512</v>
      </c>
      <c r="AI52" t="s" s="0">
        <v>1513</v>
      </c>
      <c r="AJ52" t="s" s="0">
        <v>1514</v>
      </c>
      <c r="AK52" t="s" s="0">
        <v>81</v>
      </c>
      <c r="AL52" t="s" s="0">
        <v>1515</v>
      </c>
      <c r="AM52" t="s" s="0">
        <v>167</v>
      </c>
      <c r="AN52" t="s" s="0">
        <v>563</v>
      </c>
      <c r="AO52" t="s" s="0">
        <v>77</v>
      </c>
      <c r="AP52" t="s" s="0">
        <v>337</v>
      </c>
      <c r="AQ52" t="s" s="0">
        <v>476</v>
      </c>
      <c r="AR52" t="s" s="0">
        <v>477</v>
      </c>
      <c r="AS52" t="s" s="0">
        <v>478</v>
      </c>
      <c r="AT52" t="s" s="0">
        <v>81</v>
      </c>
      <c r="AU52" t="s" s="0">
        <v>1516</v>
      </c>
      <c r="AV52" t="s" s="0">
        <v>81</v>
      </c>
      <c r="AW52" t="s" s="0">
        <v>1510</v>
      </c>
      <c r="AX52" t="s" s="0">
        <v>1517</v>
      </c>
      <c r="AY52" t="s" s="0">
        <v>1518</v>
      </c>
      <c r="AZ52" t="s" s="0">
        <v>1519</v>
      </c>
      <c r="BA52" t="s" s="0">
        <v>172</v>
      </c>
      <c r="BB52" t="s" s="0">
        <v>161</v>
      </c>
      <c r="BC52" t="s" s="0">
        <v>81</v>
      </c>
      <c r="BD52" t="s" s="0">
        <v>81</v>
      </c>
      <c r="BE52" t="s" s="0">
        <v>81</v>
      </c>
      <c r="BF52" t="s" s="0">
        <v>81</v>
      </c>
      <c r="BG52" t="s" s="0">
        <v>81</v>
      </c>
      <c r="BH52" t="s" s="0">
        <v>81</v>
      </c>
      <c r="BI52" t="s" s="0">
        <v>1520</v>
      </c>
      <c r="BJ52" t="s" s="0">
        <v>1521</v>
      </c>
      <c r="BK52" t="s" s="101">
        <f>HYPERLINK("http://dx.doi.org/10.3390/cancers15072032","http://dx.doi.org/10.3390/cancers15072032")</f>
        <v>1522</v>
      </c>
      <c r="BL52" t="s" s="0">
        <v>81</v>
      </c>
      <c r="BM52" t="s" s="0">
        <v>81</v>
      </c>
      <c r="BN52" t="s" s="0">
        <v>137</v>
      </c>
      <c r="BO52" t="s" s="0">
        <v>939</v>
      </c>
      <c r="BP52" t="s" s="0">
        <v>939</v>
      </c>
      <c r="BQ52" t="s" s="0">
        <v>1523</v>
      </c>
      <c r="BR52" t="s" s="0">
        <v>1524</v>
      </c>
      <c r="BS52" t="s" s="0">
        <v>1525</v>
      </c>
      <c r="BT52" t="s" s="102">
        <f>HYPERLINK("https://www.webofscience.com/wos/woscc/full-record/WOS:000973109800001","View Record in Web of Science")</f>
        <v>114</v>
      </c>
      <c r="BU52" t="s" s="0">
        <v>145</v>
      </c>
      <c r="BV52" t="s" s="0">
        <v>81</v>
      </c>
      <c r="BW52" t="s" s="0">
        <v>81</v>
      </c>
      <c r="BX52" t="s" s="0">
        <v>116</v>
      </c>
    </row>
    <row r="53">
      <c r="A53" t="s" s="0">
        <v>77</v>
      </c>
      <c r="B53" t="s" s="0">
        <v>77</v>
      </c>
      <c r="C53" t="s" s="0">
        <v>77</v>
      </c>
      <c r="D53" t="s" s="0">
        <v>77</v>
      </c>
      <c r="E53" t="s" s="0">
        <v>1526</v>
      </c>
      <c r="F53" t="s" s="0">
        <v>1527</v>
      </c>
      <c r="G53" t="s" s="0">
        <v>1528</v>
      </c>
      <c r="H53" t="s" s="0">
        <v>81</v>
      </c>
      <c r="I53" t="s" s="0">
        <v>82</v>
      </c>
      <c r="J53" t="s" s="0">
        <v>1529</v>
      </c>
      <c r="K53" t="s" s="0">
        <v>1530</v>
      </c>
      <c r="L53" t="s" s="0">
        <v>81</v>
      </c>
      <c r="M53" t="s" s="0">
        <v>81</v>
      </c>
      <c r="N53" t="s" s="0">
        <v>1531</v>
      </c>
      <c r="O53" t="s" s="0">
        <v>1532</v>
      </c>
      <c r="P53" t="s" s="0">
        <v>1533</v>
      </c>
      <c r="Q53" t="s" s="0">
        <v>90</v>
      </c>
      <c r="R53" t="s" s="0">
        <v>81</v>
      </c>
      <c r="S53" t="s" s="0">
        <v>81</v>
      </c>
      <c r="T53" t="s" s="0">
        <v>81</v>
      </c>
      <c r="U53" t="s" s="0">
        <v>81</v>
      </c>
      <c r="V53" t="s" s="0">
        <v>1534</v>
      </c>
      <c r="W53" t="s" s="0">
        <v>1535</v>
      </c>
      <c r="X53" t="s" s="0">
        <v>81</v>
      </c>
      <c r="Y53" t="s" s="0">
        <v>81</v>
      </c>
      <c r="Z53" t="s" s="0">
        <v>93</v>
      </c>
      <c r="AA53" t="s" s="0">
        <v>94</v>
      </c>
      <c r="AB53" t="s" s="0">
        <v>81</v>
      </c>
      <c r="AC53" t="s" s="0">
        <v>81</v>
      </c>
      <c r="AD53" t="s" s="0">
        <v>81</v>
      </c>
      <c r="AE53" t="s" s="0">
        <v>81</v>
      </c>
      <c r="AF53" t="s" s="0">
        <v>81</v>
      </c>
      <c r="AG53" t="s" s="0">
        <v>1536</v>
      </c>
      <c r="AH53" t="s" s="0">
        <v>81</v>
      </c>
      <c r="AI53" t="s" s="0">
        <v>1537</v>
      </c>
      <c r="AJ53" t="s" s="0">
        <v>81</v>
      </c>
      <c r="AK53" t="s" s="0">
        <v>81</v>
      </c>
      <c r="AL53" t="s" s="0">
        <v>1538</v>
      </c>
      <c r="AM53" t="s" s="0">
        <v>77</v>
      </c>
      <c r="AN53" t="s" s="0">
        <v>77</v>
      </c>
      <c r="AO53" t="s" s="0">
        <v>117</v>
      </c>
      <c r="AP53" t="s" s="0">
        <v>117</v>
      </c>
      <c r="AQ53" t="s" s="0">
        <v>370</v>
      </c>
      <c r="AR53" t="s" s="0">
        <v>371</v>
      </c>
      <c r="AS53" t="s" s="0">
        <v>372</v>
      </c>
      <c r="AT53" t="s" s="0">
        <v>1539</v>
      </c>
      <c r="AU53" t="s" s="0">
        <v>1540</v>
      </c>
      <c r="AV53" t="s" s="0">
        <v>81</v>
      </c>
      <c r="AW53" t="s" s="0">
        <v>1541</v>
      </c>
      <c r="AX53" t="s" s="0">
        <v>1542</v>
      </c>
      <c r="AY53" t="s" s="0">
        <v>1543</v>
      </c>
      <c r="AZ53" t="s" s="0">
        <v>104</v>
      </c>
      <c r="BA53" t="s" s="0">
        <v>252</v>
      </c>
      <c r="BB53" t="s" s="0">
        <v>117</v>
      </c>
      <c r="BC53" t="s" s="0">
        <v>81</v>
      </c>
      <c r="BD53" t="s" s="0">
        <v>81</v>
      </c>
      <c r="BE53" t="s" s="0">
        <v>81</v>
      </c>
      <c r="BF53" t="s" s="0">
        <v>81</v>
      </c>
      <c r="BG53" t="s" s="0">
        <v>81</v>
      </c>
      <c r="BH53" t="s" s="0">
        <v>81</v>
      </c>
      <c r="BI53" t="s" s="0">
        <v>1544</v>
      </c>
      <c r="BJ53" t="s" s="0">
        <v>1545</v>
      </c>
      <c r="BK53" t="s" s="103">
        <f>HYPERLINK("http://dx.doi.org/10.1007/s10822-026-00858-7","http://dx.doi.org/10.1007/s10822-026-00858-7")</f>
        <v>1546</v>
      </c>
      <c r="BL53" t="s" s="0">
        <v>81</v>
      </c>
      <c r="BM53" t="s" s="0">
        <v>445</v>
      </c>
      <c r="BN53" t="s" s="0">
        <v>475</v>
      </c>
      <c r="BO53" t="s" s="0">
        <v>1547</v>
      </c>
      <c r="BP53" t="s" s="0">
        <v>1548</v>
      </c>
      <c r="BQ53" t="s" s="0">
        <v>1549</v>
      </c>
      <c r="BR53" t="s" s="0">
        <v>1550</v>
      </c>
      <c r="BS53" t="s" s="0">
        <v>1551</v>
      </c>
      <c r="BT53" t="s" s="104">
        <f>HYPERLINK("https://www.webofscience.com/wos/woscc/full-record/WOS:001800889300006","View Record in Web of Science")</f>
        <v>114</v>
      </c>
      <c r="BU53" t="s" s="0">
        <v>81</v>
      </c>
      <c r="BV53" t="s" s="0">
        <v>81</v>
      </c>
      <c r="BW53" t="s" s="0">
        <v>81</v>
      </c>
      <c r="BX53" t="s" s="0">
        <v>116</v>
      </c>
    </row>
    <row r="54">
      <c r="A54" t="s" s="0">
        <v>77</v>
      </c>
      <c r="B54" t="s" s="0">
        <v>77</v>
      </c>
      <c r="C54" t="s" s="0">
        <v>130</v>
      </c>
      <c r="D54" t="s" s="0">
        <v>77</v>
      </c>
      <c r="E54" t="s" s="0">
        <v>1552</v>
      </c>
      <c r="F54" t="s" s="0">
        <v>1553</v>
      </c>
      <c r="G54" t="s" s="0">
        <v>1554</v>
      </c>
      <c r="H54" t="s" s="0">
        <v>81</v>
      </c>
      <c r="I54" t="s" s="0">
        <v>82</v>
      </c>
      <c r="J54" t="s" s="0">
        <v>1555</v>
      </c>
      <c r="K54" t="s" s="0">
        <v>1556</v>
      </c>
      <c r="L54" t="s" s="0">
        <v>1557</v>
      </c>
      <c r="M54" t="s" s="0">
        <v>1558</v>
      </c>
      <c r="N54" t="s" s="0">
        <v>1559</v>
      </c>
      <c r="O54" t="s" s="0">
        <v>1560</v>
      </c>
      <c r="P54" t="s" s="0">
        <v>1561</v>
      </c>
      <c r="Q54" t="s" s="0">
        <v>90</v>
      </c>
      <c r="R54" t="s" s="0">
        <v>81</v>
      </c>
      <c r="S54" t="s" s="0">
        <v>81</v>
      </c>
      <c r="T54" t="s" s="0">
        <v>81</v>
      </c>
      <c r="U54" t="s" s="0">
        <v>81</v>
      </c>
      <c r="V54" t="s" s="0">
        <v>1562</v>
      </c>
      <c r="W54" t="s" s="0">
        <v>1563</v>
      </c>
      <c r="X54" t="s" s="0">
        <v>81</v>
      </c>
      <c r="Y54" t="s" s="0">
        <v>81</v>
      </c>
      <c r="Z54" t="s" s="0">
        <v>93</v>
      </c>
      <c r="AA54" t="s" s="0">
        <v>94</v>
      </c>
      <c r="AB54" t="s" s="0">
        <v>81</v>
      </c>
      <c r="AC54" t="s" s="0">
        <v>81</v>
      </c>
      <c r="AD54" t="s" s="0">
        <v>81</v>
      </c>
      <c r="AE54" t="s" s="0">
        <v>81</v>
      </c>
      <c r="AF54" t="s" s="0">
        <v>81</v>
      </c>
      <c r="AG54" t="s" s="0">
        <v>1564</v>
      </c>
      <c r="AH54" t="s" s="0">
        <v>1565</v>
      </c>
      <c r="AI54" t="s" s="0">
        <v>1566</v>
      </c>
      <c r="AJ54" t="s" s="0">
        <v>1567</v>
      </c>
      <c r="AK54" t="s" s="0">
        <v>81</v>
      </c>
      <c r="AL54" t="s" s="0">
        <v>1568</v>
      </c>
      <c r="AM54" t="s" s="0">
        <v>228</v>
      </c>
      <c r="AN54" t="s" s="0">
        <v>137</v>
      </c>
      <c r="AO54" t="s" s="0">
        <v>226</v>
      </c>
      <c r="AP54" t="s" s="0">
        <v>345</v>
      </c>
      <c r="AQ54" t="s" s="0">
        <v>162</v>
      </c>
      <c r="AR54" t="s" s="0">
        <v>163</v>
      </c>
      <c r="AS54" t="s" s="0">
        <v>164</v>
      </c>
      <c r="AT54" t="s" s="0">
        <v>1569</v>
      </c>
      <c r="AU54" t="s" s="0">
        <v>1570</v>
      </c>
      <c r="AV54" t="s" s="0">
        <v>81</v>
      </c>
      <c r="AW54" t="s" s="0">
        <v>1571</v>
      </c>
      <c r="AX54" t="s" s="0">
        <v>1572</v>
      </c>
      <c r="AY54" t="s" s="0">
        <v>413</v>
      </c>
      <c r="AZ54" t="s" s="0">
        <v>136</v>
      </c>
      <c r="BA54" t="s" s="0">
        <v>193</v>
      </c>
      <c r="BB54" t="s" s="0">
        <v>131</v>
      </c>
      <c r="BC54" t="s" s="0">
        <v>81</v>
      </c>
      <c r="BD54" t="s" s="0">
        <v>81</v>
      </c>
      <c r="BE54" t="s" s="0">
        <v>81</v>
      </c>
      <c r="BF54" t="s" s="0">
        <v>81</v>
      </c>
      <c r="BG54" t="s" s="0">
        <v>1573</v>
      </c>
      <c r="BH54" t="s" s="0">
        <v>1574</v>
      </c>
      <c r="BI54" t="s" s="0">
        <v>81</v>
      </c>
      <c r="BJ54" t="s" s="0">
        <v>1575</v>
      </c>
      <c r="BK54" t="s" s="105">
        <f>HYPERLINK("http://dx.doi.org/10.1109/JBHI.2025.3530156","http://dx.doi.org/10.1109/JBHI.2025.3530156")</f>
        <v>1576</v>
      </c>
      <c r="BL54" t="s" s="0">
        <v>81</v>
      </c>
      <c r="BM54" t="s" s="0">
        <v>81</v>
      </c>
      <c r="BN54" t="s" s="0">
        <v>228</v>
      </c>
      <c r="BO54" t="s" s="0">
        <v>1577</v>
      </c>
      <c r="BP54" t="s" s="0">
        <v>1578</v>
      </c>
      <c r="BQ54" t="s" s="0">
        <v>1579</v>
      </c>
      <c r="BR54" t="s" s="0">
        <v>1580</v>
      </c>
      <c r="BS54" t="s" s="0">
        <v>1581</v>
      </c>
      <c r="BT54" t="s" s="106">
        <f>HYPERLINK("https://www.webofscience.com/wos/woscc/full-record/WOS:001504143000003","View Record in Web of Science")</f>
        <v>114</v>
      </c>
      <c r="BU54" t="s" s="0">
        <v>973</v>
      </c>
      <c r="BV54" t="s" s="0">
        <v>81</v>
      </c>
      <c r="BW54" t="s" s="0">
        <v>81</v>
      </c>
      <c r="BX54" t="s" s="0">
        <v>116</v>
      </c>
    </row>
    <row r="55">
      <c r="A55" t="s" s="0">
        <v>77</v>
      </c>
      <c r="B55" t="s" s="0">
        <v>77</v>
      </c>
      <c r="C55" t="s" s="0">
        <v>227</v>
      </c>
      <c r="D55" t="s" s="0">
        <v>77</v>
      </c>
      <c r="E55" t="s" s="0">
        <v>1582</v>
      </c>
      <c r="F55" t="s" s="0">
        <v>1583</v>
      </c>
      <c r="G55" t="s" s="0">
        <v>1584</v>
      </c>
      <c r="H55" t="s" s="0">
        <v>81</v>
      </c>
      <c r="I55" t="s" s="0">
        <v>82</v>
      </c>
      <c r="J55" t="s" s="0">
        <v>1585</v>
      </c>
      <c r="K55" t="s" s="0">
        <v>1586</v>
      </c>
      <c r="L55" t="s" s="0">
        <v>1587</v>
      </c>
      <c r="M55" t="s" s="0">
        <v>1588</v>
      </c>
      <c r="N55" t="s" s="0">
        <v>1589</v>
      </c>
      <c r="O55" t="s" s="0">
        <v>1590</v>
      </c>
      <c r="P55" t="s" s="0">
        <v>1591</v>
      </c>
      <c r="Q55" t="s" s="0">
        <v>90</v>
      </c>
      <c r="R55" t="s" s="0">
        <v>81</v>
      </c>
      <c r="S55" t="s" s="0">
        <v>81</v>
      </c>
      <c r="T55" t="s" s="0">
        <v>81</v>
      </c>
      <c r="U55" t="s" s="0">
        <v>81</v>
      </c>
      <c r="V55" t="s" s="0">
        <v>1592</v>
      </c>
      <c r="W55" t="s" s="0">
        <v>1063</v>
      </c>
      <c r="X55" t="s" s="0">
        <v>81</v>
      </c>
      <c r="Y55" t="s" s="0">
        <v>81</v>
      </c>
      <c r="Z55" t="s" s="0">
        <v>93</v>
      </c>
      <c r="AA55" t="s" s="0">
        <v>94</v>
      </c>
      <c r="AB55" t="s" s="0">
        <v>81</v>
      </c>
      <c r="AC55" t="s" s="0">
        <v>81</v>
      </c>
      <c r="AD55" t="s" s="0">
        <v>81</v>
      </c>
      <c r="AE55" t="s" s="0">
        <v>81</v>
      </c>
      <c r="AF55" t="s" s="0">
        <v>81</v>
      </c>
      <c r="AG55" t="s" s="0">
        <v>1593</v>
      </c>
      <c r="AH55" t="s" s="0">
        <v>1594</v>
      </c>
      <c r="AI55" t="s" s="0">
        <v>81</v>
      </c>
      <c r="AJ55" t="s" s="0">
        <v>81</v>
      </c>
      <c r="AK55" t="s" s="0">
        <v>81</v>
      </c>
      <c r="AL55" t="s" s="0">
        <v>1595</v>
      </c>
      <c r="AM55" t="s" s="0">
        <v>253</v>
      </c>
      <c r="AN55" t="s" s="0">
        <v>253</v>
      </c>
      <c r="AO55" t="s" s="0">
        <v>541</v>
      </c>
      <c r="AP55" t="s" s="0">
        <v>541</v>
      </c>
      <c r="AQ55" t="s" s="0">
        <v>1068</v>
      </c>
      <c r="AR55" t="s" s="0">
        <v>1069</v>
      </c>
      <c r="AS55" t="s" s="0">
        <v>1070</v>
      </c>
      <c r="AT55" t="s" s="0">
        <v>1071</v>
      </c>
      <c r="AU55" t="s" s="0">
        <v>1072</v>
      </c>
      <c r="AV55" t="s" s="0">
        <v>81</v>
      </c>
      <c r="AW55" t="s" s="0">
        <v>1073</v>
      </c>
      <c r="AX55" t="s" s="0">
        <v>1074</v>
      </c>
      <c r="AY55" t="s" s="0">
        <v>1596</v>
      </c>
      <c r="AZ55" t="s" s="0">
        <v>104</v>
      </c>
      <c r="BA55" t="s" s="0">
        <v>1597</v>
      </c>
      <c r="BB55" t="s" s="0">
        <v>81</v>
      </c>
      <c r="BC55" t="s" s="0">
        <v>81</v>
      </c>
      <c r="BD55" t="s" s="0">
        <v>81</v>
      </c>
      <c r="BE55" t="s" s="0">
        <v>81</v>
      </c>
      <c r="BF55" t="s" s="0">
        <v>81</v>
      </c>
      <c r="BG55" t="s" s="0">
        <v>81</v>
      </c>
      <c r="BH55" t="s" s="0">
        <v>81</v>
      </c>
      <c r="BI55" t="s" s="0">
        <v>1598</v>
      </c>
      <c r="BJ55" t="s" s="0">
        <v>1599</v>
      </c>
      <c r="BK55" t="s" s="107">
        <f>HYPERLINK("http://dx.doi.org/10.1016/j.patcog.2026.113456","http://dx.doi.org/10.1016/j.patcog.2026.113456")</f>
        <v>1600</v>
      </c>
      <c r="BL55" t="s" s="0">
        <v>81</v>
      </c>
      <c r="BM55" t="s" s="0">
        <v>81</v>
      </c>
      <c r="BN55" t="s" s="0">
        <v>167</v>
      </c>
      <c r="BO55" t="s" s="0">
        <v>1081</v>
      </c>
      <c r="BP55" t="s" s="0">
        <v>206</v>
      </c>
      <c r="BQ55" t="s" s="0">
        <v>1601</v>
      </c>
      <c r="BR55" t="s" s="0">
        <v>81</v>
      </c>
      <c r="BS55" t="s" s="0">
        <v>1602</v>
      </c>
      <c r="BT55" t="s" s="108">
        <f>HYPERLINK("https://www.webofscience.com/wos/woscc/full-record/WOS:001726997500001","View Record in Web of Science")</f>
        <v>114</v>
      </c>
      <c r="BU55" t="s" s="0">
        <v>81</v>
      </c>
      <c r="BV55" t="s" s="0">
        <v>81</v>
      </c>
      <c r="BW55" t="s" s="0">
        <v>81</v>
      </c>
      <c r="BX55" t="s" s="0">
        <v>116</v>
      </c>
    </row>
    <row r="56">
      <c r="A56" t="s" s="0">
        <v>160</v>
      </c>
      <c r="B56" t="s" s="0">
        <v>77</v>
      </c>
      <c r="C56" t="s" s="0">
        <v>1161</v>
      </c>
      <c r="D56" t="s" s="0">
        <v>117</v>
      </c>
      <c r="E56" t="s" s="0">
        <v>1603</v>
      </c>
      <c r="F56" t="s" s="0">
        <v>1604</v>
      </c>
      <c r="G56" t="s" s="0">
        <v>1605</v>
      </c>
      <c r="H56" t="s" s="0">
        <v>81</v>
      </c>
      <c r="I56" t="s" s="0">
        <v>82</v>
      </c>
      <c r="J56" t="s" s="0">
        <v>1606</v>
      </c>
      <c r="K56" t="s" s="0">
        <v>1607</v>
      </c>
      <c r="L56" t="s" s="0">
        <v>1608</v>
      </c>
      <c r="M56" t="s" s="0">
        <v>1609</v>
      </c>
      <c r="N56" t="s" s="0">
        <v>1610</v>
      </c>
      <c r="O56" t="s" s="0">
        <v>1611</v>
      </c>
      <c r="P56" t="s" s="0">
        <v>1612</v>
      </c>
      <c r="Q56" t="s" s="0">
        <v>90</v>
      </c>
      <c r="R56" t="s" s="0">
        <v>81</v>
      </c>
      <c r="S56" t="s" s="0">
        <v>81</v>
      </c>
      <c r="T56" t="s" s="0">
        <v>81</v>
      </c>
      <c r="U56" t="s" s="0">
        <v>81</v>
      </c>
      <c r="V56" t="s" s="0">
        <v>1613</v>
      </c>
      <c r="W56" t="s" s="0">
        <v>1391</v>
      </c>
      <c r="X56" t="s" s="0">
        <v>81</v>
      </c>
      <c r="Y56" t="s" s="0">
        <v>81</v>
      </c>
      <c r="Z56" t="s" s="0">
        <v>93</v>
      </c>
      <c r="AA56" t="s" s="0">
        <v>94</v>
      </c>
      <c r="AB56" t="s" s="0">
        <v>81</v>
      </c>
      <c r="AC56" t="s" s="0">
        <v>81</v>
      </c>
      <c r="AD56" t="s" s="0">
        <v>81</v>
      </c>
      <c r="AE56" t="s" s="0">
        <v>81</v>
      </c>
      <c r="AF56" t="s" s="0">
        <v>81</v>
      </c>
      <c r="AG56" t="s" s="0">
        <v>81</v>
      </c>
      <c r="AH56" t="s" s="0">
        <v>1614</v>
      </c>
      <c r="AI56" t="s" s="0">
        <v>1615</v>
      </c>
      <c r="AJ56" t="s" s="0">
        <v>1616</v>
      </c>
      <c r="AK56" t="s" s="0">
        <v>81</v>
      </c>
      <c r="AL56" t="s" s="0">
        <v>995</v>
      </c>
      <c r="AM56" t="s" s="0">
        <v>1617</v>
      </c>
      <c r="AN56" t="s" s="0">
        <v>1618</v>
      </c>
      <c r="AO56" t="s" s="0">
        <v>131</v>
      </c>
      <c r="AP56" t="s" s="0">
        <v>96</v>
      </c>
      <c r="AQ56" t="s" s="0">
        <v>274</v>
      </c>
      <c r="AR56" t="s" s="0">
        <v>275</v>
      </c>
      <c r="AS56" t="s" s="0">
        <v>276</v>
      </c>
      <c r="AT56" t="s" s="0">
        <v>1395</v>
      </c>
      <c r="AU56" t="s" s="0">
        <v>81</v>
      </c>
      <c r="AV56" t="s" s="0">
        <v>81</v>
      </c>
      <c r="AW56" t="s" s="0">
        <v>1396</v>
      </c>
      <c r="AX56" t="s" s="0">
        <v>1397</v>
      </c>
      <c r="AY56" t="s" s="0">
        <v>1619</v>
      </c>
      <c r="AZ56" t="s" s="0">
        <v>482</v>
      </c>
      <c r="BA56" t="s" s="0">
        <v>253</v>
      </c>
      <c r="BB56" t="s" s="0">
        <v>117</v>
      </c>
      <c r="BC56" t="s" s="0">
        <v>81</v>
      </c>
      <c r="BD56" t="s" s="0">
        <v>81</v>
      </c>
      <c r="BE56" t="s" s="0">
        <v>81</v>
      </c>
      <c r="BF56" t="s" s="0">
        <v>81</v>
      </c>
      <c r="BG56" t="s" s="0">
        <v>81</v>
      </c>
      <c r="BH56" t="s" s="0">
        <v>81</v>
      </c>
      <c r="BI56" t="s" s="0">
        <v>1620</v>
      </c>
      <c r="BJ56" t="s" s="0">
        <v>1621</v>
      </c>
      <c r="BK56" t="s" s="109">
        <f>HYPERLINK("http://dx.doi.org/10.1038/s41746-022-00689-4","http://dx.doi.org/10.1038/s41746-022-00689-4")</f>
        <v>1622</v>
      </c>
      <c r="BL56" t="s" s="0">
        <v>81</v>
      </c>
      <c r="BM56" t="s" s="0">
        <v>81</v>
      </c>
      <c r="BN56" t="s" s="0">
        <v>129</v>
      </c>
      <c r="BO56" t="s" s="0">
        <v>1172</v>
      </c>
      <c r="BP56" t="s" s="0">
        <v>1172</v>
      </c>
      <c r="BQ56" t="s" s="0">
        <v>1623</v>
      </c>
      <c r="BR56" t="s" s="0">
        <v>1624</v>
      </c>
      <c r="BS56" t="s" s="0">
        <v>1625</v>
      </c>
      <c r="BT56" t="s" s="110">
        <f>HYPERLINK("https://www.webofscience.com/wos/woscc/full-record/WOS:000855773700001","View Record in Web of Science")</f>
        <v>114</v>
      </c>
      <c r="BU56" t="s" s="0">
        <v>145</v>
      </c>
      <c r="BV56" t="s" s="0">
        <v>915</v>
      </c>
      <c r="BW56" t="s" s="0">
        <v>916</v>
      </c>
      <c r="BX56" t="s" s="0">
        <v>116</v>
      </c>
    </row>
    <row r="57">
      <c r="A57" t="s" s="0">
        <v>160</v>
      </c>
      <c r="B57" t="s" s="0">
        <v>77</v>
      </c>
      <c r="C57" t="s" s="0">
        <v>204</v>
      </c>
      <c r="D57" t="s" s="0">
        <v>77</v>
      </c>
      <c r="E57" t="s" s="0">
        <v>1626</v>
      </c>
      <c r="F57" t="s" s="0">
        <v>1627</v>
      </c>
      <c r="G57" t="s" s="0">
        <v>1628</v>
      </c>
      <c r="H57" t="s" s="0">
        <v>81</v>
      </c>
      <c r="I57" t="s" s="0">
        <v>82</v>
      </c>
      <c r="J57" t="s" s="0">
        <v>1629</v>
      </c>
      <c r="K57" t="s" s="0">
        <v>1630</v>
      </c>
      <c r="L57" t="s" s="0">
        <v>1631</v>
      </c>
      <c r="M57" t="s" s="0">
        <v>1631</v>
      </c>
      <c r="N57" t="s" s="0">
        <v>1632</v>
      </c>
      <c r="O57" t="s" s="0">
        <v>1633</v>
      </c>
      <c r="P57" t="s" s="0">
        <v>1634</v>
      </c>
      <c r="Q57" t="s" s="0">
        <v>90</v>
      </c>
      <c r="R57" t="s" s="0">
        <v>81</v>
      </c>
      <c r="S57" t="s" s="0">
        <v>81</v>
      </c>
      <c r="T57" t="s" s="0">
        <v>81</v>
      </c>
      <c r="U57" t="s" s="0">
        <v>81</v>
      </c>
      <c r="V57" t="s" s="0">
        <v>1635</v>
      </c>
      <c r="W57" t="s" s="0">
        <v>1636</v>
      </c>
      <c r="X57" t="s" s="0">
        <v>81</v>
      </c>
      <c r="Y57" t="s" s="0">
        <v>81</v>
      </c>
      <c r="Z57" t="s" s="0">
        <v>93</v>
      </c>
      <c r="AA57" t="s" s="0">
        <v>94</v>
      </c>
      <c r="AB57" t="s" s="0">
        <v>81</v>
      </c>
      <c r="AC57" t="s" s="0">
        <v>81</v>
      </c>
      <c r="AD57" t="s" s="0">
        <v>81</v>
      </c>
      <c r="AE57" t="s" s="0">
        <v>81</v>
      </c>
      <c r="AF57" t="s" s="0">
        <v>81</v>
      </c>
      <c r="AG57" t="s" s="0">
        <v>1637</v>
      </c>
      <c r="AH57" t="s" s="0">
        <v>1638</v>
      </c>
      <c r="AI57" t="s" s="0">
        <v>1639</v>
      </c>
      <c r="AJ57" t="s" s="0">
        <v>1640</v>
      </c>
      <c r="AK57" t="s" s="0">
        <v>81</v>
      </c>
      <c r="AL57" t="s" s="0">
        <v>1399</v>
      </c>
      <c r="AM57" t="s" s="0">
        <v>1487</v>
      </c>
      <c r="AN57" t="s" s="0">
        <v>1641</v>
      </c>
      <c r="AO57" t="s" s="0">
        <v>161</v>
      </c>
      <c r="AP57" t="s" s="0">
        <v>536</v>
      </c>
      <c r="AQ57" t="s" s="0">
        <v>370</v>
      </c>
      <c r="AR57" t="s" s="0">
        <v>371</v>
      </c>
      <c r="AS57" t="s" s="0">
        <v>372</v>
      </c>
      <c r="AT57" t="s" s="0">
        <v>1642</v>
      </c>
      <c r="AU57" t="s" s="0">
        <v>1643</v>
      </c>
      <c r="AV57" t="s" s="0">
        <v>81</v>
      </c>
      <c r="AW57" t="s" s="0">
        <v>1644</v>
      </c>
      <c r="AX57" t="s" s="0">
        <v>1645</v>
      </c>
      <c r="AY57" t="s" s="0">
        <v>715</v>
      </c>
      <c r="AZ57" t="s" s="0">
        <v>573</v>
      </c>
      <c r="BA57" t="s" s="0">
        <v>1646</v>
      </c>
      <c r="BB57" t="s" s="0">
        <v>128</v>
      </c>
      <c r="BC57" t="s" s="0">
        <v>81</v>
      </c>
      <c r="BD57" t="s" s="0">
        <v>81</v>
      </c>
      <c r="BE57" t="s" s="0">
        <v>81</v>
      </c>
      <c r="BF57" t="s" s="0">
        <v>81</v>
      </c>
      <c r="BG57" t="s" s="0">
        <v>1647</v>
      </c>
      <c r="BH57" t="s" s="0">
        <v>1648</v>
      </c>
      <c r="BI57" t="s" s="0">
        <v>81</v>
      </c>
      <c r="BJ57" t="s" s="0">
        <v>1649</v>
      </c>
      <c r="BK57" t="s" s="111">
        <f>HYPERLINK("http://dx.doi.org/10.1007/s11263-024-02032-8","http://dx.doi.org/10.1007/s11263-024-02032-8")</f>
        <v>1650</v>
      </c>
      <c r="BL57" t="s" s="0">
        <v>81</v>
      </c>
      <c r="BM57" t="s" s="0">
        <v>1651</v>
      </c>
      <c r="BN57" t="s" s="0">
        <v>563</v>
      </c>
      <c r="BO57" t="s" s="0">
        <v>1351</v>
      </c>
      <c r="BP57" t="s" s="0">
        <v>420</v>
      </c>
      <c r="BQ57" t="s" s="0">
        <v>1652</v>
      </c>
      <c r="BR57" t="s" s="0">
        <v>1653</v>
      </c>
      <c r="BS57" t="s" s="0">
        <v>1654</v>
      </c>
      <c r="BT57" t="s" s="112">
        <f>HYPERLINK("https://www.webofscience.com/wos/woscc/full-record/WOS:001207063800003","View Record in Web of Science")</f>
        <v>114</v>
      </c>
      <c r="BU57" t="s" s="0">
        <v>457</v>
      </c>
      <c r="BV57" t="s" s="0">
        <v>81</v>
      </c>
      <c r="BW57" t="s" s="0">
        <v>81</v>
      </c>
      <c r="BX57" t="s" s="0">
        <v>116</v>
      </c>
    </row>
    <row r="58">
      <c r="A58" t="s" s="0">
        <v>77</v>
      </c>
      <c r="B58" t="s" s="0">
        <v>77</v>
      </c>
      <c r="C58" t="s" s="0">
        <v>77</v>
      </c>
      <c r="D58" t="s" s="0">
        <v>77</v>
      </c>
      <c r="E58" t="s" s="0">
        <v>1655</v>
      </c>
      <c r="F58" t="s" s="0">
        <v>1656</v>
      </c>
      <c r="G58" t="s" s="0">
        <v>1657</v>
      </c>
      <c r="H58" t="s" s="0">
        <v>81</v>
      </c>
      <c r="I58" t="s" s="0">
        <v>82</v>
      </c>
      <c r="J58" t="s" s="0">
        <v>1658</v>
      </c>
      <c r="K58" t="s" s="0">
        <v>1659</v>
      </c>
      <c r="L58" t="s" s="0">
        <v>1660</v>
      </c>
      <c r="M58" t="s" s="0">
        <v>1661</v>
      </c>
      <c r="N58" t="s" s="0">
        <v>1662</v>
      </c>
      <c r="O58" t="s" s="0">
        <v>1663</v>
      </c>
      <c r="P58" t="s" s="0">
        <v>1664</v>
      </c>
      <c r="Q58" t="s" s="0">
        <v>90</v>
      </c>
      <c r="R58" t="s" s="0">
        <v>81</v>
      </c>
      <c r="S58" t="s" s="0">
        <v>81</v>
      </c>
      <c r="T58" t="s" s="0">
        <v>81</v>
      </c>
      <c r="U58" t="s" s="0">
        <v>81</v>
      </c>
      <c r="V58" t="s" s="0">
        <v>1665</v>
      </c>
      <c r="W58" t="s" s="0">
        <v>1666</v>
      </c>
      <c r="X58" t="s" s="0">
        <v>81</v>
      </c>
      <c r="Y58" t="s" s="0">
        <v>81</v>
      </c>
      <c r="Z58" t="s" s="0">
        <v>93</v>
      </c>
      <c r="AA58" t="s" s="0">
        <v>94</v>
      </c>
      <c r="AB58" t="s" s="0">
        <v>81</v>
      </c>
      <c r="AC58" t="s" s="0">
        <v>81</v>
      </c>
      <c r="AD58" t="s" s="0">
        <v>81</v>
      </c>
      <c r="AE58" t="s" s="0">
        <v>81</v>
      </c>
      <c r="AF58" t="s" s="0">
        <v>81</v>
      </c>
      <c r="AG58" t="s" s="0">
        <v>1667</v>
      </c>
      <c r="AH58" t="s" s="0">
        <v>81</v>
      </c>
      <c r="AI58" t="s" s="0">
        <v>1668</v>
      </c>
      <c r="AJ58" t="s" s="0">
        <v>1669</v>
      </c>
      <c r="AK58" t="s" s="0">
        <v>81</v>
      </c>
      <c r="AL58" t="s" s="0">
        <v>345</v>
      </c>
      <c r="AM58" t="s" s="0">
        <v>130</v>
      </c>
      <c r="AN58" t="s" s="0">
        <v>130</v>
      </c>
      <c r="AO58" t="s" s="0">
        <v>226</v>
      </c>
      <c r="AP58" t="s" s="0">
        <v>564</v>
      </c>
      <c r="AQ58" t="s" s="0">
        <v>162</v>
      </c>
      <c r="AR58" t="s" s="0">
        <v>163</v>
      </c>
      <c r="AS58" t="s" s="0">
        <v>164</v>
      </c>
      <c r="AT58" t="s" s="0">
        <v>1670</v>
      </c>
      <c r="AU58" t="s" s="0">
        <v>81</v>
      </c>
      <c r="AV58" t="s" s="0">
        <v>81</v>
      </c>
      <c r="AW58" t="s" s="0">
        <v>1671</v>
      </c>
      <c r="AX58" t="s" s="0">
        <v>1672</v>
      </c>
      <c r="AY58" t="s" s="0">
        <v>1673</v>
      </c>
      <c r="AZ58" t="s" s="0">
        <v>104</v>
      </c>
      <c r="BA58" t="s" s="0">
        <v>167</v>
      </c>
      <c r="BB58" t="s" s="0">
        <v>160</v>
      </c>
      <c r="BC58" t="s" s="0">
        <v>81</v>
      </c>
      <c r="BD58" t="s" s="0">
        <v>81</v>
      </c>
      <c r="BE58" t="s" s="0">
        <v>81</v>
      </c>
      <c r="BF58" t="s" s="0">
        <v>81</v>
      </c>
      <c r="BG58" t="s" s="0">
        <v>1674</v>
      </c>
      <c r="BH58" t="s" s="0">
        <v>1675</v>
      </c>
      <c r="BI58" t="s" s="0">
        <v>81</v>
      </c>
      <c r="BJ58" t="s" s="0">
        <v>1676</v>
      </c>
      <c r="BK58" t="s" s="113">
        <f>HYPERLINK("http://dx.doi.org/10.1109/TCSS.2025.3623200","http://dx.doi.org/10.1109/TCSS.2025.3623200")</f>
        <v>1677</v>
      </c>
      <c r="BL58" t="s" s="0">
        <v>81</v>
      </c>
      <c r="BM58" t="s" s="0">
        <v>450</v>
      </c>
      <c r="BN58" t="s" s="0">
        <v>204</v>
      </c>
      <c r="BO58" t="s" s="0">
        <v>1678</v>
      </c>
      <c r="BP58" t="s" s="0">
        <v>420</v>
      </c>
      <c r="BQ58" t="s" s="0">
        <v>1679</v>
      </c>
      <c r="BR58" t="s" s="0">
        <v>81</v>
      </c>
      <c r="BS58" t="s" s="0">
        <v>1680</v>
      </c>
      <c r="BT58" t="s" s="114">
        <f>HYPERLINK("https://www.webofscience.com/wos/woscc/full-record/WOS:001627698800001","View Record in Web of Science")</f>
        <v>114</v>
      </c>
      <c r="BU58" t="s" s="0">
        <v>973</v>
      </c>
      <c r="BV58" t="s" s="0">
        <v>81</v>
      </c>
      <c r="BW58" t="s" s="0">
        <v>81</v>
      </c>
      <c r="BX58" t="s" s="0">
        <v>116</v>
      </c>
    </row>
    <row r="59">
      <c r="A59" t="s" s="0">
        <v>77</v>
      </c>
      <c r="B59" t="s" s="0">
        <v>77</v>
      </c>
      <c r="C59" t="s" s="0">
        <v>253</v>
      </c>
      <c r="D59" t="s" s="0">
        <v>77</v>
      </c>
      <c r="E59" t="s" s="0">
        <v>1681</v>
      </c>
      <c r="F59" t="s" s="0">
        <v>1682</v>
      </c>
      <c r="G59" t="s" s="0">
        <v>1683</v>
      </c>
      <c r="H59" t="s" s="0">
        <v>81</v>
      </c>
      <c r="I59" t="s" s="0">
        <v>82</v>
      </c>
      <c r="J59" t="s" s="0">
        <v>1684</v>
      </c>
      <c r="K59" t="s" s="0">
        <v>1685</v>
      </c>
      <c r="L59" t="s" s="0">
        <v>1686</v>
      </c>
      <c r="M59" t="s" s="0">
        <v>1686</v>
      </c>
      <c r="N59" t="s" s="0">
        <v>1687</v>
      </c>
      <c r="O59" t="s" s="0">
        <v>1688</v>
      </c>
      <c r="P59" t="s" s="0">
        <v>1689</v>
      </c>
      <c r="Q59" t="s" s="0">
        <v>90</v>
      </c>
      <c r="R59" t="s" s="0">
        <v>81</v>
      </c>
      <c r="S59" t="s" s="0">
        <v>81</v>
      </c>
      <c r="T59" t="s" s="0">
        <v>81</v>
      </c>
      <c r="U59" t="s" s="0">
        <v>81</v>
      </c>
      <c r="V59" t="s" s="0">
        <v>1690</v>
      </c>
      <c r="W59" t="s" s="0">
        <v>1691</v>
      </c>
      <c r="X59" t="s" s="0">
        <v>81</v>
      </c>
      <c r="Y59" t="s" s="0">
        <v>81</v>
      </c>
      <c r="Z59" t="s" s="0">
        <v>93</v>
      </c>
      <c r="AA59" t="s" s="0">
        <v>94</v>
      </c>
      <c r="AB59" t="s" s="0">
        <v>81</v>
      </c>
      <c r="AC59" t="s" s="0">
        <v>81</v>
      </c>
      <c r="AD59" t="s" s="0">
        <v>81</v>
      </c>
      <c r="AE59" t="s" s="0">
        <v>81</v>
      </c>
      <c r="AF59" t="s" s="0">
        <v>81</v>
      </c>
      <c r="AG59" t="s" s="0">
        <v>81</v>
      </c>
      <c r="AH59" t="s" s="0">
        <v>81</v>
      </c>
      <c r="AI59" t="s" s="0">
        <v>1692</v>
      </c>
      <c r="AJ59" t="s" s="0">
        <v>1693</v>
      </c>
      <c r="AK59" t="s" s="0">
        <v>81</v>
      </c>
      <c r="AL59" t="s" s="0">
        <v>846</v>
      </c>
      <c r="AM59" t="s" s="0">
        <v>1097</v>
      </c>
      <c r="AN59" t="s" s="0">
        <v>252</v>
      </c>
      <c r="AO59" t="s" s="0">
        <v>130</v>
      </c>
      <c r="AP59" t="s" s="0">
        <v>129</v>
      </c>
      <c r="AQ59" t="s" s="0">
        <v>1694</v>
      </c>
      <c r="AR59" t="s" s="0">
        <v>1695</v>
      </c>
      <c r="AS59" t="s" s="0">
        <v>1696</v>
      </c>
      <c r="AT59" t="s" s="0">
        <v>1697</v>
      </c>
      <c r="AU59" t="s" s="0">
        <v>81</v>
      </c>
      <c r="AV59" t="s" s="0">
        <v>81</v>
      </c>
      <c r="AW59" t="s" s="0">
        <v>1698</v>
      </c>
      <c r="AX59" t="s" s="0">
        <v>1699</v>
      </c>
      <c r="AY59" t="s" s="0">
        <v>1700</v>
      </c>
      <c r="AZ59" t="s" s="0">
        <v>573</v>
      </c>
      <c r="BA59" t="s" s="0">
        <v>161</v>
      </c>
      <c r="BB59" t="s" s="0">
        <v>129</v>
      </c>
      <c r="BC59" t="s" s="0">
        <v>81</v>
      </c>
      <c r="BD59" t="s" s="0">
        <v>81</v>
      </c>
      <c r="BE59" t="s" s="0">
        <v>81</v>
      </c>
      <c r="BF59" t="s" s="0">
        <v>81</v>
      </c>
      <c r="BG59" t="s" s="0">
        <v>81</v>
      </c>
      <c r="BH59" t="s" s="0">
        <v>81</v>
      </c>
      <c r="BI59" t="s" s="0">
        <v>1701</v>
      </c>
      <c r="BJ59" t="s" s="0">
        <v>1702</v>
      </c>
      <c r="BK59" t="s" s="115">
        <f>HYPERLINK("http://dx.doi.org/10.1001/jamanetworkopen.2024.37711","http://dx.doi.org/10.1001/jamanetworkopen.2024.37711")</f>
        <v>1703</v>
      </c>
      <c r="BL59" t="s" s="0">
        <v>81</v>
      </c>
      <c r="BM59" t="s" s="0">
        <v>81</v>
      </c>
      <c r="BN59" t="s" s="0">
        <v>225</v>
      </c>
      <c r="BO59" t="s" s="0">
        <v>486</v>
      </c>
      <c r="BP59" t="s" s="0">
        <v>487</v>
      </c>
      <c r="BQ59" t="s" s="0">
        <v>1704</v>
      </c>
      <c r="BR59" t="s" s="0">
        <v>1705</v>
      </c>
      <c r="BS59" t="s" s="0">
        <v>1706</v>
      </c>
      <c r="BT59" t="s" s="116">
        <f>HYPERLINK("https://www.webofscience.com/wos/woscc/full-record/WOS:001342041200010","View Record in Web of Science")</f>
        <v>114</v>
      </c>
      <c r="BU59" t="s" s="0">
        <v>145</v>
      </c>
      <c r="BV59" t="s" s="0">
        <v>81</v>
      </c>
      <c r="BW59" t="s" s="0">
        <v>81</v>
      </c>
      <c r="BX59" t="s" s="0">
        <v>116</v>
      </c>
    </row>
    <row r="60">
      <c r="A60" t="s" s="0">
        <v>77</v>
      </c>
      <c r="B60" t="s" s="0">
        <v>77</v>
      </c>
      <c r="C60" t="s" s="0">
        <v>77</v>
      </c>
      <c r="D60" t="s" s="0">
        <v>77</v>
      </c>
      <c r="E60" t="s" s="0">
        <v>1707</v>
      </c>
      <c r="F60" t="s" s="0">
        <v>1708</v>
      </c>
      <c r="G60" t="s" s="0">
        <v>1709</v>
      </c>
      <c r="H60" t="s" s="0">
        <v>81</v>
      </c>
      <c r="I60" t="s" s="0">
        <v>213</v>
      </c>
      <c r="J60" t="s" s="0">
        <v>1710</v>
      </c>
      <c r="K60" t="s" s="0">
        <v>1711</v>
      </c>
      <c r="L60" t="s" s="0">
        <v>1712</v>
      </c>
      <c r="M60" t="s" s="0">
        <v>1713</v>
      </c>
      <c r="N60" t="s" s="0">
        <v>1714</v>
      </c>
      <c r="O60" t="s" s="0">
        <v>1715</v>
      </c>
      <c r="P60" t="s" s="0">
        <v>1716</v>
      </c>
      <c r="Q60" t="s" s="0">
        <v>90</v>
      </c>
      <c r="R60" t="s" s="0">
        <v>81</v>
      </c>
      <c r="S60" t="s" s="0">
        <v>81</v>
      </c>
      <c r="T60" t="s" s="0">
        <v>81</v>
      </c>
      <c r="U60" t="s" s="0">
        <v>81</v>
      </c>
      <c r="V60" t="s" s="0">
        <v>1717</v>
      </c>
      <c r="W60" t="s" s="0">
        <v>1718</v>
      </c>
      <c r="X60" t="s" s="0">
        <v>81</v>
      </c>
      <c r="Y60" t="s" s="0">
        <v>81</v>
      </c>
      <c r="Z60" t="s" s="0">
        <v>93</v>
      </c>
      <c r="AA60" t="s" s="0">
        <v>94</v>
      </c>
      <c r="AB60" t="s" s="0">
        <v>81</v>
      </c>
      <c r="AC60" t="s" s="0">
        <v>81</v>
      </c>
      <c r="AD60" t="s" s="0">
        <v>81</v>
      </c>
      <c r="AE60" t="s" s="0">
        <v>81</v>
      </c>
      <c r="AF60" t="s" s="0">
        <v>81</v>
      </c>
      <c r="AG60" t="s" s="0">
        <v>1719</v>
      </c>
      <c r="AH60" t="s" s="0">
        <v>1720</v>
      </c>
      <c r="AI60" t="s" s="0">
        <v>1721</v>
      </c>
      <c r="AJ60" t="s" s="0">
        <v>1722</v>
      </c>
      <c r="AK60" t="s" s="0">
        <v>81</v>
      </c>
      <c r="AL60" t="s" s="0">
        <v>1723</v>
      </c>
      <c r="AM60" t="s" s="0">
        <v>130</v>
      </c>
      <c r="AN60" t="s" s="0">
        <v>130</v>
      </c>
      <c r="AO60" t="s" s="0">
        <v>77</v>
      </c>
      <c r="AP60" t="s" s="0">
        <v>77</v>
      </c>
      <c r="AQ60" t="s" s="0">
        <v>476</v>
      </c>
      <c r="AR60" t="s" s="0">
        <v>477</v>
      </c>
      <c r="AS60" t="s" s="0">
        <v>478</v>
      </c>
      <c r="AT60" t="s" s="0">
        <v>81</v>
      </c>
      <c r="AU60" t="s" s="0">
        <v>1724</v>
      </c>
      <c r="AV60" t="s" s="0">
        <v>81</v>
      </c>
      <c r="AW60" t="s" s="0">
        <v>1725</v>
      </c>
      <c r="AX60" t="s" s="0">
        <v>1726</v>
      </c>
      <c r="AY60" t="s" s="0">
        <v>1727</v>
      </c>
      <c r="AZ60" t="s" s="0">
        <v>136</v>
      </c>
      <c r="BA60" t="s" s="0">
        <v>129</v>
      </c>
      <c r="BB60" t="s" s="0">
        <v>225</v>
      </c>
      <c r="BC60" t="s" s="0">
        <v>81</v>
      </c>
      <c r="BD60" t="s" s="0">
        <v>81</v>
      </c>
      <c r="BE60" t="s" s="0">
        <v>81</v>
      </c>
      <c r="BF60" t="s" s="0">
        <v>81</v>
      </c>
      <c r="BG60" t="s" s="0">
        <v>81</v>
      </c>
      <c r="BH60" t="s" s="0">
        <v>81</v>
      </c>
      <c r="BI60" t="s" s="0">
        <v>1728</v>
      </c>
      <c r="BJ60" t="s" s="0">
        <v>1729</v>
      </c>
      <c r="BK60" t="s" s="117">
        <f>HYPERLINK("http://dx.doi.org/10.3390/data10080123","http://dx.doi.org/10.3390/data10080123")</f>
        <v>1730</v>
      </c>
      <c r="BL60" t="s" s="0">
        <v>81</v>
      </c>
      <c r="BM60" t="s" s="0">
        <v>81</v>
      </c>
      <c r="BN60" t="s" s="0">
        <v>475</v>
      </c>
      <c r="BO60" t="s" s="0">
        <v>1731</v>
      </c>
      <c r="BP60" t="s" s="0">
        <v>1732</v>
      </c>
      <c r="BQ60" t="s" s="0">
        <v>1733</v>
      </c>
      <c r="BR60" t="s" s="0">
        <v>81</v>
      </c>
      <c r="BS60" t="s" s="0">
        <v>1734</v>
      </c>
      <c r="BT60" t="s" s="118">
        <f>HYPERLINK("https://www.webofscience.com/wos/woscc/full-record/WOS:001560059600001","View Record in Web of Science")</f>
        <v>114</v>
      </c>
      <c r="BU60" t="s" s="0">
        <v>145</v>
      </c>
      <c r="BV60" t="s" s="0">
        <v>81</v>
      </c>
      <c r="BW60" t="s" s="0">
        <v>81</v>
      </c>
      <c r="BX60" t="s" s="0">
        <v>116</v>
      </c>
    </row>
    <row r="61">
      <c r="A61" t="s" s="0">
        <v>77</v>
      </c>
      <c r="B61" t="s" s="0">
        <v>77</v>
      </c>
      <c r="C61" t="s" s="0">
        <v>77</v>
      </c>
      <c r="D61" t="s" s="0">
        <v>77</v>
      </c>
      <c r="E61" t="s" s="0">
        <v>1735</v>
      </c>
      <c r="F61" t="s" s="0">
        <v>1736</v>
      </c>
      <c r="G61" t="s" s="0">
        <v>1737</v>
      </c>
      <c r="H61" t="s" s="0">
        <v>81</v>
      </c>
      <c r="I61" t="s" s="0">
        <v>82</v>
      </c>
      <c r="J61" t="s" s="0">
        <v>1738</v>
      </c>
      <c r="K61" t="s" s="0">
        <v>1739</v>
      </c>
      <c r="L61" t="s" s="0">
        <v>81</v>
      </c>
      <c r="M61" t="s" s="0">
        <v>81</v>
      </c>
      <c r="N61" t="s" s="0">
        <v>81</v>
      </c>
      <c r="O61" t="s" s="0">
        <v>1740</v>
      </c>
      <c r="P61" t="s" s="0">
        <v>81</v>
      </c>
      <c r="Q61" t="s" s="0">
        <v>90</v>
      </c>
      <c r="R61" t="s" s="0">
        <v>81</v>
      </c>
      <c r="S61" t="s" s="0">
        <v>81</v>
      </c>
      <c r="T61" t="s" s="0">
        <v>81</v>
      </c>
      <c r="U61" t="s" s="0">
        <v>81</v>
      </c>
      <c r="V61" t="s" s="0">
        <v>1741</v>
      </c>
      <c r="W61" t="s" s="0">
        <v>1742</v>
      </c>
      <c r="X61" t="s" s="0">
        <v>81</v>
      </c>
      <c r="Y61" t="s" s="0">
        <v>81</v>
      </c>
      <c r="Z61" t="s" s="0">
        <v>93</v>
      </c>
      <c r="AA61" t="s" s="0">
        <v>94</v>
      </c>
      <c r="AB61" t="s" s="0">
        <v>81</v>
      </c>
      <c r="AC61" t="s" s="0">
        <v>81</v>
      </c>
      <c r="AD61" t="s" s="0">
        <v>81</v>
      </c>
      <c r="AE61" t="s" s="0">
        <v>81</v>
      </c>
      <c r="AF61" t="s" s="0">
        <v>81</v>
      </c>
      <c r="AG61" t="s" s="0">
        <v>1743</v>
      </c>
      <c r="AH61" t="s" s="0">
        <v>81</v>
      </c>
      <c r="AI61" t="s" s="0">
        <v>1744</v>
      </c>
      <c r="AJ61" t="s" s="0">
        <v>81</v>
      </c>
      <c r="AK61" t="s" s="0">
        <v>81</v>
      </c>
      <c r="AL61" t="s" s="0">
        <v>337</v>
      </c>
      <c r="AM61" t="s" s="0">
        <v>77</v>
      </c>
      <c r="AN61" t="s" s="0">
        <v>77</v>
      </c>
      <c r="AO61" t="s" s="0">
        <v>117</v>
      </c>
      <c r="AP61" t="s" s="0">
        <v>117</v>
      </c>
      <c r="AQ61" t="s" s="0">
        <v>305</v>
      </c>
      <c r="AR61" t="s" s="0">
        <v>306</v>
      </c>
      <c r="AS61" t="s" s="0">
        <v>307</v>
      </c>
      <c r="AT61" t="s" s="0">
        <v>1745</v>
      </c>
      <c r="AU61" t="s" s="0">
        <v>1746</v>
      </c>
      <c r="AV61" t="s" s="0">
        <v>81</v>
      </c>
      <c r="AW61" t="s" s="0">
        <v>1747</v>
      </c>
      <c r="AX61" t="s" s="0">
        <v>1748</v>
      </c>
      <c r="AY61" t="s" s="0">
        <v>1673</v>
      </c>
      <c r="AZ61" t="s" s="0">
        <v>104</v>
      </c>
      <c r="BA61" t="s" s="0">
        <v>1749</v>
      </c>
      <c r="BB61" t="s" s="0">
        <v>81</v>
      </c>
      <c r="BC61" t="s" s="0">
        <v>81</v>
      </c>
      <c r="BD61" t="s" s="0">
        <v>81</v>
      </c>
      <c r="BE61" t="s" s="0">
        <v>81</v>
      </c>
      <c r="BF61" t="s" s="0">
        <v>81</v>
      </c>
      <c r="BG61" t="s" s="0">
        <v>81</v>
      </c>
      <c r="BH61" t="s" s="0">
        <v>81</v>
      </c>
      <c r="BI61" t="s" s="0">
        <v>1750</v>
      </c>
      <c r="BJ61" t="s" s="0">
        <v>1751</v>
      </c>
      <c r="BK61" t="s" s="119">
        <f>HYPERLINK("http://dx.doi.org/10.1016/j.compmedimag.2026.102795","http://dx.doi.org/10.1016/j.compmedimag.2026.102795")</f>
        <v>1752</v>
      </c>
      <c r="BL61" t="s" s="0">
        <v>81</v>
      </c>
      <c r="BM61" t="s" s="0">
        <v>317</v>
      </c>
      <c r="BN61" t="s" s="0">
        <v>228</v>
      </c>
      <c r="BO61" t="s" s="0">
        <v>1753</v>
      </c>
      <c r="BP61" t="s" s="0">
        <v>1754</v>
      </c>
      <c r="BQ61" t="s" s="0">
        <v>1755</v>
      </c>
      <c r="BR61" t="s" s="0">
        <v>1756</v>
      </c>
      <c r="BS61" t="s" s="0">
        <v>1757</v>
      </c>
      <c r="BT61" t="s" s="120">
        <f>HYPERLINK("https://www.webofscience.com/wos/woscc/full-record/WOS:001822179100001","View Record in Web of Science")</f>
        <v>114</v>
      </c>
      <c r="BU61" t="s" s="0">
        <v>81</v>
      </c>
      <c r="BV61" t="s" s="0">
        <v>81</v>
      </c>
      <c r="BW61" t="s" s="0">
        <v>81</v>
      </c>
      <c r="BX61" t="s" s="0">
        <v>116</v>
      </c>
    </row>
    <row r="62">
      <c r="A62" t="s" s="0">
        <v>130</v>
      </c>
      <c r="B62" t="s" s="0">
        <v>77</v>
      </c>
      <c r="C62" t="s" s="0">
        <v>130</v>
      </c>
      <c r="D62" t="s" s="0">
        <v>77</v>
      </c>
      <c r="E62" t="s" s="0">
        <v>1758</v>
      </c>
      <c r="F62" t="s" s="0">
        <v>1759</v>
      </c>
      <c r="G62" t="s" s="0">
        <v>1760</v>
      </c>
      <c r="H62" t="s" s="0">
        <v>81</v>
      </c>
      <c r="I62" t="s" s="0">
        <v>82</v>
      </c>
      <c r="J62" t="s" s="0">
        <v>1761</v>
      </c>
      <c r="K62" t="s" s="0">
        <v>1762</v>
      </c>
      <c r="L62" t="s" s="0">
        <v>1763</v>
      </c>
      <c r="M62" t="s" s="0">
        <v>1764</v>
      </c>
      <c r="N62" t="s" s="0">
        <v>1765</v>
      </c>
      <c r="O62" t="s" s="0">
        <v>1766</v>
      </c>
      <c r="P62" t="s" s="0">
        <v>1767</v>
      </c>
      <c r="Q62" t="s" s="0">
        <v>90</v>
      </c>
      <c r="R62" t="s" s="0">
        <v>81</v>
      </c>
      <c r="S62" t="s" s="0">
        <v>81</v>
      </c>
      <c r="T62" t="s" s="0">
        <v>81</v>
      </c>
      <c r="U62" t="s" s="0">
        <v>81</v>
      </c>
      <c r="V62" t="s" s="0">
        <v>1768</v>
      </c>
      <c r="W62" t="s" s="0">
        <v>841</v>
      </c>
      <c r="X62" t="s" s="0">
        <v>81</v>
      </c>
      <c r="Y62" t="s" s="0">
        <v>81</v>
      </c>
      <c r="Z62" t="s" s="0">
        <v>93</v>
      </c>
      <c r="AA62" t="s" s="0">
        <v>94</v>
      </c>
      <c r="AB62" t="s" s="0">
        <v>81</v>
      </c>
      <c r="AC62" t="s" s="0">
        <v>81</v>
      </c>
      <c r="AD62" t="s" s="0">
        <v>81</v>
      </c>
      <c r="AE62" t="s" s="0">
        <v>81</v>
      </c>
      <c r="AF62" t="s" s="0">
        <v>81</v>
      </c>
      <c r="AG62" t="s" s="0">
        <v>1769</v>
      </c>
      <c r="AH62" t="s" s="0">
        <v>1770</v>
      </c>
      <c r="AI62" t="s" s="0">
        <v>1771</v>
      </c>
      <c r="AJ62" t="s" s="0">
        <v>1772</v>
      </c>
      <c r="AK62" t="s" s="0">
        <v>81</v>
      </c>
      <c r="AL62" t="s" s="0">
        <v>1487</v>
      </c>
      <c r="AM62" t="s" s="0">
        <v>337</v>
      </c>
      <c r="AN62" t="s" s="0">
        <v>345</v>
      </c>
      <c r="AO62" t="s" s="0">
        <v>130</v>
      </c>
      <c r="AP62" t="s" s="0">
        <v>1773</v>
      </c>
      <c r="AQ62" t="s" s="0">
        <v>305</v>
      </c>
      <c r="AR62" t="s" s="0">
        <v>306</v>
      </c>
      <c r="AS62" t="s" s="0">
        <v>307</v>
      </c>
      <c r="AT62" t="s" s="0">
        <v>847</v>
      </c>
      <c r="AU62" t="s" s="0">
        <v>848</v>
      </c>
      <c r="AV62" t="s" s="0">
        <v>81</v>
      </c>
      <c r="AW62" t="s" s="0">
        <v>849</v>
      </c>
      <c r="AX62" t="s" s="0">
        <v>850</v>
      </c>
      <c r="AY62" t="s" s="0">
        <v>1518</v>
      </c>
      <c r="AZ62" t="s" s="0">
        <v>1519</v>
      </c>
      <c r="BA62" t="s" s="0">
        <v>1774</v>
      </c>
      <c r="BB62" t="s" s="0">
        <v>81</v>
      </c>
      <c r="BC62" t="s" s="0">
        <v>81</v>
      </c>
      <c r="BD62" t="s" s="0">
        <v>81</v>
      </c>
      <c r="BE62" t="s" s="0">
        <v>81</v>
      </c>
      <c r="BF62" t="s" s="0">
        <v>81</v>
      </c>
      <c r="BG62" t="s" s="0">
        <v>81</v>
      </c>
      <c r="BH62" t="s" s="0">
        <v>81</v>
      </c>
      <c r="BI62" t="s" s="0">
        <v>1775</v>
      </c>
      <c r="BJ62" t="s" s="0">
        <v>1776</v>
      </c>
      <c r="BK62" t="s" s="121">
        <f>HYPERLINK("http://dx.doi.org/10.1016/j.compbiomed.2023.106715","http://dx.doi.org/10.1016/j.compbiomed.2023.106715")</f>
        <v>1777</v>
      </c>
      <c r="BL62" t="s" s="0">
        <v>81</v>
      </c>
      <c r="BM62" t="s" s="0">
        <v>1778</v>
      </c>
      <c r="BN62" t="s" s="0">
        <v>226</v>
      </c>
      <c r="BO62" t="s" s="0">
        <v>857</v>
      </c>
      <c r="BP62" t="s" s="0">
        <v>858</v>
      </c>
      <c r="BQ62" t="s" s="0">
        <v>1779</v>
      </c>
      <c r="BR62" t="s" s="0">
        <v>1780</v>
      </c>
      <c r="BS62" t="s" s="0">
        <v>1781</v>
      </c>
      <c r="BT62" t="s" s="122">
        <f>HYPERLINK("https://www.webofscience.com/wos/woscc/full-record/WOS:000950586300001","View Record in Web of Science")</f>
        <v>114</v>
      </c>
      <c r="BU62" t="s" s="0">
        <v>81</v>
      </c>
      <c r="BV62" t="s" s="0">
        <v>81</v>
      </c>
      <c r="BW62" t="s" s="0">
        <v>81</v>
      </c>
      <c r="BX62" t="s" s="0">
        <v>116</v>
      </c>
    </row>
    <row r="63">
      <c r="A63" t="s" s="0">
        <v>227</v>
      </c>
      <c r="B63" t="s" s="0">
        <v>77</v>
      </c>
      <c r="C63" t="s" s="0">
        <v>225</v>
      </c>
      <c r="D63" t="s" s="0">
        <v>77</v>
      </c>
      <c r="E63" t="s" s="0">
        <v>1782</v>
      </c>
      <c r="F63" t="s" s="0">
        <v>1783</v>
      </c>
      <c r="G63" t="s" s="0">
        <v>1784</v>
      </c>
      <c r="H63" t="s" s="0">
        <v>81</v>
      </c>
      <c r="I63" t="s" s="0">
        <v>82</v>
      </c>
      <c r="J63" t="s" s="0">
        <v>1785</v>
      </c>
      <c r="K63" t="s" s="0">
        <v>1786</v>
      </c>
      <c r="L63" t="s" s="0">
        <v>1787</v>
      </c>
      <c r="M63" t="s" s="0">
        <v>1788</v>
      </c>
      <c r="N63" t="s" s="0">
        <v>1789</v>
      </c>
      <c r="O63" t="s" s="0">
        <v>1790</v>
      </c>
      <c r="P63" t="s" s="0">
        <v>1791</v>
      </c>
      <c r="Q63" t="s" s="0">
        <v>90</v>
      </c>
      <c r="R63" t="s" s="0">
        <v>81</v>
      </c>
      <c r="S63" t="s" s="0">
        <v>81</v>
      </c>
      <c r="T63" t="s" s="0">
        <v>81</v>
      </c>
      <c r="U63" t="s" s="0">
        <v>81</v>
      </c>
      <c r="V63" t="s" s="0">
        <v>1792</v>
      </c>
      <c r="W63" t="s" s="0">
        <v>1563</v>
      </c>
      <c r="X63" t="s" s="0">
        <v>81</v>
      </c>
      <c r="Y63" t="s" s="0">
        <v>81</v>
      </c>
      <c r="Z63" t="s" s="0">
        <v>93</v>
      </c>
      <c r="AA63" t="s" s="0">
        <v>94</v>
      </c>
      <c r="AB63" t="s" s="0">
        <v>81</v>
      </c>
      <c r="AC63" t="s" s="0">
        <v>81</v>
      </c>
      <c r="AD63" t="s" s="0">
        <v>81</v>
      </c>
      <c r="AE63" t="s" s="0">
        <v>81</v>
      </c>
      <c r="AF63" t="s" s="0">
        <v>81</v>
      </c>
      <c r="AG63" t="s" s="0">
        <v>1793</v>
      </c>
      <c r="AH63" t="s" s="0">
        <v>1794</v>
      </c>
      <c r="AI63" t="s" s="0">
        <v>1795</v>
      </c>
      <c r="AJ63" t="s" s="0">
        <v>1796</v>
      </c>
      <c r="AK63" t="s" s="0">
        <v>81</v>
      </c>
      <c r="AL63" t="s" s="0">
        <v>1797</v>
      </c>
      <c r="AM63" t="s" s="0">
        <v>237</v>
      </c>
      <c r="AN63" t="s" s="0">
        <v>846</v>
      </c>
      <c r="AO63" t="s" s="0">
        <v>225</v>
      </c>
      <c r="AP63" t="s" s="0">
        <v>507</v>
      </c>
      <c r="AQ63" t="s" s="0">
        <v>162</v>
      </c>
      <c r="AR63" t="s" s="0">
        <v>163</v>
      </c>
      <c r="AS63" t="s" s="0">
        <v>164</v>
      </c>
      <c r="AT63" t="s" s="0">
        <v>1569</v>
      </c>
      <c r="AU63" t="s" s="0">
        <v>1570</v>
      </c>
      <c r="AV63" t="s" s="0">
        <v>81</v>
      </c>
      <c r="AW63" t="s" s="0">
        <v>1571</v>
      </c>
      <c r="AX63" t="s" s="0">
        <v>1572</v>
      </c>
      <c r="AY63" t="s" s="0">
        <v>1798</v>
      </c>
      <c r="AZ63" t="s" s="0">
        <v>573</v>
      </c>
      <c r="BA63" t="s" s="0">
        <v>706</v>
      </c>
      <c r="BB63" t="s" s="0">
        <v>204</v>
      </c>
      <c r="BC63" t="s" s="0">
        <v>81</v>
      </c>
      <c r="BD63" t="s" s="0">
        <v>81</v>
      </c>
      <c r="BE63" t="s" s="0">
        <v>81</v>
      </c>
      <c r="BF63" t="s" s="0">
        <v>81</v>
      </c>
      <c r="BG63" t="s" s="0">
        <v>1799</v>
      </c>
      <c r="BH63" t="s" s="0">
        <v>1800</v>
      </c>
      <c r="BI63" t="s" s="0">
        <v>81</v>
      </c>
      <c r="BJ63" t="s" s="0">
        <v>1801</v>
      </c>
      <c r="BK63" t="s" s="123">
        <f>HYPERLINK("http://dx.doi.org/10.1109/JBHI.2024.3448238","http://dx.doi.org/10.1109/JBHI.2024.3448238")</f>
        <v>1802</v>
      </c>
      <c r="BL63" t="s" s="0">
        <v>81</v>
      </c>
      <c r="BM63" t="s" s="0">
        <v>81</v>
      </c>
      <c r="BN63" t="s" s="0">
        <v>137</v>
      </c>
      <c r="BO63" t="s" s="0">
        <v>1577</v>
      </c>
      <c r="BP63" t="s" s="0">
        <v>1578</v>
      </c>
      <c r="BQ63" t="s" s="0">
        <v>1803</v>
      </c>
      <c r="BR63" t="s" s="0">
        <v>1804</v>
      </c>
      <c r="BS63" t="s" s="0">
        <v>1805</v>
      </c>
      <c r="BT63" t="s" s="124">
        <f>HYPERLINK("https://www.webofscience.com/wos/woscc/full-record/WOS:001359232100017","View Record in Web of Science")</f>
        <v>114</v>
      </c>
      <c r="BU63" t="s" s="0">
        <v>973</v>
      </c>
      <c r="BV63" t="s" s="0">
        <v>81</v>
      </c>
      <c r="BW63" t="s" s="0">
        <v>81</v>
      </c>
      <c r="BX63" t="s" s="0">
        <v>116</v>
      </c>
    </row>
    <row r="64">
      <c r="A64" t="s" s="0">
        <v>77</v>
      </c>
      <c r="B64" t="s" s="0">
        <v>77</v>
      </c>
      <c r="C64" t="s" s="0">
        <v>77</v>
      </c>
      <c r="D64" t="s" s="0">
        <v>77</v>
      </c>
      <c r="E64" t="s" s="0">
        <v>1806</v>
      </c>
      <c r="F64" t="s" s="0">
        <v>1807</v>
      </c>
      <c r="G64" t="s" s="0">
        <v>1808</v>
      </c>
      <c r="H64" t="s" s="0">
        <v>81</v>
      </c>
      <c r="I64" t="s" s="0">
        <v>82</v>
      </c>
      <c r="J64" t="s" s="0">
        <v>1809</v>
      </c>
      <c r="K64" t="s" s="0">
        <v>1810</v>
      </c>
      <c r="L64" t="s" s="0">
        <v>81</v>
      </c>
      <c r="M64" t="s" s="0">
        <v>81</v>
      </c>
      <c r="N64" t="s" s="0">
        <v>81</v>
      </c>
      <c r="O64" t="s" s="0">
        <v>1811</v>
      </c>
      <c r="P64" t="s" s="0">
        <v>1812</v>
      </c>
      <c r="Q64" t="s" s="0">
        <v>90</v>
      </c>
      <c r="R64" t="s" s="0">
        <v>81</v>
      </c>
      <c r="S64" t="s" s="0">
        <v>81</v>
      </c>
      <c r="T64" t="s" s="0">
        <v>81</v>
      </c>
      <c r="U64" t="s" s="0">
        <v>81</v>
      </c>
      <c r="V64" t="s" s="0">
        <v>1813</v>
      </c>
      <c r="W64" t="s" s="0">
        <v>1814</v>
      </c>
      <c r="X64" t="s" s="0">
        <v>81</v>
      </c>
      <c r="Y64" t="s" s="0">
        <v>81</v>
      </c>
      <c r="Z64" t="s" s="0">
        <v>93</v>
      </c>
      <c r="AA64" t="s" s="0">
        <v>94</v>
      </c>
      <c r="AB64" t="s" s="0">
        <v>81</v>
      </c>
      <c r="AC64" t="s" s="0">
        <v>81</v>
      </c>
      <c r="AD64" t="s" s="0">
        <v>81</v>
      </c>
      <c r="AE64" t="s" s="0">
        <v>81</v>
      </c>
      <c r="AF64" t="s" s="0">
        <v>81</v>
      </c>
      <c r="AG64" t="s" s="0">
        <v>1815</v>
      </c>
      <c r="AH64" t="s" s="0">
        <v>1816</v>
      </c>
      <c r="AI64" t="s" s="0">
        <v>1817</v>
      </c>
      <c r="AJ64" t="s" s="0">
        <v>81</v>
      </c>
      <c r="AK64" t="s" s="0">
        <v>81</v>
      </c>
      <c r="AL64" t="s" s="0">
        <v>846</v>
      </c>
      <c r="AM64" t="s" s="0">
        <v>77</v>
      </c>
      <c r="AN64" t="s" s="0">
        <v>77</v>
      </c>
      <c r="AO64" t="s" s="0">
        <v>130</v>
      </c>
      <c r="AP64" t="s" s="0">
        <v>253</v>
      </c>
      <c r="AQ64" t="s" s="0">
        <v>1818</v>
      </c>
      <c r="AR64" t="s" s="0">
        <v>1819</v>
      </c>
      <c r="AS64" t="s" s="0">
        <v>1820</v>
      </c>
      <c r="AT64" t="s" s="0">
        <v>1821</v>
      </c>
      <c r="AU64" t="s" s="0">
        <v>1822</v>
      </c>
      <c r="AV64" t="s" s="0">
        <v>81</v>
      </c>
      <c r="AW64" t="s" s="0">
        <v>1823</v>
      </c>
      <c r="AX64" t="s" s="0">
        <v>1824</v>
      </c>
      <c r="AY64" t="s" s="0">
        <v>1825</v>
      </c>
      <c r="AZ64" t="s" s="0">
        <v>136</v>
      </c>
      <c r="BA64" t="s" s="0">
        <v>563</v>
      </c>
      <c r="BB64" t="s" s="0">
        <v>129</v>
      </c>
      <c r="BC64" t="s" s="0">
        <v>81</v>
      </c>
      <c r="BD64" t="s" s="0">
        <v>81</v>
      </c>
      <c r="BE64" t="s" s="0">
        <v>81</v>
      </c>
      <c r="BF64" t="s" s="0">
        <v>81</v>
      </c>
      <c r="BG64" t="s" s="0">
        <v>1826</v>
      </c>
      <c r="BH64" t="s" s="0">
        <v>1827</v>
      </c>
      <c r="BI64" t="s" s="0">
        <v>81</v>
      </c>
      <c r="BJ64" t="s" s="0">
        <v>1828</v>
      </c>
      <c r="BK64" t="s" s="125">
        <f>HYPERLINK("http://dx.doi.org/10.21037/jtd-2025-1010","http://dx.doi.org/10.21037/jtd-2025-1010")</f>
        <v>1829</v>
      </c>
      <c r="BL64" t="s" s="0">
        <v>81</v>
      </c>
      <c r="BM64" t="s" s="0">
        <v>81</v>
      </c>
      <c r="BN64" t="s" s="0">
        <v>226</v>
      </c>
      <c r="BO64" t="s" s="0">
        <v>1830</v>
      </c>
      <c r="BP64" t="s" s="0">
        <v>1830</v>
      </c>
      <c r="BQ64" t="s" s="0">
        <v>1831</v>
      </c>
      <c r="BR64" t="s" s="0">
        <v>1832</v>
      </c>
      <c r="BS64" t="s" s="0">
        <v>1833</v>
      </c>
      <c r="BT64" t="s" s="126">
        <f>HYPERLINK("https://www.webofscience.com/wos/woscc/full-record/WOS:001626418800033","View Record in Web of Science")</f>
        <v>114</v>
      </c>
      <c r="BU64" t="s" s="0">
        <v>145</v>
      </c>
      <c r="BV64" t="s" s="0">
        <v>81</v>
      </c>
      <c r="BW64" t="s" s="0">
        <v>81</v>
      </c>
      <c r="BX64" t="s" s="0">
        <v>116</v>
      </c>
    </row>
    <row r="65">
      <c r="A65" t="s" s="0">
        <v>77</v>
      </c>
      <c r="B65" t="s" s="0">
        <v>77</v>
      </c>
      <c r="C65" t="s" s="0">
        <v>77</v>
      </c>
      <c r="D65" t="s" s="0">
        <v>77</v>
      </c>
      <c r="E65" t="s" s="0">
        <v>1834</v>
      </c>
      <c r="F65" t="s" s="0">
        <v>1835</v>
      </c>
      <c r="G65" t="s" s="0">
        <v>1836</v>
      </c>
      <c r="H65" t="s" s="0">
        <v>81</v>
      </c>
      <c r="I65" t="s" s="0">
        <v>213</v>
      </c>
      <c r="J65" t="s" s="0">
        <v>1837</v>
      </c>
      <c r="K65" t="s" s="0">
        <v>1838</v>
      </c>
      <c r="L65" t="s" s="0">
        <v>1839</v>
      </c>
      <c r="M65" t="s" s="0">
        <v>1840</v>
      </c>
      <c r="N65" t="s" s="0">
        <v>1841</v>
      </c>
      <c r="O65" t="s" s="0">
        <v>1842</v>
      </c>
      <c r="P65" t="s" s="0">
        <v>1843</v>
      </c>
      <c r="Q65" t="s" s="0">
        <v>90</v>
      </c>
      <c r="R65" t="s" s="0">
        <v>81</v>
      </c>
      <c r="S65" t="s" s="0">
        <v>81</v>
      </c>
      <c r="T65" t="s" s="0">
        <v>81</v>
      </c>
      <c r="U65" t="s" s="0">
        <v>81</v>
      </c>
      <c r="V65" t="s" s="0">
        <v>1844</v>
      </c>
      <c r="W65" t="s" s="0">
        <v>1845</v>
      </c>
      <c r="X65" t="s" s="0">
        <v>81</v>
      </c>
      <c r="Y65" t="s" s="0">
        <v>81</v>
      </c>
      <c r="Z65" t="s" s="0">
        <v>93</v>
      </c>
      <c r="AA65" t="s" s="0">
        <v>94</v>
      </c>
      <c r="AB65" t="s" s="0">
        <v>81</v>
      </c>
      <c r="AC65" t="s" s="0">
        <v>81</v>
      </c>
      <c r="AD65" t="s" s="0">
        <v>81</v>
      </c>
      <c r="AE65" t="s" s="0">
        <v>81</v>
      </c>
      <c r="AF65" t="s" s="0">
        <v>81</v>
      </c>
      <c r="AG65" t="s" s="0">
        <v>1846</v>
      </c>
      <c r="AH65" t="s" s="0">
        <v>81</v>
      </c>
      <c r="AI65" t="s" s="0">
        <v>1847</v>
      </c>
      <c r="AJ65" t="s" s="0">
        <v>81</v>
      </c>
      <c r="AK65" t="s" s="0">
        <v>81</v>
      </c>
      <c r="AL65" t="s" s="0">
        <v>252</v>
      </c>
      <c r="AM65" t="s" s="0">
        <v>77</v>
      </c>
      <c r="AN65" t="s" s="0">
        <v>77</v>
      </c>
      <c r="AO65" t="s" s="0">
        <v>225</v>
      </c>
      <c r="AP65" t="s" s="0">
        <v>225</v>
      </c>
      <c r="AQ65" t="s" s="0">
        <v>406</v>
      </c>
      <c r="AR65" t="s" s="0">
        <v>407</v>
      </c>
      <c r="AS65" t="s" s="0">
        <v>408</v>
      </c>
      <c r="AT65" t="s" s="0">
        <v>1848</v>
      </c>
      <c r="AU65" t="s" s="0">
        <v>81</v>
      </c>
      <c r="AV65" t="s" s="0">
        <v>81</v>
      </c>
      <c r="AW65" t="s" s="0">
        <v>1849</v>
      </c>
      <c r="AX65" t="s" s="0">
        <v>1850</v>
      </c>
      <c r="AY65" t="s" s="0">
        <v>317</v>
      </c>
      <c r="AZ65" t="s" s="0">
        <v>104</v>
      </c>
      <c r="BA65" t="s" s="0">
        <v>846</v>
      </c>
      <c r="BB65" t="s" s="0">
        <v>81</v>
      </c>
      <c r="BC65" t="s" s="0">
        <v>81</v>
      </c>
      <c r="BD65" t="s" s="0">
        <v>81</v>
      </c>
      <c r="BE65" t="s" s="0">
        <v>81</v>
      </c>
      <c r="BF65" t="s" s="0">
        <v>81</v>
      </c>
      <c r="BG65" t="s" s="0">
        <v>81</v>
      </c>
      <c r="BH65" t="s" s="0">
        <v>81</v>
      </c>
      <c r="BI65" t="s" s="0">
        <v>1851</v>
      </c>
      <c r="BJ65" t="s" s="0">
        <v>1852</v>
      </c>
      <c r="BK65" t="s" s="127">
        <f>HYPERLINK("http://dx.doi.org/10.1016/j.array.2026.100736","http://dx.doi.org/10.1016/j.array.2026.100736")</f>
        <v>1853</v>
      </c>
      <c r="BL65" t="s" s="0">
        <v>81</v>
      </c>
      <c r="BM65" t="s" s="0">
        <v>81</v>
      </c>
      <c r="BN65" t="s" s="0">
        <v>204</v>
      </c>
      <c r="BO65" t="s" s="0">
        <v>1854</v>
      </c>
      <c r="BP65" t="s" s="0">
        <v>420</v>
      </c>
      <c r="BQ65" t="s" s="0">
        <v>1855</v>
      </c>
      <c r="BR65" t="s" s="0">
        <v>81</v>
      </c>
      <c r="BS65" t="s" s="0">
        <v>1856</v>
      </c>
      <c r="BT65" t="s" s="128">
        <f>HYPERLINK("https://www.webofscience.com/wos/woscc/full-record/WOS:001724803500001","View Record in Web of Science")</f>
        <v>114</v>
      </c>
      <c r="BU65" t="s" s="0">
        <v>115</v>
      </c>
      <c r="BV65" t="s" s="0">
        <v>81</v>
      </c>
      <c r="BW65" t="s" s="0">
        <v>81</v>
      </c>
      <c r="BX65" t="s" s="0">
        <v>116</v>
      </c>
    </row>
    <row r="66">
      <c r="A66" t="s" s="0">
        <v>77</v>
      </c>
      <c r="B66" t="s" s="0">
        <v>77</v>
      </c>
      <c r="C66" t="s" s="0">
        <v>77</v>
      </c>
      <c r="D66" t="s" s="0">
        <v>77</v>
      </c>
      <c r="E66" t="s" s="0">
        <v>1857</v>
      </c>
      <c r="F66" t="s" s="0">
        <v>1858</v>
      </c>
      <c r="G66" t="s" s="0">
        <v>1859</v>
      </c>
      <c r="H66" t="s" s="0">
        <v>81</v>
      </c>
      <c r="I66" t="s" s="0">
        <v>82</v>
      </c>
      <c r="J66" t="s" s="0">
        <v>1860</v>
      </c>
      <c r="K66" t="s" s="0">
        <v>1861</v>
      </c>
      <c r="L66" t="s" s="0">
        <v>1862</v>
      </c>
      <c r="M66" t="s" s="0">
        <v>1863</v>
      </c>
      <c r="N66" t="s" s="0">
        <v>1864</v>
      </c>
      <c r="O66" t="s" s="0">
        <v>1865</v>
      </c>
      <c r="P66" t="s" s="0">
        <v>1866</v>
      </c>
      <c r="Q66" t="s" s="0">
        <v>90</v>
      </c>
      <c r="R66" t="s" s="0">
        <v>81</v>
      </c>
      <c r="S66" t="s" s="0">
        <v>81</v>
      </c>
      <c r="T66" t="s" s="0">
        <v>81</v>
      </c>
      <c r="U66" t="s" s="0">
        <v>81</v>
      </c>
      <c r="V66" t="s" s="0">
        <v>1867</v>
      </c>
      <c r="W66" t="s" s="0">
        <v>1868</v>
      </c>
      <c r="X66" t="s" s="0">
        <v>81</v>
      </c>
      <c r="Y66" t="s" s="0">
        <v>81</v>
      </c>
      <c r="Z66" t="s" s="0">
        <v>93</v>
      </c>
      <c r="AA66" t="s" s="0">
        <v>190</v>
      </c>
      <c r="AB66" t="s" s="0">
        <v>81</v>
      </c>
      <c r="AC66" t="s" s="0">
        <v>81</v>
      </c>
      <c r="AD66" t="s" s="0">
        <v>81</v>
      </c>
      <c r="AE66" t="s" s="0">
        <v>81</v>
      </c>
      <c r="AF66" t="s" s="0">
        <v>81</v>
      </c>
      <c r="AG66" t="s" s="0">
        <v>1869</v>
      </c>
      <c r="AH66" t="s" s="0">
        <v>1870</v>
      </c>
      <c r="AI66" t="s" s="0">
        <v>1871</v>
      </c>
      <c r="AJ66" t="s" s="0">
        <v>1872</v>
      </c>
      <c r="AK66" t="s" s="0">
        <v>81</v>
      </c>
      <c r="AL66" t="s" s="0">
        <v>193</v>
      </c>
      <c r="AM66" t="s" s="0">
        <v>117</v>
      </c>
      <c r="AN66" t="s" s="0">
        <v>117</v>
      </c>
      <c r="AO66" t="s" s="0">
        <v>227</v>
      </c>
      <c r="AP66" t="s" s="0">
        <v>253</v>
      </c>
      <c r="AQ66" t="s" s="0">
        <v>370</v>
      </c>
      <c r="AR66" t="s" s="0">
        <v>1099</v>
      </c>
      <c r="AS66" t="s" s="0">
        <v>1873</v>
      </c>
      <c r="AT66" t="s" s="0">
        <v>1874</v>
      </c>
      <c r="AU66" t="s" s="0">
        <v>1875</v>
      </c>
      <c r="AV66" t="s" s="0">
        <v>81</v>
      </c>
      <c r="AW66" t="s" s="0">
        <v>1876</v>
      </c>
      <c r="AX66" t="s" s="0">
        <v>1877</v>
      </c>
      <c r="AY66" t="s" s="0">
        <v>81</v>
      </c>
      <c r="AZ66" t="s" s="0">
        <v>136</v>
      </c>
      <c r="BA66" t="s" s="0">
        <v>81</v>
      </c>
      <c r="BB66" t="s" s="0">
        <v>81</v>
      </c>
      <c r="BC66" t="s" s="0">
        <v>81</v>
      </c>
      <c r="BD66" t="s" s="0">
        <v>81</v>
      </c>
      <c r="BE66" t="s" s="0">
        <v>81</v>
      </c>
      <c r="BF66" t="s" s="0">
        <v>81</v>
      </c>
      <c r="BG66" t="s" s="0">
        <v>81</v>
      </c>
      <c r="BH66" t="s" s="0">
        <v>81</v>
      </c>
      <c r="BI66" t="s" s="0">
        <v>81</v>
      </c>
      <c r="BJ66" t="s" s="0">
        <v>1878</v>
      </c>
      <c r="BK66" t="s" s="129">
        <f>HYPERLINK("http://dx.doi.org/10.1007/s10278-025-01788-w","http://dx.doi.org/10.1007/s10278-025-01788-w")</f>
        <v>1879</v>
      </c>
      <c r="BL66" t="s" s="0">
        <v>81</v>
      </c>
      <c r="BM66" t="s" s="0">
        <v>1880</v>
      </c>
      <c r="BN66" t="s" s="0">
        <v>228</v>
      </c>
      <c r="BO66" t="s" s="0">
        <v>1881</v>
      </c>
      <c r="BP66" t="s" s="0">
        <v>1881</v>
      </c>
      <c r="BQ66" t="s" s="0">
        <v>1882</v>
      </c>
      <c r="BR66" t="s" s="0">
        <v>1883</v>
      </c>
      <c r="BS66" t="s" s="0">
        <v>1884</v>
      </c>
      <c r="BT66" t="s" s="130">
        <f>HYPERLINK("https://www.webofscience.com/wos/woscc/full-record/WOS:001640854800001","View Record in Web of Science")</f>
        <v>114</v>
      </c>
      <c r="BU66" t="s" s="0">
        <v>81</v>
      </c>
      <c r="BV66" t="s" s="0">
        <v>81</v>
      </c>
      <c r="BW66" t="s" s="0">
        <v>81</v>
      </c>
      <c r="BX66" t="s" s="0">
        <v>116</v>
      </c>
    </row>
    <row r="67">
      <c r="A67" t="s" s="0">
        <v>77</v>
      </c>
      <c r="B67" t="s" s="0">
        <v>77</v>
      </c>
      <c r="C67" t="s" s="0">
        <v>117</v>
      </c>
      <c r="D67" t="s" s="0">
        <v>77</v>
      </c>
      <c r="E67" t="s" s="0">
        <v>1885</v>
      </c>
      <c r="F67" t="s" s="0">
        <v>1886</v>
      </c>
      <c r="G67" t="s" s="0">
        <v>1887</v>
      </c>
      <c r="H67" t="s" s="0">
        <v>81</v>
      </c>
      <c r="I67" t="s" s="0">
        <v>82</v>
      </c>
      <c r="J67" t="s" s="0">
        <v>1888</v>
      </c>
      <c r="K67" t="s" s="0">
        <v>1889</v>
      </c>
      <c r="L67" t="s" s="0">
        <v>1890</v>
      </c>
      <c r="M67" t="s" s="0">
        <v>1891</v>
      </c>
      <c r="N67" t="s" s="0">
        <v>1892</v>
      </c>
      <c r="O67" t="s" s="0">
        <v>1893</v>
      </c>
      <c r="P67" t="s" s="0">
        <v>1894</v>
      </c>
      <c r="Q67" t="s" s="0">
        <v>90</v>
      </c>
      <c r="R67" t="s" s="0">
        <v>81</v>
      </c>
      <c r="S67" t="s" s="0">
        <v>81</v>
      </c>
      <c r="T67" t="s" s="0">
        <v>81</v>
      </c>
      <c r="U67" t="s" s="0">
        <v>81</v>
      </c>
      <c r="V67" t="s" s="0">
        <v>1895</v>
      </c>
      <c r="W67" t="s" s="0">
        <v>1868</v>
      </c>
      <c r="X67" t="s" s="0">
        <v>81</v>
      </c>
      <c r="Y67" t="s" s="0">
        <v>81</v>
      </c>
      <c r="Z67" t="s" s="0">
        <v>93</v>
      </c>
      <c r="AA67" t="s" s="0">
        <v>94</v>
      </c>
      <c r="AB67" t="s" s="0">
        <v>81</v>
      </c>
      <c r="AC67" t="s" s="0">
        <v>81</v>
      </c>
      <c r="AD67" t="s" s="0">
        <v>81</v>
      </c>
      <c r="AE67" t="s" s="0">
        <v>81</v>
      </c>
      <c r="AF67" t="s" s="0">
        <v>81</v>
      </c>
      <c r="AG67" t="s" s="0">
        <v>1896</v>
      </c>
      <c r="AH67" t="s" s="0">
        <v>1897</v>
      </c>
      <c r="AI67" t="s" s="0">
        <v>1898</v>
      </c>
      <c r="AJ67" t="s" s="0">
        <v>1899</v>
      </c>
      <c r="AK67" t="s" s="0">
        <v>81</v>
      </c>
      <c r="AL67" t="s" s="0">
        <v>1641</v>
      </c>
      <c r="AM67" t="s" s="0">
        <v>129</v>
      </c>
      <c r="AN67" t="s" s="0">
        <v>129</v>
      </c>
      <c r="AO67" t="s" s="0">
        <v>161</v>
      </c>
      <c r="AP67" t="s" s="0">
        <v>172</v>
      </c>
      <c r="AQ67" t="s" s="0">
        <v>370</v>
      </c>
      <c r="AR67" t="s" s="0">
        <v>1099</v>
      </c>
      <c r="AS67" t="s" s="0">
        <v>1873</v>
      </c>
      <c r="AT67" t="s" s="0">
        <v>1874</v>
      </c>
      <c r="AU67" t="s" s="0">
        <v>1875</v>
      </c>
      <c r="AV67" t="s" s="0">
        <v>81</v>
      </c>
      <c r="AW67" t="s" s="0">
        <v>1876</v>
      </c>
      <c r="AX67" t="s" s="0">
        <v>1877</v>
      </c>
      <c r="AY67" t="s" s="0">
        <v>1880</v>
      </c>
      <c r="AZ67" t="s" s="0">
        <v>136</v>
      </c>
      <c r="BA67" t="s" s="0">
        <v>1900</v>
      </c>
      <c r="BB67" t="s" s="0">
        <v>131</v>
      </c>
      <c r="BC67" t="s" s="0">
        <v>81</v>
      </c>
      <c r="BD67" t="s" s="0">
        <v>81</v>
      </c>
      <c r="BE67" t="s" s="0">
        <v>81</v>
      </c>
      <c r="BF67" t="s" s="0">
        <v>81</v>
      </c>
      <c r="BG67" t="s" s="0">
        <v>1901</v>
      </c>
      <c r="BH67" t="s" s="0">
        <v>1902</v>
      </c>
      <c r="BI67" t="s" s="0">
        <v>81</v>
      </c>
      <c r="BJ67" t="s" s="0">
        <v>1903</v>
      </c>
      <c r="BK67" t="s" s="131">
        <f>HYPERLINK("http://dx.doi.org/10.1007/s10278-025-01446-1","http://dx.doi.org/10.1007/s10278-025-01446-1")</f>
        <v>1904</v>
      </c>
      <c r="BL67" t="s" s="0">
        <v>81</v>
      </c>
      <c r="BM67" t="s" s="0">
        <v>418</v>
      </c>
      <c r="BN67" t="s" s="0">
        <v>137</v>
      </c>
      <c r="BO67" t="s" s="0">
        <v>1881</v>
      </c>
      <c r="BP67" t="s" s="0">
        <v>1881</v>
      </c>
      <c r="BQ67" t="s" s="0">
        <v>1905</v>
      </c>
      <c r="BR67" t="s" s="0">
        <v>1906</v>
      </c>
      <c r="BS67" t="s" s="0">
        <v>1907</v>
      </c>
      <c r="BT67" t="s" s="132">
        <f>HYPERLINK("https://www.webofscience.com/wos/woscc/full-record/WOS:001426198600001","View Record in Web of Science")</f>
        <v>114</v>
      </c>
      <c r="BU67" t="s" s="0">
        <v>1908</v>
      </c>
      <c r="BV67" t="s" s="0">
        <v>81</v>
      </c>
      <c r="BW67" t="s" s="0">
        <v>81</v>
      </c>
      <c r="BX67" t="s" s="0">
        <v>116</v>
      </c>
    </row>
    <row r="68">
      <c r="A68" t="s" s="0">
        <v>77</v>
      </c>
      <c r="B68" t="s" s="0">
        <v>77</v>
      </c>
      <c r="C68" t="s" s="0">
        <v>77</v>
      </c>
      <c r="D68" t="s" s="0">
        <v>77</v>
      </c>
      <c r="E68" t="s" s="0">
        <v>1909</v>
      </c>
      <c r="F68" t="s" s="0">
        <v>1910</v>
      </c>
      <c r="G68" t="s" s="0">
        <v>1911</v>
      </c>
      <c r="H68" t="s" s="0">
        <v>81</v>
      </c>
      <c r="I68" t="s" s="0">
        <v>82</v>
      </c>
      <c r="J68" t="s" s="0">
        <v>1912</v>
      </c>
      <c r="K68" t="s" s="0">
        <v>1913</v>
      </c>
      <c r="L68" t="s" s="0">
        <v>81</v>
      </c>
      <c r="M68" t="s" s="0">
        <v>81</v>
      </c>
      <c r="N68" t="s" s="0">
        <v>81</v>
      </c>
      <c r="O68" t="s" s="0">
        <v>1914</v>
      </c>
      <c r="P68" t="s" s="0">
        <v>1915</v>
      </c>
      <c r="Q68" t="s" s="0">
        <v>90</v>
      </c>
      <c r="R68" t="s" s="0">
        <v>81</v>
      </c>
      <c r="S68" t="s" s="0">
        <v>81</v>
      </c>
      <c r="T68" t="s" s="0">
        <v>81</v>
      </c>
      <c r="U68" t="s" s="0">
        <v>81</v>
      </c>
      <c r="V68" t="s" s="0">
        <v>1916</v>
      </c>
      <c r="W68" t="s" s="0">
        <v>1917</v>
      </c>
      <c r="X68" t="s" s="0">
        <v>81</v>
      </c>
      <c r="Y68" t="s" s="0">
        <v>81</v>
      </c>
      <c r="Z68" t="s" s="0">
        <v>93</v>
      </c>
      <c r="AA68" t="s" s="0">
        <v>94</v>
      </c>
      <c r="AB68" t="s" s="0">
        <v>81</v>
      </c>
      <c r="AC68" t="s" s="0">
        <v>81</v>
      </c>
      <c r="AD68" t="s" s="0">
        <v>81</v>
      </c>
      <c r="AE68" t="s" s="0">
        <v>81</v>
      </c>
      <c r="AF68" t="s" s="0">
        <v>81</v>
      </c>
      <c r="AG68" t="s" s="0">
        <v>1918</v>
      </c>
      <c r="AH68" t="s" s="0">
        <v>81</v>
      </c>
      <c r="AI68" t="s" s="0">
        <v>81</v>
      </c>
      <c r="AJ68" t="s" s="0">
        <v>81</v>
      </c>
      <c r="AK68" t="s" s="0">
        <v>81</v>
      </c>
      <c r="AL68" t="s" s="0">
        <v>405</v>
      </c>
      <c r="AM68" t="s" s="0">
        <v>117</v>
      </c>
      <c r="AN68" t="s" s="0">
        <v>117</v>
      </c>
      <c r="AO68" t="s" s="0">
        <v>77</v>
      </c>
      <c r="AP68" t="s" s="0">
        <v>77</v>
      </c>
      <c r="AQ68" t="s" s="0">
        <v>1162</v>
      </c>
      <c r="AR68" t="s" s="0">
        <v>1163</v>
      </c>
      <c r="AS68" t="s" s="0">
        <v>1164</v>
      </c>
      <c r="AT68" t="s" s="0">
        <v>81</v>
      </c>
      <c r="AU68" t="s" s="0">
        <v>1919</v>
      </c>
      <c r="AV68" t="s" s="0">
        <v>81</v>
      </c>
      <c r="AW68" t="s" s="0">
        <v>1920</v>
      </c>
      <c r="AX68" t="s" s="0">
        <v>1921</v>
      </c>
      <c r="AY68" t="s" s="0">
        <v>104</v>
      </c>
      <c r="AZ68" t="s" s="0">
        <v>104</v>
      </c>
      <c r="BA68" t="s" s="0">
        <v>228</v>
      </c>
      <c r="BB68" t="s" s="0">
        <v>81</v>
      </c>
      <c r="BC68" t="s" s="0">
        <v>81</v>
      </c>
      <c r="BD68" t="s" s="0">
        <v>81</v>
      </c>
      <c r="BE68" t="s" s="0">
        <v>81</v>
      </c>
      <c r="BF68" t="s" s="0">
        <v>81</v>
      </c>
      <c r="BG68" t="s" s="0">
        <v>81</v>
      </c>
      <c r="BH68" t="s" s="0">
        <v>81</v>
      </c>
      <c r="BI68" t="s" s="0">
        <v>1922</v>
      </c>
      <c r="BJ68" t="s" s="0">
        <v>1923</v>
      </c>
      <c r="BK68" t="s" s="133">
        <f>HYPERLINK("http://dx.doi.org/10.2196/79985","http://dx.doi.org/10.2196/79985")</f>
        <v>1924</v>
      </c>
      <c r="BL68" t="s" s="0">
        <v>81</v>
      </c>
      <c r="BM68" t="s" s="0">
        <v>81</v>
      </c>
      <c r="BN68" t="s" s="0">
        <v>109</v>
      </c>
      <c r="BO68" t="s" s="0">
        <v>1925</v>
      </c>
      <c r="BP68" t="s" s="0">
        <v>1925</v>
      </c>
      <c r="BQ68" t="s" s="0">
        <v>1926</v>
      </c>
      <c r="BR68" t="s" s="0">
        <v>1927</v>
      </c>
      <c r="BS68" t="s" s="0">
        <v>1928</v>
      </c>
      <c r="BT68" t="s" s="134">
        <f>HYPERLINK("https://www.webofscience.com/wos/woscc/full-record/WOS:001759354500001","View Record in Web of Science")</f>
        <v>114</v>
      </c>
      <c r="BU68" t="s" s="0">
        <v>145</v>
      </c>
      <c r="BV68" t="s" s="0">
        <v>81</v>
      </c>
      <c r="BW68" t="s" s="0">
        <v>81</v>
      </c>
      <c r="BX68" t="s" s="0">
        <v>116</v>
      </c>
    </row>
    <row r="69">
      <c r="A69" t="s" s="0">
        <v>130</v>
      </c>
      <c r="B69" t="s" s="0">
        <v>77</v>
      </c>
      <c r="C69" t="s" s="0">
        <v>225</v>
      </c>
      <c r="D69" t="s" s="0">
        <v>77</v>
      </c>
      <c r="E69" t="s" s="0">
        <v>1929</v>
      </c>
      <c r="F69" t="s" s="0">
        <v>1930</v>
      </c>
      <c r="G69" t="s" s="0">
        <v>1931</v>
      </c>
      <c r="H69" t="s" s="0">
        <v>81</v>
      </c>
      <c r="I69" t="s" s="0">
        <v>82</v>
      </c>
      <c r="J69" t="s" s="0">
        <v>1932</v>
      </c>
      <c r="K69" t="s" s="0">
        <v>1933</v>
      </c>
      <c r="L69" t="s" s="0">
        <v>1934</v>
      </c>
      <c r="M69" t="s" s="0">
        <v>1934</v>
      </c>
      <c r="N69" t="s" s="0">
        <v>1935</v>
      </c>
      <c r="O69" t="s" s="0">
        <v>1936</v>
      </c>
      <c r="P69" t="s" s="0">
        <v>1937</v>
      </c>
      <c r="Q69" t="s" s="0">
        <v>90</v>
      </c>
      <c r="R69" t="s" s="0">
        <v>81</v>
      </c>
      <c r="S69" t="s" s="0">
        <v>81</v>
      </c>
      <c r="T69" t="s" s="0">
        <v>81</v>
      </c>
      <c r="U69" t="s" s="0">
        <v>81</v>
      </c>
      <c r="V69" t="s" s="0">
        <v>1938</v>
      </c>
      <c r="W69" t="s" s="0">
        <v>1391</v>
      </c>
      <c r="X69" t="s" s="0">
        <v>81</v>
      </c>
      <c r="Y69" t="s" s="0">
        <v>81</v>
      </c>
      <c r="Z69" t="s" s="0">
        <v>93</v>
      </c>
      <c r="AA69" t="s" s="0">
        <v>94</v>
      </c>
      <c r="AB69" t="s" s="0">
        <v>81</v>
      </c>
      <c r="AC69" t="s" s="0">
        <v>81</v>
      </c>
      <c r="AD69" t="s" s="0">
        <v>81</v>
      </c>
      <c r="AE69" t="s" s="0">
        <v>81</v>
      </c>
      <c r="AF69" t="s" s="0">
        <v>81</v>
      </c>
      <c r="AG69" t="s" s="0">
        <v>81</v>
      </c>
      <c r="AH69" t="s" s="0">
        <v>81</v>
      </c>
      <c r="AI69" t="s" s="0">
        <v>1939</v>
      </c>
      <c r="AJ69" t="s" s="0">
        <v>1940</v>
      </c>
      <c r="AK69" t="s" s="0">
        <v>81</v>
      </c>
      <c r="AL69" t="s" s="0">
        <v>237</v>
      </c>
      <c r="AM69" t="s" s="0">
        <v>1641</v>
      </c>
      <c r="AN69" t="s" s="0">
        <v>507</v>
      </c>
      <c r="AO69" t="s" s="0">
        <v>161</v>
      </c>
      <c r="AP69" t="s" s="0">
        <v>706</v>
      </c>
      <c r="AQ69" t="s" s="0">
        <v>274</v>
      </c>
      <c r="AR69" t="s" s="0">
        <v>275</v>
      </c>
      <c r="AS69" t="s" s="0">
        <v>276</v>
      </c>
      <c r="AT69" t="s" s="0">
        <v>1395</v>
      </c>
      <c r="AU69" t="s" s="0">
        <v>81</v>
      </c>
      <c r="AV69" t="s" s="0">
        <v>81</v>
      </c>
      <c r="AW69" t="s" s="0">
        <v>1396</v>
      </c>
      <c r="AX69" t="s" s="0">
        <v>1397</v>
      </c>
      <c r="AY69" t="s" s="0">
        <v>1941</v>
      </c>
      <c r="AZ69" t="s" s="0">
        <v>573</v>
      </c>
      <c r="BA69" t="s" s="0">
        <v>161</v>
      </c>
      <c r="BB69" t="s" s="0">
        <v>117</v>
      </c>
      <c r="BC69" t="s" s="0">
        <v>81</v>
      </c>
      <c r="BD69" t="s" s="0">
        <v>81</v>
      </c>
      <c r="BE69" t="s" s="0">
        <v>81</v>
      </c>
      <c r="BF69" t="s" s="0">
        <v>81</v>
      </c>
      <c r="BG69" t="s" s="0">
        <v>81</v>
      </c>
      <c r="BH69" t="s" s="0">
        <v>81</v>
      </c>
      <c r="BI69" t="s" s="0">
        <v>1942</v>
      </c>
      <c r="BJ69" t="s" s="0">
        <v>1943</v>
      </c>
      <c r="BK69" t="s" s="135">
        <f>HYPERLINK("http://dx.doi.org/10.1038/s41746-024-01208-3","http://dx.doi.org/10.1038/s41746-024-01208-3")</f>
        <v>1944</v>
      </c>
      <c r="BL69" t="s" s="0">
        <v>81</v>
      </c>
      <c r="BM69" t="s" s="0">
        <v>81</v>
      </c>
      <c r="BN69" t="s" s="0">
        <v>253</v>
      </c>
      <c r="BO69" t="s" s="0">
        <v>1172</v>
      </c>
      <c r="BP69" t="s" s="0">
        <v>1172</v>
      </c>
      <c r="BQ69" t="s" s="0">
        <v>1945</v>
      </c>
      <c r="BR69" t="s" s="0">
        <v>1946</v>
      </c>
      <c r="BS69" t="s" s="0">
        <v>1947</v>
      </c>
      <c r="BT69" t="s" s="136">
        <f>HYPERLINK("https://www.webofscience.com/wos/woscc/full-record/WOS:001286341300002","View Record in Web of Science")</f>
        <v>114</v>
      </c>
      <c r="BU69" t="s" s="0">
        <v>145</v>
      </c>
      <c r="BV69" t="s" s="0">
        <v>81</v>
      </c>
      <c r="BW69" t="s" s="0">
        <v>81</v>
      </c>
      <c r="BX69" t="s" s="0">
        <v>116</v>
      </c>
    </row>
    <row r="70">
      <c r="A70" t="s" s="0">
        <v>77</v>
      </c>
      <c r="B70" t="s" s="0">
        <v>77</v>
      </c>
      <c r="C70" t="s" s="0">
        <v>77</v>
      </c>
      <c r="D70" t="s" s="0">
        <v>77</v>
      </c>
      <c r="E70" t="s" s="0">
        <v>1948</v>
      </c>
      <c r="F70" t="s" s="0">
        <v>1949</v>
      </c>
      <c r="G70" t="s" s="0">
        <v>1950</v>
      </c>
      <c r="H70" t="s" s="0">
        <v>81</v>
      </c>
      <c r="I70" t="s" s="0">
        <v>213</v>
      </c>
      <c r="J70" t="s" s="0">
        <v>1951</v>
      </c>
      <c r="K70" t="s" s="0">
        <v>1952</v>
      </c>
      <c r="L70" t="s" s="0">
        <v>81</v>
      </c>
      <c r="M70" t="s" s="0">
        <v>81</v>
      </c>
      <c r="N70" t="s" s="0">
        <v>81</v>
      </c>
      <c r="O70" t="s" s="0">
        <v>1953</v>
      </c>
      <c r="P70" t="s" s="0">
        <v>1954</v>
      </c>
      <c r="Q70" t="s" s="0">
        <v>90</v>
      </c>
      <c r="R70" t="s" s="0">
        <v>81</v>
      </c>
      <c r="S70" t="s" s="0">
        <v>81</v>
      </c>
      <c r="T70" t="s" s="0">
        <v>81</v>
      </c>
      <c r="U70" t="s" s="0">
        <v>81</v>
      </c>
      <c r="V70" t="s" s="0">
        <v>1955</v>
      </c>
      <c r="W70" t="s" s="0">
        <v>1956</v>
      </c>
      <c r="X70" t="s" s="0">
        <v>81</v>
      </c>
      <c r="Y70" t="s" s="0">
        <v>81</v>
      </c>
      <c r="Z70" t="s" s="0">
        <v>93</v>
      </c>
      <c r="AA70" t="s" s="0">
        <v>94</v>
      </c>
      <c r="AB70" t="s" s="0">
        <v>81</v>
      </c>
      <c r="AC70" t="s" s="0">
        <v>81</v>
      </c>
      <c r="AD70" t="s" s="0">
        <v>81</v>
      </c>
      <c r="AE70" t="s" s="0">
        <v>81</v>
      </c>
      <c r="AF70" t="s" s="0">
        <v>81</v>
      </c>
      <c r="AG70" t="s" s="0">
        <v>1957</v>
      </c>
      <c r="AH70" t="s" s="0">
        <v>1958</v>
      </c>
      <c r="AI70" t="s" s="0">
        <v>1959</v>
      </c>
      <c r="AJ70" t="s" s="0">
        <v>1960</v>
      </c>
      <c r="AK70" t="s" s="0">
        <v>81</v>
      </c>
      <c r="AL70" t="s" s="0">
        <v>1900</v>
      </c>
      <c r="AM70" t="s" s="0">
        <v>130</v>
      </c>
      <c r="AN70" t="s" s="0">
        <v>227</v>
      </c>
      <c r="AO70" t="s" s="0">
        <v>77</v>
      </c>
      <c r="AP70" t="s" s="0">
        <v>225</v>
      </c>
      <c r="AQ70" t="s" s="0">
        <v>1961</v>
      </c>
      <c r="AR70" t="s" s="0">
        <v>1962</v>
      </c>
      <c r="AS70" t="s" s="0">
        <v>1963</v>
      </c>
      <c r="AT70" t="s" s="0">
        <v>81</v>
      </c>
      <c r="AU70" t="s" s="0">
        <v>1964</v>
      </c>
      <c r="AV70" t="s" s="0">
        <v>81</v>
      </c>
      <c r="AW70" t="s" s="0">
        <v>1965</v>
      </c>
      <c r="AX70" t="s" s="0">
        <v>1966</v>
      </c>
      <c r="AY70" t="s" s="0">
        <v>573</v>
      </c>
      <c r="AZ70" t="s" s="0">
        <v>573</v>
      </c>
      <c r="BA70" t="s" s="0">
        <v>105</v>
      </c>
      <c r="BB70" t="s" s="0">
        <v>130</v>
      </c>
      <c r="BC70" t="s" s="0">
        <v>81</v>
      </c>
      <c r="BD70" t="s" s="0">
        <v>81</v>
      </c>
      <c r="BE70" t="s" s="0">
        <v>81</v>
      </c>
      <c r="BF70" t="s" s="0">
        <v>81</v>
      </c>
      <c r="BG70" t="s" s="0">
        <v>794</v>
      </c>
      <c r="BH70" t="s" s="0">
        <v>1967</v>
      </c>
      <c r="BI70" t="s" s="0">
        <v>81</v>
      </c>
      <c r="BJ70" t="s" s="0">
        <v>1968</v>
      </c>
      <c r="BK70" t="s" s="137">
        <f>HYPERLINK("http://dx.doi.org/10.3991/ijoe.v20i02.43795","http://dx.doi.org/10.3991/ijoe.v20i02.43795")</f>
        <v>1969</v>
      </c>
      <c r="BL70" t="s" s="0">
        <v>81</v>
      </c>
      <c r="BM70" t="s" s="0">
        <v>81</v>
      </c>
      <c r="BN70" t="s" s="0">
        <v>563</v>
      </c>
      <c r="BO70" t="s" s="0">
        <v>1970</v>
      </c>
      <c r="BP70" t="s" s="0">
        <v>420</v>
      </c>
      <c r="BQ70" t="s" s="0">
        <v>1971</v>
      </c>
      <c r="BR70" t="s" s="0">
        <v>81</v>
      </c>
      <c r="BS70" t="s" s="0">
        <v>1972</v>
      </c>
      <c r="BT70" t="s" s="138">
        <f>HYPERLINK("https://www.webofscience.com/wos/woscc/full-record/WOS:001162801400008","View Record in Web of Science")</f>
        <v>114</v>
      </c>
      <c r="BU70" t="s" s="0">
        <v>115</v>
      </c>
      <c r="BV70" t="s" s="0">
        <v>81</v>
      </c>
      <c r="BW70" t="s" s="0">
        <v>81</v>
      </c>
      <c r="BX70" t="s" s="0">
        <v>116</v>
      </c>
    </row>
    <row r="71">
      <c r="A71" t="s" s="0">
        <v>77</v>
      </c>
      <c r="B71" t="s" s="0">
        <v>77</v>
      </c>
      <c r="C71" t="s" s="0">
        <v>77</v>
      </c>
      <c r="D71" t="s" s="0">
        <v>77</v>
      </c>
      <c r="E71" t="s" s="0">
        <v>1973</v>
      </c>
      <c r="F71" t="s" s="0">
        <v>1974</v>
      </c>
      <c r="G71" t="s" s="0">
        <v>1975</v>
      </c>
      <c r="H71" t="s" s="0">
        <v>81</v>
      </c>
      <c r="I71" t="s" s="0">
        <v>213</v>
      </c>
      <c r="J71" t="s" s="0">
        <v>1976</v>
      </c>
      <c r="K71" t="s" s="0">
        <v>1977</v>
      </c>
      <c r="L71" t="s" s="0">
        <v>81</v>
      </c>
      <c r="M71" t="s" s="0">
        <v>81</v>
      </c>
      <c r="N71" t="s" s="0">
        <v>81</v>
      </c>
      <c r="O71" t="s" s="0">
        <v>1978</v>
      </c>
      <c r="P71" t="s" s="0">
        <v>1979</v>
      </c>
      <c r="Q71" t="s" s="0">
        <v>90</v>
      </c>
      <c r="R71" t="s" s="0">
        <v>81</v>
      </c>
      <c r="S71" t="s" s="0">
        <v>81</v>
      </c>
      <c r="T71" t="s" s="0">
        <v>81</v>
      </c>
      <c r="U71" t="s" s="0">
        <v>81</v>
      </c>
      <c r="V71" t="s" s="0">
        <v>1980</v>
      </c>
      <c r="W71" t="s" s="0">
        <v>1981</v>
      </c>
      <c r="X71" t="s" s="0">
        <v>81</v>
      </c>
      <c r="Y71" t="s" s="0">
        <v>81</v>
      </c>
      <c r="Z71" t="s" s="0">
        <v>93</v>
      </c>
      <c r="AA71" t="s" s="0">
        <v>94</v>
      </c>
      <c r="AB71" t="s" s="0">
        <v>81</v>
      </c>
      <c r="AC71" t="s" s="0">
        <v>81</v>
      </c>
      <c r="AD71" t="s" s="0">
        <v>81</v>
      </c>
      <c r="AE71" t="s" s="0">
        <v>81</v>
      </c>
      <c r="AF71" t="s" s="0">
        <v>81</v>
      </c>
      <c r="AG71" t="s" s="0">
        <v>1982</v>
      </c>
      <c r="AH71" t="s" s="0">
        <v>1983</v>
      </c>
      <c r="AI71" t="s" s="0">
        <v>1984</v>
      </c>
      <c r="AJ71" t="s" s="0">
        <v>1985</v>
      </c>
      <c r="AK71" t="s" s="0">
        <v>81</v>
      </c>
      <c r="AL71" t="s" s="0">
        <v>1538</v>
      </c>
      <c r="AM71" t="s" s="0">
        <v>117</v>
      </c>
      <c r="AN71" t="s" s="0">
        <v>117</v>
      </c>
      <c r="AO71" t="s" s="0">
        <v>117</v>
      </c>
      <c r="AP71" t="s" s="0">
        <v>117</v>
      </c>
      <c r="AQ71" t="s" s="0">
        <v>97</v>
      </c>
      <c r="AR71" t="s" s="0">
        <v>98</v>
      </c>
      <c r="AS71" t="s" s="0">
        <v>99</v>
      </c>
      <c r="AT71" t="s" s="0">
        <v>81</v>
      </c>
      <c r="AU71" t="s" s="0">
        <v>1986</v>
      </c>
      <c r="AV71" t="s" s="0">
        <v>81</v>
      </c>
      <c r="AW71" t="s" s="0">
        <v>1987</v>
      </c>
      <c r="AX71" t="s" s="0">
        <v>1988</v>
      </c>
      <c r="AY71" t="s" s="0">
        <v>1989</v>
      </c>
      <c r="AZ71" t="s" s="0">
        <v>104</v>
      </c>
      <c r="BA71" t="s" s="0">
        <v>161</v>
      </c>
      <c r="BB71" t="s" s="0">
        <v>81</v>
      </c>
      <c r="BC71" t="s" s="0">
        <v>81</v>
      </c>
      <c r="BD71" t="s" s="0">
        <v>81</v>
      </c>
      <c r="BE71" t="s" s="0">
        <v>81</v>
      </c>
      <c r="BF71" t="s" s="0">
        <v>81</v>
      </c>
      <c r="BG71" t="s" s="0">
        <v>81</v>
      </c>
      <c r="BH71" t="s" s="0">
        <v>81</v>
      </c>
      <c r="BI71" t="s" s="0">
        <v>1990</v>
      </c>
      <c r="BJ71" t="s" s="0">
        <v>1991</v>
      </c>
      <c r="BK71" t="s" s="139">
        <f>HYPERLINK("http://dx.doi.org/10.3389/fdgth.2025.1709277","http://dx.doi.org/10.3389/fdgth.2025.1709277")</f>
        <v>1992</v>
      </c>
      <c r="BL71" t="s" s="0">
        <v>81</v>
      </c>
      <c r="BM71" t="s" s="0">
        <v>81</v>
      </c>
      <c r="BN71" t="s" s="0">
        <v>167</v>
      </c>
      <c r="BO71" t="s" s="0">
        <v>1172</v>
      </c>
      <c r="BP71" t="s" s="0">
        <v>1172</v>
      </c>
      <c r="BQ71" t="s" s="0">
        <v>1993</v>
      </c>
      <c r="BR71" t="s" s="0">
        <v>1994</v>
      </c>
      <c r="BS71" t="s" s="0">
        <v>1995</v>
      </c>
      <c r="BT71" t="s" s="140">
        <f>HYPERLINK("https://www.webofscience.com/wos/woscc/full-record/WOS:001685448000001","View Record in Web of Science")</f>
        <v>114</v>
      </c>
      <c r="BU71" t="s" s="0">
        <v>145</v>
      </c>
      <c r="BV71" t="s" s="0">
        <v>81</v>
      </c>
      <c r="BW71" t="s" s="0">
        <v>81</v>
      </c>
      <c r="BX71" t="s" s="0">
        <v>116</v>
      </c>
    </row>
    <row r="72">
      <c r="A72" t="s" s="0">
        <v>77</v>
      </c>
      <c r="B72" t="s" s="0">
        <v>77</v>
      </c>
      <c r="C72" t="s" s="0">
        <v>77</v>
      </c>
      <c r="D72" t="s" s="0">
        <v>77</v>
      </c>
      <c r="E72" t="s" s="0">
        <v>1996</v>
      </c>
      <c r="F72" t="s" s="0">
        <v>1997</v>
      </c>
      <c r="G72" t="s" s="0">
        <v>1998</v>
      </c>
      <c r="H72" t="s" s="0">
        <v>81</v>
      </c>
      <c r="I72" t="s" s="0">
        <v>82</v>
      </c>
      <c r="J72" t="s" s="0">
        <v>1999</v>
      </c>
      <c r="K72" t="s" s="0">
        <v>2000</v>
      </c>
      <c r="L72" t="s" s="0">
        <v>81</v>
      </c>
      <c r="M72" t="s" s="0">
        <v>81</v>
      </c>
      <c r="N72" t="s" s="0">
        <v>81</v>
      </c>
      <c r="O72" t="s" s="0">
        <v>2001</v>
      </c>
      <c r="P72" t="s" s="0">
        <v>2002</v>
      </c>
      <c r="Q72" t="s" s="0">
        <v>90</v>
      </c>
      <c r="R72" t="s" s="0">
        <v>81</v>
      </c>
      <c r="S72" t="s" s="0">
        <v>81</v>
      </c>
      <c r="T72" t="s" s="0">
        <v>81</v>
      </c>
      <c r="U72" t="s" s="0">
        <v>81</v>
      </c>
      <c r="V72" t="s" s="0">
        <v>2003</v>
      </c>
      <c r="W72" t="s" s="0">
        <v>2004</v>
      </c>
      <c r="X72" t="s" s="0">
        <v>81</v>
      </c>
      <c r="Y72" t="s" s="0">
        <v>81</v>
      </c>
      <c r="Z72" t="s" s="0">
        <v>93</v>
      </c>
      <c r="AA72" t="s" s="0">
        <v>94</v>
      </c>
      <c r="AB72" t="s" s="0">
        <v>81</v>
      </c>
      <c r="AC72" t="s" s="0">
        <v>81</v>
      </c>
      <c r="AD72" t="s" s="0">
        <v>81</v>
      </c>
      <c r="AE72" t="s" s="0">
        <v>81</v>
      </c>
      <c r="AF72" t="s" s="0">
        <v>81</v>
      </c>
      <c r="AG72" t="s" s="0">
        <v>2005</v>
      </c>
      <c r="AH72" t="s" s="0">
        <v>2006</v>
      </c>
      <c r="AI72" t="s" s="0">
        <v>2007</v>
      </c>
      <c r="AJ72" t="s" s="0">
        <v>2008</v>
      </c>
      <c r="AK72" t="s" s="0">
        <v>81</v>
      </c>
      <c r="AL72" t="s" s="0">
        <v>995</v>
      </c>
      <c r="AM72" t="s" s="0">
        <v>77</v>
      </c>
      <c r="AN72" t="s" s="0">
        <v>77</v>
      </c>
      <c r="AO72" t="s" s="0">
        <v>227</v>
      </c>
      <c r="AP72" t="s" s="0">
        <v>253</v>
      </c>
      <c r="AQ72" t="s" s="0">
        <v>338</v>
      </c>
      <c r="AR72" t="s" s="0">
        <v>339</v>
      </c>
      <c r="AS72" t="s" s="0">
        <v>340</v>
      </c>
      <c r="AT72" t="s" s="0">
        <v>81</v>
      </c>
      <c r="AU72" t="s" s="0">
        <v>2009</v>
      </c>
      <c r="AV72" t="s" s="0">
        <v>81</v>
      </c>
      <c r="AW72" t="s" s="0">
        <v>2010</v>
      </c>
      <c r="AX72" t="s" s="0">
        <v>2011</v>
      </c>
      <c r="AY72" t="s" s="0">
        <v>2012</v>
      </c>
      <c r="AZ72" t="s" s="0">
        <v>136</v>
      </c>
      <c r="BA72" t="s" s="0">
        <v>318</v>
      </c>
      <c r="BB72" t="s" s="0">
        <v>117</v>
      </c>
      <c r="BC72" t="s" s="0">
        <v>81</v>
      </c>
      <c r="BD72" t="s" s="0">
        <v>81</v>
      </c>
      <c r="BE72" t="s" s="0">
        <v>81</v>
      </c>
      <c r="BF72" t="s" s="0">
        <v>81</v>
      </c>
      <c r="BG72" t="s" s="0">
        <v>81</v>
      </c>
      <c r="BH72" t="s" s="0">
        <v>81</v>
      </c>
      <c r="BI72" t="s" s="0">
        <v>2013</v>
      </c>
      <c r="BJ72" t="s" s="0">
        <v>2014</v>
      </c>
      <c r="BK72" t="s" s="141">
        <f>HYPERLINK("http://dx.doi.org/10.1186/s12902-025-02031-x","http://dx.doi.org/10.1186/s12902-025-02031-x")</f>
        <v>2015</v>
      </c>
      <c r="BL72" t="s" s="0">
        <v>81</v>
      </c>
      <c r="BM72" t="s" s="0">
        <v>81</v>
      </c>
      <c r="BN72" t="s" s="0">
        <v>129</v>
      </c>
      <c r="BO72" t="s" s="0">
        <v>2016</v>
      </c>
      <c r="BP72" t="s" s="0">
        <v>2016</v>
      </c>
      <c r="BQ72" t="s" s="0">
        <v>2017</v>
      </c>
      <c r="BR72" t="s" s="0">
        <v>2018</v>
      </c>
      <c r="BS72" t="s" s="0">
        <v>2019</v>
      </c>
      <c r="BT72" t="s" s="142">
        <f>HYPERLINK("https://www.webofscience.com/wos/woscc/full-record/WOS:001596446300001","View Record in Web of Science")</f>
        <v>114</v>
      </c>
      <c r="BU72" t="s" s="0">
        <v>145</v>
      </c>
      <c r="BV72" t="s" s="0">
        <v>81</v>
      </c>
      <c r="BW72" t="s" s="0">
        <v>81</v>
      </c>
      <c r="BX72" t="s" s="0">
        <v>116</v>
      </c>
    </row>
    <row r="73">
      <c r="A73" t="s" s="0">
        <v>77</v>
      </c>
      <c r="B73" t="s" s="0">
        <v>77</v>
      </c>
      <c r="C73" t="s" s="0">
        <v>77</v>
      </c>
      <c r="D73" t="s" s="0">
        <v>77</v>
      </c>
      <c r="E73" t="s" s="0">
        <v>2020</v>
      </c>
      <c r="F73" t="s" s="0">
        <v>2021</v>
      </c>
      <c r="G73" t="s" s="0">
        <v>2022</v>
      </c>
      <c r="H73" t="s" s="0">
        <v>81</v>
      </c>
      <c r="I73" t="s" s="0">
        <v>213</v>
      </c>
      <c r="J73" t="s" s="0">
        <v>2023</v>
      </c>
      <c r="K73" t="s" s="0">
        <v>2024</v>
      </c>
      <c r="L73" t="s" s="0">
        <v>2025</v>
      </c>
      <c r="M73" t="s" s="0">
        <v>2025</v>
      </c>
      <c r="N73" t="s" s="0">
        <v>2026</v>
      </c>
      <c r="O73" t="s" s="0">
        <v>2027</v>
      </c>
      <c r="P73" t="s" s="0">
        <v>2028</v>
      </c>
      <c r="Q73" t="s" s="0">
        <v>90</v>
      </c>
      <c r="R73" t="s" s="0">
        <v>81</v>
      </c>
      <c r="S73" t="s" s="0">
        <v>81</v>
      </c>
      <c r="T73" t="s" s="0">
        <v>81</v>
      </c>
      <c r="U73" t="s" s="0">
        <v>81</v>
      </c>
      <c r="V73" t="s" s="0">
        <v>2029</v>
      </c>
      <c r="W73" t="s" s="0">
        <v>2030</v>
      </c>
      <c r="X73" t="s" s="0">
        <v>81</v>
      </c>
      <c r="Y73" t="s" s="0">
        <v>81</v>
      </c>
      <c r="Z73" t="s" s="0">
        <v>93</v>
      </c>
      <c r="AA73" t="s" s="0">
        <v>94</v>
      </c>
      <c r="AB73" t="s" s="0">
        <v>81</v>
      </c>
      <c r="AC73" t="s" s="0">
        <v>81</v>
      </c>
      <c r="AD73" t="s" s="0">
        <v>81</v>
      </c>
      <c r="AE73" t="s" s="0">
        <v>81</v>
      </c>
      <c r="AF73" t="s" s="0">
        <v>81</v>
      </c>
      <c r="AG73" t="s" s="0">
        <v>2031</v>
      </c>
      <c r="AH73" t="s" s="0">
        <v>81</v>
      </c>
      <c r="AI73" t="s" s="0">
        <v>2032</v>
      </c>
      <c r="AJ73" t="s" s="0">
        <v>2033</v>
      </c>
      <c r="AK73" t="s" s="0">
        <v>81</v>
      </c>
      <c r="AL73" t="s" s="0">
        <v>846</v>
      </c>
      <c r="AM73" t="s" s="0">
        <v>77</v>
      </c>
      <c r="AN73" t="s" s="0">
        <v>77</v>
      </c>
      <c r="AO73" t="s" s="0">
        <v>117</v>
      </c>
      <c r="AP73" t="s" s="0">
        <v>130</v>
      </c>
      <c r="AQ73" t="s" s="0">
        <v>406</v>
      </c>
      <c r="AR73" t="s" s="0">
        <v>407</v>
      </c>
      <c r="AS73" t="s" s="0">
        <v>408</v>
      </c>
      <c r="AT73" t="s" s="0">
        <v>81</v>
      </c>
      <c r="AU73" t="s" s="0">
        <v>2034</v>
      </c>
      <c r="AV73" t="s" s="0">
        <v>81</v>
      </c>
      <c r="AW73" t="s" s="0">
        <v>2030</v>
      </c>
      <c r="AX73" t="s" s="0">
        <v>2035</v>
      </c>
      <c r="AY73" t="s" s="0">
        <v>1880</v>
      </c>
      <c r="AZ73" t="s" s="0">
        <v>136</v>
      </c>
      <c r="BA73" t="s" s="0">
        <v>172</v>
      </c>
      <c r="BB73" t="s" s="0">
        <v>81</v>
      </c>
      <c r="BC73" t="s" s="0">
        <v>81</v>
      </c>
      <c r="BD73" t="s" s="0">
        <v>81</v>
      </c>
      <c r="BE73" t="s" s="0">
        <v>81</v>
      </c>
      <c r="BF73" t="s" s="0">
        <v>81</v>
      </c>
      <c r="BG73" t="s" s="0">
        <v>81</v>
      </c>
      <c r="BH73" t="s" s="0">
        <v>81</v>
      </c>
      <c r="BI73" t="s" s="0">
        <v>2036</v>
      </c>
      <c r="BJ73" t="s" s="0">
        <v>2037</v>
      </c>
      <c r="BK73" t="s" s="143">
        <f>HYPERLINK("http://dx.doi.org/10.1016/j.mex.2025.103626","http://dx.doi.org/10.1016/j.mex.2025.103626")</f>
        <v>2038</v>
      </c>
      <c r="BL73" t="s" s="0">
        <v>81</v>
      </c>
      <c r="BM73" t="s" s="0">
        <v>1080</v>
      </c>
      <c r="BN73" t="s" s="0">
        <v>167</v>
      </c>
      <c r="BO73" t="s" s="0">
        <v>285</v>
      </c>
      <c r="BP73" t="s" s="0">
        <v>286</v>
      </c>
      <c r="BQ73" t="s" s="0">
        <v>2039</v>
      </c>
      <c r="BR73" t="s" s="0">
        <v>2040</v>
      </c>
      <c r="BS73" t="s" s="0">
        <v>2041</v>
      </c>
      <c r="BT73" t="s" s="144">
        <f>HYPERLINK("https://www.webofscience.com/wos/woscc/full-record/WOS:001576822800001","View Record in Web of Science")</f>
        <v>114</v>
      </c>
      <c r="BU73" t="s" s="0">
        <v>145</v>
      </c>
      <c r="BV73" t="s" s="0">
        <v>81</v>
      </c>
      <c r="BW73" t="s" s="0">
        <v>81</v>
      </c>
      <c r="BX73" t="s" s="0">
        <v>116</v>
      </c>
    </row>
    <row r="74">
      <c r="A74" t="s" s="0">
        <v>77</v>
      </c>
      <c r="B74" t="s" s="0">
        <v>77</v>
      </c>
      <c r="C74" t="s" s="0">
        <v>77</v>
      </c>
      <c r="D74" t="s" s="0">
        <v>77</v>
      </c>
      <c r="E74" t="s" s="0">
        <v>2042</v>
      </c>
      <c r="F74" t="s" s="0">
        <v>2043</v>
      </c>
      <c r="G74" t="s" s="0">
        <v>2044</v>
      </c>
      <c r="H74" t="s" s="0">
        <v>81</v>
      </c>
      <c r="I74" t="s" s="0">
        <v>82</v>
      </c>
      <c r="J74" t="s" s="0">
        <v>2045</v>
      </c>
      <c r="K74" t="s" s="0">
        <v>2046</v>
      </c>
      <c r="L74" t="s" s="0">
        <v>81</v>
      </c>
      <c r="M74" t="s" s="0">
        <v>81</v>
      </c>
      <c r="N74" t="s" s="0">
        <v>81</v>
      </c>
      <c r="O74" t="s" s="0">
        <v>2047</v>
      </c>
      <c r="P74" t="s" s="0">
        <v>2048</v>
      </c>
      <c r="Q74" t="s" s="0">
        <v>90</v>
      </c>
      <c r="R74" t="s" s="0">
        <v>81</v>
      </c>
      <c r="S74" t="s" s="0">
        <v>81</v>
      </c>
      <c r="T74" t="s" s="0">
        <v>81</v>
      </c>
      <c r="U74" t="s" s="0">
        <v>81</v>
      </c>
      <c r="V74" t="s" s="0">
        <v>2049</v>
      </c>
      <c r="W74" t="s" s="0">
        <v>2050</v>
      </c>
      <c r="X74" t="s" s="0">
        <v>81</v>
      </c>
      <c r="Y74" t="s" s="0">
        <v>81</v>
      </c>
      <c r="Z74" t="s" s="0">
        <v>93</v>
      </c>
      <c r="AA74" t="s" s="0">
        <v>94</v>
      </c>
      <c r="AB74" t="s" s="0">
        <v>81</v>
      </c>
      <c r="AC74" t="s" s="0">
        <v>81</v>
      </c>
      <c r="AD74" t="s" s="0">
        <v>81</v>
      </c>
      <c r="AE74" t="s" s="0">
        <v>81</v>
      </c>
      <c r="AF74" t="s" s="0">
        <v>81</v>
      </c>
      <c r="AG74" t="s" s="0">
        <v>2051</v>
      </c>
      <c r="AH74" t="s" s="0">
        <v>81</v>
      </c>
      <c r="AI74" t="s" s="0">
        <v>81</v>
      </c>
      <c r="AJ74" t="s" s="0">
        <v>81</v>
      </c>
      <c r="AK74" t="s" s="0">
        <v>81</v>
      </c>
      <c r="AL74" t="s" s="0">
        <v>252</v>
      </c>
      <c r="AM74" t="s" s="0">
        <v>77</v>
      </c>
      <c r="AN74" t="s" s="0">
        <v>77</v>
      </c>
      <c r="AO74" t="s" s="0">
        <v>77</v>
      </c>
      <c r="AP74" t="s" s="0">
        <v>77</v>
      </c>
      <c r="AQ74" t="s" s="0">
        <v>1098</v>
      </c>
      <c r="AR74" t="s" s="0">
        <v>1099</v>
      </c>
      <c r="AS74" t="s" s="0">
        <v>2052</v>
      </c>
      <c r="AT74" t="s" s="0">
        <v>2053</v>
      </c>
      <c r="AU74" t="s" s="0">
        <v>2054</v>
      </c>
      <c r="AV74" t="s" s="0">
        <v>81</v>
      </c>
      <c r="AW74" t="s" s="0">
        <v>2055</v>
      </c>
      <c r="AX74" t="s" s="0">
        <v>2056</v>
      </c>
      <c r="AY74" t="s" s="0">
        <v>2057</v>
      </c>
      <c r="AZ74" t="s" s="0">
        <v>104</v>
      </c>
      <c r="BA74" t="s" s="0">
        <v>224</v>
      </c>
      <c r="BB74" t="s" s="0">
        <v>128</v>
      </c>
      <c r="BC74" t="s" s="0">
        <v>81</v>
      </c>
      <c r="BD74" t="s" s="0">
        <v>81</v>
      </c>
      <c r="BE74" t="s" s="0">
        <v>81</v>
      </c>
      <c r="BF74" t="s" s="0">
        <v>81</v>
      </c>
      <c r="BG74" t="s" s="0">
        <v>2058</v>
      </c>
      <c r="BH74" t="s" s="0">
        <v>2059</v>
      </c>
      <c r="BI74" t="s" s="0">
        <v>81</v>
      </c>
      <c r="BJ74" t="s" s="0">
        <v>2060</v>
      </c>
      <c r="BK74" t="s" s="145">
        <f>HYPERLINK("http://dx.doi.org/10.1016/j.dld.2026.07.005","http://dx.doi.org/10.1016/j.dld.2026.07.005")</f>
        <v>2061</v>
      </c>
      <c r="BL74" t="s" s="0">
        <v>81</v>
      </c>
      <c r="BM74" t="s" s="0">
        <v>81</v>
      </c>
      <c r="BN74" t="s" s="0">
        <v>128</v>
      </c>
      <c r="BO74" t="s" s="0">
        <v>2062</v>
      </c>
      <c r="BP74" t="s" s="0">
        <v>2062</v>
      </c>
      <c r="BQ74" t="s" s="0">
        <v>2063</v>
      </c>
      <c r="BR74" t="s" s="0">
        <v>2064</v>
      </c>
      <c r="BS74" t="s" s="0">
        <v>2065</v>
      </c>
      <c r="BT74" t="s" s="146">
        <f>HYPERLINK("https://www.webofscience.com/wos/woscc/full-record/WOS:001851497600001","View Record in Web of Science")</f>
        <v>114</v>
      </c>
      <c r="BU74" t="s" s="0">
        <v>804</v>
      </c>
      <c r="BV74" t="s" s="0">
        <v>81</v>
      </c>
      <c r="BW74" t="s" s="0">
        <v>81</v>
      </c>
      <c r="BX74" t="s" s="0">
        <v>116</v>
      </c>
    </row>
    <row r="75">
      <c r="A75" t="s" s="0">
        <v>117</v>
      </c>
      <c r="B75" t="s" s="0">
        <v>77</v>
      </c>
      <c r="C75" t="s" s="0">
        <v>130</v>
      </c>
      <c r="D75" t="s" s="0">
        <v>77</v>
      </c>
      <c r="E75" t="s" s="0">
        <v>2066</v>
      </c>
      <c r="F75" t="s" s="0">
        <v>2067</v>
      </c>
      <c r="G75" t="s" s="0">
        <v>2068</v>
      </c>
      <c r="H75" t="s" s="0">
        <v>81</v>
      </c>
      <c r="I75" t="s" s="0">
        <v>213</v>
      </c>
      <c r="J75" t="s" s="0">
        <v>2069</v>
      </c>
      <c r="K75" t="s" s="0">
        <v>2070</v>
      </c>
      <c r="L75" t="s" s="0">
        <v>2071</v>
      </c>
      <c r="M75" t="s" s="0">
        <v>2072</v>
      </c>
      <c r="N75" t="s" s="0">
        <v>2073</v>
      </c>
      <c r="O75" t="s" s="0">
        <v>2074</v>
      </c>
      <c r="P75" t="s" s="0">
        <v>2075</v>
      </c>
      <c r="Q75" t="s" s="0">
        <v>90</v>
      </c>
      <c r="R75" t="s" s="0">
        <v>81</v>
      </c>
      <c r="S75" t="s" s="0">
        <v>81</v>
      </c>
      <c r="T75" t="s" s="0">
        <v>81</v>
      </c>
      <c r="U75" t="s" s="0">
        <v>81</v>
      </c>
      <c r="V75" t="s" s="0">
        <v>2076</v>
      </c>
      <c r="W75" t="s" s="0">
        <v>2077</v>
      </c>
      <c r="X75" t="s" s="0">
        <v>81</v>
      </c>
      <c r="Y75" t="s" s="0">
        <v>81</v>
      </c>
      <c r="Z75" t="s" s="0">
        <v>93</v>
      </c>
      <c r="AA75" t="s" s="0">
        <v>94</v>
      </c>
      <c r="AB75" t="s" s="0">
        <v>81</v>
      </c>
      <c r="AC75" t="s" s="0">
        <v>81</v>
      </c>
      <c r="AD75" t="s" s="0">
        <v>81</v>
      </c>
      <c r="AE75" t="s" s="0">
        <v>81</v>
      </c>
      <c r="AF75" t="s" s="0">
        <v>81</v>
      </c>
      <c r="AG75" t="s" s="0">
        <v>2078</v>
      </c>
      <c r="AH75" t="s" s="0">
        <v>2079</v>
      </c>
      <c r="AI75" t="s" s="0">
        <v>2080</v>
      </c>
      <c r="AJ75" t="s" s="0">
        <v>2081</v>
      </c>
      <c r="AK75" t="s" s="0">
        <v>81</v>
      </c>
      <c r="AL75" t="s" s="0">
        <v>109</v>
      </c>
      <c r="AM75" t="s" s="0">
        <v>227</v>
      </c>
      <c r="AN75" t="s" s="0">
        <v>253</v>
      </c>
      <c r="AO75" t="s" s="0">
        <v>117</v>
      </c>
      <c r="AP75" t="s" s="0">
        <v>227</v>
      </c>
      <c r="AQ75" t="s" s="0">
        <v>708</v>
      </c>
      <c r="AR75" t="s" s="0">
        <v>709</v>
      </c>
      <c r="AS75" t="s" s="0">
        <v>710</v>
      </c>
      <c r="AT75" t="s" s="0">
        <v>2082</v>
      </c>
      <c r="AU75" t="s" s="0">
        <v>2083</v>
      </c>
      <c r="AV75" t="s" s="0">
        <v>81</v>
      </c>
      <c r="AW75" t="s" s="0">
        <v>2077</v>
      </c>
      <c r="AX75" t="s" s="0">
        <v>2084</v>
      </c>
      <c r="AY75" t="s" s="0">
        <v>572</v>
      </c>
      <c r="AZ75" t="s" s="0">
        <v>573</v>
      </c>
      <c r="BA75" t="s" s="0">
        <v>130</v>
      </c>
      <c r="BB75" t="s" s="0">
        <v>253</v>
      </c>
      <c r="BC75" t="s" s="0">
        <v>81</v>
      </c>
      <c r="BD75" t="s" s="0">
        <v>81</v>
      </c>
      <c r="BE75" t="s" s="0">
        <v>81</v>
      </c>
      <c r="BF75" t="s" s="0">
        <v>81</v>
      </c>
      <c r="BG75" t="s" s="0">
        <v>2085</v>
      </c>
      <c r="BH75" t="s" s="0">
        <v>2086</v>
      </c>
      <c r="BI75" t="s" s="0">
        <v>81</v>
      </c>
      <c r="BJ75" t="s" s="0">
        <v>2087</v>
      </c>
      <c r="BK75" t="s" s="147">
        <f>HYPERLINK("http://dx.doi.org/10.1002/ird3.102","http://dx.doi.org/10.1002/ird3.102")</f>
        <v>2088</v>
      </c>
      <c r="BL75" t="s" s="0">
        <v>81</v>
      </c>
      <c r="BM75" t="s" s="0">
        <v>81</v>
      </c>
      <c r="BN75" t="s" s="0">
        <v>226</v>
      </c>
      <c r="BO75" t="s" s="0">
        <v>1881</v>
      </c>
      <c r="BP75" t="s" s="0">
        <v>1881</v>
      </c>
      <c r="BQ75" t="s" s="0">
        <v>2089</v>
      </c>
      <c r="BR75" t="s" s="0">
        <v>81</v>
      </c>
      <c r="BS75" t="s" s="0">
        <v>2090</v>
      </c>
      <c r="BT75" t="s" s="148">
        <f>HYPERLINK("https://www.webofscience.com/wos/woscc/full-record/WOS:001516961900001","View Record in Web of Science")</f>
        <v>114</v>
      </c>
      <c r="BU75" t="s" s="0">
        <v>145</v>
      </c>
      <c r="BV75" t="s" s="0">
        <v>81</v>
      </c>
      <c r="BW75" t="s" s="0">
        <v>81</v>
      </c>
      <c r="BX75" t="s" s="0">
        <v>116</v>
      </c>
    </row>
    <row r="76">
      <c r="A76" t="s" s="0">
        <v>77</v>
      </c>
      <c r="B76" t="s" s="0">
        <v>77</v>
      </c>
      <c r="C76" t="s" s="0">
        <v>77</v>
      </c>
      <c r="D76" t="s" s="0">
        <v>77</v>
      </c>
      <c r="E76" t="s" s="0">
        <v>2091</v>
      </c>
      <c r="F76" t="s" s="0">
        <v>2092</v>
      </c>
      <c r="G76" t="s" s="0">
        <v>2093</v>
      </c>
      <c r="H76" t="s" s="0">
        <v>81</v>
      </c>
      <c r="I76" t="s" s="0">
        <v>213</v>
      </c>
      <c r="J76" t="s" s="0">
        <v>2094</v>
      </c>
      <c r="K76" t="s" s="0">
        <v>2095</v>
      </c>
      <c r="L76" t="s" s="0">
        <v>2096</v>
      </c>
      <c r="M76" t="s" s="0">
        <v>2097</v>
      </c>
      <c r="N76" t="s" s="0">
        <v>2098</v>
      </c>
      <c r="O76" t="s" s="0">
        <v>2099</v>
      </c>
      <c r="P76" t="s" s="0">
        <v>2100</v>
      </c>
      <c r="Q76" t="s" s="0">
        <v>90</v>
      </c>
      <c r="R76" t="s" s="0">
        <v>81</v>
      </c>
      <c r="S76" t="s" s="0">
        <v>81</v>
      </c>
      <c r="T76" t="s" s="0">
        <v>81</v>
      </c>
      <c r="U76" t="s" s="0">
        <v>81</v>
      </c>
      <c r="V76" t="s" s="0">
        <v>2101</v>
      </c>
      <c r="W76" t="s" s="0">
        <v>2102</v>
      </c>
      <c r="X76" t="s" s="0">
        <v>81</v>
      </c>
      <c r="Y76" t="s" s="0">
        <v>81</v>
      </c>
      <c r="Z76" t="s" s="0">
        <v>93</v>
      </c>
      <c r="AA76" t="s" s="0">
        <v>94</v>
      </c>
      <c r="AB76" t="s" s="0">
        <v>81</v>
      </c>
      <c r="AC76" t="s" s="0">
        <v>81</v>
      </c>
      <c r="AD76" t="s" s="0">
        <v>81</v>
      </c>
      <c r="AE76" t="s" s="0">
        <v>81</v>
      </c>
      <c r="AF76" t="s" s="0">
        <v>81</v>
      </c>
      <c r="AG76" t="s" s="0">
        <v>81</v>
      </c>
      <c r="AH76" t="s" s="0">
        <v>2103</v>
      </c>
      <c r="AI76" t="s" s="0">
        <v>81</v>
      </c>
      <c r="AJ76" t="s" s="0">
        <v>81</v>
      </c>
      <c r="AK76" t="s" s="0">
        <v>81</v>
      </c>
      <c r="AL76" t="s" s="0">
        <v>562</v>
      </c>
      <c r="AM76" t="s" s="0">
        <v>77</v>
      </c>
      <c r="AN76" t="s" s="0">
        <v>77</v>
      </c>
      <c r="AO76" t="s" s="0">
        <v>77</v>
      </c>
      <c r="AP76" t="s" s="0">
        <v>77</v>
      </c>
      <c r="AQ76" t="s" s="0">
        <v>738</v>
      </c>
      <c r="AR76" t="s" s="0">
        <v>306</v>
      </c>
      <c r="AS76" t="s" s="0">
        <v>739</v>
      </c>
      <c r="AT76" t="s" s="0">
        <v>81</v>
      </c>
      <c r="AU76" t="s" s="0">
        <v>2104</v>
      </c>
      <c r="AV76" t="s" s="0">
        <v>81</v>
      </c>
      <c r="AW76" t="s" s="0">
        <v>2105</v>
      </c>
      <c r="AX76" t="s" s="0">
        <v>2106</v>
      </c>
      <c r="AY76" t="s" s="0">
        <v>445</v>
      </c>
      <c r="AZ76" t="s" s="0">
        <v>104</v>
      </c>
      <c r="BA76" t="s" s="0">
        <v>129</v>
      </c>
      <c r="BB76" t="s" s="0">
        <v>227</v>
      </c>
      <c r="BC76" t="s" s="0">
        <v>81</v>
      </c>
      <c r="BD76" t="s" s="0">
        <v>81</v>
      </c>
      <c r="BE76" t="s" s="0">
        <v>81</v>
      </c>
      <c r="BF76" t="s" s="0">
        <v>81</v>
      </c>
      <c r="BG76" t="s" s="0">
        <v>81</v>
      </c>
      <c r="BH76" t="s" s="0">
        <v>81</v>
      </c>
      <c r="BI76" t="s" s="0">
        <v>2107</v>
      </c>
      <c r="BJ76" t="s" s="0">
        <v>2108</v>
      </c>
      <c r="BK76" t="s" s="149">
        <f>HYPERLINK("http://dx.doi.org/10.1093/jncics/pkag039","http://dx.doi.org/10.1093/jncics/pkag039")</f>
        <v>2109</v>
      </c>
      <c r="BL76" t="s" s="0">
        <v>81</v>
      </c>
      <c r="BM76" t="s" s="0">
        <v>81</v>
      </c>
      <c r="BN76" t="s" s="0">
        <v>225</v>
      </c>
      <c r="BO76" t="s" s="0">
        <v>939</v>
      </c>
      <c r="BP76" t="s" s="0">
        <v>939</v>
      </c>
      <c r="BQ76" t="s" s="0">
        <v>2110</v>
      </c>
      <c r="BR76" t="s" s="0">
        <v>2111</v>
      </c>
      <c r="BS76" t="s" s="0">
        <v>2112</v>
      </c>
      <c r="BT76" t="s" s="150">
        <f>HYPERLINK("https://www.webofscience.com/wos/woscc/full-record/WOS:001772634000001","View Record in Web of Science")</f>
        <v>114</v>
      </c>
      <c r="BU76" t="s" s="0">
        <v>145</v>
      </c>
      <c r="BV76" t="s" s="0">
        <v>81</v>
      </c>
      <c r="BW76" t="s" s="0">
        <v>81</v>
      </c>
      <c r="BX76" t="s" s="0">
        <v>116</v>
      </c>
    </row>
    <row r="77">
      <c r="A77" t="s" s="0">
        <v>77</v>
      </c>
      <c r="B77" t="s" s="0">
        <v>77</v>
      </c>
      <c r="C77" t="s" s="0">
        <v>77</v>
      </c>
      <c r="D77" t="s" s="0">
        <v>77</v>
      </c>
      <c r="E77" t="s" s="0">
        <v>2113</v>
      </c>
      <c r="F77" t="s" s="0">
        <v>2114</v>
      </c>
      <c r="G77" t="s" s="0">
        <v>2115</v>
      </c>
      <c r="H77" t="s" s="0">
        <v>81</v>
      </c>
      <c r="I77" t="s" s="0">
        <v>82</v>
      </c>
      <c r="J77" t="s" s="0">
        <v>2116</v>
      </c>
      <c r="K77" t="s" s="0">
        <v>2117</v>
      </c>
      <c r="L77" t="s" s="0">
        <v>2118</v>
      </c>
      <c r="M77" t="s" s="0">
        <v>2118</v>
      </c>
      <c r="N77" t="s" s="0">
        <v>2119</v>
      </c>
      <c r="O77" t="s" s="0">
        <v>2120</v>
      </c>
      <c r="P77" t="s" s="0">
        <v>2121</v>
      </c>
      <c r="Q77" t="s" s="0">
        <v>90</v>
      </c>
      <c r="R77" t="s" s="0">
        <v>81</v>
      </c>
      <c r="S77" t="s" s="0">
        <v>81</v>
      </c>
      <c r="T77" t="s" s="0">
        <v>81</v>
      </c>
      <c r="U77" t="s" s="0">
        <v>81</v>
      </c>
      <c r="V77" t="s" s="0">
        <v>2122</v>
      </c>
      <c r="W77" t="s" s="0">
        <v>271</v>
      </c>
      <c r="X77" t="s" s="0">
        <v>81</v>
      </c>
      <c r="Y77" t="s" s="0">
        <v>81</v>
      </c>
      <c r="Z77" t="s" s="0">
        <v>93</v>
      </c>
      <c r="AA77" t="s" s="0">
        <v>94</v>
      </c>
      <c r="AB77" t="s" s="0">
        <v>81</v>
      </c>
      <c r="AC77" t="s" s="0">
        <v>81</v>
      </c>
      <c r="AD77" t="s" s="0">
        <v>81</v>
      </c>
      <c r="AE77" t="s" s="0">
        <v>81</v>
      </c>
      <c r="AF77" t="s" s="0">
        <v>81</v>
      </c>
      <c r="AG77" t="s" s="0">
        <v>2123</v>
      </c>
      <c r="AH77" t="s" s="0">
        <v>81</v>
      </c>
      <c r="AI77" t="s" s="0">
        <v>2124</v>
      </c>
      <c r="AJ77" t="s" s="0">
        <v>81</v>
      </c>
      <c r="AK77" t="s" s="0">
        <v>81</v>
      </c>
      <c r="AL77" t="s" s="0">
        <v>706</v>
      </c>
      <c r="AM77" t="s" s="0">
        <v>117</v>
      </c>
      <c r="AN77" t="s" s="0">
        <v>117</v>
      </c>
      <c r="AO77" t="s" s="0">
        <v>253</v>
      </c>
      <c r="AP77" t="s" s="0">
        <v>253</v>
      </c>
      <c r="AQ77" t="s" s="0">
        <v>274</v>
      </c>
      <c r="AR77" t="s" s="0">
        <v>275</v>
      </c>
      <c r="AS77" t="s" s="0">
        <v>276</v>
      </c>
      <c r="AT77" t="s" s="0">
        <v>277</v>
      </c>
      <c r="AU77" t="s" s="0">
        <v>81</v>
      </c>
      <c r="AV77" t="s" s="0">
        <v>81</v>
      </c>
      <c r="AW77" t="s" s="0">
        <v>278</v>
      </c>
      <c r="AX77" t="s" s="0">
        <v>279</v>
      </c>
      <c r="AY77" t="s" s="0">
        <v>2125</v>
      </c>
      <c r="AZ77" t="s" s="0">
        <v>104</v>
      </c>
      <c r="BA77" t="s" s="0">
        <v>137</v>
      </c>
      <c r="BB77" t="s" s="0">
        <v>117</v>
      </c>
      <c r="BC77" t="s" s="0">
        <v>81</v>
      </c>
      <c r="BD77" t="s" s="0">
        <v>81</v>
      </c>
      <c r="BE77" t="s" s="0">
        <v>81</v>
      </c>
      <c r="BF77" t="s" s="0">
        <v>81</v>
      </c>
      <c r="BG77" t="s" s="0">
        <v>81</v>
      </c>
      <c r="BH77" t="s" s="0">
        <v>81</v>
      </c>
      <c r="BI77" t="s" s="0">
        <v>2126</v>
      </c>
      <c r="BJ77" t="s" s="0">
        <v>2127</v>
      </c>
      <c r="BK77" t="s" s="151">
        <f>HYPERLINK("http://dx.doi.org/10.1038/s41598-026-51495-x","http://dx.doi.org/10.1038/s41598-026-51495-x")</f>
        <v>2128</v>
      </c>
      <c r="BL77" t="s" s="0">
        <v>81</v>
      </c>
      <c r="BM77" t="s" s="0">
        <v>203</v>
      </c>
      <c r="BN77" t="s" s="0">
        <v>137</v>
      </c>
      <c r="BO77" t="s" s="0">
        <v>285</v>
      </c>
      <c r="BP77" t="s" s="0">
        <v>286</v>
      </c>
      <c r="BQ77" t="s" s="0">
        <v>2129</v>
      </c>
      <c r="BR77" t="s" s="0">
        <v>2130</v>
      </c>
      <c r="BS77" t="s" s="0">
        <v>2131</v>
      </c>
      <c r="BT77" t="s" s="152">
        <f>HYPERLINK("https://www.webofscience.com/wos/woscc/full-record/WOS:001777093200001","View Record in Web of Science")</f>
        <v>114</v>
      </c>
      <c r="BU77" t="s" s="0">
        <v>145</v>
      </c>
      <c r="BV77" t="s" s="0">
        <v>81</v>
      </c>
      <c r="BW77" t="s" s="0">
        <v>81</v>
      </c>
      <c r="BX77" t="s" s="0">
        <v>116</v>
      </c>
    </row>
    <row r="78">
      <c r="A78" t="s" s="0">
        <v>77</v>
      </c>
      <c r="B78" t="s" s="0">
        <v>77</v>
      </c>
      <c r="C78" t="s" s="0">
        <v>77</v>
      </c>
      <c r="D78" t="s" s="0">
        <v>77</v>
      </c>
      <c r="E78" t="s" s="0">
        <v>2132</v>
      </c>
      <c r="F78" t="s" s="0">
        <v>2133</v>
      </c>
      <c r="G78" t="s" s="0">
        <v>2134</v>
      </c>
      <c r="H78" t="s" s="0">
        <v>81</v>
      </c>
      <c r="I78" t="s" s="0">
        <v>82</v>
      </c>
      <c r="J78" t="s" s="0">
        <v>2135</v>
      </c>
      <c r="K78" t="s" s="0">
        <v>2136</v>
      </c>
      <c r="L78" t="s" s="0">
        <v>2137</v>
      </c>
      <c r="M78" t="s" s="0">
        <v>2138</v>
      </c>
      <c r="N78" t="s" s="0">
        <v>81</v>
      </c>
      <c r="O78" t="s" s="0">
        <v>2139</v>
      </c>
      <c r="P78" t="s" s="0">
        <v>2140</v>
      </c>
      <c r="Q78" t="s" s="0">
        <v>90</v>
      </c>
      <c r="R78" t="s" s="0">
        <v>81</v>
      </c>
      <c r="S78" t="s" s="0">
        <v>81</v>
      </c>
      <c r="T78" t="s" s="0">
        <v>81</v>
      </c>
      <c r="U78" t="s" s="0">
        <v>81</v>
      </c>
      <c r="V78" t="s" s="0">
        <v>2141</v>
      </c>
      <c r="W78" t="s" s="0">
        <v>2142</v>
      </c>
      <c r="X78" t="s" s="0">
        <v>81</v>
      </c>
      <c r="Y78" t="s" s="0">
        <v>81</v>
      </c>
      <c r="Z78" t="s" s="0">
        <v>93</v>
      </c>
      <c r="AA78" t="s" s="0">
        <v>190</v>
      </c>
      <c r="AB78" t="s" s="0">
        <v>81</v>
      </c>
      <c r="AC78" t="s" s="0">
        <v>81</v>
      </c>
      <c r="AD78" t="s" s="0">
        <v>81</v>
      </c>
      <c r="AE78" t="s" s="0">
        <v>81</v>
      </c>
      <c r="AF78" t="s" s="0">
        <v>81</v>
      </c>
      <c r="AG78" t="s" s="0">
        <v>2143</v>
      </c>
      <c r="AH78" t="s" s="0">
        <v>2144</v>
      </c>
      <c r="AI78" t="s" s="0">
        <v>2145</v>
      </c>
      <c r="AJ78" t="s" s="0">
        <v>2146</v>
      </c>
      <c r="AK78" t="s" s="0">
        <v>81</v>
      </c>
      <c r="AL78" t="s" s="0">
        <v>451</v>
      </c>
      <c r="AM78" t="s" s="0">
        <v>117</v>
      </c>
      <c r="AN78" t="s" s="0">
        <v>117</v>
      </c>
      <c r="AO78" t="s" s="0">
        <v>130</v>
      </c>
      <c r="AP78" t="s" s="0">
        <v>130</v>
      </c>
      <c r="AQ78" t="s" s="0">
        <v>370</v>
      </c>
      <c r="AR78" t="s" s="0">
        <v>1099</v>
      </c>
      <c r="AS78" t="s" s="0">
        <v>1873</v>
      </c>
      <c r="AT78" t="s" s="0">
        <v>2147</v>
      </c>
      <c r="AU78" t="s" s="0">
        <v>2148</v>
      </c>
      <c r="AV78" t="s" s="0">
        <v>81</v>
      </c>
      <c r="AW78" t="s" s="0">
        <v>2149</v>
      </c>
      <c r="AX78" t="s" s="0">
        <v>2150</v>
      </c>
      <c r="AY78" t="s" s="0">
        <v>81</v>
      </c>
      <c r="AZ78" t="s" s="0">
        <v>104</v>
      </c>
      <c r="BA78" t="s" s="0">
        <v>81</v>
      </c>
      <c r="BB78" t="s" s="0">
        <v>81</v>
      </c>
      <c r="BC78" t="s" s="0">
        <v>81</v>
      </c>
      <c r="BD78" t="s" s="0">
        <v>81</v>
      </c>
      <c r="BE78" t="s" s="0">
        <v>81</v>
      </c>
      <c r="BF78" t="s" s="0">
        <v>81</v>
      </c>
      <c r="BG78" t="s" s="0">
        <v>81</v>
      </c>
      <c r="BH78" t="s" s="0">
        <v>81</v>
      </c>
      <c r="BI78" t="s" s="0">
        <v>81</v>
      </c>
      <c r="BJ78" t="s" s="0">
        <v>2151</v>
      </c>
      <c r="BK78" t="s" s="153">
        <f>HYPERLINK("http://dx.doi.org/10.1007/s00261-026-05588-w","http://dx.doi.org/10.1007/s00261-026-05588-w")</f>
        <v>2152</v>
      </c>
      <c r="BL78" t="s" s="0">
        <v>81</v>
      </c>
      <c r="BM78" t="s" s="0">
        <v>445</v>
      </c>
      <c r="BN78" t="s" s="0">
        <v>167</v>
      </c>
      <c r="BO78" t="s" s="0">
        <v>1881</v>
      </c>
      <c r="BP78" t="s" s="0">
        <v>1881</v>
      </c>
      <c r="BQ78" t="s" s="0">
        <v>2153</v>
      </c>
      <c r="BR78" t="s" s="0">
        <v>2154</v>
      </c>
      <c r="BS78" t="s" s="0">
        <v>2155</v>
      </c>
      <c r="BT78" t="s" s="154">
        <f>HYPERLINK("https://www.webofscience.com/wos/woscc/full-record/WOS:001781898000001","View Record in Web of Science")</f>
        <v>114</v>
      </c>
      <c r="BU78" t="s" s="0">
        <v>804</v>
      </c>
      <c r="BV78" t="s" s="0">
        <v>81</v>
      </c>
      <c r="BW78" t="s" s="0">
        <v>81</v>
      </c>
      <c r="BX78" t="s" s="0">
        <v>116</v>
      </c>
    </row>
    <row r="79">
      <c r="A79" t="s" s="0">
        <v>77</v>
      </c>
      <c r="B79" t="s" s="0">
        <v>77</v>
      </c>
      <c r="C79" t="s" s="0">
        <v>77</v>
      </c>
      <c r="D79" t="s" s="0">
        <v>77</v>
      </c>
      <c r="E79" t="s" s="0">
        <v>2156</v>
      </c>
      <c r="F79" t="s" s="0">
        <v>2157</v>
      </c>
      <c r="G79" t="s" s="0">
        <v>2158</v>
      </c>
      <c r="H79" t="s" s="0">
        <v>81</v>
      </c>
      <c r="I79" t="s" s="0">
        <v>82</v>
      </c>
      <c r="J79" t="s" s="0">
        <v>2159</v>
      </c>
      <c r="K79" t="s" s="0">
        <v>2160</v>
      </c>
      <c r="L79" t="s" s="0">
        <v>2161</v>
      </c>
      <c r="M79" t="s" s="0">
        <v>2162</v>
      </c>
      <c r="N79" t="s" s="0">
        <v>2163</v>
      </c>
      <c r="O79" t="s" s="0">
        <v>2164</v>
      </c>
      <c r="P79" t="s" s="0">
        <v>2165</v>
      </c>
      <c r="Q79" t="s" s="0">
        <v>90</v>
      </c>
      <c r="R79" t="s" s="0">
        <v>81</v>
      </c>
      <c r="S79" t="s" s="0">
        <v>81</v>
      </c>
      <c r="T79" t="s" s="0">
        <v>81</v>
      </c>
      <c r="U79" t="s" s="0">
        <v>81</v>
      </c>
      <c r="V79" t="s" s="0">
        <v>2166</v>
      </c>
      <c r="W79" t="s" s="0">
        <v>2167</v>
      </c>
      <c r="X79" t="s" s="0">
        <v>81</v>
      </c>
      <c r="Y79" t="s" s="0">
        <v>81</v>
      </c>
      <c r="Z79" t="s" s="0">
        <v>93</v>
      </c>
      <c r="AA79" t="s" s="0">
        <v>94</v>
      </c>
      <c r="AB79" t="s" s="0">
        <v>81</v>
      </c>
      <c r="AC79" t="s" s="0">
        <v>81</v>
      </c>
      <c r="AD79" t="s" s="0">
        <v>81</v>
      </c>
      <c r="AE79" t="s" s="0">
        <v>81</v>
      </c>
      <c r="AF79" t="s" s="0">
        <v>81</v>
      </c>
      <c r="AG79" t="s" s="0">
        <v>2168</v>
      </c>
      <c r="AH79" t="s" s="0">
        <v>2169</v>
      </c>
      <c r="AI79" t="s" s="0">
        <v>2170</v>
      </c>
      <c r="AJ79" t="s" s="0">
        <v>81</v>
      </c>
      <c r="AK79" t="s" s="0">
        <v>81</v>
      </c>
      <c r="AL79" t="s" s="0">
        <v>127</v>
      </c>
      <c r="AM79" t="s" s="0">
        <v>77</v>
      </c>
      <c r="AN79" t="s" s="0">
        <v>77</v>
      </c>
      <c r="AO79" t="s" s="0">
        <v>160</v>
      </c>
      <c r="AP79" t="s" s="0">
        <v>160</v>
      </c>
      <c r="AQ79" t="s" s="0">
        <v>2171</v>
      </c>
      <c r="AR79" t="s" s="0">
        <v>2172</v>
      </c>
      <c r="AS79" t="s" s="0">
        <v>2173</v>
      </c>
      <c r="AT79" t="s" s="0">
        <v>2174</v>
      </c>
      <c r="AU79" t="s" s="0">
        <v>2175</v>
      </c>
      <c r="AV79" t="s" s="0">
        <v>81</v>
      </c>
      <c r="AW79" t="s" s="0">
        <v>2176</v>
      </c>
      <c r="AX79" t="s" s="0">
        <v>2177</v>
      </c>
      <c r="AY79" t="s" s="0">
        <v>284</v>
      </c>
      <c r="AZ79" t="s" s="0">
        <v>104</v>
      </c>
      <c r="BA79" t="s" s="0">
        <v>252</v>
      </c>
      <c r="BB79" t="s" s="0">
        <v>130</v>
      </c>
      <c r="BC79" t="s" s="0">
        <v>81</v>
      </c>
      <c r="BD79" t="s" s="0">
        <v>81</v>
      </c>
      <c r="BE79" t="s" s="0">
        <v>81</v>
      </c>
      <c r="BF79" t="s" s="0">
        <v>81</v>
      </c>
      <c r="BG79" t="s" s="0">
        <v>2178</v>
      </c>
      <c r="BH79" t="s" s="0">
        <v>1568</v>
      </c>
      <c r="BI79" t="s" s="0">
        <v>81</v>
      </c>
      <c r="BJ79" t="s" s="0">
        <v>2179</v>
      </c>
      <c r="BK79" t="s" s="155">
        <f>HYPERLINK("http://dx.doi.org/10.22514/jofph.2026.021","http://dx.doi.org/10.22514/jofph.2026.021")</f>
        <v>2180</v>
      </c>
      <c r="BL79" t="s" s="0">
        <v>81</v>
      </c>
      <c r="BM79" t="s" s="0">
        <v>81</v>
      </c>
      <c r="BN79" t="s" s="0">
        <v>204</v>
      </c>
      <c r="BO79" t="s" s="0">
        <v>2181</v>
      </c>
      <c r="BP79" t="s" s="0">
        <v>2181</v>
      </c>
      <c r="BQ79" t="s" s="0">
        <v>2182</v>
      </c>
      <c r="BR79" t="s" s="0">
        <v>2183</v>
      </c>
      <c r="BS79" t="s" s="0">
        <v>2184</v>
      </c>
      <c r="BT79" t="s" s="156">
        <f>HYPERLINK("https://www.webofscience.com/wos/woscc/full-record/WOS:001747251500007","View Record in Web of Science")</f>
        <v>114</v>
      </c>
      <c r="BU79" t="s" s="0">
        <v>2185</v>
      </c>
      <c r="BV79" t="s" s="0">
        <v>81</v>
      </c>
      <c r="BW79" t="s" s="0">
        <v>81</v>
      </c>
      <c r="BX79" t="s" s="0">
        <v>116</v>
      </c>
    </row>
    <row r="80">
      <c r="A80" t="s" s="0">
        <v>77</v>
      </c>
      <c r="B80" t="s" s="0">
        <v>77</v>
      </c>
      <c r="C80" t="s" s="0">
        <v>77</v>
      </c>
      <c r="D80" t="s" s="0">
        <v>77</v>
      </c>
      <c r="E80" t="s" s="0">
        <v>2186</v>
      </c>
      <c r="F80" t="s" s="0">
        <v>2187</v>
      </c>
      <c r="G80" t="s" s="0">
        <v>2188</v>
      </c>
      <c r="H80" t="s" s="0">
        <v>81</v>
      </c>
      <c r="I80" t="s" s="0">
        <v>82</v>
      </c>
      <c r="J80" t="s" s="0">
        <v>2189</v>
      </c>
      <c r="K80" t="s" s="0">
        <v>2190</v>
      </c>
      <c r="L80" t="s" s="0">
        <v>2191</v>
      </c>
      <c r="M80" t="s" s="0">
        <v>2192</v>
      </c>
      <c r="N80" t="s" s="0">
        <v>2193</v>
      </c>
      <c r="O80" t="s" s="0">
        <v>2194</v>
      </c>
      <c r="P80" t="s" s="0">
        <v>2195</v>
      </c>
      <c r="Q80" t="s" s="0">
        <v>90</v>
      </c>
      <c r="R80" t="s" s="0">
        <v>81</v>
      </c>
      <c r="S80" t="s" s="0">
        <v>81</v>
      </c>
      <c r="T80" t="s" s="0">
        <v>81</v>
      </c>
      <c r="U80" t="s" s="0">
        <v>81</v>
      </c>
      <c r="V80" t="s" s="0">
        <v>2196</v>
      </c>
      <c r="W80" t="s" s="0">
        <v>2197</v>
      </c>
      <c r="X80" t="s" s="0">
        <v>81</v>
      </c>
      <c r="Y80" t="s" s="0">
        <v>81</v>
      </c>
      <c r="Z80" t="s" s="0">
        <v>93</v>
      </c>
      <c r="AA80" t="s" s="0">
        <v>94</v>
      </c>
      <c r="AB80" t="s" s="0">
        <v>81</v>
      </c>
      <c r="AC80" t="s" s="0">
        <v>81</v>
      </c>
      <c r="AD80" t="s" s="0">
        <v>81</v>
      </c>
      <c r="AE80" t="s" s="0">
        <v>81</v>
      </c>
      <c r="AF80" t="s" s="0">
        <v>81</v>
      </c>
      <c r="AG80" t="s" s="0">
        <v>2198</v>
      </c>
      <c r="AH80" t="s" s="0">
        <v>2199</v>
      </c>
      <c r="AI80" t="s" s="0">
        <v>81</v>
      </c>
      <c r="AJ80" t="s" s="0">
        <v>81</v>
      </c>
      <c r="AK80" t="s" s="0">
        <v>81</v>
      </c>
      <c r="AL80" t="s" s="0">
        <v>475</v>
      </c>
      <c r="AM80" t="s" s="0">
        <v>77</v>
      </c>
      <c r="AN80" t="s" s="0">
        <v>77</v>
      </c>
      <c r="AO80" t="s" s="0">
        <v>77</v>
      </c>
      <c r="AP80" t="s" s="0">
        <v>77</v>
      </c>
      <c r="AQ80" t="s" s="0">
        <v>97</v>
      </c>
      <c r="AR80" t="s" s="0">
        <v>98</v>
      </c>
      <c r="AS80" t="s" s="0">
        <v>99</v>
      </c>
      <c r="AT80" t="s" s="0">
        <v>81</v>
      </c>
      <c r="AU80" t="s" s="0">
        <v>2200</v>
      </c>
      <c r="AV80" t="s" s="0">
        <v>81</v>
      </c>
      <c r="AW80" t="s" s="0">
        <v>2201</v>
      </c>
      <c r="AX80" t="s" s="0">
        <v>2202</v>
      </c>
      <c r="AY80" t="s" s="0">
        <v>2203</v>
      </c>
      <c r="AZ80" t="s" s="0">
        <v>104</v>
      </c>
      <c r="BA80" t="s" s="0">
        <v>167</v>
      </c>
      <c r="BB80" t="s" s="0">
        <v>81</v>
      </c>
      <c r="BC80" t="s" s="0">
        <v>81</v>
      </c>
      <c r="BD80" t="s" s="0">
        <v>81</v>
      </c>
      <c r="BE80" t="s" s="0">
        <v>81</v>
      </c>
      <c r="BF80" t="s" s="0">
        <v>81</v>
      </c>
      <c r="BG80" t="s" s="0">
        <v>81</v>
      </c>
      <c r="BH80" t="s" s="0">
        <v>81</v>
      </c>
      <c r="BI80" t="s" s="0">
        <v>2204</v>
      </c>
      <c r="BJ80" t="s" s="0">
        <v>2205</v>
      </c>
      <c r="BK80" t="s" s="157">
        <f>HYPERLINK("http://dx.doi.org/10.3389/fmed.2026.1842344","http://dx.doi.org/10.3389/fmed.2026.1842344")</f>
        <v>2206</v>
      </c>
      <c r="BL80" t="s" s="0">
        <v>81</v>
      </c>
      <c r="BM80" t="s" s="0">
        <v>81</v>
      </c>
      <c r="BN80" t="s" s="0">
        <v>109</v>
      </c>
      <c r="BO80" t="s" s="0">
        <v>486</v>
      </c>
      <c r="BP80" t="s" s="0">
        <v>487</v>
      </c>
      <c r="BQ80" t="s" s="0">
        <v>2207</v>
      </c>
      <c r="BR80" t="s" s="0">
        <v>2208</v>
      </c>
      <c r="BS80" t="s" s="0">
        <v>2209</v>
      </c>
      <c r="BT80" t="s" s="158">
        <f>HYPERLINK("https://www.webofscience.com/wos/woscc/full-record/WOS:001826815100001","View Record in Web of Science")</f>
        <v>114</v>
      </c>
      <c r="BU80" t="s" s="0">
        <v>145</v>
      </c>
      <c r="BV80" t="s" s="0">
        <v>81</v>
      </c>
      <c r="BW80" t="s" s="0">
        <v>81</v>
      </c>
      <c r="BX80" t="s" s="0">
        <v>116</v>
      </c>
    </row>
    <row r="81">
      <c r="A81" t="s" s="0">
        <v>253</v>
      </c>
      <c r="B81" t="s" s="0">
        <v>77</v>
      </c>
      <c r="C81" t="s" s="0">
        <v>226</v>
      </c>
      <c r="D81" t="s" s="0">
        <v>77</v>
      </c>
      <c r="E81" t="s" s="0">
        <v>2210</v>
      </c>
      <c r="F81" t="s" s="0">
        <v>2211</v>
      </c>
      <c r="G81" t="s" s="0">
        <v>2212</v>
      </c>
      <c r="H81" t="s" s="0">
        <v>81</v>
      </c>
      <c r="I81" t="s" s="0">
        <v>82</v>
      </c>
      <c r="J81" t="s" s="0">
        <v>2213</v>
      </c>
      <c r="K81" t="s" s="0">
        <v>2214</v>
      </c>
      <c r="L81" t="s" s="0">
        <v>2215</v>
      </c>
      <c r="M81" t="s" s="0">
        <v>2216</v>
      </c>
      <c r="N81" t="s" s="0">
        <v>2217</v>
      </c>
      <c r="O81" t="s" s="0">
        <v>2218</v>
      </c>
      <c r="P81" t="s" s="0">
        <v>2219</v>
      </c>
      <c r="Q81" t="s" s="0">
        <v>90</v>
      </c>
      <c r="R81" t="s" s="0">
        <v>81</v>
      </c>
      <c r="S81" t="s" s="0">
        <v>81</v>
      </c>
      <c r="T81" t="s" s="0">
        <v>81</v>
      </c>
      <c r="U81" t="s" s="0">
        <v>81</v>
      </c>
      <c r="V81" t="s" s="0">
        <v>2220</v>
      </c>
      <c r="W81" t="s" s="0">
        <v>2221</v>
      </c>
      <c r="X81" t="s" s="0">
        <v>81</v>
      </c>
      <c r="Y81" t="s" s="0">
        <v>81</v>
      </c>
      <c r="Z81" t="s" s="0">
        <v>93</v>
      </c>
      <c r="AA81" t="s" s="0">
        <v>94</v>
      </c>
      <c r="AB81" t="s" s="0">
        <v>81</v>
      </c>
      <c r="AC81" t="s" s="0">
        <v>81</v>
      </c>
      <c r="AD81" t="s" s="0">
        <v>81</v>
      </c>
      <c r="AE81" t="s" s="0">
        <v>81</v>
      </c>
      <c r="AF81" t="s" s="0">
        <v>81</v>
      </c>
      <c r="AG81" t="s" s="0">
        <v>81</v>
      </c>
      <c r="AH81" t="s" s="0">
        <v>2222</v>
      </c>
      <c r="AI81" t="s" s="0">
        <v>2223</v>
      </c>
      <c r="AJ81" t="s" s="0">
        <v>2224</v>
      </c>
      <c r="AK81" t="s" s="0">
        <v>81</v>
      </c>
      <c r="AL81" t="s" s="0">
        <v>438</v>
      </c>
      <c r="AM81" t="s" s="0">
        <v>705</v>
      </c>
      <c r="AN81" t="s" s="0">
        <v>2178</v>
      </c>
      <c r="AO81" t="s" s="0">
        <v>564</v>
      </c>
      <c r="AP81" t="s" s="0">
        <v>2225</v>
      </c>
      <c r="AQ81" t="s" s="0">
        <v>274</v>
      </c>
      <c r="AR81" t="s" s="0">
        <v>275</v>
      </c>
      <c r="AS81" t="s" s="0">
        <v>276</v>
      </c>
      <c r="AT81" t="s" s="0">
        <v>2226</v>
      </c>
      <c r="AU81" t="s" s="0">
        <v>81</v>
      </c>
      <c r="AV81" t="s" s="0">
        <v>81</v>
      </c>
      <c r="AW81" t="s" s="0">
        <v>2227</v>
      </c>
      <c r="AX81" t="s" s="0">
        <v>2228</v>
      </c>
      <c r="AY81" t="s" s="0">
        <v>377</v>
      </c>
      <c r="AZ81" t="s" s="0">
        <v>136</v>
      </c>
      <c r="BA81" t="s" s="0">
        <v>128</v>
      </c>
      <c r="BB81" t="s" s="0">
        <v>227</v>
      </c>
      <c r="BC81" t="s" s="0">
        <v>81</v>
      </c>
      <c r="BD81" t="s" s="0">
        <v>81</v>
      </c>
      <c r="BE81" t="s" s="0">
        <v>81</v>
      </c>
      <c r="BF81" t="s" s="0">
        <v>81</v>
      </c>
      <c r="BG81" t="s" s="0">
        <v>81</v>
      </c>
      <c r="BH81" t="s" s="0">
        <v>81</v>
      </c>
      <c r="BI81" t="s" s="0">
        <v>81</v>
      </c>
      <c r="BJ81" t="s" s="0">
        <v>2229</v>
      </c>
      <c r="BK81" t="s" s="159">
        <f>HYPERLINK("http://dx.doi.org/10.1038/s41551-024-01302-7","http://dx.doi.org/10.1038/s41551-024-01302-7")</f>
        <v>2230</v>
      </c>
      <c r="BL81" t="s" s="0">
        <v>81</v>
      </c>
      <c r="BM81" t="s" s="0">
        <v>2231</v>
      </c>
      <c r="BN81" t="s" s="0">
        <v>345</v>
      </c>
      <c r="BO81" t="s" s="0">
        <v>238</v>
      </c>
      <c r="BP81" t="s" s="0">
        <v>239</v>
      </c>
      <c r="BQ81" t="s" s="0">
        <v>2232</v>
      </c>
      <c r="BR81" t="s" s="0">
        <v>2233</v>
      </c>
      <c r="BS81" t="s" s="0">
        <v>2234</v>
      </c>
      <c r="BT81" t="s" s="160">
        <f>HYPERLINK("https://www.webofscience.com/wos/woscc/full-record/WOS:001370380400001","View Record in Web of Science")</f>
        <v>114</v>
      </c>
      <c r="BU81" t="s" s="0">
        <v>81</v>
      </c>
      <c r="BV81" t="s" s="0">
        <v>81</v>
      </c>
      <c r="BW81" t="s" s="0">
        <v>81</v>
      </c>
      <c r="BX81" t="s" s="0">
        <v>116</v>
      </c>
    </row>
    <row r="82">
      <c r="A82" t="s" s="0">
        <v>77</v>
      </c>
      <c r="B82" t="s" s="0">
        <v>77</v>
      </c>
      <c r="C82" t="s" s="0">
        <v>77</v>
      </c>
      <c r="D82" t="s" s="0">
        <v>77</v>
      </c>
      <c r="E82" t="s" s="0">
        <v>2235</v>
      </c>
      <c r="F82" t="s" s="0">
        <v>2236</v>
      </c>
      <c r="G82" t="s" s="0">
        <v>2237</v>
      </c>
      <c r="H82" t="s" s="0">
        <v>81</v>
      </c>
      <c r="I82" t="s" s="0">
        <v>82</v>
      </c>
      <c r="J82" t="s" s="0">
        <v>2238</v>
      </c>
      <c r="K82" t="s" s="0">
        <v>2239</v>
      </c>
      <c r="L82" t="s" s="0">
        <v>2240</v>
      </c>
      <c r="M82" t="s" s="0">
        <v>2241</v>
      </c>
      <c r="N82" t="s" s="0">
        <v>2242</v>
      </c>
      <c r="O82" t="s" s="0">
        <v>2243</v>
      </c>
      <c r="P82" t="s" s="0">
        <v>2244</v>
      </c>
      <c r="Q82" t="s" s="0">
        <v>90</v>
      </c>
      <c r="R82" t="s" s="0">
        <v>81</v>
      </c>
      <c r="S82" t="s" s="0">
        <v>81</v>
      </c>
      <c r="T82" t="s" s="0">
        <v>81</v>
      </c>
      <c r="U82" t="s" s="0">
        <v>81</v>
      </c>
      <c r="V82" t="s" s="0">
        <v>2245</v>
      </c>
      <c r="W82" t="s" s="0">
        <v>1391</v>
      </c>
      <c r="X82" t="s" s="0">
        <v>81</v>
      </c>
      <c r="Y82" t="s" s="0">
        <v>81</v>
      </c>
      <c r="Z82" t="s" s="0">
        <v>93</v>
      </c>
      <c r="AA82" t="s" s="0">
        <v>94</v>
      </c>
      <c r="AB82" t="s" s="0">
        <v>81</v>
      </c>
      <c r="AC82" t="s" s="0">
        <v>81</v>
      </c>
      <c r="AD82" t="s" s="0">
        <v>81</v>
      </c>
      <c r="AE82" t="s" s="0">
        <v>81</v>
      </c>
      <c r="AF82" t="s" s="0">
        <v>81</v>
      </c>
      <c r="AG82" t="s" s="0">
        <v>81</v>
      </c>
      <c r="AH82" t="s" s="0">
        <v>2246</v>
      </c>
      <c r="AI82" t="s" s="0">
        <v>2247</v>
      </c>
      <c r="AJ82" t="s" s="0">
        <v>2248</v>
      </c>
      <c r="AK82" t="s" s="0">
        <v>81</v>
      </c>
      <c r="AL82" t="s" s="0">
        <v>1487</v>
      </c>
      <c r="AM82" t="s" s="0">
        <v>137</v>
      </c>
      <c r="AN82" t="s" s="0">
        <v>563</v>
      </c>
      <c r="AO82" t="s" s="0">
        <v>130</v>
      </c>
      <c r="AP82" t="s" s="0">
        <v>226</v>
      </c>
      <c r="AQ82" t="s" s="0">
        <v>274</v>
      </c>
      <c r="AR82" t="s" s="0">
        <v>275</v>
      </c>
      <c r="AS82" t="s" s="0">
        <v>276</v>
      </c>
      <c r="AT82" t="s" s="0">
        <v>1395</v>
      </c>
      <c r="AU82" t="s" s="0">
        <v>81</v>
      </c>
      <c r="AV82" t="s" s="0">
        <v>81</v>
      </c>
      <c r="AW82" t="s" s="0">
        <v>1396</v>
      </c>
      <c r="AX82" t="s" s="0">
        <v>1397</v>
      </c>
      <c r="AY82" t="s" s="0">
        <v>2249</v>
      </c>
      <c r="AZ82" t="s" s="0">
        <v>136</v>
      </c>
      <c r="BA82" t="s" s="0">
        <v>225</v>
      </c>
      <c r="BB82" t="s" s="0">
        <v>117</v>
      </c>
      <c r="BC82" t="s" s="0">
        <v>81</v>
      </c>
      <c r="BD82" t="s" s="0">
        <v>81</v>
      </c>
      <c r="BE82" t="s" s="0">
        <v>81</v>
      </c>
      <c r="BF82" t="s" s="0">
        <v>81</v>
      </c>
      <c r="BG82" t="s" s="0">
        <v>81</v>
      </c>
      <c r="BH82" t="s" s="0">
        <v>81</v>
      </c>
      <c r="BI82" t="s" s="0">
        <v>2250</v>
      </c>
      <c r="BJ82" t="s" s="0">
        <v>2251</v>
      </c>
      <c r="BK82" t="s" s="161">
        <f>HYPERLINK("http://dx.doi.org/10.1038/s41746-024-01419-8","http://dx.doi.org/10.1038/s41746-024-01419-8")</f>
        <v>2252</v>
      </c>
      <c r="BL82" t="s" s="0">
        <v>81</v>
      </c>
      <c r="BM82" t="s" s="0">
        <v>81</v>
      </c>
      <c r="BN82" t="s" s="0">
        <v>129</v>
      </c>
      <c r="BO82" t="s" s="0">
        <v>1172</v>
      </c>
      <c r="BP82" t="s" s="0">
        <v>1172</v>
      </c>
      <c r="BQ82" t="s" s="0">
        <v>2253</v>
      </c>
      <c r="BR82" t="s" s="0">
        <v>2254</v>
      </c>
      <c r="BS82" t="s" s="0">
        <v>2255</v>
      </c>
      <c r="BT82" t="s" s="162">
        <f>HYPERLINK("https://www.webofscience.com/wos/woscc/full-record/WOS:001431179400001","View Record in Web of Science")</f>
        <v>114</v>
      </c>
      <c r="BU82" t="s" s="0">
        <v>145</v>
      </c>
      <c r="BV82" t="s" s="0">
        <v>81</v>
      </c>
      <c r="BW82" t="s" s="0">
        <v>81</v>
      </c>
      <c r="BX82" t="s" s="0">
        <v>116</v>
      </c>
    </row>
    <row r="83">
      <c r="A83" t="s" s="0">
        <v>161</v>
      </c>
      <c r="B83" t="s" s="0">
        <v>77</v>
      </c>
      <c r="C83" t="s" s="0">
        <v>137</v>
      </c>
      <c r="D83" t="s" s="0">
        <v>77</v>
      </c>
      <c r="E83" t="s" s="0">
        <v>2256</v>
      </c>
      <c r="F83" t="s" s="0">
        <v>2257</v>
      </c>
      <c r="G83" t="s" s="0">
        <v>2258</v>
      </c>
      <c r="H83" t="s" s="0">
        <v>81</v>
      </c>
      <c r="I83" t="s" s="0">
        <v>82</v>
      </c>
      <c r="J83" t="s" s="0">
        <v>2259</v>
      </c>
      <c r="K83" t="s" s="0">
        <v>2260</v>
      </c>
      <c r="L83" t="s" s="0">
        <v>2261</v>
      </c>
      <c r="M83" t="s" s="0">
        <v>2262</v>
      </c>
      <c r="N83" t="s" s="0">
        <v>2263</v>
      </c>
      <c r="O83" t="s" s="0">
        <v>2264</v>
      </c>
      <c r="P83" t="s" s="0">
        <v>2265</v>
      </c>
      <c r="Q83" t="s" s="0">
        <v>90</v>
      </c>
      <c r="R83" t="s" s="0">
        <v>81</v>
      </c>
      <c r="S83" t="s" s="0">
        <v>81</v>
      </c>
      <c r="T83" t="s" s="0">
        <v>81</v>
      </c>
      <c r="U83" t="s" s="0">
        <v>81</v>
      </c>
      <c r="V83" t="s" s="0">
        <v>2266</v>
      </c>
      <c r="W83" t="s" s="0">
        <v>2267</v>
      </c>
      <c r="X83" t="s" s="0">
        <v>81</v>
      </c>
      <c r="Y83" t="s" s="0">
        <v>81</v>
      </c>
      <c r="Z83" t="s" s="0">
        <v>93</v>
      </c>
      <c r="AA83" t="s" s="0">
        <v>94</v>
      </c>
      <c r="AB83" t="s" s="0">
        <v>81</v>
      </c>
      <c r="AC83" t="s" s="0">
        <v>81</v>
      </c>
      <c r="AD83" t="s" s="0">
        <v>81</v>
      </c>
      <c r="AE83" t="s" s="0">
        <v>81</v>
      </c>
      <c r="AF83" t="s" s="0">
        <v>81</v>
      </c>
      <c r="AG83" t="s" s="0">
        <v>2268</v>
      </c>
      <c r="AH83" t="s" s="0">
        <v>2269</v>
      </c>
      <c r="AI83" t="s" s="0">
        <v>2270</v>
      </c>
      <c r="AJ83" t="s" s="0">
        <v>2271</v>
      </c>
      <c r="AK83" t="s" s="0">
        <v>81</v>
      </c>
      <c r="AL83" t="s" s="0">
        <v>1097</v>
      </c>
      <c r="AM83" t="s" s="0">
        <v>1067</v>
      </c>
      <c r="AN83" t="s" s="0">
        <v>159</v>
      </c>
      <c r="AO83" t="s" s="0">
        <v>117</v>
      </c>
      <c r="AP83" t="s" s="0">
        <v>878</v>
      </c>
      <c r="AQ83" t="s" s="0">
        <v>370</v>
      </c>
      <c r="AR83" t="s" s="0">
        <v>1099</v>
      </c>
      <c r="AS83" t="s" s="0">
        <v>1873</v>
      </c>
      <c r="AT83" t="s" s="0">
        <v>2272</v>
      </c>
      <c r="AU83" t="s" s="0">
        <v>2273</v>
      </c>
      <c r="AV83" t="s" s="0">
        <v>81</v>
      </c>
      <c r="AW83" t="s" s="0">
        <v>2274</v>
      </c>
      <c r="AX83" t="s" s="0">
        <v>2275</v>
      </c>
      <c r="AY83" t="s" s="0">
        <v>2276</v>
      </c>
      <c r="AZ83" t="s" s="0">
        <v>1519</v>
      </c>
      <c r="BA83" t="s" s="0">
        <v>1538</v>
      </c>
      <c r="BB83" t="s" s="0">
        <v>117</v>
      </c>
      <c r="BC83" t="s" s="0">
        <v>81</v>
      </c>
      <c r="BD83" t="s" s="0">
        <v>81</v>
      </c>
      <c r="BE83" t="s" s="0">
        <v>81</v>
      </c>
      <c r="BF83" t="s" s="0">
        <v>81</v>
      </c>
      <c r="BG83" t="s" s="0">
        <v>2277</v>
      </c>
      <c r="BH83" t="s" s="0">
        <v>2278</v>
      </c>
      <c r="BI83" t="s" s="0">
        <v>81</v>
      </c>
      <c r="BJ83" t="s" s="0">
        <v>2279</v>
      </c>
      <c r="BK83" t="s" s="163">
        <f>HYPERLINK("http://dx.doi.org/10.1007/s10278-022-00724-6","http://dx.doi.org/10.1007/s10278-022-00724-6")</f>
        <v>2280</v>
      </c>
      <c r="BL83" t="s" s="0">
        <v>81</v>
      </c>
      <c r="BM83" t="s" s="0">
        <v>2281</v>
      </c>
      <c r="BN83" t="s" s="0">
        <v>167</v>
      </c>
      <c r="BO83" t="s" s="0">
        <v>1881</v>
      </c>
      <c r="BP83" t="s" s="0">
        <v>1881</v>
      </c>
      <c r="BQ83" t="s" s="0">
        <v>2282</v>
      </c>
      <c r="BR83" t="s" s="0">
        <v>2283</v>
      </c>
      <c r="BS83" t="s" s="0">
        <v>2284</v>
      </c>
      <c r="BT83" t="s" s="164">
        <f>HYPERLINK("https://www.webofscience.com/wos/woscc/full-record/WOS:000871283200002","View Record in Web of Science")</f>
        <v>114</v>
      </c>
      <c r="BU83" t="s" s="0">
        <v>1908</v>
      </c>
      <c r="BV83" t="s" s="0">
        <v>81</v>
      </c>
      <c r="BW83" t="s" s="0">
        <v>81</v>
      </c>
      <c r="BX83" t="s" s="0">
        <v>116</v>
      </c>
    </row>
    <row r="84">
      <c r="A84" t="s" s="0">
        <v>77</v>
      </c>
      <c r="B84" t="s" s="0">
        <v>77</v>
      </c>
      <c r="C84" t="s" s="0">
        <v>77</v>
      </c>
      <c r="D84" t="s" s="0">
        <v>77</v>
      </c>
      <c r="E84" t="s" s="0">
        <v>2285</v>
      </c>
      <c r="F84" t="s" s="0">
        <v>2286</v>
      </c>
      <c r="G84" t="s" s="0">
        <v>2287</v>
      </c>
      <c r="H84" t="s" s="0">
        <v>81</v>
      </c>
      <c r="I84" t="s" s="0">
        <v>82</v>
      </c>
      <c r="J84" t="s" s="0">
        <v>2288</v>
      </c>
      <c r="K84" t="s" s="0">
        <v>2289</v>
      </c>
      <c r="L84" t="s" s="0">
        <v>81</v>
      </c>
      <c r="M84" t="s" s="0">
        <v>81</v>
      </c>
      <c r="N84" t="s" s="0">
        <v>81</v>
      </c>
      <c r="O84" t="s" s="0">
        <v>2290</v>
      </c>
      <c r="P84" t="s" s="0">
        <v>81</v>
      </c>
      <c r="Q84" t="s" s="0">
        <v>90</v>
      </c>
      <c r="R84" t="s" s="0">
        <v>81</v>
      </c>
      <c r="S84" t="s" s="0">
        <v>81</v>
      </c>
      <c r="T84" t="s" s="0">
        <v>81</v>
      </c>
      <c r="U84" t="s" s="0">
        <v>81</v>
      </c>
      <c r="V84" t="s" s="0">
        <v>2291</v>
      </c>
      <c r="W84" t="s" s="0">
        <v>2292</v>
      </c>
      <c r="X84" t="s" s="0">
        <v>81</v>
      </c>
      <c r="Y84" t="s" s="0">
        <v>81</v>
      </c>
      <c r="Z84" t="s" s="0">
        <v>93</v>
      </c>
      <c r="AA84" t="s" s="0">
        <v>190</v>
      </c>
      <c r="AB84" t="s" s="0">
        <v>81</v>
      </c>
      <c r="AC84" t="s" s="0">
        <v>81</v>
      </c>
      <c r="AD84" t="s" s="0">
        <v>81</v>
      </c>
      <c r="AE84" t="s" s="0">
        <v>81</v>
      </c>
      <c r="AF84" t="s" s="0">
        <v>81</v>
      </c>
      <c r="AG84" t="s" s="0">
        <v>2293</v>
      </c>
      <c r="AH84" t="s" s="0">
        <v>2294</v>
      </c>
      <c r="AI84" t="s" s="0">
        <v>81</v>
      </c>
      <c r="AJ84" t="s" s="0">
        <v>81</v>
      </c>
      <c r="AK84" t="s" s="0">
        <v>81</v>
      </c>
      <c r="AL84" t="s" s="0">
        <v>990</v>
      </c>
      <c r="AM84" t="s" s="0">
        <v>77</v>
      </c>
      <c r="AN84" t="s" s="0">
        <v>77</v>
      </c>
      <c r="AO84" t="s" s="0">
        <v>77</v>
      </c>
      <c r="AP84" t="s" s="0">
        <v>77</v>
      </c>
      <c r="AQ84" t="s" s="0">
        <v>2295</v>
      </c>
      <c r="AR84" t="s" s="0">
        <v>275</v>
      </c>
      <c r="AS84" t="s" s="0">
        <v>2296</v>
      </c>
      <c r="AT84" t="s" s="0">
        <v>2297</v>
      </c>
      <c r="AU84" t="s" s="0">
        <v>2298</v>
      </c>
      <c r="AV84" t="s" s="0">
        <v>81</v>
      </c>
      <c r="AW84" t="s" s="0">
        <v>2299</v>
      </c>
      <c r="AX84" t="s" s="0">
        <v>2300</v>
      </c>
      <c r="AY84" t="s" s="0">
        <v>81</v>
      </c>
      <c r="AZ84" t="s" s="0">
        <v>104</v>
      </c>
      <c r="BA84" t="s" s="0">
        <v>81</v>
      </c>
      <c r="BB84" t="s" s="0">
        <v>81</v>
      </c>
      <c r="BC84" t="s" s="0">
        <v>81</v>
      </c>
      <c r="BD84" t="s" s="0">
        <v>81</v>
      </c>
      <c r="BE84" t="s" s="0">
        <v>81</v>
      </c>
      <c r="BF84" t="s" s="0">
        <v>81</v>
      </c>
      <c r="BG84" t="s" s="0">
        <v>81</v>
      </c>
      <c r="BH84" t="s" s="0">
        <v>81</v>
      </c>
      <c r="BI84" t="s" s="0">
        <v>81</v>
      </c>
      <c r="BJ84" t="s" s="0">
        <v>2301</v>
      </c>
      <c r="BK84" t="s" s="165">
        <f>HYPERLINK("http://dx.doi.org/10.1515/bmt-2026-0283","http://dx.doi.org/10.1515/bmt-2026-0283")</f>
        <v>2302</v>
      </c>
      <c r="BL84" t="s" s="0">
        <v>81</v>
      </c>
      <c r="BM84" t="s" s="0">
        <v>317</v>
      </c>
      <c r="BN84" t="s" s="0">
        <v>228</v>
      </c>
      <c r="BO84" t="s" s="0">
        <v>2303</v>
      </c>
      <c r="BP84" t="s" s="0">
        <v>2304</v>
      </c>
      <c r="BQ84" t="s" s="0">
        <v>2305</v>
      </c>
      <c r="BR84" t="s" s="0">
        <v>2306</v>
      </c>
      <c r="BS84" t="s" s="0">
        <v>2307</v>
      </c>
      <c r="BT84" t="s" s="166">
        <f>HYPERLINK("https://www.webofscience.com/wos/woscc/full-record/WOS:001811157700001","View Record in Web of Science")</f>
        <v>114</v>
      </c>
      <c r="BU84" t="s" s="0">
        <v>804</v>
      </c>
      <c r="BV84" t="s" s="0">
        <v>81</v>
      </c>
      <c r="BW84" t="s" s="0">
        <v>81</v>
      </c>
      <c r="BX84" t="s" s="0">
        <v>116</v>
      </c>
    </row>
    <row r="85">
      <c r="A85" t="s" s="0">
        <v>130</v>
      </c>
      <c r="B85" t="s" s="0">
        <v>77</v>
      </c>
      <c r="C85" t="s" s="0">
        <v>130</v>
      </c>
      <c r="D85" t="s" s="0">
        <v>77</v>
      </c>
      <c r="E85" t="s" s="0">
        <v>2308</v>
      </c>
      <c r="F85" t="s" s="0">
        <v>2309</v>
      </c>
      <c r="G85" t="s" s="0">
        <v>2310</v>
      </c>
      <c r="H85" t="s" s="0">
        <v>81</v>
      </c>
      <c r="I85" t="s" s="0">
        <v>82</v>
      </c>
      <c r="J85" t="s" s="0">
        <v>2311</v>
      </c>
      <c r="K85" t="s" s="0">
        <v>2312</v>
      </c>
      <c r="L85" t="s" s="0">
        <v>2313</v>
      </c>
      <c r="M85" t="s" s="0">
        <v>2314</v>
      </c>
      <c r="N85" t="s" s="0">
        <v>2315</v>
      </c>
      <c r="O85" t="s" s="0">
        <v>2316</v>
      </c>
      <c r="P85" t="s" s="0">
        <v>2317</v>
      </c>
      <c r="Q85" t="s" s="0">
        <v>90</v>
      </c>
      <c r="R85" t="s" s="0">
        <v>81</v>
      </c>
      <c r="S85" t="s" s="0">
        <v>81</v>
      </c>
      <c r="T85" t="s" s="0">
        <v>81</v>
      </c>
      <c r="U85" t="s" s="0">
        <v>81</v>
      </c>
      <c r="V85" t="s" s="0">
        <v>2318</v>
      </c>
      <c r="W85" t="s" s="0">
        <v>1391</v>
      </c>
      <c r="X85" t="s" s="0">
        <v>81</v>
      </c>
      <c r="Y85" t="s" s="0">
        <v>81</v>
      </c>
      <c r="Z85" t="s" s="0">
        <v>93</v>
      </c>
      <c r="AA85" t="s" s="0">
        <v>94</v>
      </c>
      <c r="AB85" t="s" s="0">
        <v>81</v>
      </c>
      <c r="AC85" t="s" s="0">
        <v>81</v>
      </c>
      <c r="AD85" t="s" s="0">
        <v>81</v>
      </c>
      <c r="AE85" t="s" s="0">
        <v>81</v>
      </c>
      <c r="AF85" t="s" s="0">
        <v>81</v>
      </c>
      <c r="AG85" t="s" s="0">
        <v>81</v>
      </c>
      <c r="AH85" t="s" s="0">
        <v>2319</v>
      </c>
      <c r="AI85" t="s" s="0">
        <v>81</v>
      </c>
      <c r="AJ85" t="s" s="0">
        <v>81</v>
      </c>
      <c r="AK85" t="s" s="0">
        <v>81</v>
      </c>
      <c r="AL85" t="s" s="0">
        <v>224</v>
      </c>
      <c r="AM85" t="s" s="0">
        <v>226</v>
      </c>
      <c r="AN85" t="s" s="0">
        <v>563</v>
      </c>
      <c r="AO85" t="s" s="0">
        <v>345</v>
      </c>
      <c r="AP85" t="s" s="0">
        <v>706</v>
      </c>
      <c r="AQ85" t="s" s="0">
        <v>274</v>
      </c>
      <c r="AR85" t="s" s="0">
        <v>275</v>
      </c>
      <c r="AS85" t="s" s="0">
        <v>276</v>
      </c>
      <c r="AT85" t="s" s="0">
        <v>1395</v>
      </c>
      <c r="AU85" t="s" s="0">
        <v>81</v>
      </c>
      <c r="AV85" t="s" s="0">
        <v>81</v>
      </c>
      <c r="AW85" t="s" s="0">
        <v>1396</v>
      </c>
      <c r="AX85" t="s" s="0">
        <v>1397</v>
      </c>
      <c r="AY85" t="s" s="0">
        <v>2320</v>
      </c>
      <c r="AZ85" t="s" s="0">
        <v>136</v>
      </c>
      <c r="BA85" t="s" s="0">
        <v>128</v>
      </c>
      <c r="BB85" t="s" s="0">
        <v>117</v>
      </c>
      <c r="BC85" t="s" s="0">
        <v>81</v>
      </c>
      <c r="BD85" t="s" s="0">
        <v>81</v>
      </c>
      <c r="BE85" t="s" s="0">
        <v>81</v>
      </c>
      <c r="BF85" t="s" s="0">
        <v>81</v>
      </c>
      <c r="BG85" t="s" s="0">
        <v>81</v>
      </c>
      <c r="BH85" t="s" s="0">
        <v>81</v>
      </c>
      <c r="BI85" t="s" s="0">
        <v>96</v>
      </c>
      <c r="BJ85" t="s" s="0">
        <v>2321</v>
      </c>
      <c r="BK85" t="s" s="167">
        <f>HYPERLINK("http://dx.doi.org/10.1038/s41746-025-02257-y","http://dx.doi.org/10.1038/s41746-025-02257-y")</f>
        <v>2322</v>
      </c>
      <c r="BL85" t="s" s="0">
        <v>81</v>
      </c>
      <c r="BM85" t="s" s="0">
        <v>81</v>
      </c>
      <c r="BN85" t="s" s="0">
        <v>204</v>
      </c>
      <c r="BO85" t="s" s="0">
        <v>1172</v>
      </c>
      <c r="BP85" t="s" s="0">
        <v>1172</v>
      </c>
      <c r="BQ85" t="s" s="0">
        <v>2323</v>
      </c>
      <c r="BR85" t="s" s="0">
        <v>2324</v>
      </c>
      <c r="BS85" t="s" s="0">
        <v>2325</v>
      </c>
      <c r="BT85" t="s" s="168">
        <f>HYPERLINK("https://www.webofscience.com/wos/woscc/full-record/WOS:001667950900001","View Record in Web of Science")</f>
        <v>114</v>
      </c>
      <c r="BU85" t="s" s="0">
        <v>145</v>
      </c>
      <c r="BV85" t="s" s="0">
        <v>81</v>
      </c>
      <c r="BW85" t="s" s="0">
        <v>81</v>
      </c>
      <c r="BX85" t="s" s="0">
        <v>116</v>
      </c>
    </row>
    <row r="86">
      <c r="A86" t="s" s="0">
        <v>77</v>
      </c>
      <c r="B86" t="s" s="0">
        <v>77</v>
      </c>
      <c r="C86" t="s" s="0">
        <v>77</v>
      </c>
      <c r="D86" t="s" s="0">
        <v>77</v>
      </c>
      <c r="E86" t="s" s="0">
        <v>2326</v>
      </c>
      <c r="F86" t="s" s="0">
        <v>2327</v>
      </c>
      <c r="G86" t="s" s="0">
        <v>2328</v>
      </c>
      <c r="H86" t="s" s="0">
        <v>81</v>
      </c>
      <c r="I86" t="s" s="0">
        <v>82</v>
      </c>
      <c r="J86" t="s" s="0">
        <v>2329</v>
      </c>
      <c r="K86" t="s" s="0">
        <v>2330</v>
      </c>
      <c r="L86" t="s" s="0">
        <v>81</v>
      </c>
      <c r="M86" t="s" s="0">
        <v>81</v>
      </c>
      <c r="N86" t="s" s="0">
        <v>81</v>
      </c>
      <c r="O86" t="s" s="0">
        <v>2331</v>
      </c>
      <c r="P86" t="s" s="0">
        <v>2332</v>
      </c>
      <c r="Q86" t="s" s="0">
        <v>90</v>
      </c>
      <c r="R86" t="s" s="0">
        <v>81</v>
      </c>
      <c r="S86" t="s" s="0">
        <v>81</v>
      </c>
      <c r="T86" t="s" s="0">
        <v>81</v>
      </c>
      <c r="U86" t="s" s="0">
        <v>81</v>
      </c>
      <c r="V86" t="s" s="0">
        <v>2333</v>
      </c>
      <c r="W86" t="s" s="0">
        <v>1391</v>
      </c>
      <c r="X86" t="s" s="0">
        <v>81</v>
      </c>
      <c r="Y86" t="s" s="0">
        <v>81</v>
      </c>
      <c r="Z86" t="s" s="0">
        <v>93</v>
      </c>
      <c r="AA86" t="s" s="0">
        <v>94</v>
      </c>
      <c r="AB86" t="s" s="0">
        <v>81</v>
      </c>
      <c r="AC86" t="s" s="0">
        <v>81</v>
      </c>
      <c r="AD86" t="s" s="0">
        <v>81</v>
      </c>
      <c r="AE86" t="s" s="0">
        <v>81</v>
      </c>
      <c r="AF86" t="s" s="0">
        <v>81</v>
      </c>
      <c r="AG86" t="s" s="0">
        <v>81</v>
      </c>
      <c r="AH86" t="s" s="0">
        <v>81</v>
      </c>
      <c r="AI86" t="s" s="0">
        <v>2334</v>
      </c>
      <c r="AJ86" t="s" s="0">
        <v>81</v>
      </c>
      <c r="AK86" t="s" s="0">
        <v>81</v>
      </c>
      <c r="AL86" t="s" s="0">
        <v>369</v>
      </c>
      <c r="AM86" t="s" s="0">
        <v>77</v>
      </c>
      <c r="AN86" t="s" s="0">
        <v>117</v>
      </c>
      <c r="AO86" t="s" s="0">
        <v>129</v>
      </c>
      <c r="AP86" t="s" s="0">
        <v>129</v>
      </c>
      <c r="AQ86" t="s" s="0">
        <v>274</v>
      </c>
      <c r="AR86" t="s" s="0">
        <v>275</v>
      </c>
      <c r="AS86" t="s" s="0">
        <v>276</v>
      </c>
      <c r="AT86" t="s" s="0">
        <v>1395</v>
      </c>
      <c r="AU86" t="s" s="0">
        <v>81</v>
      </c>
      <c r="AV86" t="s" s="0">
        <v>81</v>
      </c>
      <c r="AW86" t="s" s="0">
        <v>1396</v>
      </c>
      <c r="AX86" t="s" s="0">
        <v>1397</v>
      </c>
      <c r="AY86" t="s" s="0">
        <v>2335</v>
      </c>
      <c r="AZ86" t="s" s="0">
        <v>104</v>
      </c>
      <c r="BA86" t="s" s="0">
        <v>128</v>
      </c>
      <c r="BB86" t="s" s="0">
        <v>117</v>
      </c>
      <c r="BC86" t="s" s="0">
        <v>81</v>
      </c>
      <c r="BD86" t="s" s="0">
        <v>81</v>
      </c>
      <c r="BE86" t="s" s="0">
        <v>81</v>
      </c>
      <c r="BF86" t="s" s="0">
        <v>81</v>
      </c>
      <c r="BG86" t="s" s="0">
        <v>81</v>
      </c>
      <c r="BH86" t="s" s="0">
        <v>81</v>
      </c>
      <c r="BI86" t="s" s="0">
        <v>2225</v>
      </c>
      <c r="BJ86" t="s" s="0">
        <v>2336</v>
      </c>
      <c r="BK86" t="s" s="169">
        <f>HYPERLINK("http://dx.doi.org/10.1038/s41746-025-02295-6","http://dx.doi.org/10.1038/s41746-025-02295-6")</f>
        <v>2337</v>
      </c>
      <c r="BL86" t="s" s="0">
        <v>81</v>
      </c>
      <c r="BM86" t="s" s="0">
        <v>81</v>
      </c>
      <c r="BN86" t="s" s="0">
        <v>105</v>
      </c>
      <c r="BO86" t="s" s="0">
        <v>1172</v>
      </c>
      <c r="BP86" t="s" s="0">
        <v>1172</v>
      </c>
      <c r="BQ86" t="s" s="0">
        <v>2338</v>
      </c>
      <c r="BR86" t="s" s="0">
        <v>2339</v>
      </c>
      <c r="BS86" t="s" s="0">
        <v>2340</v>
      </c>
      <c r="BT86" t="s" s="170">
        <f>HYPERLINK("https://www.webofscience.com/wos/woscc/full-record/WOS:001679395900001","View Record in Web of Science")</f>
        <v>114</v>
      </c>
      <c r="BU86" t="s" s="0">
        <v>145</v>
      </c>
      <c r="BV86" t="s" s="0">
        <v>81</v>
      </c>
      <c r="BW86" t="s" s="0">
        <v>81</v>
      </c>
      <c r="BX86" t="s" s="0">
        <v>116</v>
      </c>
    </row>
    <row r="87">
      <c r="A87" t="s" s="0">
        <v>77</v>
      </c>
      <c r="B87" t="s" s="0">
        <v>77</v>
      </c>
      <c r="C87" t="s" s="0">
        <v>204</v>
      </c>
      <c r="D87" t="s" s="0">
        <v>77</v>
      </c>
      <c r="E87" t="s" s="0">
        <v>2341</v>
      </c>
      <c r="F87" t="s" s="0">
        <v>2342</v>
      </c>
      <c r="G87" t="s" s="0">
        <v>2343</v>
      </c>
      <c r="H87" t="s" s="0">
        <v>81</v>
      </c>
      <c r="I87" t="s" s="0">
        <v>82</v>
      </c>
      <c r="J87" t="s" s="0">
        <v>2344</v>
      </c>
      <c r="K87" t="s" s="0">
        <v>2345</v>
      </c>
      <c r="L87" t="s" s="0">
        <v>2346</v>
      </c>
      <c r="M87" t="s" s="0">
        <v>2347</v>
      </c>
      <c r="N87" t="s" s="0">
        <v>2348</v>
      </c>
      <c r="O87" t="s" s="0">
        <v>2349</v>
      </c>
      <c r="P87" t="s" s="0">
        <v>2350</v>
      </c>
      <c r="Q87" t="s" s="0">
        <v>90</v>
      </c>
      <c r="R87" t="s" s="0">
        <v>81</v>
      </c>
      <c r="S87" t="s" s="0">
        <v>81</v>
      </c>
      <c r="T87" t="s" s="0">
        <v>81</v>
      </c>
      <c r="U87" t="s" s="0">
        <v>81</v>
      </c>
      <c r="V87" t="s" s="0">
        <v>2351</v>
      </c>
      <c r="W87" t="s" s="0">
        <v>1391</v>
      </c>
      <c r="X87" t="s" s="0">
        <v>81</v>
      </c>
      <c r="Y87" t="s" s="0">
        <v>81</v>
      </c>
      <c r="Z87" t="s" s="0">
        <v>93</v>
      </c>
      <c r="AA87" t="s" s="0">
        <v>94</v>
      </c>
      <c r="AB87" t="s" s="0">
        <v>81</v>
      </c>
      <c r="AC87" t="s" s="0">
        <v>81</v>
      </c>
      <c r="AD87" t="s" s="0">
        <v>81</v>
      </c>
      <c r="AE87" t="s" s="0">
        <v>81</v>
      </c>
      <c r="AF87" t="s" s="0">
        <v>81</v>
      </c>
      <c r="AG87" t="s" s="0">
        <v>81</v>
      </c>
      <c r="AH87" t="s" s="0">
        <v>81</v>
      </c>
      <c r="AI87" t="s" s="0">
        <v>2352</v>
      </c>
      <c r="AJ87" t="s" s="0">
        <v>2353</v>
      </c>
      <c r="AK87" t="s" s="0">
        <v>81</v>
      </c>
      <c r="AL87" t="s" s="0">
        <v>405</v>
      </c>
      <c r="AM87" t="s" s="0">
        <v>1421</v>
      </c>
      <c r="AN87" t="s" s="0">
        <v>798</v>
      </c>
      <c r="AO87" t="s" s="0">
        <v>564</v>
      </c>
      <c r="AP87" t="s" s="0">
        <v>507</v>
      </c>
      <c r="AQ87" t="s" s="0">
        <v>274</v>
      </c>
      <c r="AR87" t="s" s="0">
        <v>275</v>
      </c>
      <c r="AS87" t="s" s="0">
        <v>276</v>
      </c>
      <c r="AT87" t="s" s="0">
        <v>1395</v>
      </c>
      <c r="AU87" t="s" s="0">
        <v>81</v>
      </c>
      <c r="AV87" t="s" s="0">
        <v>81</v>
      </c>
      <c r="AW87" t="s" s="0">
        <v>1396</v>
      </c>
      <c r="AX87" t="s" s="0">
        <v>1397</v>
      </c>
      <c r="AY87" t="s" s="0">
        <v>2354</v>
      </c>
      <c r="AZ87" t="s" s="0">
        <v>136</v>
      </c>
      <c r="BA87" t="s" s="0">
        <v>225</v>
      </c>
      <c r="BB87" t="s" s="0">
        <v>117</v>
      </c>
      <c r="BC87" t="s" s="0">
        <v>81</v>
      </c>
      <c r="BD87" t="s" s="0">
        <v>81</v>
      </c>
      <c r="BE87" t="s" s="0">
        <v>81</v>
      </c>
      <c r="BF87" t="s" s="0">
        <v>81</v>
      </c>
      <c r="BG87" t="s" s="0">
        <v>81</v>
      </c>
      <c r="BH87" t="s" s="0">
        <v>81</v>
      </c>
      <c r="BI87" t="s" s="0">
        <v>2178</v>
      </c>
      <c r="BJ87" t="s" s="0">
        <v>2355</v>
      </c>
      <c r="BK87" t="s" s="171">
        <f>HYPERLINK("http://dx.doi.org/10.1038/s41746-025-01461-0","http://dx.doi.org/10.1038/s41746-025-01461-0")</f>
        <v>2356</v>
      </c>
      <c r="BL87" t="s" s="0">
        <v>81</v>
      </c>
      <c r="BM87" t="s" s="0">
        <v>81</v>
      </c>
      <c r="BN87" t="s" s="0">
        <v>258</v>
      </c>
      <c r="BO87" t="s" s="0">
        <v>1172</v>
      </c>
      <c r="BP87" t="s" s="0">
        <v>1172</v>
      </c>
      <c r="BQ87" t="s" s="0">
        <v>2357</v>
      </c>
      <c r="BR87" t="s" s="0">
        <v>2358</v>
      </c>
      <c r="BS87" t="s" s="0">
        <v>2359</v>
      </c>
      <c r="BT87" t="s" s="172">
        <f>HYPERLINK("https://www.webofscience.com/wos/woscc/full-record/WOS:001408604900005","View Record in Web of Science")</f>
        <v>114</v>
      </c>
      <c r="BU87" t="s" s="0">
        <v>145</v>
      </c>
      <c r="BV87" t="s" s="0">
        <v>915</v>
      </c>
      <c r="BW87" t="s" s="0">
        <v>916</v>
      </c>
      <c r="BX87" t="s" s="0">
        <v>116</v>
      </c>
    </row>
    <row r="88">
      <c r="A88" t="s" s="0">
        <v>77</v>
      </c>
      <c r="B88" t="s" s="0">
        <v>77</v>
      </c>
      <c r="C88" t="s" s="0">
        <v>227</v>
      </c>
      <c r="D88" t="s" s="0">
        <v>77</v>
      </c>
      <c r="E88" t="s" s="0">
        <v>2360</v>
      </c>
      <c r="F88" t="s" s="0">
        <v>2361</v>
      </c>
      <c r="G88" t="s" s="0">
        <v>2362</v>
      </c>
      <c r="H88" t="s" s="0">
        <v>81</v>
      </c>
      <c r="I88" t="s" s="0">
        <v>213</v>
      </c>
      <c r="J88" t="s" s="0">
        <v>2363</v>
      </c>
      <c r="K88" t="s" s="0">
        <v>2364</v>
      </c>
      <c r="L88" t="s" s="0">
        <v>81</v>
      </c>
      <c r="M88" t="s" s="0">
        <v>81</v>
      </c>
      <c r="N88" t="s" s="0">
        <v>2365</v>
      </c>
      <c r="O88" t="s" s="0">
        <v>2366</v>
      </c>
      <c r="P88" t="s" s="0">
        <v>2367</v>
      </c>
      <c r="Q88" t="s" s="0">
        <v>90</v>
      </c>
      <c r="R88" t="s" s="0">
        <v>81</v>
      </c>
      <c r="S88" t="s" s="0">
        <v>81</v>
      </c>
      <c r="T88" t="s" s="0">
        <v>81</v>
      </c>
      <c r="U88" t="s" s="0">
        <v>81</v>
      </c>
      <c r="V88" t="s" s="0">
        <v>2368</v>
      </c>
      <c r="W88" t="s" s="0">
        <v>1443</v>
      </c>
      <c r="X88" t="s" s="0">
        <v>81</v>
      </c>
      <c r="Y88" t="s" s="0">
        <v>81</v>
      </c>
      <c r="Z88" t="s" s="0">
        <v>93</v>
      </c>
      <c r="AA88" t="s" s="0">
        <v>94</v>
      </c>
      <c r="AB88" t="s" s="0">
        <v>81</v>
      </c>
      <c r="AC88" t="s" s="0">
        <v>81</v>
      </c>
      <c r="AD88" t="s" s="0">
        <v>81</v>
      </c>
      <c r="AE88" t="s" s="0">
        <v>81</v>
      </c>
      <c r="AF88" t="s" s="0">
        <v>81</v>
      </c>
      <c r="AG88" t="s" s="0">
        <v>2369</v>
      </c>
      <c r="AH88" t="s" s="0">
        <v>81</v>
      </c>
      <c r="AI88" t="s" s="0">
        <v>2370</v>
      </c>
      <c r="AJ88" t="s" s="0">
        <v>2371</v>
      </c>
      <c r="AK88" t="s" s="0">
        <v>81</v>
      </c>
      <c r="AL88" t="s" s="0">
        <v>846</v>
      </c>
      <c r="AM88" t="s" s="0">
        <v>563</v>
      </c>
      <c r="AN88" t="s" s="0">
        <v>563</v>
      </c>
      <c r="AO88" t="s" s="0">
        <v>117</v>
      </c>
      <c r="AP88" t="s" s="0">
        <v>225</v>
      </c>
      <c r="AQ88" t="s" s="0">
        <v>1162</v>
      </c>
      <c r="AR88" t="s" s="0">
        <v>1163</v>
      </c>
      <c r="AS88" t="s" s="0">
        <v>1164</v>
      </c>
      <c r="AT88" t="s" s="0">
        <v>81</v>
      </c>
      <c r="AU88" t="s" s="0">
        <v>1447</v>
      </c>
      <c r="AV88" t="s" s="0">
        <v>81</v>
      </c>
      <c r="AW88" t="s" s="0">
        <v>1443</v>
      </c>
      <c r="AX88" t="s" s="0">
        <v>1443</v>
      </c>
      <c r="AY88" t="s" s="0">
        <v>573</v>
      </c>
      <c r="AZ88" t="s" s="0">
        <v>573</v>
      </c>
      <c r="BA88" t="s" s="0">
        <v>227</v>
      </c>
      <c r="BB88" t="s" s="0">
        <v>81</v>
      </c>
      <c r="BC88" t="s" s="0">
        <v>81</v>
      </c>
      <c r="BD88" t="s" s="0">
        <v>81</v>
      </c>
      <c r="BE88" t="s" s="0">
        <v>81</v>
      </c>
      <c r="BF88" t="s" s="0">
        <v>81</v>
      </c>
      <c r="BG88" t="s" s="0">
        <v>81</v>
      </c>
      <c r="BH88" t="s" s="0">
        <v>81</v>
      </c>
      <c r="BI88" t="s" s="0">
        <v>2372</v>
      </c>
      <c r="BJ88" t="s" s="0">
        <v>2373</v>
      </c>
      <c r="BK88" t="s" s="173">
        <f>HYPERLINK("http://dx.doi.org/10.2196/58342","http://dx.doi.org/10.2196/58342")</f>
        <v>2374</v>
      </c>
      <c r="BL88" t="s" s="0">
        <v>81</v>
      </c>
      <c r="BM88" t="s" s="0">
        <v>81</v>
      </c>
      <c r="BN88" t="s" s="0">
        <v>129</v>
      </c>
      <c r="BO88" t="s" s="0">
        <v>1172</v>
      </c>
      <c r="BP88" t="s" s="0">
        <v>1172</v>
      </c>
      <c r="BQ88" t="s" s="0">
        <v>2375</v>
      </c>
      <c r="BR88" t="s" s="0">
        <v>2376</v>
      </c>
      <c r="BS88" t="s" s="0">
        <v>2377</v>
      </c>
      <c r="BT88" t="s" s="174">
        <f>HYPERLINK("https://www.webofscience.com/wos/woscc/full-record/WOS:001374818000001","View Record in Web of Science")</f>
        <v>114</v>
      </c>
      <c r="BU88" t="s" s="0">
        <v>145</v>
      </c>
      <c r="BV88" t="s" s="0">
        <v>81</v>
      </c>
      <c r="BW88" t="s" s="0">
        <v>81</v>
      </c>
      <c r="BX88" t="s" s="0">
        <v>116</v>
      </c>
    </row>
    <row r="89">
      <c r="A89" t="s" s="0">
        <v>77</v>
      </c>
      <c r="B89" t="s" s="0">
        <v>77</v>
      </c>
      <c r="C89" t="s" s="0">
        <v>77</v>
      </c>
      <c r="D89" t="s" s="0">
        <v>77</v>
      </c>
      <c r="E89" t="s" s="0">
        <v>2378</v>
      </c>
      <c r="F89" t="s" s="0">
        <v>2379</v>
      </c>
      <c r="G89" t="s" s="0">
        <v>2380</v>
      </c>
      <c r="H89" t="s" s="0">
        <v>81</v>
      </c>
      <c r="I89" t="s" s="0">
        <v>82</v>
      </c>
      <c r="J89" t="s" s="0">
        <v>2381</v>
      </c>
      <c r="K89" t="s" s="0">
        <v>2382</v>
      </c>
      <c r="L89" t="s" s="0">
        <v>81</v>
      </c>
      <c r="M89" t="s" s="0">
        <v>81</v>
      </c>
      <c r="N89" t="s" s="0">
        <v>81</v>
      </c>
      <c r="O89" t="s" s="0">
        <v>2383</v>
      </c>
      <c r="P89" t="s" s="0">
        <v>2384</v>
      </c>
      <c r="Q89" t="s" s="0">
        <v>90</v>
      </c>
      <c r="R89" t="s" s="0">
        <v>81</v>
      </c>
      <c r="S89" t="s" s="0">
        <v>81</v>
      </c>
      <c r="T89" t="s" s="0">
        <v>81</v>
      </c>
      <c r="U89" t="s" s="0">
        <v>81</v>
      </c>
      <c r="V89" t="s" s="0">
        <v>2385</v>
      </c>
      <c r="W89" t="s" s="0">
        <v>2386</v>
      </c>
      <c r="X89" t="s" s="0">
        <v>81</v>
      </c>
      <c r="Y89" t="s" s="0">
        <v>81</v>
      </c>
      <c r="Z89" t="s" s="0">
        <v>93</v>
      </c>
      <c r="AA89" t="s" s="0">
        <v>94</v>
      </c>
      <c r="AB89" t="s" s="0">
        <v>81</v>
      </c>
      <c r="AC89" t="s" s="0">
        <v>81</v>
      </c>
      <c r="AD89" t="s" s="0">
        <v>81</v>
      </c>
      <c r="AE89" t="s" s="0">
        <v>81</v>
      </c>
      <c r="AF89" t="s" s="0">
        <v>81</v>
      </c>
      <c r="AG89" t="s" s="0">
        <v>2387</v>
      </c>
      <c r="AH89" t="s" s="0">
        <v>81</v>
      </c>
      <c r="AI89" t="s" s="0">
        <v>2388</v>
      </c>
      <c r="AJ89" t="s" s="0">
        <v>2389</v>
      </c>
      <c r="AK89" t="s" s="0">
        <v>81</v>
      </c>
      <c r="AL89" t="s" s="0">
        <v>193</v>
      </c>
      <c r="AM89" t="s" s="0">
        <v>131</v>
      </c>
      <c r="AN89" t="s" s="0">
        <v>131</v>
      </c>
      <c r="AO89" t="s" s="0">
        <v>128</v>
      </c>
      <c r="AP89" t="s" s="0">
        <v>228</v>
      </c>
      <c r="AQ89" t="s" s="0">
        <v>305</v>
      </c>
      <c r="AR89" t="s" s="0">
        <v>306</v>
      </c>
      <c r="AS89" t="s" s="0">
        <v>307</v>
      </c>
      <c r="AT89" t="s" s="0">
        <v>2390</v>
      </c>
      <c r="AU89" t="s" s="0">
        <v>2391</v>
      </c>
      <c r="AV89" t="s" s="0">
        <v>81</v>
      </c>
      <c r="AW89" t="s" s="0">
        <v>2392</v>
      </c>
      <c r="AX89" t="s" s="0">
        <v>2393</v>
      </c>
      <c r="AY89" t="s" s="0">
        <v>2394</v>
      </c>
      <c r="AZ89" t="s" s="0">
        <v>104</v>
      </c>
      <c r="BA89" t="s" s="0">
        <v>2395</v>
      </c>
      <c r="BB89" t="s" s="0">
        <v>81</v>
      </c>
      <c r="BC89" t="s" s="0">
        <v>81</v>
      </c>
      <c r="BD89" t="s" s="0">
        <v>2396</v>
      </c>
      <c r="BE89" t="s" s="0">
        <v>81</v>
      </c>
      <c r="BF89" t="s" s="0">
        <v>81</v>
      </c>
      <c r="BG89" t="s" s="0">
        <v>81</v>
      </c>
      <c r="BH89" t="s" s="0">
        <v>81</v>
      </c>
      <c r="BI89" t="s" s="0">
        <v>2397</v>
      </c>
      <c r="BJ89" t="s" s="0">
        <v>2398</v>
      </c>
      <c r="BK89" t="s" s="175">
        <f>HYPERLINK("http://dx.doi.org/10.1016/j.eswa.2025.130174","http://dx.doi.org/10.1016/j.eswa.2025.130174")</f>
        <v>2399</v>
      </c>
      <c r="BL89" t="s" s="0">
        <v>81</v>
      </c>
      <c r="BM89" t="s" s="0">
        <v>382</v>
      </c>
      <c r="BN89" t="s" s="0">
        <v>564</v>
      </c>
      <c r="BO89" t="s" s="0">
        <v>2400</v>
      </c>
      <c r="BP89" t="s" s="0">
        <v>2401</v>
      </c>
      <c r="BQ89" t="s" s="0">
        <v>2402</v>
      </c>
      <c r="BR89" t="s" s="0">
        <v>81</v>
      </c>
      <c r="BS89" t="s" s="0">
        <v>2403</v>
      </c>
      <c r="BT89" t="s" s="176">
        <f>HYPERLINK("https://www.webofscience.com/wos/woscc/full-record/WOS:001617982400017","View Record in Web of Science")</f>
        <v>114</v>
      </c>
      <c r="BU89" t="s" s="0">
        <v>81</v>
      </c>
      <c r="BV89" t="s" s="0">
        <v>81</v>
      </c>
      <c r="BW89" t="s" s="0">
        <v>81</v>
      </c>
      <c r="BX89" t="s" s="0">
        <v>116</v>
      </c>
    </row>
    <row r="90">
      <c r="A90" t="s" s="0">
        <v>77</v>
      </c>
      <c r="B90" t="s" s="0">
        <v>77</v>
      </c>
      <c r="C90" t="s" s="0">
        <v>77</v>
      </c>
      <c r="D90" t="s" s="0">
        <v>77</v>
      </c>
      <c r="E90" t="s" s="0">
        <v>2404</v>
      </c>
      <c r="F90" t="s" s="0">
        <v>2405</v>
      </c>
      <c r="G90" t="s" s="0">
        <v>2406</v>
      </c>
      <c r="H90" t="s" s="0">
        <v>81</v>
      </c>
      <c r="I90" t="s" s="0">
        <v>213</v>
      </c>
      <c r="J90" t="s" s="0">
        <v>2407</v>
      </c>
      <c r="K90" t="s" s="0">
        <v>2408</v>
      </c>
      <c r="L90" t="s" s="0">
        <v>81</v>
      </c>
      <c r="M90" t="s" s="0">
        <v>81</v>
      </c>
      <c r="N90" t="s" s="0">
        <v>2409</v>
      </c>
      <c r="O90" t="s" s="0">
        <v>2410</v>
      </c>
      <c r="P90" t="s" s="0">
        <v>2411</v>
      </c>
      <c r="Q90" t="s" s="0">
        <v>90</v>
      </c>
      <c r="R90" t="s" s="0">
        <v>81</v>
      </c>
      <c r="S90" t="s" s="0">
        <v>81</v>
      </c>
      <c r="T90" t="s" s="0">
        <v>81</v>
      </c>
      <c r="U90" t="s" s="0">
        <v>81</v>
      </c>
      <c r="V90" t="s" s="0">
        <v>2412</v>
      </c>
      <c r="W90" t="s" s="0">
        <v>2413</v>
      </c>
      <c r="X90" t="s" s="0">
        <v>81</v>
      </c>
      <c r="Y90" t="s" s="0">
        <v>81</v>
      </c>
      <c r="Z90" t="s" s="0">
        <v>93</v>
      </c>
      <c r="AA90" t="s" s="0">
        <v>94</v>
      </c>
      <c r="AB90" t="s" s="0">
        <v>81</v>
      </c>
      <c r="AC90" t="s" s="0">
        <v>81</v>
      </c>
      <c r="AD90" t="s" s="0">
        <v>81</v>
      </c>
      <c r="AE90" t="s" s="0">
        <v>81</v>
      </c>
      <c r="AF90" t="s" s="0">
        <v>81</v>
      </c>
      <c r="AG90" t="s" s="0">
        <v>2414</v>
      </c>
      <c r="AH90" t="s" s="0">
        <v>81</v>
      </c>
      <c r="AI90" t="s" s="0">
        <v>2415</v>
      </c>
      <c r="AJ90" t="s" s="0">
        <v>81</v>
      </c>
      <c r="AK90" t="s" s="0">
        <v>81</v>
      </c>
      <c r="AL90" t="s" s="0">
        <v>345</v>
      </c>
      <c r="AM90" t="s" s="0">
        <v>77</v>
      </c>
      <c r="AN90" t="s" s="0">
        <v>77</v>
      </c>
      <c r="AO90" t="s" s="0">
        <v>77</v>
      </c>
      <c r="AP90" t="s" s="0">
        <v>77</v>
      </c>
      <c r="AQ90" t="s" s="0">
        <v>97</v>
      </c>
      <c r="AR90" t="s" s="0">
        <v>98</v>
      </c>
      <c r="AS90" t="s" s="0">
        <v>99</v>
      </c>
      <c r="AT90" t="s" s="0">
        <v>81</v>
      </c>
      <c r="AU90" t="s" s="0">
        <v>2416</v>
      </c>
      <c r="AV90" t="s" s="0">
        <v>81</v>
      </c>
      <c r="AW90" t="s" s="0">
        <v>2417</v>
      </c>
      <c r="AX90" t="s" s="0">
        <v>2418</v>
      </c>
      <c r="AY90" t="s" s="0">
        <v>1466</v>
      </c>
      <c r="AZ90" t="s" s="0">
        <v>104</v>
      </c>
      <c r="BA90" t="s" s="0">
        <v>128</v>
      </c>
      <c r="BB90" t="s" s="0">
        <v>81</v>
      </c>
      <c r="BC90" t="s" s="0">
        <v>81</v>
      </c>
      <c r="BD90" t="s" s="0">
        <v>81</v>
      </c>
      <c r="BE90" t="s" s="0">
        <v>81</v>
      </c>
      <c r="BF90" t="s" s="0">
        <v>81</v>
      </c>
      <c r="BG90" t="s" s="0">
        <v>81</v>
      </c>
      <c r="BH90" t="s" s="0">
        <v>81</v>
      </c>
      <c r="BI90" t="s" s="0">
        <v>2419</v>
      </c>
      <c r="BJ90" t="s" s="0">
        <v>2420</v>
      </c>
      <c r="BK90" t="s" s="177">
        <f>HYPERLINK("http://dx.doi.org/10.3389/frai.2026.1754000","http://dx.doi.org/10.3389/frai.2026.1754000")</f>
        <v>2421</v>
      </c>
      <c r="BL90" t="s" s="0">
        <v>81</v>
      </c>
      <c r="BM90" t="s" s="0">
        <v>284</v>
      </c>
      <c r="BN90" t="s" s="0">
        <v>563</v>
      </c>
      <c r="BO90" t="s" s="0">
        <v>2422</v>
      </c>
      <c r="BP90" t="s" s="0">
        <v>420</v>
      </c>
      <c r="BQ90" t="s" s="0">
        <v>2423</v>
      </c>
      <c r="BR90" t="s" s="0">
        <v>2424</v>
      </c>
      <c r="BS90" t="s" s="0">
        <v>2425</v>
      </c>
      <c r="BT90" t="s" s="178">
        <f>HYPERLINK("https://www.webofscience.com/wos/woscc/full-record/WOS:001737906700001","View Record in Web of Science")</f>
        <v>114</v>
      </c>
      <c r="BU90" t="s" s="0">
        <v>145</v>
      </c>
      <c r="BV90" t="s" s="0">
        <v>81</v>
      </c>
      <c r="BW90" t="s" s="0">
        <v>81</v>
      </c>
      <c r="BX90" t="s" s="0">
        <v>116</v>
      </c>
    </row>
    <row r="91">
      <c r="A91" t="s" s="0">
        <v>77</v>
      </c>
      <c r="B91" t="s" s="0">
        <v>77</v>
      </c>
      <c r="C91" t="s" s="0">
        <v>77</v>
      </c>
      <c r="D91" t="s" s="0">
        <v>77</v>
      </c>
      <c r="E91" t="s" s="0">
        <v>2426</v>
      </c>
      <c r="F91" t="s" s="0">
        <v>2427</v>
      </c>
      <c r="G91" t="s" s="0">
        <v>2428</v>
      </c>
      <c r="H91" t="s" s="0">
        <v>81</v>
      </c>
      <c r="I91" t="s" s="0">
        <v>213</v>
      </c>
      <c r="J91" t="s" s="0">
        <v>2429</v>
      </c>
      <c r="K91" t="s" s="0">
        <v>2430</v>
      </c>
      <c r="L91" t="s" s="0">
        <v>2431</v>
      </c>
      <c r="M91" t="s" s="0">
        <v>2431</v>
      </c>
      <c r="N91" t="s" s="0">
        <v>2432</v>
      </c>
      <c r="O91" t="s" s="0">
        <v>2433</v>
      </c>
      <c r="P91" t="s" s="0">
        <v>2434</v>
      </c>
      <c r="Q91" t="s" s="0">
        <v>90</v>
      </c>
      <c r="R91" t="s" s="0">
        <v>81</v>
      </c>
      <c r="S91" t="s" s="0">
        <v>81</v>
      </c>
      <c r="T91" t="s" s="0">
        <v>81</v>
      </c>
      <c r="U91" t="s" s="0">
        <v>81</v>
      </c>
      <c r="V91" t="s" s="0">
        <v>2435</v>
      </c>
      <c r="W91" t="s" s="0">
        <v>2436</v>
      </c>
      <c r="X91" t="s" s="0">
        <v>81</v>
      </c>
      <c r="Y91" t="s" s="0">
        <v>81</v>
      </c>
      <c r="Z91" t="s" s="0">
        <v>93</v>
      </c>
      <c r="AA91" t="s" s="0">
        <v>94</v>
      </c>
      <c r="AB91" t="s" s="0">
        <v>81</v>
      </c>
      <c r="AC91" t="s" s="0">
        <v>81</v>
      </c>
      <c r="AD91" t="s" s="0">
        <v>81</v>
      </c>
      <c r="AE91" t="s" s="0">
        <v>81</v>
      </c>
      <c r="AF91" t="s" s="0">
        <v>81</v>
      </c>
      <c r="AG91" t="s" s="0">
        <v>2437</v>
      </c>
      <c r="AH91" t="s" s="0">
        <v>81</v>
      </c>
      <c r="AI91" t="s" s="0">
        <v>2438</v>
      </c>
      <c r="AJ91" t="s" s="0">
        <v>81</v>
      </c>
      <c r="AK91" t="s" s="0">
        <v>81</v>
      </c>
      <c r="AL91" t="s" s="0">
        <v>318</v>
      </c>
      <c r="AM91" t="s" s="0">
        <v>77</v>
      </c>
      <c r="AN91" t="s" s="0">
        <v>77</v>
      </c>
      <c r="AO91" t="s" s="0">
        <v>77</v>
      </c>
      <c r="AP91" t="s" s="0">
        <v>77</v>
      </c>
      <c r="AQ91" t="s" s="0">
        <v>370</v>
      </c>
      <c r="AR91" t="s" s="0">
        <v>1099</v>
      </c>
      <c r="AS91" t="s" s="0">
        <v>1873</v>
      </c>
      <c r="AT91" t="s" s="0">
        <v>81</v>
      </c>
      <c r="AU91" t="s" s="0">
        <v>2439</v>
      </c>
      <c r="AV91" t="s" s="0">
        <v>81</v>
      </c>
      <c r="AW91" t="s" s="0">
        <v>2440</v>
      </c>
      <c r="AX91" t="s" s="0">
        <v>2441</v>
      </c>
      <c r="AY91" t="s" s="0">
        <v>2442</v>
      </c>
      <c r="AZ91" t="s" s="0">
        <v>104</v>
      </c>
      <c r="BA91" t="s" s="0">
        <v>225</v>
      </c>
      <c r="BB91" t="s" s="0">
        <v>161</v>
      </c>
      <c r="BC91" t="s" s="0">
        <v>81</v>
      </c>
      <c r="BD91" t="s" s="0">
        <v>81</v>
      </c>
      <c r="BE91" t="s" s="0">
        <v>81</v>
      </c>
      <c r="BF91" t="s" s="0">
        <v>81</v>
      </c>
      <c r="BG91" t="s" s="0">
        <v>81</v>
      </c>
      <c r="BH91" t="s" s="0">
        <v>81</v>
      </c>
      <c r="BI91" t="s" s="0">
        <v>2443</v>
      </c>
      <c r="BJ91" t="s" s="0">
        <v>2444</v>
      </c>
      <c r="BK91" t="s" s="179">
        <f>HYPERLINK("http://dx.doi.org/10.1007/s42452-026-08719-6","http://dx.doi.org/10.1007/s42452-026-08719-6")</f>
        <v>2445</v>
      </c>
      <c r="BL91" t="s" s="0">
        <v>81</v>
      </c>
      <c r="BM91" t="s" s="0">
        <v>203</v>
      </c>
      <c r="BN91" t="s" s="0">
        <v>1538</v>
      </c>
      <c r="BO91" t="s" s="0">
        <v>285</v>
      </c>
      <c r="BP91" t="s" s="0">
        <v>286</v>
      </c>
      <c r="BQ91" t="s" s="0">
        <v>2446</v>
      </c>
      <c r="BR91" t="s" s="0">
        <v>81</v>
      </c>
      <c r="BS91" t="s" s="0">
        <v>2447</v>
      </c>
      <c r="BT91" t="s" s="180">
        <f>HYPERLINK("https://www.webofscience.com/wos/woscc/full-record/WOS:001810761600001","View Record in Web of Science")</f>
        <v>114</v>
      </c>
      <c r="BU91" t="s" s="0">
        <v>115</v>
      </c>
      <c r="BV91" t="s" s="0">
        <v>81</v>
      </c>
      <c r="BW91" t="s" s="0">
        <v>81</v>
      </c>
      <c r="BX91" t="s" s="0">
        <v>116</v>
      </c>
    </row>
    <row r="92">
      <c r="A92" t="s" s="0">
        <v>77</v>
      </c>
      <c r="B92" t="s" s="0">
        <v>77</v>
      </c>
      <c r="C92" t="s" s="0">
        <v>563</v>
      </c>
      <c r="D92" t="s" s="0">
        <v>77</v>
      </c>
      <c r="E92" t="s" s="0">
        <v>2448</v>
      </c>
      <c r="F92" t="s" s="0">
        <v>2449</v>
      </c>
      <c r="G92" t="s" s="0">
        <v>2450</v>
      </c>
      <c r="H92" t="s" s="0">
        <v>81</v>
      </c>
      <c r="I92" t="s" s="0">
        <v>82</v>
      </c>
      <c r="J92" t="s" s="0">
        <v>2451</v>
      </c>
      <c r="K92" t="s" s="0">
        <v>2452</v>
      </c>
      <c r="L92" t="s" s="0">
        <v>2453</v>
      </c>
      <c r="M92" t="s" s="0">
        <v>2454</v>
      </c>
      <c r="N92" t="s" s="0">
        <v>2455</v>
      </c>
      <c r="O92" t="s" s="0">
        <v>2456</v>
      </c>
      <c r="P92" t="s" s="0">
        <v>2457</v>
      </c>
      <c r="Q92" t="s" s="0">
        <v>90</v>
      </c>
      <c r="R92" t="s" s="0">
        <v>81</v>
      </c>
      <c r="S92" t="s" s="0">
        <v>81</v>
      </c>
      <c r="T92" t="s" s="0">
        <v>81</v>
      </c>
      <c r="U92" t="s" s="0">
        <v>81</v>
      </c>
      <c r="V92" t="s" s="0">
        <v>2458</v>
      </c>
      <c r="W92" t="s" s="0">
        <v>595</v>
      </c>
      <c r="X92" t="s" s="0">
        <v>81</v>
      </c>
      <c r="Y92" t="s" s="0">
        <v>81</v>
      </c>
      <c r="Z92" t="s" s="0">
        <v>93</v>
      </c>
      <c r="AA92" t="s" s="0">
        <v>94</v>
      </c>
      <c r="AB92" t="s" s="0">
        <v>81</v>
      </c>
      <c r="AC92" t="s" s="0">
        <v>81</v>
      </c>
      <c r="AD92" t="s" s="0">
        <v>81</v>
      </c>
      <c r="AE92" t="s" s="0">
        <v>81</v>
      </c>
      <c r="AF92" t="s" s="0">
        <v>81</v>
      </c>
      <c r="AG92" t="s" s="0">
        <v>2459</v>
      </c>
      <c r="AH92" t="s" s="0">
        <v>2460</v>
      </c>
      <c r="AI92" t="s" s="0">
        <v>2461</v>
      </c>
      <c r="AJ92" t="s" s="0">
        <v>2462</v>
      </c>
      <c r="AK92" t="s" s="0">
        <v>81</v>
      </c>
      <c r="AL92" t="s" s="0">
        <v>1097</v>
      </c>
      <c r="AM92" t="s" s="0">
        <v>237</v>
      </c>
      <c r="AN92" t="s" s="0">
        <v>237</v>
      </c>
      <c r="AO92" t="s" s="0">
        <v>77</v>
      </c>
      <c r="AP92" t="s" s="0">
        <v>160</v>
      </c>
      <c r="AQ92" t="s" s="0">
        <v>598</v>
      </c>
      <c r="AR92" t="s" s="0">
        <v>599</v>
      </c>
      <c r="AS92" t="s" s="0">
        <v>600</v>
      </c>
      <c r="AT92" t="s" s="0">
        <v>601</v>
      </c>
      <c r="AU92" t="s" s="0">
        <v>81</v>
      </c>
      <c r="AV92" t="s" s="0">
        <v>81</v>
      </c>
      <c r="AW92" t="s" s="0">
        <v>602</v>
      </c>
      <c r="AX92" t="s" s="0">
        <v>603</v>
      </c>
      <c r="AY92" t="s" s="0">
        <v>2463</v>
      </c>
      <c r="AZ92" t="s" s="0">
        <v>1519</v>
      </c>
      <c r="BA92" t="s" s="0">
        <v>226</v>
      </c>
      <c r="BB92" t="s" s="0">
        <v>161</v>
      </c>
      <c r="BC92" t="s" s="0">
        <v>81</v>
      </c>
      <c r="BD92" t="s" s="0">
        <v>81</v>
      </c>
      <c r="BE92" t="s" s="0">
        <v>81</v>
      </c>
      <c r="BF92" t="s" s="0">
        <v>81</v>
      </c>
      <c r="BG92" t="s" s="0">
        <v>81</v>
      </c>
      <c r="BH92" t="s" s="0">
        <v>81</v>
      </c>
      <c r="BI92" t="s" s="0">
        <v>129</v>
      </c>
      <c r="BJ92" t="s" s="0">
        <v>2464</v>
      </c>
      <c r="BK92" t="s" s="181">
        <f>HYPERLINK("http://dx.doi.org/10.1167/tvst.12.7.10","http://dx.doi.org/10.1167/tvst.12.7.10")</f>
        <v>2465</v>
      </c>
      <c r="BL92" t="s" s="0">
        <v>81</v>
      </c>
      <c r="BM92" t="s" s="0">
        <v>81</v>
      </c>
      <c r="BN92" t="s" s="0">
        <v>167</v>
      </c>
      <c r="BO92" t="s" s="0">
        <v>606</v>
      </c>
      <c r="BP92" t="s" s="0">
        <v>606</v>
      </c>
      <c r="BQ92" t="s" s="0">
        <v>2466</v>
      </c>
      <c r="BR92" t="s" s="0">
        <v>2467</v>
      </c>
      <c r="BS92" t="s" s="0">
        <v>2468</v>
      </c>
      <c r="BT92" t="s" s="182">
        <f>HYPERLINK("https://www.webofscience.com/wos/woscc/full-record/WOS:001108906600006","View Record in Web of Science")</f>
        <v>114</v>
      </c>
      <c r="BU92" t="s" s="0">
        <v>145</v>
      </c>
      <c r="BV92" t="s" s="0">
        <v>81</v>
      </c>
      <c r="BW92" t="s" s="0">
        <v>81</v>
      </c>
      <c r="BX92" t="s" s="0">
        <v>116</v>
      </c>
    </row>
    <row r="93">
      <c r="A93" t="s" s="0">
        <v>77</v>
      </c>
      <c r="B93" t="s" s="0">
        <v>77</v>
      </c>
      <c r="C93" t="s" s="0">
        <v>227</v>
      </c>
      <c r="D93" t="s" s="0">
        <v>77</v>
      </c>
      <c r="E93" t="s" s="0">
        <v>2469</v>
      </c>
      <c r="F93" t="s" s="0">
        <v>2470</v>
      </c>
      <c r="G93" t="s" s="0">
        <v>2471</v>
      </c>
      <c r="H93" t="s" s="0">
        <v>81</v>
      </c>
      <c r="I93" t="s" s="0">
        <v>82</v>
      </c>
      <c r="J93" t="s" s="0">
        <v>2472</v>
      </c>
      <c r="K93" t="s" s="0">
        <v>2473</v>
      </c>
      <c r="L93" t="s" s="0">
        <v>81</v>
      </c>
      <c r="M93" t="s" s="0">
        <v>81</v>
      </c>
      <c r="N93" t="s" s="0">
        <v>81</v>
      </c>
      <c r="O93" t="s" s="0">
        <v>2474</v>
      </c>
      <c r="P93" t="s" s="0">
        <v>2475</v>
      </c>
      <c r="Q93" t="s" s="0">
        <v>90</v>
      </c>
      <c r="R93" t="s" s="0">
        <v>81</v>
      </c>
      <c r="S93" t="s" s="0">
        <v>81</v>
      </c>
      <c r="T93" t="s" s="0">
        <v>81</v>
      </c>
      <c r="U93" t="s" s="0">
        <v>81</v>
      </c>
      <c r="V93" t="s" s="0">
        <v>2476</v>
      </c>
      <c r="W93" t="s" s="0">
        <v>469</v>
      </c>
      <c r="X93" t="s" s="0">
        <v>81</v>
      </c>
      <c r="Y93" t="s" s="0">
        <v>81</v>
      </c>
      <c r="Z93" t="s" s="0">
        <v>93</v>
      </c>
      <c r="AA93" t="s" s="0">
        <v>94</v>
      </c>
      <c r="AB93" t="s" s="0">
        <v>81</v>
      </c>
      <c r="AC93" t="s" s="0">
        <v>81</v>
      </c>
      <c r="AD93" t="s" s="0">
        <v>81</v>
      </c>
      <c r="AE93" t="s" s="0">
        <v>81</v>
      </c>
      <c r="AF93" t="s" s="0">
        <v>81</v>
      </c>
      <c r="AG93" t="s" s="0">
        <v>2477</v>
      </c>
      <c r="AH93" t="s" s="0">
        <v>2478</v>
      </c>
      <c r="AI93" t="s" s="0">
        <v>2479</v>
      </c>
      <c r="AJ93" t="s" s="0">
        <v>2480</v>
      </c>
      <c r="AK93" t="s" s="0">
        <v>81</v>
      </c>
      <c r="AL93" t="s" s="0">
        <v>1346</v>
      </c>
      <c r="AM93" t="s" s="0">
        <v>564</v>
      </c>
      <c r="AN93" t="s" s="0">
        <v>109</v>
      </c>
      <c r="AO93" t="s" s="0">
        <v>160</v>
      </c>
      <c r="AP93" t="s" s="0">
        <v>226</v>
      </c>
      <c r="AQ93" t="s" s="0">
        <v>476</v>
      </c>
      <c r="AR93" t="s" s="0">
        <v>477</v>
      </c>
      <c r="AS93" t="s" s="0">
        <v>478</v>
      </c>
      <c r="AT93" t="s" s="0">
        <v>81</v>
      </c>
      <c r="AU93" t="s" s="0">
        <v>479</v>
      </c>
      <c r="AV93" t="s" s="0">
        <v>81</v>
      </c>
      <c r="AW93" t="s" s="0">
        <v>469</v>
      </c>
      <c r="AX93" t="s" s="0">
        <v>480</v>
      </c>
      <c r="AY93" t="s" s="0">
        <v>2481</v>
      </c>
      <c r="AZ93" t="s" s="0">
        <v>136</v>
      </c>
      <c r="BA93" t="s" s="0">
        <v>172</v>
      </c>
      <c r="BB93" t="s" s="0">
        <v>225</v>
      </c>
      <c r="BC93" t="s" s="0">
        <v>81</v>
      </c>
      <c r="BD93" t="s" s="0">
        <v>81</v>
      </c>
      <c r="BE93" t="s" s="0">
        <v>81</v>
      </c>
      <c r="BF93" t="s" s="0">
        <v>81</v>
      </c>
      <c r="BG93" t="s" s="0">
        <v>81</v>
      </c>
      <c r="BH93" t="s" s="0">
        <v>81</v>
      </c>
      <c r="BI93" t="s" s="0">
        <v>2482</v>
      </c>
      <c r="BJ93" t="s" s="0">
        <v>2483</v>
      </c>
      <c r="BK93" t="s" s="183">
        <f>HYPERLINK("http://dx.doi.org/10.3390/diagnostics15080995","http://dx.doi.org/10.3390/diagnostics15080995")</f>
        <v>2484</v>
      </c>
      <c r="BL93" t="s" s="0">
        <v>81</v>
      </c>
      <c r="BM93" t="s" s="0">
        <v>81</v>
      </c>
      <c r="BN93" t="s" s="0">
        <v>563</v>
      </c>
      <c r="BO93" t="s" s="0">
        <v>486</v>
      </c>
      <c r="BP93" t="s" s="0">
        <v>487</v>
      </c>
      <c r="BQ93" t="s" s="0">
        <v>2485</v>
      </c>
      <c r="BR93" t="s" s="0">
        <v>2486</v>
      </c>
      <c r="BS93" t="s" s="0">
        <v>2487</v>
      </c>
      <c r="BT93" t="s" s="184">
        <f>HYPERLINK("https://www.webofscience.com/wos/woscc/full-record/WOS:001475098100001","View Record in Web of Science")</f>
        <v>114</v>
      </c>
      <c r="BU93" t="s" s="0">
        <v>145</v>
      </c>
      <c r="BV93" t="s" s="0">
        <v>81</v>
      </c>
      <c r="BW93" t="s" s="0">
        <v>81</v>
      </c>
      <c r="BX93" t="s" s="0">
        <v>116</v>
      </c>
    </row>
    <row r="94">
      <c r="A94" t="s" s="0">
        <v>77</v>
      </c>
      <c r="B94" t="s" s="0">
        <v>77</v>
      </c>
      <c r="C94" t="s" s="0">
        <v>117</v>
      </c>
      <c r="D94" t="s" s="0">
        <v>77</v>
      </c>
      <c r="E94" t="s" s="0">
        <v>2488</v>
      </c>
      <c r="F94" t="s" s="0">
        <v>2489</v>
      </c>
      <c r="G94" t="s" s="0">
        <v>2490</v>
      </c>
      <c r="H94" t="s" s="0">
        <v>81</v>
      </c>
      <c r="I94" t="s" s="0">
        <v>82</v>
      </c>
      <c r="J94" t="s" s="0">
        <v>2491</v>
      </c>
      <c r="K94" t="s" s="0">
        <v>2492</v>
      </c>
      <c r="L94" t="s" s="0">
        <v>2493</v>
      </c>
      <c r="M94" t="s" s="0">
        <v>2494</v>
      </c>
      <c r="N94" t="s" s="0">
        <v>2495</v>
      </c>
      <c r="O94" t="s" s="0">
        <v>2496</v>
      </c>
      <c r="P94" t="s" s="0">
        <v>2497</v>
      </c>
      <c r="Q94" t="s" s="0">
        <v>90</v>
      </c>
      <c r="R94" t="s" s="0">
        <v>81</v>
      </c>
      <c r="S94" t="s" s="0">
        <v>81</v>
      </c>
      <c r="T94" t="s" s="0">
        <v>81</v>
      </c>
      <c r="U94" t="s" s="0">
        <v>81</v>
      </c>
      <c r="V94" t="s" s="0">
        <v>2498</v>
      </c>
      <c r="W94" t="s" s="0">
        <v>1814</v>
      </c>
      <c r="X94" t="s" s="0">
        <v>81</v>
      </c>
      <c r="Y94" t="s" s="0">
        <v>81</v>
      </c>
      <c r="Z94" t="s" s="0">
        <v>93</v>
      </c>
      <c r="AA94" t="s" s="0">
        <v>94</v>
      </c>
      <c r="AB94" t="s" s="0">
        <v>81</v>
      </c>
      <c r="AC94" t="s" s="0">
        <v>81</v>
      </c>
      <c r="AD94" t="s" s="0">
        <v>81</v>
      </c>
      <c r="AE94" t="s" s="0">
        <v>81</v>
      </c>
      <c r="AF94" t="s" s="0">
        <v>81</v>
      </c>
      <c r="AG94" t="s" s="0">
        <v>2499</v>
      </c>
      <c r="AH94" t="s" s="0">
        <v>2500</v>
      </c>
      <c r="AI94" t="s" s="0">
        <v>81</v>
      </c>
      <c r="AJ94" t="s" s="0">
        <v>81</v>
      </c>
      <c r="AK94" t="s" s="0">
        <v>81</v>
      </c>
      <c r="AL94" t="s" s="0">
        <v>625</v>
      </c>
      <c r="AM94" t="s" s="0">
        <v>160</v>
      </c>
      <c r="AN94" t="s" s="0">
        <v>160</v>
      </c>
      <c r="AO94" t="s" s="0">
        <v>117</v>
      </c>
      <c r="AP94" t="s" s="0">
        <v>131</v>
      </c>
      <c r="AQ94" t="s" s="0">
        <v>1818</v>
      </c>
      <c r="AR94" t="s" s="0">
        <v>1819</v>
      </c>
      <c r="AS94" t="s" s="0">
        <v>1820</v>
      </c>
      <c r="AT94" t="s" s="0">
        <v>1821</v>
      </c>
      <c r="AU94" t="s" s="0">
        <v>1822</v>
      </c>
      <c r="AV94" t="s" s="0">
        <v>81</v>
      </c>
      <c r="AW94" t="s" s="0">
        <v>1823</v>
      </c>
      <c r="AX94" t="s" s="0">
        <v>1824</v>
      </c>
      <c r="AY94" t="s" s="0">
        <v>1825</v>
      </c>
      <c r="AZ94" t="s" s="0">
        <v>136</v>
      </c>
      <c r="BA94" t="s" s="0">
        <v>563</v>
      </c>
      <c r="BB94" t="s" s="0">
        <v>129</v>
      </c>
      <c r="BC94" t="s" s="0">
        <v>81</v>
      </c>
      <c r="BD94" t="s" s="0">
        <v>81</v>
      </c>
      <c r="BE94" t="s" s="0">
        <v>81</v>
      </c>
      <c r="BF94" t="s" s="0">
        <v>81</v>
      </c>
      <c r="BG94" t="s" s="0">
        <v>2501</v>
      </c>
      <c r="BH94" t="s" s="0">
        <v>2502</v>
      </c>
      <c r="BI94" t="s" s="0">
        <v>81</v>
      </c>
      <c r="BJ94" t="s" s="0">
        <v>2503</v>
      </c>
      <c r="BK94" t="s" s="185">
        <f>HYPERLINK("http://dx.doi.org/10.21037/jtd-2025-1012","http://dx.doi.org/10.21037/jtd-2025-1012")</f>
        <v>2504</v>
      </c>
      <c r="BL94" t="s" s="0">
        <v>81</v>
      </c>
      <c r="BM94" t="s" s="0">
        <v>81</v>
      </c>
      <c r="BN94" t="s" s="0">
        <v>172</v>
      </c>
      <c r="BO94" t="s" s="0">
        <v>1830</v>
      </c>
      <c r="BP94" t="s" s="0">
        <v>1830</v>
      </c>
      <c r="BQ94" t="s" s="0">
        <v>2505</v>
      </c>
      <c r="BR94" t="s" s="0">
        <v>2506</v>
      </c>
      <c r="BS94" t="s" s="0">
        <v>2507</v>
      </c>
      <c r="BT94" t="s" s="186">
        <f>HYPERLINK("https://www.webofscience.com/wos/woscc/full-record/WOS:001615901300001","View Record in Web of Science")</f>
        <v>114</v>
      </c>
      <c r="BU94" t="s" s="0">
        <v>145</v>
      </c>
      <c r="BV94" t="s" s="0">
        <v>81</v>
      </c>
      <c r="BW94" t="s" s="0">
        <v>81</v>
      </c>
      <c r="BX94" t="s" s="0">
        <v>116</v>
      </c>
    </row>
    <row r="95">
      <c r="A95" t="s" s="0">
        <v>77</v>
      </c>
      <c r="B95" t="s" s="0">
        <v>77</v>
      </c>
      <c r="C95" t="s" s="0">
        <v>227</v>
      </c>
      <c r="D95" t="s" s="0">
        <v>77</v>
      </c>
      <c r="E95" t="s" s="0">
        <v>2508</v>
      </c>
      <c r="F95" t="s" s="0">
        <v>2509</v>
      </c>
      <c r="G95" t="s" s="0">
        <v>2510</v>
      </c>
      <c r="H95" t="s" s="0">
        <v>81</v>
      </c>
      <c r="I95" t="s" s="0">
        <v>82</v>
      </c>
      <c r="J95" t="s" s="0">
        <v>2511</v>
      </c>
      <c r="K95" t="s" s="0">
        <v>2512</v>
      </c>
      <c r="L95" t="s" s="0">
        <v>2513</v>
      </c>
      <c r="M95" t="s" s="0">
        <v>2514</v>
      </c>
      <c r="N95" t="s" s="0">
        <v>2515</v>
      </c>
      <c r="O95" t="s" s="0">
        <v>2516</v>
      </c>
      <c r="P95" t="s" s="0">
        <v>2517</v>
      </c>
      <c r="Q95" t="s" s="0">
        <v>90</v>
      </c>
      <c r="R95" t="s" s="0">
        <v>81</v>
      </c>
      <c r="S95" t="s" s="0">
        <v>81</v>
      </c>
      <c r="T95" t="s" s="0">
        <v>81</v>
      </c>
      <c r="U95" t="s" s="0">
        <v>81</v>
      </c>
      <c r="V95" t="s" s="0">
        <v>2518</v>
      </c>
      <c r="W95" t="s" s="0">
        <v>2519</v>
      </c>
      <c r="X95" t="s" s="0">
        <v>81</v>
      </c>
      <c r="Y95" t="s" s="0">
        <v>81</v>
      </c>
      <c r="Z95" t="s" s="0">
        <v>93</v>
      </c>
      <c r="AA95" t="s" s="0">
        <v>94</v>
      </c>
      <c r="AB95" t="s" s="0">
        <v>81</v>
      </c>
      <c r="AC95" t="s" s="0">
        <v>81</v>
      </c>
      <c r="AD95" t="s" s="0">
        <v>81</v>
      </c>
      <c r="AE95" t="s" s="0">
        <v>81</v>
      </c>
      <c r="AF95" t="s" s="0">
        <v>81</v>
      </c>
      <c r="AG95" t="s" s="0">
        <v>2520</v>
      </c>
      <c r="AH95" t="s" s="0">
        <v>2521</v>
      </c>
      <c r="AI95" t="s" s="0">
        <v>2522</v>
      </c>
      <c r="AJ95" t="s" s="0">
        <v>2523</v>
      </c>
      <c r="AK95" t="s" s="0">
        <v>81</v>
      </c>
      <c r="AL95" t="s" s="0">
        <v>193</v>
      </c>
      <c r="AM95" t="s" s="0">
        <v>253</v>
      </c>
      <c r="AN95" t="s" s="0">
        <v>253</v>
      </c>
      <c r="AO95" t="s" s="0">
        <v>130</v>
      </c>
      <c r="AP95" t="s" s="0">
        <v>204</v>
      </c>
      <c r="AQ95" t="s" s="0">
        <v>476</v>
      </c>
      <c r="AR95" t="s" s="0">
        <v>477</v>
      </c>
      <c r="AS95" t="s" s="0">
        <v>478</v>
      </c>
      <c r="AT95" t="s" s="0">
        <v>2524</v>
      </c>
      <c r="AU95" t="s" s="0">
        <v>2525</v>
      </c>
      <c r="AV95" t="s" s="0">
        <v>81</v>
      </c>
      <c r="AW95" t="s" s="0">
        <v>2526</v>
      </c>
      <c r="AX95" t="s" s="0">
        <v>2527</v>
      </c>
      <c r="AY95" t="s" s="0">
        <v>1798</v>
      </c>
      <c r="AZ95" t="s" s="0">
        <v>573</v>
      </c>
      <c r="BA95" t="s" s="0">
        <v>369</v>
      </c>
      <c r="BB95" t="s" s="0">
        <v>204</v>
      </c>
      <c r="BC95" t="s" s="0">
        <v>81</v>
      </c>
      <c r="BD95" t="s" s="0">
        <v>81</v>
      </c>
      <c r="BE95" t="s" s="0">
        <v>81</v>
      </c>
      <c r="BF95" t="s" s="0">
        <v>81</v>
      </c>
      <c r="BG95" t="s" s="0">
        <v>2528</v>
      </c>
      <c r="BH95" t="s" s="0">
        <v>2529</v>
      </c>
      <c r="BI95" t="s" s="0">
        <v>81</v>
      </c>
      <c r="BJ95" t="s" s="0">
        <v>2530</v>
      </c>
      <c r="BK95" t="s" s="187">
        <f>HYPERLINK("http://dx.doi.org/10.3390/curroncol31110530","http://dx.doi.org/10.3390/curroncol31110530")</f>
        <v>2531</v>
      </c>
      <c r="BL95" t="s" s="0">
        <v>81</v>
      </c>
      <c r="BM95" t="s" s="0">
        <v>81</v>
      </c>
      <c r="BN95" t="s" s="0">
        <v>129</v>
      </c>
      <c r="BO95" t="s" s="0">
        <v>939</v>
      </c>
      <c r="BP95" t="s" s="0">
        <v>939</v>
      </c>
      <c r="BQ95" t="s" s="0">
        <v>2532</v>
      </c>
      <c r="BR95" t="s" s="0">
        <v>2533</v>
      </c>
      <c r="BS95" t="s" s="0">
        <v>2534</v>
      </c>
      <c r="BT95" t="s" s="188">
        <f>HYPERLINK("https://www.webofscience.com/wos/woscc/full-record/WOS:001364073600001","View Record in Web of Science")</f>
        <v>114</v>
      </c>
      <c r="BU95" t="s" s="0">
        <v>145</v>
      </c>
      <c r="BV95" t="s" s="0">
        <v>81</v>
      </c>
      <c r="BW95" t="s" s="0">
        <v>81</v>
      </c>
      <c r="BX95" t="s" s="0">
        <v>116</v>
      </c>
    </row>
    <row r="96">
      <c r="A96" t="s" s="0">
        <v>227</v>
      </c>
      <c r="B96" t="s" s="0">
        <v>77</v>
      </c>
      <c r="C96" t="s" s="0">
        <v>563</v>
      </c>
      <c r="D96" t="s" s="0">
        <v>77</v>
      </c>
      <c r="E96" t="s" s="0">
        <v>2535</v>
      </c>
      <c r="F96" t="s" s="0">
        <v>2536</v>
      </c>
      <c r="G96" t="s" s="0">
        <v>2537</v>
      </c>
      <c r="H96" t="s" s="0">
        <v>81</v>
      </c>
      <c r="I96" t="s" s="0">
        <v>82</v>
      </c>
      <c r="J96" t="s" s="0">
        <v>2538</v>
      </c>
      <c r="K96" t="s" s="0">
        <v>2539</v>
      </c>
      <c r="L96" t="s" s="0">
        <v>2540</v>
      </c>
      <c r="M96" t="s" s="0">
        <v>2541</v>
      </c>
      <c r="N96" t="s" s="0">
        <v>2542</v>
      </c>
      <c r="O96" t="s" s="0">
        <v>2543</v>
      </c>
      <c r="P96" t="s" s="0">
        <v>2544</v>
      </c>
      <c r="Q96" t="s" s="0">
        <v>90</v>
      </c>
      <c r="R96" t="s" s="0">
        <v>81</v>
      </c>
      <c r="S96" t="s" s="0">
        <v>81</v>
      </c>
      <c r="T96" t="s" s="0">
        <v>81</v>
      </c>
      <c r="U96" t="s" s="0">
        <v>81</v>
      </c>
      <c r="V96" t="s" s="0">
        <v>2545</v>
      </c>
      <c r="W96" t="s" s="0">
        <v>2546</v>
      </c>
      <c r="X96" t="s" s="0">
        <v>81</v>
      </c>
      <c r="Y96" t="s" s="0">
        <v>81</v>
      </c>
      <c r="Z96" t="s" s="0">
        <v>93</v>
      </c>
      <c r="AA96" t="s" s="0">
        <v>94</v>
      </c>
      <c r="AB96" t="s" s="0">
        <v>81</v>
      </c>
      <c r="AC96" t="s" s="0">
        <v>81</v>
      </c>
      <c r="AD96" t="s" s="0">
        <v>81</v>
      </c>
      <c r="AE96" t="s" s="0">
        <v>81</v>
      </c>
      <c r="AF96" t="s" s="0">
        <v>81</v>
      </c>
      <c r="AG96" t="s" s="0">
        <v>81</v>
      </c>
      <c r="AH96" t="s" s="0">
        <v>2547</v>
      </c>
      <c r="AI96" t="s" s="0">
        <v>2548</v>
      </c>
      <c r="AJ96" t="s" s="0">
        <v>2549</v>
      </c>
      <c r="AK96" t="s" s="0">
        <v>81</v>
      </c>
      <c r="AL96" t="s" s="0">
        <v>1097</v>
      </c>
      <c r="AM96" t="s" s="0">
        <v>767</v>
      </c>
      <c r="AN96" t="s" s="0">
        <v>2550</v>
      </c>
      <c r="AO96" t="s" s="0">
        <v>117</v>
      </c>
      <c r="AP96" t="s" s="0">
        <v>167</v>
      </c>
      <c r="AQ96" t="s" s="0">
        <v>2551</v>
      </c>
      <c r="AR96" t="s" s="0">
        <v>2552</v>
      </c>
      <c r="AS96" t="s" s="0">
        <v>2553</v>
      </c>
      <c r="AT96" t="s" s="0">
        <v>2554</v>
      </c>
      <c r="AU96" t="s" s="0">
        <v>2555</v>
      </c>
      <c r="AV96" t="s" s="0">
        <v>81</v>
      </c>
      <c r="AW96" t="s" s="0">
        <v>2546</v>
      </c>
      <c r="AX96" t="s" s="0">
        <v>2556</v>
      </c>
      <c r="AY96" t="s" s="0">
        <v>663</v>
      </c>
      <c r="AZ96" t="s" s="0">
        <v>1519</v>
      </c>
      <c r="BA96" t="s" s="0">
        <v>2557</v>
      </c>
      <c r="BB96" t="s" s="0">
        <v>117</v>
      </c>
      <c r="BC96" t="s" s="0">
        <v>81</v>
      </c>
      <c r="BD96" t="s" s="0">
        <v>81</v>
      </c>
      <c r="BE96" t="s" s="0">
        <v>81</v>
      </c>
      <c r="BF96" t="s" s="0">
        <v>81</v>
      </c>
      <c r="BG96" t="s" s="0">
        <v>81</v>
      </c>
      <c r="BH96" t="s" s="0">
        <v>81</v>
      </c>
      <c r="BI96" t="s" s="0">
        <v>2558</v>
      </c>
      <c r="BJ96" t="s" s="0">
        <v>2559</v>
      </c>
      <c r="BK96" t="s" s="189">
        <f>HYPERLINK("http://dx.doi.org/10.1148/radiol.230806","http://dx.doi.org/10.1148/radiol.230806")</f>
        <v>2560</v>
      </c>
      <c r="BL96" t="s" s="0">
        <v>81</v>
      </c>
      <c r="BM96" t="s" s="0">
        <v>81</v>
      </c>
      <c r="BN96" t="s" s="0">
        <v>167</v>
      </c>
      <c r="BO96" t="s" s="0">
        <v>1881</v>
      </c>
      <c r="BP96" t="s" s="0">
        <v>1881</v>
      </c>
      <c r="BQ96" t="s" s="0">
        <v>2561</v>
      </c>
      <c r="BR96" t="s" s="0">
        <v>2562</v>
      </c>
      <c r="BS96" t="s" s="0">
        <v>2563</v>
      </c>
      <c r="BT96" t="s" s="190">
        <f>HYPERLINK("https://www.webofscience.com/wos/woscc/full-record/WOS:001111028800010","View Record in Web of Science")</f>
        <v>114</v>
      </c>
      <c r="BU96" t="s" s="0">
        <v>81</v>
      </c>
      <c r="BV96" t="s" s="0">
        <v>81</v>
      </c>
      <c r="BW96" t="s" s="0">
        <v>81</v>
      </c>
      <c r="BX96" t="s" s="0">
        <v>116</v>
      </c>
    </row>
    <row r="97">
      <c r="A97" t="s" s="0">
        <v>77</v>
      </c>
      <c r="B97" t="s" s="0">
        <v>77</v>
      </c>
      <c r="C97" t="s" s="0">
        <v>77</v>
      </c>
      <c r="D97" t="s" s="0">
        <v>77</v>
      </c>
      <c r="E97" t="s" s="0">
        <v>2564</v>
      </c>
      <c r="F97" t="s" s="0">
        <v>2565</v>
      </c>
      <c r="G97" t="s" s="0">
        <v>2566</v>
      </c>
      <c r="H97" t="s" s="0">
        <v>81</v>
      </c>
      <c r="I97" t="s" s="0">
        <v>82</v>
      </c>
      <c r="J97" t="s" s="0">
        <v>2567</v>
      </c>
      <c r="K97" t="s" s="0">
        <v>2568</v>
      </c>
      <c r="L97" t="s" s="0">
        <v>81</v>
      </c>
      <c r="M97" t="s" s="0">
        <v>81</v>
      </c>
      <c r="N97" t="s" s="0">
        <v>81</v>
      </c>
      <c r="O97" t="s" s="0">
        <v>2569</v>
      </c>
      <c r="P97" t="s" s="0">
        <v>2570</v>
      </c>
      <c r="Q97" t="s" s="0">
        <v>90</v>
      </c>
      <c r="R97" t="s" s="0">
        <v>81</v>
      </c>
      <c r="S97" t="s" s="0">
        <v>81</v>
      </c>
      <c r="T97" t="s" s="0">
        <v>81</v>
      </c>
      <c r="U97" t="s" s="0">
        <v>81</v>
      </c>
      <c r="V97" t="s" s="0">
        <v>2571</v>
      </c>
      <c r="W97" t="s" s="0">
        <v>2572</v>
      </c>
      <c r="X97" t="s" s="0">
        <v>81</v>
      </c>
      <c r="Y97" t="s" s="0">
        <v>81</v>
      </c>
      <c r="Z97" t="s" s="0">
        <v>93</v>
      </c>
      <c r="AA97" t="s" s="0">
        <v>94</v>
      </c>
      <c r="AB97" t="s" s="0">
        <v>81</v>
      </c>
      <c r="AC97" t="s" s="0">
        <v>81</v>
      </c>
      <c r="AD97" t="s" s="0">
        <v>81</v>
      </c>
      <c r="AE97" t="s" s="0">
        <v>81</v>
      </c>
      <c r="AF97" t="s" s="0">
        <v>81</v>
      </c>
      <c r="AG97" t="s" s="0">
        <v>2573</v>
      </c>
      <c r="AH97" t="s" s="0">
        <v>2574</v>
      </c>
      <c r="AI97" t="s" s="0">
        <v>2575</v>
      </c>
      <c r="AJ97" t="s" s="0">
        <v>2576</v>
      </c>
      <c r="AK97" t="s" s="0">
        <v>81</v>
      </c>
      <c r="AL97" t="s" s="0">
        <v>1515</v>
      </c>
      <c r="AM97" t="s" s="0">
        <v>117</v>
      </c>
      <c r="AN97" t="s" s="0">
        <v>117</v>
      </c>
      <c r="AO97" t="s" s="0">
        <v>253</v>
      </c>
      <c r="AP97" t="s" s="0">
        <v>253</v>
      </c>
      <c r="AQ97" t="s" s="0">
        <v>957</v>
      </c>
      <c r="AR97" t="s" s="0">
        <v>958</v>
      </c>
      <c r="AS97" t="s" s="0">
        <v>959</v>
      </c>
      <c r="AT97" t="s" s="0">
        <v>2577</v>
      </c>
      <c r="AU97" t="s" s="0">
        <v>2578</v>
      </c>
      <c r="AV97" t="s" s="0">
        <v>81</v>
      </c>
      <c r="AW97" t="s" s="0">
        <v>2572</v>
      </c>
      <c r="AX97" t="s" s="0">
        <v>2579</v>
      </c>
      <c r="AY97" t="s" s="0">
        <v>203</v>
      </c>
      <c r="AZ97" t="s" s="0">
        <v>104</v>
      </c>
      <c r="BA97" t="s" s="0">
        <v>2580</v>
      </c>
      <c r="BB97" t="s" s="0">
        <v>81</v>
      </c>
      <c r="BC97" t="s" s="0">
        <v>81</v>
      </c>
      <c r="BD97" t="s" s="0">
        <v>81</v>
      </c>
      <c r="BE97" t="s" s="0">
        <v>81</v>
      </c>
      <c r="BF97" t="s" s="0">
        <v>81</v>
      </c>
      <c r="BG97" t="s" s="0">
        <v>541</v>
      </c>
      <c r="BH97" t="s" s="0">
        <v>1538</v>
      </c>
      <c r="BI97" t="s" s="0">
        <v>81</v>
      </c>
      <c r="BJ97" t="s" s="0">
        <v>2581</v>
      </c>
      <c r="BK97" t="s" s="191">
        <f>HYPERLINK("http://dx.doi.org/10.1016/j.ymeth.2026.02.007","http://dx.doi.org/10.1016/j.ymeth.2026.02.007")</f>
        <v>2582</v>
      </c>
      <c r="BL97" t="s" s="0">
        <v>81</v>
      </c>
      <c r="BM97" t="s" s="0">
        <v>2583</v>
      </c>
      <c r="BN97" t="s" s="0">
        <v>228</v>
      </c>
      <c r="BO97" t="s" s="0">
        <v>2584</v>
      </c>
      <c r="BP97" t="s" s="0">
        <v>748</v>
      </c>
      <c r="BQ97" t="s" s="0">
        <v>2585</v>
      </c>
      <c r="BR97" t="s" s="0">
        <v>2586</v>
      </c>
      <c r="BS97" t="s" s="0">
        <v>2587</v>
      </c>
      <c r="BT97" t="s" s="192">
        <f>HYPERLINK("https://www.webofscience.com/wos/woscc/full-record/WOS:001697985900001","View Record in Web of Science")</f>
        <v>114</v>
      </c>
      <c r="BU97" t="s" s="0">
        <v>457</v>
      </c>
      <c r="BV97" t="s" s="0">
        <v>81</v>
      </c>
      <c r="BW97" t="s" s="0">
        <v>81</v>
      </c>
      <c r="BX97" t="s" s="0">
        <v>116</v>
      </c>
    </row>
    <row r="98">
      <c r="A98" t="s" s="0">
        <v>77</v>
      </c>
      <c r="B98" t="s" s="0">
        <v>77</v>
      </c>
      <c r="C98" t="s" s="0">
        <v>117</v>
      </c>
      <c r="D98" t="s" s="0">
        <v>77</v>
      </c>
      <c r="E98" t="s" s="0">
        <v>2588</v>
      </c>
      <c r="F98" t="s" s="0">
        <v>2589</v>
      </c>
      <c r="G98" t="s" s="0">
        <v>2590</v>
      </c>
      <c r="H98" t="s" s="0">
        <v>81</v>
      </c>
      <c r="I98" t="s" s="0">
        <v>82</v>
      </c>
      <c r="J98" t="s" s="0">
        <v>2591</v>
      </c>
      <c r="K98" t="s" s="0">
        <v>2592</v>
      </c>
      <c r="L98" t="s" s="0">
        <v>81</v>
      </c>
      <c r="M98" t="s" s="0">
        <v>81</v>
      </c>
      <c r="N98" t="s" s="0">
        <v>81</v>
      </c>
      <c r="O98" t="s" s="0">
        <v>2593</v>
      </c>
      <c r="P98" t="s" s="0">
        <v>2594</v>
      </c>
      <c r="Q98" t="s" s="0">
        <v>90</v>
      </c>
      <c r="R98" t="s" s="0">
        <v>81</v>
      </c>
      <c r="S98" t="s" s="0">
        <v>81</v>
      </c>
      <c r="T98" t="s" s="0">
        <v>81</v>
      </c>
      <c r="U98" t="s" s="0">
        <v>81</v>
      </c>
      <c r="V98" t="s" s="0">
        <v>2595</v>
      </c>
      <c r="W98" t="s" s="0">
        <v>2596</v>
      </c>
      <c r="X98" t="s" s="0">
        <v>81</v>
      </c>
      <c r="Y98" t="s" s="0">
        <v>81</v>
      </c>
      <c r="Z98" t="s" s="0">
        <v>93</v>
      </c>
      <c r="AA98" t="s" s="0">
        <v>94</v>
      </c>
      <c r="AB98" t="s" s="0">
        <v>81</v>
      </c>
      <c r="AC98" t="s" s="0">
        <v>81</v>
      </c>
      <c r="AD98" t="s" s="0">
        <v>81</v>
      </c>
      <c r="AE98" t="s" s="0">
        <v>81</v>
      </c>
      <c r="AF98" t="s" s="0">
        <v>81</v>
      </c>
      <c r="AG98" t="s" s="0">
        <v>2597</v>
      </c>
      <c r="AH98" t="s" s="0">
        <v>81</v>
      </c>
      <c r="AI98" t="s" s="0">
        <v>81</v>
      </c>
      <c r="AJ98" t="s" s="0">
        <v>81</v>
      </c>
      <c r="AK98" t="s" s="0">
        <v>81</v>
      </c>
      <c r="AL98" t="s" s="0">
        <v>1421</v>
      </c>
      <c r="AM98" t="s" s="0">
        <v>130</v>
      </c>
      <c r="AN98" t="s" s="0">
        <v>227</v>
      </c>
      <c r="AO98" t="s" s="0">
        <v>160</v>
      </c>
      <c r="AP98" t="s" s="0">
        <v>253</v>
      </c>
      <c r="AQ98" t="s" s="0">
        <v>370</v>
      </c>
      <c r="AR98" t="s" s="0">
        <v>371</v>
      </c>
      <c r="AS98" t="s" s="0">
        <v>372</v>
      </c>
      <c r="AT98" t="s" s="0">
        <v>2598</v>
      </c>
      <c r="AU98" t="s" s="0">
        <v>2599</v>
      </c>
      <c r="AV98" t="s" s="0">
        <v>81</v>
      </c>
      <c r="AW98" t="s" s="0">
        <v>2600</v>
      </c>
      <c r="AX98" t="s" s="0">
        <v>2601</v>
      </c>
      <c r="AY98" t="s" s="0">
        <v>2602</v>
      </c>
      <c r="AZ98" t="s" s="0">
        <v>104</v>
      </c>
      <c r="BA98" t="s" s="0">
        <v>193</v>
      </c>
      <c r="BB98" t="s" s="0">
        <v>117</v>
      </c>
      <c r="BC98" t="s" s="0">
        <v>81</v>
      </c>
      <c r="BD98" t="s" s="0">
        <v>81</v>
      </c>
      <c r="BE98" t="s" s="0">
        <v>81</v>
      </c>
      <c r="BF98" t="s" s="0">
        <v>81</v>
      </c>
      <c r="BG98" t="s" s="0">
        <v>81</v>
      </c>
      <c r="BH98" t="s" s="0">
        <v>81</v>
      </c>
      <c r="BI98" t="s" s="0">
        <v>161</v>
      </c>
      <c r="BJ98" t="s" s="0">
        <v>2603</v>
      </c>
      <c r="BK98" t="s" s="193">
        <f>HYPERLINK("http://dx.doi.org/10.1007/s10791-025-09901-x","http://dx.doi.org/10.1007/s10791-025-09901-x")</f>
        <v>2604</v>
      </c>
      <c r="BL98" t="s" s="0">
        <v>81</v>
      </c>
      <c r="BM98" t="s" s="0">
        <v>81</v>
      </c>
      <c r="BN98" t="s" s="0">
        <v>846</v>
      </c>
      <c r="BO98" t="s" s="0">
        <v>2605</v>
      </c>
      <c r="BP98" t="s" s="0">
        <v>420</v>
      </c>
      <c r="BQ98" t="s" s="0">
        <v>2606</v>
      </c>
      <c r="BR98" t="s" s="0">
        <v>81</v>
      </c>
      <c r="BS98" t="s" s="0">
        <v>2607</v>
      </c>
      <c r="BT98" t="s" s="194">
        <f>HYPERLINK("https://www.webofscience.com/wos/woscc/full-record/WOS:001655532200003","View Record in Web of Science")</f>
        <v>114</v>
      </c>
      <c r="BU98" t="s" s="0">
        <v>145</v>
      </c>
      <c r="BV98" t="s" s="0">
        <v>81</v>
      </c>
      <c r="BW98" t="s" s="0">
        <v>81</v>
      </c>
      <c r="BX98" t="s" s="0">
        <v>116</v>
      </c>
    </row>
    <row r="99">
      <c r="A99" t="s" s="0">
        <v>117</v>
      </c>
      <c r="B99" t="s" s="0">
        <v>77</v>
      </c>
      <c r="C99" t="s" s="0">
        <v>160</v>
      </c>
      <c r="D99" t="s" s="0">
        <v>77</v>
      </c>
      <c r="E99" t="s" s="0">
        <v>2608</v>
      </c>
      <c r="F99" t="s" s="0">
        <v>2609</v>
      </c>
      <c r="G99" t="s" s="0">
        <v>2610</v>
      </c>
      <c r="H99" t="s" s="0">
        <v>81</v>
      </c>
      <c r="I99" t="s" s="0">
        <v>82</v>
      </c>
      <c r="J99" t="s" s="0">
        <v>2611</v>
      </c>
      <c r="K99" t="s" s="0">
        <v>2612</v>
      </c>
      <c r="L99" t="s" s="0">
        <v>2613</v>
      </c>
      <c r="M99" t="s" s="0">
        <v>2614</v>
      </c>
      <c r="N99" t="s" s="0">
        <v>2615</v>
      </c>
      <c r="O99" t="s" s="0">
        <v>2616</v>
      </c>
      <c r="P99" t="s" s="0">
        <v>2617</v>
      </c>
      <c r="Q99" t="s" s="0">
        <v>90</v>
      </c>
      <c r="R99" t="s" s="0">
        <v>81</v>
      </c>
      <c r="S99" t="s" s="0">
        <v>81</v>
      </c>
      <c r="T99" t="s" s="0">
        <v>81</v>
      </c>
      <c r="U99" t="s" s="0">
        <v>81</v>
      </c>
      <c r="V99" t="s" s="0">
        <v>2618</v>
      </c>
      <c r="W99" t="s" s="0">
        <v>2619</v>
      </c>
      <c r="X99" t="s" s="0">
        <v>81</v>
      </c>
      <c r="Y99" t="s" s="0">
        <v>81</v>
      </c>
      <c r="Z99" t="s" s="0">
        <v>93</v>
      </c>
      <c r="AA99" t="s" s="0">
        <v>94</v>
      </c>
      <c r="AB99" t="s" s="0">
        <v>81</v>
      </c>
      <c r="AC99" t="s" s="0">
        <v>81</v>
      </c>
      <c r="AD99" t="s" s="0">
        <v>81</v>
      </c>
      <c r="AE99" t="s" s="0">
        <v>81</v>
      </c>
      <c r="AF99" t="s" s="0">
        <v>81</v>
      </c>
      <c r="AG99" t="s" s="0">
        <v>2620</v>
      </c>
      <c r="AH99" t="s" s="0">
        <v>2621</v>
      </c>
      <c r="AI99" t="s" s="0">
        <v>81</v>
      </c>
      <c r="AJ99" t="s" s="0">
        <v>2622</v>
      </c>
      <c r="AK99" t="s" s="0">
        <v>81</v>
      </c>
      <c r="AL99" t="s" s="0">
        <v>878</v>
      </c>
      <c r="AM99" t="s" s="0">
        <v>128</v>
      </c>
      <c r="AN99" t="s" s="0">
        <v>129</v>
      </c>
      <c r="AO99" t="s" s="0">
        <v>204</v>
      </c>
      <c r="AP99" t="s" s="0">
        <v>2623</v>
      </c>
      <c r="AQ99" t="s" s="0">
        <v>2624</v>
      </c>
      <c r="AR99" t="s" s="0">
        <v>306</v>
      </c>
      <c r="AS99" t="s" s="0">
        <v>2625</v>
      </c>
      <c r="AT99" t="s" s="0">
        <v>2626</v>
      </c>
      <c r="AU99" t="s" s="0">
        <v>2627</v>
      </c>
      <c r="AV99" t="s" s="0">
        <v>81</v>
      </c>
      <c r="AW99" t="s" s="0">
        <v>2628</v>
      </c>
      <c r="AX99" t="s" s="0">
        <v>2629</v>
      </c>
      <c r="AY99" t="s" s="0">
        <v>2630</v>
      </c>
      <c r="AZ99" t="s" s="0">
        <v>136</v>
      </c>
      <c r="BA99" t="s" s="0">
        <v>1191</v>
      </c>
      <c r="BB99" t="s" s="0">
        <v>81</v>
      </c>
      <c r="BC99" t="s" s="0">
        <v>81</v>
      </c>
      <c r="BD99" t="s" s="0">
        <v>81</v>
      </c>
      <c r="BE99" t="s" s="0">
        <v>81</v>
      </c>
      <c r="BF99" t="s" s="0">
        <v>81</v>
      </c>
      <c r="BG99" t="s" s="0">
        <v>81</v>
      </c>
      <c r="BH99" t="s" s="0">
        <v>81</v>
      </c>
      <c r="BI99" t="s" s="0">
        <v>2631</v>
      </c>
      <c r="BJ99" t="s" s="0">
        <v>2632</v>
      </c>
      <c r="BK99" t="s" s="195">
        <f>HYPERLINK("http://dx.doi.org/10.1016/j.bios.2025.117251","http://dx.doi.org/10.1016/j.bios.2025.117251")</f>
        <v>2633</v>
      </c>
      <c r="BL99" t="s" s="0">
        <v>81</v>
      </c>
      <c r="BM99" t="s" s="0">
        <v>418</v>
      </c>
      <c r="BN99" t="s" s="0">
        <v>226</v>
      </c>
      <c r="BO99" t="s" s="0">
        <v>2634</v>
      </c>
      <c r="BP99" t="s" s="0">
        <v>2635</v>
      </c>
      <c r="BQ99" t="s" s="0">
        <v>2636</v>
      </c>
      <c r="BR99" t="s" s="0">
        <v>2637</v>
      </c>
      <c r="BS99" t="s" s="0">
        <v>2638</v>
      </c>
      <c r="BT99" t="s" s="196">
        <f>HYPERLINK("https://www.webofscience.com/wos/woscc/full-record/WOS:001436629300001","View Record in Web of Science")</f>
        <v>114</v>
      </c>
      <c r="BU99" t="s" s="0">
        <v>81</v>
      </c>
      <c r="BV99" t="s" s="0">
        <v>81</v>
      </c>
      <c r="BW99" t="s" s="0">
        <v>81</v>
      </c>
      <c r="BX99" t="s" s="0">
        <v>116</v>
      </c>
    </row>
    <row r="100">
      <c r="A100" t="s" s="0">
        <v>77</v>
      </c>
      <c r="B100" t="s" s="0">
        <v>77</v>
      </c>
      <c r="C100" t="s" s="0">
        <v>77</v>
      </c>
      <c r="D100" t="s" s="0">
        <v>77</v>
      </c>
      <c r="E100" t="s" s="0">
        <v>2639</v>
      </c>
      <c r="F100" t="s" s="0">
        <v>2640</v>
      </c>
      <c r="G100" t="s" s="0">
        <v>2641</v>
      </c>
      <c r="H100" t="s" s="0">
        <v>81</v>
      </c>
      <c r="I100" t="s" s="0">
        <v>82</v>
      </c>
      <c r="J100" t="s" s="0">
        <v>2642</v>
      </c>
      <c r="K100" t="s" s="0">
        <v>2643</v>
      </c>
      <c r="L100" t="s" s="0">
        <v>2644</v>
      </c>
      <c r="M100" t="s" s="0">
        <v>2644</v>
      </c>
      <c r="N100" t="s" s="0">
        <v>2645</v>
      </c>
      <c r="O100" t="s" s="0">
        <v>2646</v>
      </c>
      <c r="P100" t="s" s="0">
        <v>2647</v>
      </c>
      <c r="Q100" t="s" s="0">
        <v>90</v>
      </c>
      <c r="R100" t="s" s="0">
        <v>81</v>
      </c>
      <c r="S100" t="s" s="0">
        <v>81</v>
      </c>
      <c r="T100" t="s" s="0">
        <v>81</v>
      </c>
      <c r="U100" t="s" s="0">
        <v>81</v>
      </c>
      <c r="V100" t="s" s="0">
        <v>2648</v>
      </c>
      <c r="W100" t="s" s="0">
        <v>2649</v>
      </c>
      <c r="X100" t="s" s="0">
        <v>81</v>
      </c>
      <c r="Y100" t="s" s="0">
        <v>81</v>
      </c>
      <c r="Z100" t="s" s="0">
        <v>93</v>
      </c>
      <c r="AA100" t="s" s="0">
        <v>94</v>
      </c>
      <c r="AB100" t="s" s="0">
        <v>81</v>
      </c>
      <c r="AC100" t="s" s="0">
        <v>81</v>
      </c>
      <c r="AD100" t="s" s="0">
        <v>81</v>
      </c>
      <c r="AE100" t="s" s="0">
        <v>81</v>
      </c>
      <c r="AF100" t="s" s="0">
        <v>81</v>
      </c>
      <c r="AG100" t="s" s="0">
        <v>2650</v>
      </c>
      <c r="AH100" t="s" s="0">
        <v>2651</v>
      </c>
      <c r="AI100" t="s" s="0">
        <v>81</v>
      </c>
      <c r="AJ100" t="s" s="0">
        <v>81</v>
      </c>
      <c r="AK100" t="s" s="0">
        <v>81</v>
      </c>
      <c r="AL100" t="s" s="0">
        <v>304</v>
      </c>
      <c r="AM100" t="s" s="0">
        <v>77</v>
      </c>
      <c r="AN100" t="s" s="0">
        <v>77</v>
      </c>
      <c r="AO100" t="s" s="0">
        <v>77</v>
      </c>
      <c r="AP100" t="s" s="0">
        <v>77</v>
      </c>
      <c r="AQ100" t="s" s="0">
        <v>476</v>
      </c>
      <c r="AR100" t="s" s="0">
        <v>477</v>
      </c>
      <c r="AS100" t="s" s="0">
        <v>478</v>
      </c>
      <c r="AT100" t="s" s="0">
        <v>81</v>
      </c>
      <c r="AU100" t="s" s="0">
        <v>2652</v>
      </c>
      <c r="AV100" t="s" s="0">
        <v>81</v>
      </c>
      <c r="AW100" t="s" s="0">
        <v>2653</v>
      </c>
      <c r="AX100" t="s" s="0">
        <v>2654</v>
      </c>
      <c r="AY100" t="s" s="0">
        <v>2655</v>
      </c>
      <c r="AZ100" t="s" s="0">
        <v>104</v>
      </c>
      <c r="BA100" t="s" s="0">
        <v>345</v>
      </c>
      <c r="BB100" t="s" s="0">
        <v>172</v>
      </c>
      <c r="BC100" t="s" s="0">
        <v>81</v>
      </c>
      <c r="BD100" t="s" s="0">
        <v>81</v>
      </c>
      <c r="BE100" t="s" s="0">
        <v>81</v>
      </c>
      <c r="BF100" t="s" s="0">
        <v>81</v>
      </c>
      <c r="BG100" t="s" s="0">
        <v>81</v>
      </c>
      <c r="BH100" t="s" s="0">
        <v>81</v>
      </c>
      <c r="BI100" t="s" s="0">
        <v>2656</v>
      </c>
      <c r="BJ100" t="s" s="0">
        <v>2657</v>
      </c>
      <c r="BK100" t="s" s="197">
        <f>HYPERLINK("http://dx.doi.org/10.3390/s26154728","http://dx.doi.org/10.3390/s26154728")</f>
        <v>2658</v>
      </c>
      <c r="BL100" t="s" s="0">
        <v>81</v>
      </c>
      <c r="BM100" t="s" s="0">
        <v>81</v>
      </c>
      <c r="BN100" t="s" s="0">
        <v>846</v>
      </c>
      <c r="BO100" t="s" s="0">
        <v>2659</v>
      </c>
      <c r="BP100" t="s" s="0">
        <v>2660</v>
      </c>
      <c r="BQ100" t="s" s="0">
        <v>2661</v>
      </c>
      <c r="BR100" t="s" s="0">
        <v>2662</v>
      </c>
      <c r="BS100" t="s" s="0">
        <v>2663</v>
      </c>
      <c r="BT100" t="s" s="198">
        <f>HYPERLINK("https://www.webofscience.com/wos/woscc/full-record/WOS:001848193400001","View Record in Web of Science")</f>
        <v>114</v>
      </c>
      <c r="BU100" t="s" s="0">
        <v>115</v>
      </c>
      <c r="BV100" t="s" s="0">
        <v>81</v>
      </c>
      <c r="BW100" t="s" s="0">
        <v>81</v>
      </c>
      <c r="BX100" t="s" s="0">
        <v>116</v>
      </c>
    </row>
    <row r="101">
      <c r="A101" t="s" s="0">
        <v>77</v>
      </c>
      <c r="B101" t="s" s="0">
        <v>77</v>
      </c>
      <c r="C101" t="s" s="0">
        <v>77</v>
      </c>
      <c r="D101" t="s" s="0">
        <v>77</v>
      </c>
      <c r="E101" t="s" s="0">
        <v>2664</v>
      </c>
      <c r="F101" t="s" s="0">
        <v>2665</v>
      </c>
      <c r="G101" t="s" s="0">
        <v>2666</v>
      </c>
      <c r="H101" t="s" s="0">
        <v>81</v>
      </c>
      <c r="I101" t="s" s="0">
        <v>213</v>
      </c>
      <c r="J101" t="s" s="0">
        <v>2667</v>
      </c>
      <c r="K101" t="s" s="0">
        <v>2668</v>
      </c>
      <c r="L101" t="s" s="0">
        <v>81</v>
      </c>
      <c r="M101" t="s" s="0">
        <v>81</v>
      </c>
      <c r="N101" t="s" s="0">
        <v>81</v>
      </c>
      <c r="O101" t="s" s="0">
        <v>2669</v>
      </c>
      <c r="P101" t="s" s="0">
        <v>2670</v>
      </c>
      <c r="Q101" t="s" s="0">
        <v>90</v>
      </c>
      <c r="R101" t="s" s="0">
        <v>81</v>
      </c>
      <c r="S101" t="s" s="0">
        <v>81</v>
      </c>
      <c r="T101" t="s" s="0">
        <v>81</v>
      </c>
      <c r="U101" t="s" s="0">
        <v>81</v>
      </c>
      <c r="V101" t="s" s="0">
        <v>2671</v>
      </c>
      <c r="W101" t="s" s="0">
        <v>1845</v>
      </c>
      <c r="X101" t="s" s="0">
        <v>81</v>
      </c>
      <c r="Y101" t="s" s="0">
        <v>81</v>
      </c>
      <c r="Z101" t="s" s="0">
        <v>93</v>
      </c>
      <c r="AA101" t="s" s="0">
        <v>94</v>
      </c>
      <c r="AB101" t="s" s="0">
        <v>81</v>
      </c>
      <c r="AC101" t="s" s="0">
        <v>81</v>
      </c>
      <c r="AD101" t="s" s="0">
        <v>81</v>
      </c>
      <c r="AE101" t="s" s="0">
        <v>81</v>
      </c>
      <c r="AF101" t="s" s="0">
        <v>81</v>
      </c>
      <c r="AG101" t="s" s="0">
        <v>2672</v>
      </c>
      <c r="AH101" t="s" s="0">
        <v>2673</v>
      </c>
      <c r="AI101" t="s" s="0">
        <v>81</v>
      </c>
      <c r="AJ101" t="s" s="0">
        <v>81</v>
      </c>
      <c r="AK101" t="s" s="0">
        <v>81</v>
      </c>
      <c r="AL101" t="s" s="0">
        <v>1067</v>
      </c>
      <c r="AM101" t="s" s="0">
        <v>77</v>
      </c>
      <c r="AN101" t="s" s="0">
        <v>77</v>
      </c>
      <c r="AO101" t="s" s="0">
        <v>227</v>
      </c>
      <c r="AP101" t="s" s="0">
        <v>227</v>
      </c>
      <c r="AQ101" t="s" s="0">
        <v>406</v>
      </c>
      <c r="AR101" t="s" s="0">
        <v>407</v>
      </c>
      <c r="AS101" t="s" s="0">
        <v>408</v>
      </c>
      <c r="AT101" t="s" s="0">
        <v>1848</v>
      </c>
      <c r="AU101" t="s" s="0">
        <v>81</v>
      </c>
      <c r="AV101" t="s" s="0">
        <v>81</v>
      </c>
      <c r="AW101" t="s" s="0">
        <v>1849</v>
      </c>
      <c r="AX101" t="s" s="0">
        <v>1850</v>
      </c>
      <c r="AY101" t="s" s="0">
        <v>284</v>
      </c>
      <c r="AZ101" t="s" s="0">
        <v>104</v>
      </c>
      <c r="BA101" t="s" s="0">
        <v>193</v>
      </c>
      <c r="BB101" t="s" s="0">
        <v>81</v>
      </c>
      <c r="BC101" t="s" s="0">
        <v>81</v>
      </c>
      <c r="BD101" t="s" s="0">
        <v>81</v>
      </c>
      <c r="BE101" t="s" s="0">
        <v>81</v>
      </c>
      <c r="BF101" t="s" s="0">
        <v>81</v>
      </c>
      <c r="BG101" t="s" s="0">
        <v>81</v>
      </c>
      <c r="BH101" t="s" s="0">
        <v>81</v>
      </c>
      <c r="BI101" t="s" s="0">
        <v>2674</v>
      </c>
      <c r="BJ101" t="s" s="0">
        <v>2675</v>
      </c>
      <c r="BK101" t="s" s="199">
        <f>HYPERLINK("http://dx.doi.org/10.1016/j.array.2026.100730","http://dx.doi.org/10.1016/j.array.2026.100730")</f>
        <v>2676</v>
      </c>
      <c r="BL101" t="s" s="0">
        <v>81</v>
      </c>
      <c r="BM101" t="s" s="0">
        <v>81</v>
      </c>
      <c r="BN101" t="s" s="0">
        <v>172</v>
      </c>
      <c r="BO101" t="s" s="0">
        <v>1854</v>
      </c>
      <c r="BP101" t="s" s="0">
        <v>420</v>
      </c>
      <c r="BQ101" t="s" s="0">
        <v>2677</v>
      </c>
      <c r="BR101" t="s" s="0">
        <v>81</v>
      </c>
      <c r="BS101" t="s" s="0">
        <v>2678</v>
      </c>
      <c r="BT101" t="s" s="200">
        <f>HYPERLINK("https://www.webofscience.com/wos/woscc/full-record/WOS:001712972600001","View Record in Web of Science")</f>
        <v>114</v>
      </c>
      <c r="BU101" t="s" s="0">
        <v>145</v>
      </c>
      <c r="BV101" t="s" s="0">
        <v>81</v>
      </c>
      <c r="BW101" t="s" s="0">
        <v>81</v>
      </c>
      <c r="BX101" t="s" s="0">
        <v>116</v>
      </c>
    </row>
    <row r="102">
      <c r="A102" t="s" s="0">
        <v>77</v>
      </c>
      <c r="B102" t="s" s="0">
        <v>77</v>
      </c>
      <c r="C102" t="s" s="0">
        <v>77</v>
      </c>
      <c r="D102" t="s" s="0">
        <v>77</v>
      </c>
      <c r="E102" t="s" s="0">
        <v>2679</v>
      </c>
      <c r="F102" t="s" s="0">
        <v>2680</v>
      </c>
      <c r="G102" t="s" s="0">
        <v>2681</v>
      </c>
      <c r="H102" t="s" s="0">
        <v>81</v>
      </c>
      <c r="I102" t="s" s="0">
        <v>213</v>
      </c>
      <c r="J102" t="s" s="0">
        <v>2682</v>
      </c>
      <c r="K102" t="s" s="0">
        <v>81</v>
      </c>
      <c r="L102" t="s" s="0">
        <v>81</v>
      </c>
      <c r="M102" t="s" s="0">
        <v>81</v>
      </c>
      <c r="N102" t="s" s="0">
        <v>81</v>
      </c>
      <c r="O102" t="s" s="0">
        <v>2683</v>
      </c>
      <c r="P102" t="s" s="0">
        <v>2684</v>
      </c>
      <c r="Q102" t="s" s="0">
        <v>90</v>
      </c>
      <c r="R102" t="s" s="0">
        <v>81</v>
      </c>
      <c r="S102" t="s" s="0">
        <v>81</v>
      </c>
      <c r="T102" t="s" s="0">
        <v>81</v>
      </c>
      <c r="U102" t="s" s="0">
        <v>81</v>
      </c>
      <c r="V102" t="s" s="0">
        <v>2685</v>
      </c>
      <c r="W102" t="s" s="0">
        <v>2686</v>
      </c>
      <c r="X102" t="s" s="0">
        <v>81</v>
      </c>
      <c r="Y102" t="s" s="0">
        <v>81</v>
      </c>
      <c r="Z102" t="s" s="0">
        <v>93</v>
      </c>
      <c r="AA102" t="s" s="0">
        <v>94</v>
      </c>
      <c r="AB102" t="s" s="0">
        <v>81</v>
      </c>
      <c r="AC102" t="s" s="0">
        <v>81</v>
      </c>
      <c r="AD102" t="s" s="0">
        <v>81</v>
      </c>
      <c r="AE102" t="s" s="0">
        <v>81</v>
      </c>
      <c r="AF102" t="s" s="0">
        <v>81</v>
      </c>
      <c r="AG102" t="s" s="0">
        <v>2687</v>
      </c>
      <c r="AH102" t="s" s="0">
        <v>81</v>
      </c>
      <c r="AI102" t="s" s="0">
        <v>81</v>
      </c>
      <c r="AJ102" t="s" s="0">
        <v>81</v>
      </c>
      <c r="AK102" t="s" s="0">
        <v>81</v>
      </c>
      <c r="AL102" t="s" s="0">
        <v>475</v>
      </c>
      <c r="AM102" t="s" s="0">
        <v>117</v>
      </c>
      <c r="AN102" t="s" s="0">
        <v>117</v>
      </c>
      <c r="AO102" t="s" s="0">
        <v>117</v>
      </c>
      <c r="AP102" t="s" s="0">
        <v>227</v>
      </c>
      <c r="AQ102" t="s" s="0">
        <v>2688</v>
      </c>
      <c r="AR102" t="s" s="0">
        <v>2689</v>
      </c>
      <c r="AS102" t="s" s="0">
        <v>2690</v>
      </c>
      <c r="AT102" t="s" s="0">
        <v>2691</v>
      </c>
      <c r="AU102" t="s" s="0">
        <v>2692</v>
      </c>
      <c r="AV102" t="s" s="0">
        <v>81</v>
      </c>
      <c r="AW102" t="s" s="0">
        <v>2693</v>
      </c>
      <c r="AX102" t="s" s="0">
        <v>2694</v>
      </c>
      <c r="AY102" t="s" s="0">
        <v>720</v>
      </c>
      <c r="AZ102" t="s" s="0">
        <v>573</v>
      </c>
      <c r="BA102" t="s" s="0">
        <v>172</v>
      </c>
      <c r="BB102" t="s" s="0">
        <v>131</v>
      </c>
      <c r="BC102" t="s" s="0">
        <v>81</v>
      </c>
      <c r="BD102" t="s" s="0">
        <v>81</v>
      </c>
      <c r="BE102" t="s" s="0">
        <v>81</v>
      </c>
      <c r="BF102" t="s" s="0">
        <v>81</v>
      </c>
      <c r="BG102" t="s" s="0">
        <v>2695</v>
      </c>
      <c r="BH102" t="s" s="0">
        <v>2696</v>
      </c>
      <c r="BI102" t="s" s="0">
        <v>81</v>
      </c>
      <c r="BJ102" t="s" s="0">
        <v>81</v>
      </c>
      <c r="BK102" t="s" s="0">
        <v>81</v>
      </c>
      <c r="BL102" t="s" s="0">
        <v>81</v>
      </c>
      <c r="BM102" t="s" s="0">
        <v>81</v>
      </c>
      <c r="BN102" t="s" s="0">
        <v>129</v>
      </c>
      <c r="BO102" t="s" s="0">
        <v>1854</v>
      </c>
      <c r="BP102" t="s" s="0">
        <v>420</v>
      </c>
      <c r="BQ102" t="s" s="0">
        <v>2697</v>
      </c>
      <c r="BR102" t="s" s="0">
        <v>81</v>
      </c>
      <c r="BS102" t="s" s="0">
        <v>2698</v>
      </c>
      <c r="BT102" t="s" s="201">
        <f>HYPERLINK("https://www.webofscience.com/wos/woscc/full-record/WOS:001277908900001","View Record in Web of Science")</f>
        <v>114</v>
      </c>
      <c r="BU102" t="s" s="0">
        <v>81</v>
      </c>
      <c r="BV102" t="s" s="0">
        <v>81</v>
      </c>
      <c r="BW102" t="s" s="0">
        <v>81</v>
      </c>
      <c r="BX102" t="s" s="0">
        <v>116</v>
      </c>
    </row>
    <row r="103">
      <c r="A103" t="s" s="0">
        <v>77</v>
      </c>
      <c r="B103" t="s" s="0">
        <v>77</v>
      </c>
      <c r="C103" t="s" s="0">
        <v>253</v>
      </c>
      <c r="D103" t="s" s="0">
        <v>77</v>
      </c>
      <c r="E103" t="s" s="0">
        <v>2699</v>
      </c>
      <c r="F103" t="s" s="0">
        <v>2700</v>
      </c>
      <c r="G103" t="s" s="0">
        <v>2701</v>
      </c>
      <c r="H103" t="s" s="0">
        <v>81</v>
      </c>
      <c r="I103" t="s" s="0">
        <v>2702</v>
      </c>
      <c r="J103" t="s" s="0">
        <v>2703</v>
      </c>
      <c r="K103" t="s" s="0">
        <v>2704</v>
      </c>
      <c r="L103" t="s" s="0">
        <v>2705</v>
      </c>
      <c r="M103" t="s" s="0">
        <v>2706</v>
      </c>
      <c r="N103" t="s" s="0">
        <v>2707</v>
      </c>
      <c r="O103" t="s" s="0">
        <v>2708</v>
      </c>
      <c r="P103" t="s" s="0">
        <v>2709</v>
      </c>
      <c r="Q103" t="s" s="0">
        <v>90</v>
      </c>
      <c r="R103" t="s" s="0">
        <v>81</v>
      </c>
      <c r="S103" t="s" s="0">
        <v>81</v>
      </c>
      <c r="T103" t="s" s="0">
        <v>81</v>
      </c>
      <c r="U103" t="s" s="0">
        <v>81</v>
      </c>
      <c r="V103" t="s" s="0">
        <v>2710</v>
      </c>
      <c r="W103" t="s" s="0">
        <v>2711</v>
      </c>
      <c r="X103" t="s" s="0">
        <v>81</v>
      </c>
      <c r="Y103" t="s" s="0">
        <v>81</v>
      </c>
      <c r="Z103" t="s" s="0">
        <v>93</v>
      </c>
      <c r="AA103" t="s" s="0">
        <v>94</v>
      </c>
      <c r="AB103" t="s" s="0">
        <v>81</v>
      </c>
      <c r="AC103" t="s" s="0">
        <v>81</v>
      </c>
      <c r="AD103" t="s" s="0">
        <v>81</v>
      </c>
      <c r="AE103" t="s" s="0">
        <v>81</v>
      </c>
      <c r="AF103" t="s" s="0">
        <v>81</v>
      </c>
      <c r="AG103" t="s" s="0">
        <v>2712</v>
      </c>
      <c r="AH103" t="s" s="0">
        <v>2713</v>
      </c>
      <c r="AI103" t="s" s="0">
        <v>81</v>
      </c>
      <c r="AJ103" t="s" s="0">
        <v>2714</v>
      </c>
      <c r="AK103" t="s" s="0">
        <v>81</v>
      </c>
      <c r="AL103" t="s" s="0">
        <v>990</v>
      </c>
      <c r="AM103" t="s" s="0">
        <v>105</v>
      </c>
      <c r="AN103" t="s" s="0">
        <v>109</v>
      </c>
      <c r="AO103" t="s" s="0">
        <v>160</v>
      </c>
      <c r="AP103" t="s" s="0">
        <v>237</v>
      </c>
      <c r="AQ103" t="s" s="0">
        <v>738</v>
      </c>
      <c r="AR103" t="s" s="0">
        <v>306</v>
      </c>
      <c r="AS103" t="s" s="0">
        <v>739</v>
      </c>
      <c r="AT103" t="s" s="0">
        <v>2715</v>
      </c>
      <c r="AU103" t="s" s="0">
        <v>2716</v>
      </c>
      <c r="AV103" t="s" s="0">
        <v>81</v>
      </c>
      <c r="AW103" t="s" s="0">
        <v>2717</v>
      </c>
      <c r="AX103" t="s" s="0">
        <v>2718</v>
      </c>
      <c r="AY103" t="s" s="0">
        <v>2719</v>
      </c>
      <c r="AZ103" t="s" s="0">
        <v>573</v>
      </c>
      <c r="BA103" t="s" s="0">
        <v>369</v>
      </c>
      <c r="BB103" t="s" s="0">
        <v>130</v>
      </c>
      <c r="BC103" t="s" s="0">
        <v>81</v>
      </c>
      <c r="BD103" t="s" s="0">
        <v>81</v>
      </c>
      <c r="BE103" t="s" s="0">
        <v>81</v>
      </c>
      <c r="BF103" t="s" s="0">
        <v>81</v>
      </c>
      <c r="BG103" t="s" s="0">
        <v>2720</v>
      </c>
      <c r="BH103" t="s" s="0">
        <v>2721</v>
      </c>
      <c r="BI103" t="s" s="0">
        <v>81</v>
      </c>
      <c r="BJ103" t="s" s="0">
        <v>2722</v>
      </c>
      <c r="BK103" t="s" s="202">
        <f>HYPERLINK("http://dx.doi.org/10.1093/jamia/ocad213","http://dx.doi.org/10.1093/jamia/ocad213")</f>
        <v>2723</v>
      </c>
      <c r="BL103" t="s" s="0">
        <v>81</v>
      </c>
      <c r="BM103" t="s" s="0">
        <v>856</v>
      </c>
      <c r="BN103" t="s" s="0">
        <v>128</v>
      </c>
      <c r="BO103" t="s" s="0">
        <v>2724</v>
      </c>
      <c r="BP103" t="s" s="0">
        <v>2725</v>
      </c>
      <c r="BQ103" t="s" s="0">
        <v>2726</v>
      </c>
      <c r="BR103" t="s" s="0">
        <v>2727</v>
      </c>
      <c r="BS103" t="s" s="0">
        <v>2728</v>
      </c>
      <c r="BT103" t="s" s="203">
        <f>HYPERLINK("https://www.webofscience.com/wos/woscc/full-record/WOS:001102018000001","View Record in Web of Science")</f>
        <v>114</v>
      </c>
      <c r="BU103" t="s" s="0">
        <v>973</v>
      </c>
      <c r="BV103" t="s" s="0">
        <v>81</v>
      </c>
      <c r="BW103" t="s" s="0">
        <v>81</v>
      </c>
      <c r="BX103" t="s" s="0">
        <v>116</v>
      </c>
    </row>
    <row r="104">
      <c r="A104" t="s" s="0">
        <v>117</v>
      </c>
      <c r="B104" t="s" s="0">
        <v>77</v>
      </c>
      <c r="C104" t="s" s="0">
        <v>131</v>
      </c>
      <c r="D104" t="s" s="0">
        <v>77</v>
      </c>
      <c r="E104" t="s" s="0">
        <v>2729</v>
      </c>
      <c r="F104" t="s" s="0">
        <v>2730</v>
      </c>
      <c r="G104" t="s" s="0">
        <v>2731</v>
      </c>
      <c r="H104" t="s" s="0">
        <v>81</v>
      </c>
      <c r="I104" t="s" s="0">
        <v>213</v>
      </c>
      <c r="J104" t="s" s="0">
        <v>2732</v>
      </c>
      <c r="K104" t="s" s="0">
        <v>2733</v>
      </c>
      <c r="L104" t="s" s="0">
        <v>2734</v>
      </c>
      <c r="M104" t="s" s="0">
        <v>2735</v>
      </c>
      <c r="N104" t="s" s="0">
        <v>2736</v>
      </c>
      <c r="O104" t="s" s="0">
        <v>2737</v>
      </c>
      <c r="P104" t="s" s="0">
        <v>2738</v>
      </c>
      <c r="Q104" t="s" s="0">
        <v>90</v>
      </c>
      <c r="R104" t="s" s="0">
        <v>81</v>
      </c>
      <c r="S104" t="s" s="0">
        <v>81</v>
      </c>
      <c r="T104" t="s" s="0">
        <v>81</v>
      </c>
      <c r="U104" t="s" s="0">
        <v>81</v>
      </c>
      <c r="V104" t="s" s="0">
        <v>2739</v>
      </c>
      <c r="W104" t="s" s="0">
        <v>2740</v>
      </c>
      <c r="X104" t="s" s="0">
        <v>81</v>
      </c>
      <c r="Y104" t="s" s="0">
        <v>81</v>
      </c>
      <c r="Z104" t="s" s="0">
        <v>93</v>
      </c>
      <c r="AA104" t="s" s="0">
        <v>94</v>
      </c>
      <c r="AB104" t="s" s="0">
        <v>81</v>
      </c>
      <c r="AC104" t="s" s="0">
        <v>81</v>
      </c>
      <c r="AD104" t="s" s="0">
        <v>81</v>
      </c>
      <c r="AE104" t="s" s="0">
        <v>81</v>
      </c>
      <c r="AF104" t="s" s="0">
        <v>81</v>
      </c>
      <c r="AG104" t="s" s="0">
        <v>2741</v>
      </c>
      <c r="AH104" t="s" s="0">
        <v>81</v>
      </c>
      <c r="AI104" t="s" s="0">
        <v>81</v>
      </c>
      <c r="AJ104" t="s" s="0">
        <v>2742</v>
      </c>
      <c r="AK104" t="s" s="0">
        <v>81</v>
      </c>
      <c r="AL104" t="s" s="0">
        <v>1421</v>
      </c>
      <c r="AM104" t="s" s="0">
        <v>405</v>
      </c>
      <c r="AN104" t="s" s="0">
        <v>562</v>
      </c>
      <c r="AO104" t="s" s="0">
        <v>253</v>
      </c>
      <c r="AP104" t="s" s="0">
        <v>109</v>
      </c>
      <c r="AQ104" t="s" s="0">
        <v>708</v>
      </c>
      <c r="AR104" t="s" s="0">
        <v>709</v>
      </c>
      <c r="AS104" t="s" s="0">
        <v>710</v>
      </c>
      <c r="AT104" t="s" s="0">
        <v>2743</v>
      </c>
      <c r="AU104" t="s" s="0">
        <v>2744</v>
      </c>
      <c r="AV104" t="s" s="0">
        <v>81</v>
      </c>
      <c r="AW104" t="s" s="0">
        <v>2745</v>
      </c>
      <c r="AX104" t="s" s="0">
        <v>2746</v>
      </c>
      <c r="AY104" t="s" s="0">
        <v>572</v>
      </c>
      <c r="AZ104" t="s" s="0">
        <v>573</v>
      </c>
      <c r="BA104" t="s" s="0">
        <v>253</v>
      </c>
      <c r="BB104" t="s" s="0">
        <v>253</v>
      </c>
      <c r="BC104" t="s" s="0">
        <v>81</v>
      </c>
      <c r="BD104" t="s" s="0">
        <v>81</v>
      </c>
      <c r="BE104" t="s" s="0">
        <v>81</v>
      </c>
      <c r="BF104" t="s" s="0">
        <v>81</v>
      </c>
      <c r="BG104" t="s" s="0">
        <v>81</v>
      </c>
      <c r="BH104" t="s" s="0">
        <v>81</v>
      </c>
      <c r="BI104" t="s" s="0">
        <v>81</v>
      </c>
      <c r="BJ104" t="s" s="0">
        <v>2747</v>
      </c>
      <c r="BK104" t="s" s="204">
        <f>HYPERLINK("http://dx.doi.org/10.1002/VIW.20240001","http://dx.doi.org/10.1002/VIW.20240001")</f>
        <v>2748</v>
      </c>
      <c r="BL104" t="s" s="0">
        <v>81</v>
      </c>
      <c r="BM104" t="s" s="0">
        <v>578</v>
      </c>
      <c r="BN104" t="s" s="0">
        <v>228</v>
      </c>
      <c r="BO104" t="s" s="0">
        <v>2749</v>
      </c>
      <c r="BP104" t="s" s="0">
        <v>2750</v>
      </c>
      <c r="BQ104" t="s" s="0">
        <v>2751</v>
      </c>
      <c r="BR104" t="s" s="0">
        <v>81</v>
      </c>
      <c r="BS104" t="s" s="0">
        <v>2752</v>
      </c>
      <c r="BT104" t="s" s="205">
        <f>HYPERLINK("https://www.webofscience.com/wos/woscc/full-record/WOS:001286052700001","View Record in Web of Science")</f>
        <v>114</v>
      </c>
      <c r="BU104" t="s" s="0">
        <v>115</v>
      </c>
      <c r="BV104" t="s" s="0">
        <v>81</v>
      </c>
      <c r="BW104" t="s" s="0">
        <v>81</v>
      </c>
      <c r="BX104" t="s" s="0">
        <v>116</v>
      </c>
    </row>
    <row r="105">
      <c r="A105" t="s" s="0">
        <v>77</v>
      </c>
      <c r="B105" t="s" s="0">
        <v>77</v>
      </c>
      <c r="C105" t="s" s="0">
        <v>77</v>
      </c>
      <c r="D105" t="s" s="0">
        <v>77</v>
      </c>
      <c r="E105" t="s" s="0">
        <v>2753</v>
      </c>
      <c r="F105" t="s" s="0">
        <v>2754</v>
      </c>
      <c r="G105" t="s" s="0">
        <v>2755</v>
      </c>
      <c r="H105" t="s" s="0">
        <v>81</v>
      </c>
      <c r="I105" t="s" s="0">
        <v>82</v>
      </c>
      <c r="J105" t="s" s="0">
        <v>2756</v>
      </c>
      <c r="K105" t="s" s="0">
        <v>2757</v>
      </c>
      <c r="L105" t="s" s="0">
        <v>2758</v>
      </c>
      <c r="M105" t="s" s="0">
        <v>2759</v>
      </c>
      <c r="N105" t="s" s="0">
        <v>2760</v>
      </c>
      <c r="O105" t="s" s="0">
        <v>2761</v>
      </c>
      <c r="P105" t="s" s="0">
        <v>2762</v>
      </c>
      <c r="Q105" t="s" s="0">
        <v>90</v>
      </c>
      <c r="R105" t="s" s="0">
        <v>81</v>
      </c>
      <c r="S105" t="s" s="0">
        <v>81</v>
      </c>
      <c r="T105" t="s" s="0">
        <v>81</v>
      </c>
      <c r="U105" t="s" s="0">
        <v>81</v>
      </c>
      <c r="V105" t="s" s="0">
        <v>2763</v>
      </c>
      <c r="W105" t="s" s="0">
        <v>154</v>
      </c>
      <c r="X105" t="s" s="0">
        <v>81</v>
      </c>
      <c r="Y105" t="s" s="0">
        <v>81</v>
      </c>
      <c r="Z105" t="s" s="0">
        <v>93</v>
      </c>
      <c r="AA105" t="s" s="0">
        <v>94</v>
      </c>
      <c r="AB105" t="s" s="0">
        <v>81</v>
      </c>
      <c r="AC105" t="s" s="0">
        <v>81</v>
      </c>
      <c r="AD105" t="s" s="0">
        <v>81</v>
      </c>
      <c r="AE105" t="s" s="0">
        <v>81</v>
      </c>
      <c r="AF105" t="s" s="0">
        <v>81</v>
      </c>
      <c r="AG105" t="s" s="0">
        <v>2764</v>
      </c>
      <c r="AH105" t="s" s="0">
        <v>2765</v>
      </c>
      <c r="AI105" t="s" s="0">
        <v>2766</v>
      </c>
      <c r="AJ105" t="s" s="0">
        <v>81</v>
      </c>
      <c r="AK105" t="s" s="0">
        <v>81</v>
      </c>
      <c r="AL105" t="s" s="0">
        <v>474</v>
      </c>
      <c r="AM105" t="s" s="0">
        <v>77</v>
      </c>
      <c r="AN105" t="s" s="0">
        <v>77</v>
      </c>
      <c r="AO105" t="s" s="0">
        <v>77</v>
      </c>
      <c r="AP105" t="s" s="0">
        <v>77</v>
      </c>
      <c r="AQ105" t="s" s="0">
        <v>162</v>
      </c>
      <c r="AR105" t="s" s="0">
        <v>163</v>
      </c>
      <c r="AS105" t="s" s="0">
        <v>164</v>
      </c>
      <c r="AT105" t="s" s="0">
        <v>165</v>
      </c>
      <c r="AU105" t="s" s="0">
        <v>81</v>
      </c>
      <c r="AV105" t="s" s="0">
        <v>81</v>
      </c>
      <c r="AW105" t="s" s="0">
        <v>154</v>
      </c>
      <c r="AX105" t="s" s="0">
        <v>166</v>
      </c>
      <c r="AY105" t="s" s="0">
        <v>104</v>
      </c>
      <c r="AZ105" t="s" s="0">
        <v>104</v>
      </c>
      <c r="BA105" t="s" s="0">
        <v>228</v>
      </c>
      <c r="BB105" t="s" s="0">
        <v>81</v>
      </c>
      <c r="BC105" t="s" s="0">
        <v>81</v>
      </c>
      <c r="BD105" t="s" s="0">
        <v>81</v>
      </c>
      <c r="BE105" t="s" s="0">
        <v>81</v>
      </c>
      <c r="BF105" t="s" s="0">
        <v>81</v>
      </c>
      <c r="BG105" t="s" s="0">
        <v>2767</v>
      </c>
      <c r="BH105" t="s" s="0">
        <v>2768</v>
      </c>
      <c r="BI105" t="s" s="0">
        <v>81</v>
      </c>
      <c r="BJ105" t="s" s="0">
        <v>2769</v>
      </c>
      <c r="BK105" t="s" s="206">
        <f>HYPERLINK("http://dx.doi.org/10.1109/ACCESS.2026.3687397","http://dx.doi.org/10.1109/ACCESS.2026.3687397")</f>
        <v>2770</v>
      </c>
      <c r="BL105" t="s" s="0">
        <v>81</v>
      </c>
      <c r="BM105" t="s" s="0">
        <v>81</v>
      </c>
      <c r="BN105" t="s" s="0">
        <v>172</v>
      </c>
      <c r="BO105" t="s" s="0">
        <v>173</v>
      </c>
      <c r="BP105" t="s" s="0">
        <v>174</v>
      </c>
      <c r="BQ105" t="s" s="0">
        <v>2771</v>
      </c>
      <c r="BR105" t="s" s="0">
        <v>81</v>
      </c>
      <c r="BS105" t="s" s="0">
        <v>2772</v>
      </c>
      <c r="BT105" t="s" s="207">
        <f>HYPERLINK("https://www.webofscience.com/wos/woscc/full-record/WOS:001754886700030","View Record in Web of Science")</f>
        <v>114</v>
      </c>
      <c r="BU105" t="s" s="0">
        <v>145</v>
      </c>
      <c r="BV105" t="s" s="0">
        <v>81</v>
      </c>
      <c r="BW105" t="s" s="0">
        <v>81</v>
      </c>
      <c r="BX105" t="s" s="0">
        <v>116</v>
      </c>
    </row>
    <row r="106">
      <c r="A106" t="s" s="0">
        <v>77</v>
      </c>
      <c r="B106" t="s" s="0">
        <v>77</v>
      </c>
      <c r="C106" t="s" s="0">
        <v>77</v>
      </c>
      <c r="D106" t="s" s="0">
        <v>77</v>
      </c>
      <c r="E106" t="s" s="0">
        <v>2773</v>
      </c>
      <c r="F106" t="s" s="0">
        <v>2774</v>
      </c>
      <c r="G106" t="s" s="0">
        <v>2775</v>
      </c>
      <c r="H106" t="s" s="0">
        <v>81</v>
      </c>
      <c r="I106" t="s" s="0">
        <v>2702</v>
      </c>
      <c r="J106" t="s" s="0">
        <v>2776</v>
      </c>
      <c r="K106" t="s" s="0">
        <v>2777</v>
      </c>
      <c r="L106" t="s" s="0">
        <v>2778</v>
      </c>
      <c r="M106" t="s" s="0">
        <v>2779</v>
      </c>
      <c r="N106" t="s" s="0">
        <v>2780</v>
      </c>
      <c r="O106" t="s" s="0">
        <v>2781</v>
      </c>
      <c r="P106" t="s" s="0">
        <v>2782</v>
      </c>
      <c r="Q106" t="s" s="0">
        <v>90</v>
      </c>
      <c r="R106" t="s" s="0">
        <v>81</v>
      </c>
      <c r="S106" t="s" s="0">
        <v>81</v>
      </c>
      <c r="T106" t="s" s="0">
        <v>81</v>
      </c>
      <c r="U106" t="s" s="0">
        <v>81</v>
      </c>
      <c r="V106" t="s" s="0">
        <v>2783</v>
      </c>
      <c r="W106" t="s" s="0">
        <v>2784</v>
      </c>
      <c r="X106" t="s" s="0">
        <v>81</v>
      </c>
      <c r="Y106" t="s" s="0">
        <v>81</v>
      </c>
      <c r="Z106" t="s" s="0">
        <v>93</v>
      </c>
      <c r="AA106" t="s" s="0">
        <v>94</v>
      </c>
      <c r="AB106" t="s" s="0">
        <v>81</v>
      </c>
      <c r="AC106" t="s" s="0">
        <v>81</v>
      </c>
      <c r="AD106" t="s" s="0">
        <v>81</v>
      </c>
      <c r="AE106" t="s" s="0">
        <v>81</v>
      </c>
      <c r="AF106" t="s" s="0">
        <v>81</v>
      </c>
      <c r="AG106" t="s" s="0">
        <v>2785</v>
      </c>
      <c r="AH106" t="s" s="0">
        <v>81</v>
      </c>
      <c r="AI106" t="s" s="0">
        <v>81</v>
      </c>
      <c r="AJ106" t="s" s="0">
        <v>2786</v>
      </c>
      <c r="AK106" t="s" s="0">
        <v>81</v>
      </c>
      <c r="AL106" t="s" s="0">
        <v>706</v>
      </c>
      <c r="AM106" t="s" s="0">
        <v>117</v>
      </c>
      <c r="AN106" t="s" s="0">
        <v>117</v>
      </c>
      <c r="AO106" t="s" s="0">
        <v>253</v>
      </c>
      <c r="AP106" t="s" s="0">
        <v>226</v>
      </c>
      <c r="AQ106" t="s" s="0">
        <v>2787</v>
      </c>
      <c r="AR106" t="s" s="0">
        <v>339</v>
      </c>
      <c r="AS106" t="s" s="0">
        <v>2788</v>
      </c>
      <c r="AT106" t="s" s="0">
        <v>2789</v>
      </c>
      <c r="AU106" t="s" s="0">
        <v>81</v>
      </c>
      <c r="AV106" t="s" s="0">
        <v>81</v>
      </c>
      <c r="AW106" t="s" s="0">
        <v>2790</v>
      </c>
      <c r="AX106" t="s" s="0">
        <v>2791</v>
      </c>
      <c r="AY106" t="s" s="0">
        <v>136</v>
      </c>
      <c r="AZ106" t="s" s="0">
        <v>136</v>
      </c>
      <c r="BA106" t="s" s="0">
        <v>204</v>
      </c>
      <c r="BB106" t="s" s="0">
        <v>81</v>
      </c>
      <c r="BC106" t="s" s="0">
        <v>81</v>
      </c>
      <c r="BD106" t="s" s="0">
        <v>81</v>
      </c>
      <c r="BE106" t="s" s="0">
        <v>81</v>
      </c>
      <c r="BF106" t="s" s="0">
        <v>81</v>
      </c>
      <c r="BG106" t="s" s="0">
        <v>81</v>
      </c>
      <c r="BH106" t="s" s="0">
        <v>81</v>
      </c>
      <c r="BI106" t="s" s="0">
        <v>2792</v>
      </c>
      <c r="BJ106" t="s" s="0">
        <v>2793</v>
      </c>
      <c r="BK106" t="s" s="208">
        <f>HYPERLINK("http://dx.doi.org/10.1177/20552076251390281","http://dx.doi.org/10.1177/20552076251390281")</f>
        <v>2794</v>
      </c>
      <c r="BL106" t="s" s="0">
        <v>81</v>
      </c>
      <c r="BM106" t="s" s="0">
        <v>81</v>
      </c>
      <c r="BN106" t="s" s="0">
        <v>204</v>
      </c>
      <c r="BO106" t="s" s="0">
        <v>2795</v>
      </c>
      <c r="BP106" t="s" s="0">
        <v>2796</v>
      </c>
      <c r="BQ106" t="s" s="0">
        <v>2797</v>
      </c>
      <c r="BR106" t="s" s="0">
        <v>2798</v>
      </c>
      <c r="BS106" t="s" s="0">
        <v>2799</v>
      </c>
      <c r="BT106" t="s" s="209">
        <f>HYPERLINK("https://www.webofscience.com/wos/woscc/full-record/WOS:001598111500001","View Record in Web of Science")</f>
        <v>114</v>
      </c>
      <c r="BU106" t="s" s="0">
        <v>145</v>
      </c>
      <c r="BV106" t="s" s="0">
        <v>81</v>
      </c>
      <c r="BW106" t="s" s="0">
        <v>81</v>
      </c>
      <c r="BX106" t="s" s="0">
        <v>116</v>
      </c>
    </row>
    <row r="107">
      <c r="A107" t="s" s="0">
        <v>117</v>
      </c>
      <c r="B107" t="s" s="0">
        <v>77</v>
      </c>
      <c r="C107" t="s" s="0">
        <v>227</v>
      </c>
      <c r="D107" t="s" s="0">
        <v>77</v>
      </c>
      <c r="E107" t="s" s="0">
        <v>2800</v>
      </c>
      <c r="F107" t="s" s="0">
        <v>2801</v>
      </c>
      <c r="G107" t="s" s="0">
        <v>2802</v>
      </c>
      <c r="H107" t="s" s="0">
        <v>81</v>
      </c>
      <c r="I107" t="s" s="0">
        <v>82</v>
      </c>
      <c r="J107" t="s" s="0">
        <v>2803</v>
      </c>
      <c r="K107" t="s" s="0">
        <v>2804</v>
      </c>
      <c r="L107" t="s" s="0">
        <v>2805</v>
      </c>
      <c r="M107" t="s" s="0">
        <v>2806</v>
      </c>
      <c r="N107" t="s" s="0">
        <v>2807</v>
      </c>
      <c r="O107" t="s" s="0">
        <v>2808</v>
      </c>
      <c r="P107" t="s" s="0">
        <v>2809</v>
      </c>
      <c r="Q107" t="s" s="0">
        <v>90</v>
      </c>
      <c r="R107" t="s" s="0">
        <v>81</v>
      </c>
      <c r="S107" t="s" s="0">
        <v>81</v>
      </c>
      <c r="T107" t="s" s="0">
        <v>81</v>
      </c>
      <c r="U107" t="s" s="0">
        <v>81</v>
      </c>
      <c r="V107" t="s" s="0">
        <v>2810</v>
      </c>
      <c r="W107" t="s" s="0">
        <v>2811</v>
      </c>
      <c r="X107" t="s" s="0">
        <v>81</v>
      </c>
      <c r="Y107" t="s" s="0">
        <v>81</v>
      </c>
      <c r="Z107" t="s" s="0">
        <v>93</v>
      </c>
      <c r="AA107" t="s" s="0">
        <v>94</v>
      </c>
      <c r="AB107" t="s" s="0">
        <v>81</v>
      </c>
      <c r="AC107" t="s" s="0">
        <v>81</v>
      </c>
      <c r="AD107" t="s" s="0">
        <v>81</v>
      </c>
      <c r="AE107" t="s" s="0">
        <v>81</v>
      </c>
      <c r="AF107" t="s" s="0">
        <v>81</v>
      </c>
      <c r="AG107" t="s" s="0">
        <v>81</v>
      </c>
      <c r="AH107" t="s" s="0">
        <v>2812</v>
      </c>
      <c r="AI107" t="s" s="0">
        <v>2813</v>
      </c>
      <c r="AJ107" t="s" s="0">
        <v>2814</v>
      </c>
      <c r="AK107" t="s" s="0">
        <v>81</v>
      </c>
      <c r="AL107" t="s" s="0">
        <v>345</v>
      </c>
      <c r="AM107" t="s" s="0">
        <v>137</v>
      </c>
      <c r="AN107" t="s" s="0">
        <v>137</v>
      </c>
      <c r="AO107" t="s" s="0">
        <v>77</v>
      </c>
      <c r="AP107" t="s" s="0">
        <v>225</v>
      </c>
      <c r="AQ107" t="s" s="0">
        <v>2815</v>
      </c>
      <c r="AR107" t="s" s="0">
        <v>1099</v>
      </c>
      <c r="AS107" t="s" s="0">
        <v>2816</v>
      </c>
      <c r="AT107" t="s" s="0">
        <v>2817</v>
      </c>
      <c r="AU107" t="s" s="0">
        <v>2818</v>
      </c>
      <c r="AV107" t="s" s="0">
        <v>81</v>
      </c>
      <c r="AW107" t="s" s="0">
        <v>2811</v>
      </c>
      <c r="AX107" t="s" s="0">
        <v>2819</v>
      </c>
      <c r="AY107" t="s" s="0">
        <v>851</v>
      </c>
      <c r="AZ107" t="s" s="0">
        <v>573</v>
      </c>
      <c r="BA107" t="s" s="0">
        <v>2820</v>
      </c>
      <c r="BB107" t="s" s="0">
        <v>117</v>
      </c>
      <c r="BC107" t="s" s="0">
        <v>81</v>
      </c>
      <c r="BD107" t="s" s="0">
        <v>81</v>
      </c>
      <c r="BE107" t="s" s="0">
        <v>81</v>
      </c>
      <c r="BF107" t="s" s="0">
        <v>81</v>
      </c>
      <c r="BG107" t="s" s="0">
        <v>2250</v>
      </c>
      <c r="BH107" t="s" s="0">
        <v>2821</v>
      </c>
      <c r="BI107" t="s" s="0">
        <v>81</v>
      </c>
      <c r="BJ107" t="s" s="0">
        <v>2822</v>
      </c>
      <c r="BK107" t="s" s="210">
        <f>HYPERLINK("http://dx.doi.org/10.1016/j.surg.2023.06.053","http://dx.doi.org/10.1016/j.surg.2023.06.053")</f>
        <v>2823</v>
      </c>
      <c r="BL107" t="s" s="0">
        <v>81</v>
      </c>
      <c r="BM107" t="s" s="0">
        <v>2824</v>
      </c>
      <c r="BN107" t="s" s="0">
        <v>161</v>
      </c>
      <c r="BO107" t="s" s="0">
        <v>2819</v>
      </c>
      <c r="BP107" t="s" s="0">
        <v>2819</v>
      </c>
      <c r="BQ107" t="s" s="0">
        <v>2825</v>
      </c>
      <c r="BR107" t="s" s="0">
        <v>2826</v>
      </c>
      <c r="BS107" t="s" s="0">
        <v>2827</v>
      </c>
      <c r="BT107" t="s" s="211">
        <f>HYPERLINK("https://www.webofscience.com/wos/woscc/full-record/WOS:001141691400001","View Record in Web of Science")</f>
        <v>114</v>
      </c>
      <c r="BU107" t="s" s="0">
        <v>81</v>
      </c>
      <c r="BV107" t="s" s="0">
        <v>81</v>
      </c>
      <c r="BW107" t="s" s="0">
        <v>81</v>
      </c>
      <c r="BX107" t="s" s="0">
        <v>116</v>
      </c>
    </row>
    <row r="108">
      <c r="A108" t="s" s="0">
        <v>77</v>
      </c>
      <c r="B108" t="s" s="0">
        <v>77</v>
      </c>
      <c r="C108" t="s" s="0">
        <v>77</v>
      </c>
      <c r="D108" t="s" s="0">
        <v>77</v>
      </c>
      <c r="E108" t="s" s="0">
        <v>2828</v>
      </c>
      <c r="F108" t="s" s="0">
        <v>2829</v>
      </c>
      <c r="G108" t="s" s="0">
        <v>2830</v>
      </c>
      <c r="H108" t="s" s="0">
        <v>81</v>
      </c>
      <c r="I108" t="s" s="0">
        <v>82</v>
      </c>
      <c r="J108" t="s" s="0">
        <v>2831</v>
      </c>
      <c r="K108" t="s" s="0">
        <v>2832</v>
      </c>
      <c r="L108" t="s" s="0">
        <v>2833</v>
      </c>
      <c r="M108" t="s" s="0">
        <v>2834</v>
      </c>
      <c r="N108" t="s" s="0">
        <v>2835</v>
      </c>
      <c r="O108" t="s" s="0">
        <v>2836</v>
      </c>
      <c r="P108" t="s" s="0">
        <v>2837</v>
      </c>
      <c r="Q108" t="s" s="0">
        <v>90</v>
      </c>
      <c r="R108" t="s" s="0">
        <v>81</v>
      </c>
      <c r="S108" t="s" s="0">
        <v>81</v>
      </c>
      <c r="T108" t="s" s="0">
        <v>81</v>
      </c>
      <c r="U108" t="s" s="0">
        <v>81</v>
      </c>
      <c r="V108" t="s" s="0">
        <v>2838</v>
      </c>
      <c r="W108" t="s" s="0">
        <v>2839</v>
      </c>
      <c r="X108" t="s" s="0">
        <v>81</v>
      </c>
      <c r="Y108" t="s" s="0">
        <v>81</v>
      </c>
      <c r="Z108" t="s" s="0">
        <v>93</v>
      </c>
      <c r="AA108" t="s" s="0">
        <v>94</v>
      </c>
      <c r="AB108" t="s" s="0">
        <v>81</v>
      </c>
      <c r="AC108" t="s" s="0">
        <v>81</v>
      </c>
      <c r="AD108" t="s" s="0">
        <v>81</v>
      </c>
      <c r="AE108" t="s" s="0">
        <v>81</v>
      </c>
      <c r="AF108" t="s" s="0">
        <v>81</v>
      </c>
      <c r="AG108" t="s" s="0">
        <v>2840</v>
      </c>
      <c r="AH108" t="s" s="0">
        <v>81</v>
      </c>
      <c r="AI108" t="s" s="0">
        <v>2841</v>
      </c>
      <c r="AJ108" t="s" s="0">
        <v>2842</v>
      </c>
      <c r="AK108" t="s" s="0">
        <v>81</v>
      </c>
      <c r="AL108" t="s" s="0">
        <v>1900</v>
      </c>
      <c r="AM108" t="s" s="0">
        <v>77</v>
      </c>
      <c r="AN108" t="s" s="0">
        <v>77</v>
      </c>
      <c r="AO108" t="s" s="0">
        <v>227</v>
      </c>
      <c r="AP108" t="s" s="0">
        <v>227</v>
      </c>
      <c r="AQ108" t="s" s="0">
        <v>439</v>
      </c>
      <c r="AR108" t="s" s="0">
        <v>339</v>
      </c>
      <c r="AS108" t="s" s="0">
        <v>440</v>
      </c>
      <c r="AT108" t="s" s="0">
        <v>2843</v>
      </c>
      <c r="AU108" t="s" s="0">
        <v>2844</v>
      </c>
      <c r="AV108" t="s" s="0">
        <v>81</v>
      </c>
      <c r="AW108" t="s" s="0">
        <v>2845</v>
      </c>
      <c r="AX108" t="s" s="0">
        <v>2846</v>
      </c>
      <c r="AY108" t="s" s="0">
        <v>511</v>
      </c>
      <c r="AZ108" t="s" s="0">
        <v>104</v>
      </c>
      <c r="BA108" t="s" s="0">
        <v>564</v>
      </c>
      <c r="BB108" t="s" s="0">
        <v>117</v>
      </c>
      <c r="BC108" t="s" s="0">
        <v>81</v>
      </c>
      <c r="BD108" t="s" s="0">
        <v>81</v>
      </c>
      <c r="BE108" t="s" s="0">
        <v>81</v>
      </c>
      <c r="BF108" t="s" s="0">
        <v>81</v>
      </c>
      <c r="BG108" t="s" s="0">
        <v>81</v>
      </c>
      <c r="BH108" t="s" s="0">
        <v>81</v>
      </c>
      <c r="BI108" t="s" s="0">
        <v>2847</v>
      </c>
      <c r="BJ108" t="s" s="0">
        <v>2848</v>
      </c>
      <c r="BK108" t="s" s="212">
        <f>HYPERLINK("http://dx.doi.org/10.1007/s44196-026-01193-3","http://dx.doi.org/10.1007/s44196-026-01193-3")</f>
        <v>2849</v>
      </c>
      <c r="BL108" t="s" s="0">
        <v>81</v>
      </c>
      <c r="BM108" t="s" s="0">
        <v>284</v>
      </c>
      <c r="BN108" t="s" s="0">
        <v>193</v>
      </c>
      <c r="BO108" t="s" s="0">
        <v>2850</v>
      </c>
      <c r="BP108" t="s" s="0">
        <v>420</v>
      </c>
      <c r="BQ108" t="s" s="0">
        <v>2851</v>
      </c>
      <c r="BR108" t="s" s="0">
        <v>81</v>
      </c>
      <c r="BS108" t="s" s="0">
        <v>2852</v>
      </c>
      <c r="BT108" t="s" s="213">
        <f>HYPERLINK("https://www.webofscience.com/wos/woscc/full-record/WOS:001765052700002","View Record in Web of Science")</f>
        <v>114</v>
      </c>
      <c r="BU108" t="s" s="0">
        <v>115</v>
      </c>
      <c r="BV108" t="s" s="0">
        <v>81</v>
      </c>
      <c r="BW108" t="s" s="0">
        <v>81</v>
      </c>
      <c r="BX108" t="s" s="0">
        <v>116</v>
      </c>
    </row>
    <row r="109">
      <c r="A109" t="s" s="0">
        <v>77</v>
      </c>
      <c r="B109" t="s" s="0">
        <v>77</v>
      </c>
      <c r="C109" t="s" s="0">
        <v>77</v>
      </c>
      <c r="D109" t="s" s="0">
        <v>77</v>
      </c>
      <c r="E109" t="s" s="0">
        <v>2853</v>
      </c>
      <c r="F109" t="s" s="0">
        <v>2854</v>
      </c>
      <c r="G109" t="s" s="0">
        <v>2855</v>
      </c>
      <c r="H109" t="s" s="0">
        <v>81</v>
      </c>
      <c r="I109" t="s" s="0">
        <v>82</v>
      </c>
      <c r="J109" t="s" s="0">
        <v>2856</v>
      </c>
      <c r="K109" t="s" s="0">
        <v>2857</v>
      </c>
      <c r="L109" t="s" s="0">
        <v>2858</v>
      </c>
      <c r="M109" t="s" s="0">
        <v>184</v>
      </c>
      <c r="N109" t="s" s="0">
        <v>2859</v>
      </c>
      <c r="O109" t="s" s="0">
        <v>2860</v>
      </c>
      <c r="P109" t="s" s="0">
        <v>2861</v>
      </c>
      <c r="Q109" t="s" s="0">
        <v>90</v>
      </c>
      <c r="R109" t="s" s="0">
        <v>81</v>
      </c>
      <c r="S109" t="s" s="0">
        <v>81</v>
      </c>
      <c r="T109" t="s" s="0">
        <v>81</v>
      </c>
      <c r="U109" t="s" s="0">
        <v>81</v>
      </c>
      <c r="V109" t="s" s="0">
        <v>2862</v>
      </c>
      <c r="W109" t="s" s="0">
        <v>2863</v>
      </c>
      <c r="X109" t="s" s="0">
        <v>81</v>
      </c>
      <c r="Y109" t="s" s="0">
        <v>81</v>
      </c>
      <c r="Z109" t="s" s="0">
        <v>93</v>
      </c>
      <c r="AA109" t="s" s="0">
        <v>94</v>
      </c>
      <c r="AB109" t="s" s="0">
        <v>81</v>
      </c>
      <c r="AC109" t="s" s="0">
        <v>81</v>
      </c>
      <c r="AD109" t="s" s="0">
        <v>81</v>
      </c>
      <c r="AE109" t="s" s="0">
        <v>81</v>
      </c>
      <c r="AF109" t="s" s="0">
        <v>81</v>
      </c>
      <c r="AG109" t="s" s="0">
        <v>2864</v>
      </c>
      <c r="AH109" t="s" s="0">
        <v>81</v>
      </c>
      <c r="AI109" t="s" s="0">
        <v>2865</v>
      </c>
      <c r="AJ109" t="s" s="0">
        <v>81</v>
      </c>
      <c r="AK109" t="s" s="0">
        <v>81</v>
      </c>
      <c r="AL109" t="s" s="0">
        <v>1900</v>
      </c>
      <c r="AM109" t="s" s="0">
        <v>77</v>
      </c>
      <c r="AN109" t="s" s="0">
        <v>77</v>
      </c>
      <c r="AO109" t="s" s="0">
        <v>130</v>
      </c>
      <c r="AP109" t="s" s="0">
        <v>130</v>
      </c>
      <c r="AQ109" t="s" s="0">
        <v>338</v>
      </c>
      <c r="AR109" t="s" s="0">
        <v>339</v>
      </c>
      <c r="AS109" t="s" s="0">
        <v>340</v>
      </c>
      <c r="AT109" t="s" s="0">
        <v>81</v>
      </c>
      <c r="AU109" t="s" s="0">
        <v>2866</v>
      </c>
      <c r="AV109" t="s" s="0">
        <v>81</v>
      </c>
      <c r="AW109" t="s" s="0">
        <v>2863</v>
      </c>
      <c r="AX109" t="s" s="0">
        <v>2867</v>
      </c>
      <c r="AY109" t="s" s="0">
        <v>2868</v>
      </c>
      <c r="AZ109" t="s" s="0">
        <v>104</v>
      </c>
      <c r="BA109" t="s" s="0">
        <v>345</v>
      </c>
      <c r="BB109" t="s" s="0">
        <v>117</v>
      </c>
      <c r="BC109" t="s" s="0">
        <v>81</v>
      </c>
      <c r="BD109" t="s" s="0">
        <v>81</v>
      </c>
      <c r="BE109" t="s" s="0">
        <v>81</v>
      </c>
      <c r="BF109" t="s" s="0">
        <v>81</v>
      </c>
      <c r="BG109" t="s" s="0">
        <v>81</v>
      </c>
      <c r="BH109" t="s" s="0">
        <v>81</v>
      </c>
      <c r="BI109" t="s" s="0">
        <v>2869</v>
      </c>
      <c r="BJ109" t="s" s="0">
        <v>2870</v>
      </c>
      <c r="BK109" t="s" s="214">
        <f>HYPERLINK("http://dx.doi.org/10.1186/s12885-026-16116-w","http://dx.doi.org/10.1186/s12885-026-16116-w")</f>
        <v>2871</v>
      </c>
      <c r="BL109" t="s" s="0">
        <v>81</v>
      </c>
      <c r="BM109" t="s" s="0">
        <v>203</v>
      </c>
      <c r="BN109" t="s" s="0">
        <v>137</v>
      </c>
      <c r="BO109" t="s" s="0">
        <v>939</v>
      </c>
      <c r="BP109" t="s" s="0">
        <v>939</v>
      </c>
      <c r="BQ109" t="s" s="0">
        <v>2872</v>
      </c>
      <c r="BR109" t="s" s="0">
        <v>2873</v>
      </c>
      <c r="BS109" t="s" s="0">
        <v>2874</v>
      </c>
      <c r="BT109" t="s" s="215">
        <f>HYPERLINK("https://www.webofscience.com/wos/woscc/full-record/WOS:001810951600001","View Record in Web of Science")</f>
        <v>114</v>
      </c>
      <c r="BU109" t="s" s="0">
        <v>145</v>
      </c>
      <c r="BV109" t="s" s="0">
        <v>81</v>
      </c>
      <c r="BW109" t="s" s="0">
        <v>81</v>
      </c>
      <c r="BX109" t="s" s="0">
        <v>116</v>
      </c>
    </row>
    <row r="110">
      <c r="A110" t="s" s="0">
        <v>77</v>
      </c>
      <c r="B110" t="s" s="0">
        <v>77</v>
      </c>
      <c r="C110" t="s" s="0">
        <v>77</v>
      </c>
      <c r="D110" t="s" s="0">
        <v>77</v>
      </c>
      <c r="E110" t="s" s="0">
        <v>2875</v>
      </c>
      <c r="F110" t="s" s="0">
        <v>2876</v>
      </c>
      <c r="G110" t="s" s="0">
        <v>2877</v>
      </c>
      <c r="H110" t="s" s="0">
        <v>81</v>
      </c>
      <c r="I110" t="s" s="0">
        <v>82</v>
      </c>
      <c r="J110" t="s" s="0">
        <v>2878</v>
      </c>
      <c r="K110" t="s" s="0">
        <v>2879</v>
      </c>
      <c r="L110" t="s" s="0">
        <v>2880</v>
      </c>
      <c r="M110" t="s" s="0">
        <v>2881</v>
      </c>
      <c r="N110" t="s" s="0">
        <v>2882</v>
      </c>
      <c r="O110" t="s" s="0">
        <v>2883</v>
      </c>
      <c r="P110" t="s" s="0">
        <v>2884</v>
      </c>
      <c r="Q110" t="s" s="0">
        <v>90</v>
      </c>
      <c r="R110" t="s" s="0">
        <v>81</v>
      </c>
      <c r="S110" t="s" s="0">
        <v>81</v>
      </c>
      <c r="T110" t="s" s="0">
        <v>81</v>
      </c>
      <c r="U110" t="s" s="0">
        <v>81</v>
      </c>
      <c r="V110" t="s" s="0">
        <v>2885</v>
      </c>
      <c r="W110" t="s" s="0">
        <v>2886</v>
      </c>
      <c r="X110" t="s" s="0">
        <v>81</v>
      </c>
      <c r="Y110" t="s" s="0">
        <v>81</v>
      </c>
      <c r="Z110" t="s" s="0">
        <v>93</v>
      </c>
      <c r="AA110" t="s" s="0">
        <v>94</v>
      </c>
      <c r="AB110" t="s" s="0">
        <v>81</v>
      </c>
      <c r="AC110" t="s" s="0">
        <v>81</v>
      </c>
      <c r="AD110" t="s" s="0">
        <v>81</v>
      </c>
      <c r="AE110" t="s" s="0">
        <v>81</v>
      </c>
      <c r="AF110" t="s" s="0">
        <v>81</v>
      </c>
      <c r="AG110" t="s" s="0">
        <v>81</v>
      </c>
      <c r="AH110" t="s" s="0">
        <v>81</v>
      </c>
      <c r="AI110" t="s" s="0">
        <v>81</v>
      </c>
      <c r="AJ110" t="s" s="0">
        <v>81</v>
      </c>
      <c r="AK110" t="s" s="0">
        <v>81</v>
      </c>
      <c r="AL110" t="s" s="0">
        <v>228</v>
      </c>
      <c r="AM110" t="s" s="0">
        <v>77</v>
      </c>
      <c r="AN110" t="s" s="0">
        <v>77</v>
      </c>
      <c r="AO110" t="s" s="0">
        <v>77</v>
      </c>
      <c r="AP110" t="s" s="0">
        <v>77</v>
      </c>
      <c r="AQ110" t="s" s="0">
        <v>738</v>
      </c>
      <c r="AR110" t="s" s="0">
        <v>306</v>
      </c>
      <c r="AS110" t="s" s="0">
        <v>739</v>
      </c>
      <c r="AT110" t="s" s="0">
        <v>2887</v>
      </c>
      <c r="AU110" t="s" s="0">
        <v>2888</v>
      </c>
      <c r="AV110" t="s" s="0">
        <v>81</v>
      </c>
      <c r="AW110" t="s" s="0">
        <v>2889</v>
      </c>
      <c r="AX110" t="s" s="0">
        <v>2890</v>
      </c>
      <c r="AY110" t="s" s="0">
        <v>2891</v>
      </c>
      <c r="AZ110" t="s" s="0">
        <v>104</v>
      </c>
      <c r="BA110" t="s" s="0">
        <v>2892</v>
      </c>
      <c r="BB110" t="s" s="0">
        <v>81</v>
      </c>
      <c r="BC110" t="s" s="0">
        <v>773</v>
      </c>
      <c r="BD110" t="s" s="0">
        <v>81</v>
      </c>
      <c r="BE110" t="s" s="0">
        <v>2893</v>
      </c>
      <c r="BF110" t="s" s="0">
        <v>81</v>
      </c>
      <c r="BG110" t="s" s="0">
        <v>2894</v>
      </c>
      <c r="BH110" t="s" s="0">
        <v>2895</v>
      </c>
      <c r="BI110" t="s" s="0">
        <v>81</v>
      </c>
      <c r="BJ110" t="s" s="0">
        <v>2896</v>
      </c>
      <c r="BK110" t="s" s="216">
        <f>HYPERLINK("http://dx.doi.org/10.1093/milmed/usag192","http://dx.doi.org/10.1093/milmed/usag192")</f>
        <v>2897</v>
      </c>
      <c r="BL110" t="s" s="0">
        <v>81</v>
      </c>
      <c r="BM110" t="s" s="0">
        <v>81</v>
      </c>
      <c r="BN110" t="s" s="0">
        <v>161</v>
      </c>
      <c r="BO110" t="s" s="0">
        <v>486</v>
      </c>
      <c r="BP110" t="s" s="0">
        <v>487</v>
      </c>
      <c r="BQ110" t="s" s="0">
        <v>2898</v>
      </c>
      <c r="BR110" t="s" s="0">
        <v>2899</v>
      </c>
      <c r="BS110" t="s" s="0">
        <v>2900</v>
      </c>
      <c r="BT110" t="s" s="217">
        <f>HYPERLINK("https://www.webofscience.com/wos/woscc/full-record/WOS:001842345300021","View Record in Web of Science")</f>
        <v>114</v>
      </c>
      <c r="BU110" t="s" s="0">
        <v>973</v>
      </c>
      <c r="BV110" t="s" s="0">
        <v>81</v>
      </c>
      <c r="BW110" t="s" s="0">
        <v>81</v>
      </c>
      <c r="BX110" t="s" s="0">
        <v>116</v>
      </c>
    </row>
    <row r="111">
      <c r="A111" t="s" s="0">
        <v>77</v>
      </c>
      <c r="B111" t="s" s="0">
        <v>77</v>
      </c>
      <c r="C111" t="s" s="0">
        <v>77</v>
      </c>
      <c r="D111" t="s" s="0">
        <v>77</v>
      </c>
      <c r="E111" t="s" s="0">
        <v>2901</v>
      </c>
      <c r="F111" t="s" s="0">
        <v>2902</v>
      </c>
      <c r="G111" t="s" s="0">
        <v>2903</v>
      </c>
      <c r="H111" t="s" s="0">
        <v>81</v>
      </c>
      <c r="I111" t="s" s="0">
        <v>82</v>
      </c>
      <c r="J111" t="s" s="0">
        <v>2904</v>
      </c>
      <c r="K111" t="s" s="0">
        <v>2905</v>
      </c>
      <c r="L111" t="s" s="0">
        <v>2906</v>
      </c>
      <c r="M111" t="s" s="0">
        <v>2907</v>
      </c>
      <c r="N111" t="s" s="0">
        <v>2908</v>
      </c>
      <c r="O111" t="s" s="0">
        <v>2909</v>
      </c>
      <c r="P111" t="s" s="0">
        <v>2910</v>
      </c>
      <c r="Q111" t="s" s="0">
        <v>90</v>
      </c>
      <c r="R111" t="s" s="0">
        <v>81</v>
      </c>
      <c r="S111" t="s" s="0">
        <v>81</v>
      </c>
      <c r="T111" t="s" s="0">
        <v>81</v>
      </c>
      <c r="U111" t="s" s="0">
        <v>81</v>
      </c>
      <c r="V111" t="s" s="0">
        <v>2911</v>
      </c>
      <c r="W111" t="s" s="0">
        <v>2912</v>
      </c>
      <c r="X111" t="s" s="0">
        <v>81</v>
      </c>
      <c r="Y111" t="s" s="0">
        <v>81</v>
      </c>
      <c r="Z111" t="s" s="0">
        <v>93</v>
      </c>
      <c r="AA111" t="s" s="0">
        <v>94</v>
      </c>
      <c r="AB111" t="s" s="0">
        <v>81</v>
      </c>
      <c r="AC111" t="s" s="0">
        <v>81</v>
      </c>
      <c r="AD111" t="s" s="0">
        <v>81</v>
      </c>
      <c r="AE111" t="s" s="0">
        <v>81</v>
      </c>
      <c r="AF111" t="s" s="0">
        <v>81</v>
      </c>
      <c r="AG111" t="s" s="0">
        <v>2913</v>
      </c>
      <c r="AH111" t="s" s="0">
        <v>81</v>
      </c>
      <c r="AI111" t="s" s="0">
        <v>2914</v>
      </c>
      <c r="AJ111" t="s" s="0">
        <v>81</v>
      </c>
      <c r="AK111" t="s" s="0">
        <v>81</v>
      </c>
      <c r="AL111" t="s" s="0">
        <v>193</v>
      </c>
      <c r="AM111" t="s" s="0">
        <v>77</v>
      </c>
      <c r="AN111" t="s" s="0">
        <v>77</v>
      </c>
      <c r="AO111" t="s" s="0">
        <v>227</v>
      </c>
      <c r="AP111" t="s" s="0">
        <v>227</v>
      </c>
      <c r="AQ111" t="s" s="0">
        <v>738</v>
      </c>
      <c r="AR111" t="s" s="0">
        <v>306</v>
      </c>
      <c r="AS111" t="s" s="0">
        <v>739</v>
      </c>
      <c r="AT111" t="s" s="0">
        <v>2915</v>
      </c>
      <c r="AU111" t="s" s="0">
        <v>2916</v>
      </c>
      <c r="AV111" t="s" s="0">
        <v>81</v>
      </c>
      <c r="AW111" t="s" s="0">
        <v>2917</v>
      </c>
      <c r="AX111" t="s" s="0">
        <v>2918</v>
      </c>
      <c r="AY111" t="s" s="0">
        <v>203</v>
      </c>
      <c r="AZ111" t="s" s="0">
        <v>104</v>
      </c>
      <c r="BA111" t="s" s="0">
        <v>237</v>
      </c>
      <c r="BB111" t="s" s="0">
        <v>227</v>
      </c>
      <c r="BC111" t="s" s="0">
        <v>81</v>
      </c>
      <c r="BD111" t="s" s="0">
        <v>81</v>
      </c>
      <c r="BE111" t="s" s="0">
        <v>81</v>
      </c>
      <c r="BF111" t="s" s="0">
        <v>81</v>
      </c>
      <c r="BG111" t="s" s="0">
        <v>81</v>
      </c>
      <c r="BH111" t="s" s="0">
        <v>81</v>
      </c>
      <c r="BI111" t="s" s="0">
        <v>2919</v>
      </c>
      <c r="BJ111" t="s" s="0">
        <v>2920</v>
      </c>
      <c r="BK111" t="s" s="218">
        <f>HYPERLINK("http://dx.doi.org/10.1093/bib/bbag224","http://dx.doi.org/10.1093/bib/bbag224")</f>
        <v>2921</v>
      </c>
      <c r="BL111" t="s" s="0">
        <v>81</v>
      </c>
      <c r="BM111" t="s" s="0">
        <v>81</v>
      </c>
      <c r="BN111" t="s" s="0">
        <v>226</v>
      </c>
      <c r="BO111" t="s" s="0">
        <v>2922</v>
      </c>
      <c r="BP111" t="s" s="0">
        <v>2923</v>
      </c>
      <c r="BQ111" t="s" s="0">
        <v>2924</v>
      </c>
      <c r="BR111" t="s" s="0">
        <v>2925</v>
      </c>
      <c r="BS111" t="s" s="0">
        <v>2926</v>
      </c>
      <c r="BT111" t="s" s="219">
        <f>HYPERLINK("https://www.webofscience.com/wos/woscc/full-record/WOS:001757376200001","View Record in Web of Science")</f>
        <v>114</v>
      </c>
      <c r="BU111" t="s" s="0">
        <v>145</v>
      </c>
      <c r="BV111" t="s" s="0">
        <v>81</v>
      </c>
      <c r="BW111" t="s" s="0">
        <v>81</v>
      </c>
      <c r="BX111" t="s" s="0">
        <v>116</v>
      </c>
    </row>
    <row r="112">
      <c r="A112" t="s" s="0">
        <v>77</v>
      </c>
      <c r="B112" t="s" s="0">
        <v>77</v>
      </c>
      <c r="C112" t="s" s="0">
        <v>77</v>
      </c>
      <c r="D112" t="s" s="0">
        <v>77</v>
      </c>
      <c r="E112" t="s" s="0">
        <v>2927</v>
      </c>
      <c r="F112" t="s" s="0">
        <v>2928</v>
      </c>
      <c r="G112" t="s" s="0">
        <v>2929</v>
      </c>
      <c r="H112" t="s" s="0">
        <v>81</v>
      </c>
      <c r="I112" t="s" s="0">
        <v>82</v>
      </c>
      <c r="J112" t="s" s="0">
        <v>2930</v>
      </c>
      <c r="K112" t="s" s="0">
        <v>2931</v>
      </c>
      <c r="L112" t="s" s="0">
        <v>81</v>
      </c>
      <c r="M112" t="s" s="0">
        <v>81</v>
      </c>
      <c r="N112" t="s" s="0">
        <v>81</v>
      </c>
      <c r="O112" t="s" s="0">
        <v>2932</v>
      </c>
      <c r="P112" t="s" s="0">
        <v>2933</v>
      </c>
      <c r="Q112" t="s" s="0">
        <v>90</v>
      </c>
      <c r="R112" t="s" s="0">
        <v>81</v>
      </c>
      <c r="S112" t="s" s="0">
        <v>81</v>
      </c>
      <c r="T112" t="s" s="0">
        <v>81</v>
      </c>
      <c r="U112" t="s" s="0">
        <v>81</v>
      </c>
      <c r="V112" t="s" s="0">
        <v>2934</v>
      </c>
      <c r="W112" t="s" s="0">
        <v>2935</v>
      </c>
      <c r="X112" t="s" s="0">
        <v>81</v>
      </c>
      <c r="Y112" t="s" s="0">
        <v>81</v>
      </c>
      <c r="Z112" t="s" s="0">
        <v>93</v>
      </c>
      <c r="AA112" t="s" s="0">
        <v>190</v>
      </c>
      <c r="AB112" t="s" s="0">
        <v>81</v>
      </c>
      <c r="AC112" t="s" s="0">
        <v>81</v>
      </c>
      <c r="AD112" t="s" s="0">
        <v>81</v>
      </c>
      <c r="AE112" t="s" s="0">
        <v>81</v>
      </c>
      <c r="AF112" t="s" s="0">
        <v>81</v>
      </c>
      <c r="AG112" t="s" s="0">
        <v>2936</v>
      </c>
      <c r="AH112" t="s" s="0">
        <v>2937</v>
      </c>
      <c r="AI112" t="s" s="0">
        <v>2938</v>
      </c>
      <c r="AJ112" t="s" s="0">
        <v>81</v>
      </c>
      <c r="AK112" t="s" s="0">
        <v>81</v>
      </c>
      <c r="AL112" t="s" s="0">
        <v>1217</v>
      </c>
      <c r="AM112" t="s" s="0">
        <v>77</v>
      </c>
      <c r="AN112" t="s" s="0">
        <v>77</v>
      </c>
      <c r="AO112" t="s" s="0">
        <v>253</v>
      </c>
      <c r="AP112" t="s" s="0">
        <v>253</v>
      </c>
      <c r="AQ112" t="s" s="0">
        <v>2939</v>
      </c>
      <c r="AR112" t="s" s="0">
        <v>2940</v>
      </c>
      <c r="AS112" t="s" s="0">
        <v>2941</v>
      </c>
      <c r="AT112" t="s" s="0">
        <v>2942</v>
      </c>
      <c r="AU112" t="s" s="0">
        <v>2943</v>
      </c>
      <c r="AV112" t="s" s="0">
        <v>81</v>
      </c>
      <c r="AW112" t="s" s="0">
        <v>2944</v>
      </c>
      <c r="AX112" t="s" s="0">
        <v>2945</v>
      </c>
      <c r="AY112" t="s" s="0">
        <v>81</v>
      </c>
      <c r="AZ112" t="s" s="0">
        <v>104</v>
      </c>
      <c r="BA112" t="s" s="0">
        <v>81</v>
      </c>
      <c r="BB112" t="s" s="0">
        <v>81</v>
      </c>
      <c r="BC112" t="s" s="0">
        <v>81</v>
      </c>
      <c r="BD112" t="s" s="0">
        <v>81</v>
      </c>
      <c r="BE112" t="s" s="0">
        <v>81</v>
      </c>
      <c r="BF112" t="s" s="0">
        <v>81</v>
      </c>
      <c r="BG112" t="s" s="0">
        <v>81</v>
      </c>
      <c r="BH112" t="s" s="0">
        <v>81</v>
      </c>
      <c r="BI112" t="s" s="0">
        <v>81</v>
      </c>
      <c r="BJ112" t="s" s="0">
        <v>2946</v>
      </c>
      <c r="BK112" t="s" s="220">
        <f>HYPERLINK("http://dx.doi.org/10.1177/15500594251366800","http://dx.doi.org/10.1177/15500594251366800")</f>
        <v>2947</v>
      </c>
      <c r="BL112" t="s" s="0">
        <v>81</v>
      </c>
      <c r="BM112" t="s" s="0">
        <v>2583</v>
      </c>
      <c r="BN112" t="s" s="0">
        <v>258</v>
      </c>
      <c r="BO112" t="s" s="0">
        <v>2948</v>
      </c>
      <c r="BP112" t="s" s="0">
        <v>2949</v>
      </c>
      <c r="BQ112" t="s" s="0">
        <v>2950</v>
      </c>
      <c r="BR112" t="s" s="0">
        <v>2951</v>
      </c>
      <c r="BS112" t="s" s="0">
        <v>2952</v>
      </c>
      <c r="BT112" t="s" s="221">
        <f>HYPERLINK("https://www.webofscience.com/wos/woscc/full-record/WOS:001698340000001","View Record in Web of Science")</f>
        <v>114</v>
      </c>
      <c r="BU112" t="s" s="0">
        <v>81</v>
      </c>
      <c r="BV112" t="s" s="0">
        <v>81</v>
      </c>
      <c r="BW112" t="s" s="0">
        <v>81</v>
      </c>
      <c r="BX112" t="s" s="0">
        <v>116</v>
      </c>
    </row>
    <row r="113">
      <c r="A113" t="s" s="0">
        <v>161</v>
      </c>
      <c r="B113" t="s" s="0">
        <v>77</v>
      </c>
      <c r="C113" t="s" s="0">
        <v>160</v>
      </c>
      <c r="D113" t="s" s="0">
        <v>77</v>
      </c>
      <c r="E113" t="s" s="0">
        <v>2953</v>
      </c>
      <c r="F113" t="s" s="0">
        <v>2954</v>
      </c>
      <c r="G113" t="s" s="0">
        <v>2955</v>
      </c>
      <c r="H113" t="s" s="0">
        <v>81</v>
      </c>
      <c r="I113" t="s" s="0">
        <v>82</v>
      </c>
      <c r="J113" t="s" s="0">
        <v>2956</v>
      </c>
      <c r="K113" t="s" s="0">
        <v>2957</v>
      </c>
      <c r="L113" t="s" s="0">
        <v>81</v>
      </c>
      <c r="M113" t="s" s="0">
        <v>81</v>
      </c>
      <c r="N113" t="s" s="0">
        <v>81</v>
      </c>
      <c r="O113" t="s" s="0">
        <v>2958</v>
      </c>
      <c r="P113" t="s" s="0">
        <v>2959</v>
      </c>
      <c r="Q113" t="s" s="0">
        <v>90</v>
      </c>
      <c r="R113" t="s" s="0">
        <v>81</v>
      </c>
      <c r="S113" t="s" s="0">
        <v>81</v>
      </c>
      <c r="T113" t="s" s="0">
        <v>81</v>
      </c>
      <c r="U113" t="s" s="0">
        <v>81</v>
      </c>
      <c r="V113" t="s" s="0">
        <v>2960</v>
      </c>
      <c r="W113" t="s" s="0">
        <v>2961</v>
      </c>
      <c r="X113" t="s" s="0">
        <v>81</v>
      </c>
      <c r="Y113" t="s" s="0">
        <v>81</v>
      </c>
      <c r="Z113" t="s" s="0">
        <v>93</v>
      </c>
      <c r="AA113" t="s" s="0">
        <v>94</v>
      </c>
      <c r="AB113" t="s" s="0">
        <v>81</v>
      </c>
      <c r="AC113" t="s" s="0">
        <v>81</v>
      </c>
      <c r="AD113" t="s" s="0">
        <v>81</v>
      </c>
      <c r="AE113" t="s" s="0">
        <v>81</v>
      </c>
      <c r="AF113" t="s" s="0">
        <v>81</v>
      </c>
      <c r="AG113" t="s" s="0">
        <v>2962</v>
      </c>
      <c r="AH113" t="s" s="0">
        <v>2963</v>
      </c>
      <c r="AI113" t="s" s="0">
        <v>2964</v>
      </c>
      <c r="AJ113" t="s" s="0">
        <v>81</v>
      </c>
      <c r="AK113" t="s" s="0">
        <v>81</v>
      </c>
      <c r="AL113" t="s" s="0">
        <v>109</v>
      </c>
      <c r="AM113" t="s" s="0">
        <v>226</v>
      </c>
      <c r="AN113" t="s" s="0">
        <v>564</v>
      </c>
      <c r="AO113" t="s" s="0">
        <v>226</v>
      </c>
      <c r="AP113" t="s" s="0">
        <v>2965</v>
      </c>
      <c r="AQ113" t="s" s="0">
        <v>370</v>
      </c>
      <c r="AR113" t="s" s="0">
        <v>1099</v>
      </c>
      <c r="AS113" t="s" s="0">
        <v>1873</v>
      </c>
      <c r="AT113" t="s" s="0">
        <v>2966</v>
      </c>
      <c r="AU113" t="s" s="0">
        <v>2967</v>
      </c>
      <c r="AV113" t="s" s="0">
        <v>81</v>
      </c>
      <c r="AW113" t="s" s="0">
        <v>2968</v>
      </c>
      <c r="AX113" t="s" s="0">
        <v>2969</v>
      </c>
      <c r="AY113" t="s" s="0">
        <v>658</v>
      </c>
      <c r="AZ113" t="s" s="0">
        <v>573</v>
      </c>
      <c r="BA113" t="s" s="0">
        <v>846</v>
      </c>
      <c r="BB113" t="s" s="0">
        <v>130</v>
      </c>
      <c r="BC113" t="s" s="0">
        <v>81</v>
      </c>
      <c r="BD113" t="s" s="0">
        <v>81</v>
      </c>
      <c r="BE113" t="s" s="0">
        <v>81</v>
      </c>
      <c r="BF113" t="s" s="0">
        <v>81</v>
      </c>
      <c r="BG113" t="s" s="0">
        <v>2970</v>
      </c>
      <c r="BH113" t="s" s="0">
        <v>2971</v>
      </c>
      <c r="BI113" t="s" s="0">
        <v>81</v>
      </c>
      <c r="BJ113" t="s" s="0">
        <v>2972</v>
      </c>
      <c r="BK113" t="s" s="222">
        <f>HYPERLINK("http://dx.doi.org/10.1007/s11655-022-3541-8","http://dx.doi.org/10.1007/s11655-022-3541-8")</f>
        <v>2973</v>
      </c>
      <c r="BL113" t="s" s="0">
        <v>81</v>
      </c>
      <c r="BM113" t="s" s="0">
        <v>2974</v>
      </c>
      <c r="BN113" t="s" s="0">
        <v>225</v>
      </c>
      <c r="BO113" t="s" s="0">
        <v>2975</v>
      </c>
      <c r="BP113" t="s" s="0">
        <v>2975</v>
      </c>
      <c r="BQ113" t="s" s="0">
        <v>2976</v>
      </c>
      <c r="BR113" t="s" s="0">
        <v>2977</v>
      </c>
      <c r="BS113" t="s" s="0">
        <v>2978</v>
      </c>
      <c r="BT113" t="s" s="223">
        <f>HYPERLINK("https://www.webofscience.com/wos/woscc/full-record/WOS:000883206300002","View Record in Web of Science")</f>
        <v>114</v>
      </c>
      <c r="BU113" t="s" s="0">
        <v>81</v>
      </c>
      <c r="BV113" t="s" s="0">
        <v>81</v>
      </c>
      <c r="BW113" t="s" s="0">
        <v>81</v>
      </c>
      <c r="BX113" t="s" s="0">
        <v>116</v>
      </c>
    </row>
    <row r="114">
      <c r="A114" t="s" s="0">
        <v>77</v>
      </c>
      <c r="B114" t="s" s="0">
        <v>77</v>
      </c>
      <c r="C114" t="s" s="0">
        <v>77</v>
      </c>
      <c r="D114" t="s" s="0">
        <v>77</v>
      </c>
      <c r="E114" t="s" s="0">
        <v>2979</v>
      </c>
      <c r="F114" t="s" s="0">
        <v>2980</v>
      </c>
      <c r="G114" t="s" s="0">
        <v>2981</v>
      </c>
      <c r="H114" t="s" s="0">
        <v>81</v>
      </c>
      <c r="I114" t="s" s="0">
        <v>82</v>
      </c>
      <c r="J114" t="s" s="0">
        <v>2982</v>
      </c>
      <c r="K114" t="s" s="0">
        <v>2983</v>
      </c>
      <c r="L114" t="s" s="0">
        <v>2984</v>
      </c>
      <c r="M114" t="s" s="0">
        <v>2985</v>
      </c>
      <c r="N114" t="s" s="0">
        <v>2986</v>
      </c>
      <c r="O114" t="s" s="0">
        <v>2987</v>
      </c>
      <c r="P114" t="s" s="0">
        <v>2988</v>
      </c>
      <c r="Q114" t="s" s="0">
        <v>90</v>
      </c>
      <c r="R114" t="s" s="0">
        <v>81</v>
      </c>
      <c r="S114" t="s" s="0">
        <v>81</v>
      </c>
      <c r="T114" t="s" s="0">
        <v>81</v>
      </c>
      <c r="U114" t="s" s="0">
        <v>81</v>
      </c>
      <c r="V114" t="s" s="0">
        <v>2989</v>
      </c>
      <c r="W114" t="s" s="0">
        <v>2197</v>
      </c>
      <c r="X114" t="s" s="0">
        <v>81</v>
      </c>
      <c r="Y114" t="s" s="0">
        <v>81</v>
      </c>
      <c r="Z114" t="s" s="0">
        <v>93</v>
      </c>
      <c r="AA114" t="s" s="0">
        <v>94</v>
      </c>
      <c r="AB114" t="s" s="0">
        <v>81</v>
      </c>
      <c r="AC114" t="s" s="0">
        <v>81</v>
      </c>
      <c r="AD114" t="s" s="0">
        <v>81</v>
      </c>
      <c r="AE114" t="s" s="0">
        <v>81</v>
      </c>
      <c r="AF114" t="s" s="0">
        <v>81</v>
      </c>
      <c r="AG114" t="s" s="0">
        <v>2990</v>
      </c>
      <c r="AH114" t="s" s="0">
        <v>2991</v>
      </c>
      <c r="AI114" t="s" s="0">
        <v>81</v>
      </c>
      <c r="AJ114" t="s" s="0">
        <v>81</v>
      </c>
      <c r="AK114" t="s" s="0">
        <v>81</v>
      </c>
      <c r="AL114" t="s" s="0">
        <v>193</v>
      </c>
      <c r="AM114" t="s" s="0">
        <v>77</v>
      </c>
      <c r="AN114" t="s" s="0">
        <v>77</v>
      </c>
      <c r="AO114" t="s" s="0">
        <v>77</v>
      </c>
      <c r="AP114" t="s" s="0">
        <v>77</v>
      </c>
      <c r="AQ114" t="s" s="0">
        <v>97</v>
      </c>
      <c r="AR114" t="s" s="0">
        <v>98</v>
      </c>
      <c r="AS114" t="s" s="0">
        <v>99</v>
      </c>
      <c r="AT114" t="s" s="0">
        <v>81</v>
      </c>
      <c r="AU114" t="s" s="0">
        <v>2200</v>
      </c>
      <c r="AV114" t="s" s="0">
        <v>81</v>
      </c>
      <c r="AW114" t="s" s="0">
        <v>2201</v>
      </c>
      <c r="AX114" t="s" s="0">
        <v>2202</v>
      </c>
      <c r="AY114" t="s" s="0">
        <v>2992</v>
      </c>
      <c r="AZ114" t="s" s="0">
        <v>104</v>
      </c>
      <c r="BA114" t="s" s="0">
        <v>167</v>
      </c>
      <c r="BB114" t="s" s="0">
        <v>81</v>
      </c>
      <c r="BC114" t="s" s="0">
        <v>81</v>
      </c>
      <c r="BD114" t="s" s="0">
        <v>81</v>
      </c>
      <c r="BE114" t="s" s="0">
        <v>81</v>
      </c>
      <c r="BF114" t="s" s="0">
        <v>81</v>
      </c>
      <c r="BG114" t="s" s="0">
        <v>81</v>
      </c>
      <c r="BH114" t="s" s="0">
        <v>81</v>
      </c>
      <c r="BI114" t="s" s="0">
        <v>2993</v>
      </c>
      <c r="BJ114" t="s" s="0">
        <v>2994</v>
      </c>
      <c r="BK114" t="s" s="224">
        <f>HYPERLINK("http://dx.doi.org/10.3389/fmed.2026.1858126","http://dx.doi.org/10.3389/fmed.2026.1858126")</f>
        <v>2995</v>
      </c>
      <c r="BL114" t="s" s="0">
        <v>81</v>
      </c>
      <c r="BM114" t="s" s="0">
        <v>81</v>
      </c>
      <c r="BN114" t="s" s="0">
        <v>129</v>
      </c>
      <c r="BO114" t="s" s="0">
        <v>486</v>
      </c>
      <c r="BP114" t="s" s="0">
        <v>487</v>
      </c>
      <c r="BQ114" t="s" s="0">
        <v>2996</v>
      </c>
      <c r="BR114" t="s" s="0">
        <v>81</v>
      </c>
      <c r="BS114" t="s" s="0">
        <v>2997</v>
      </c>
      <c r="BT114" t="s" s="225">
        <f>HYPERLINK("https://www.webofscience.com/wos/woscc/full-record/WOS:001839250300001","View Record in Web of Science")</f>
        <v>114</v>
      </c>
      <c r="BU114" t="s" s="0">
        <v>115</v>
      </c>
      <c r="BV114" t="s" s="0">
        <v>81</v>
      </c>
      <c r="BW114" t="s" s="0">
        <v>81</v>
      </c>
      <c r="BX114" t="s" s="0">
        <v>116</v>
      </c>
    </row>
    <row r="115">
      <c r="A115" t="s" s="0">
        <v>77</v>
      </c>
      <c r="B115" t="s" s="0">
        <v>77</v>
      </c>
      <c r="C115" t="s" s="0">
        <v>77</v>
      </c>
      <c r="D115" t="s" s="0">
        <v>77</v>
      </c>
      <c r="E115" t="s" s="0">
        <v>2998</v>
      </c>
      <c r="F115" t="s" s="0">
        <v>2999</v>
      </c>
      <c r="G115" t="s" s="0">
        <v>3000</v>
      </c>
      <c r="H115" t="s" s="0">
        <v>81</v>
      </c>
      <c r="I115" t="s" s="0">
        <v>82</v>
      </c>
      <c r="J115" t="s" s="0">
        <v>3001</v>
      </c>
      <c r="K115" t="s" s="0">
        <v>3002</v>
      </c>
      <c r="L115" t="s" s="0">
        <v>3003</v>
      </c>
      <c r="M115" t="s" s="0">
        <v>3003</v>
      </c>
      <c r="N115" t="s" s="0">
        <v>3004</v>
      </c>
      <c r="O115" t="s" s="0">
        <v>3005</v>
      </c>
      <c r="P115" t="s" s="0">
        <v>3006</v>
      </c>
      <c r="Q115" t="s" s="0">
        <v>90</v>
      </c>
      <c r="R115" t="s" s="0">
        <v>81</v>
      </c>
      <c r="S115" t="s" s="0">
        <v>81</v>
      </c>
      <c r="T115" t="s" s="0">
        <v>81</v>
      </c>
      <c r="U115" t="s" s="0">
        <v>81</v>
      </c>
      <c r="V115" t="s" s="0">
        <v>3007</v>
      </c>
      <c r="W115" t="s" s="0">
        <v>271</v>
      </c>
      <c r="X115" t="s" s="0">
        <v>81</v>
      </c>
      <c r="Y115" t="s" s="0">
        <v>81</v>
      </c>
      <c r="Z115" t="s" s="0">
        <v>93</v>
      </c>
      <c r="AA115" t="s" s="0">
        <v>94</v>
      </c>
      <c r="AB115" t="s" s="0">
        <v>81</v>
      </c>
      <c r="AC115" t="s" s="0">
        <v>81</v>
      </c>
      <c r="AD115" t="s" s="0">
        <v>81</v>
      </c>
      <c r="AE115" t="s" s="0">
        <v>81</v>
      </c>
      <c r="AF115" t="s" s="0">
        <v>81</v>
      </c>
      <c r="AG115" t="s" s="0">
        <v>3008</v>
      </c>
      <c r="AH115" t="s" s="0">
        <v>3009</v>
      </c>
      <c r="AI115" t="s" s="0">
        <v>3010</v>
      </c>
      <c r="AJ115" t="s" s="0">
        <v>81</v>
      </c>
      <c r="AK115" t="s" s="0">
        <v>81</v>
      </c>
      <c r="AL115" t="s" s="0">
        <v>1900</v>
      </c>
      <c r="AM115" t="s" s="0">
        <v>130</v>
      </c>
      <c r="AN115" t="s" s="0">
        <v>227</v>
      </c>
      <c r="AO115" t="s" s="0">
        <v>117</v>
      </c>
      <c r="AP115" t="s" s="0">
        <v>227</v>
      </c>
      <c r="AQ115" t="s" s="0">
        <v>274</v>
      </c>
      <c r="AR115" t="s" s="0">
        <v>275</v>
      </c>
      <c r="AS115" t="s" s="0">
        <v>276</v>
      </c>
      <c r="AT115" t="s" s="0">
        <v>277</v>
      </c>
      <c r="AU115" t="s" s="0">
        <v>81</v>
      </c>
      <c r="AV115" t="s" s="0">
        <v>81</v>
      </c>
      <c r="AW115" t="s" s="0">
        <v>278</v>
      </c>
      <c r="AX115" t="s" s="0">
        <v>279</v>
      </c>
      <c r="AY115" t="s" s="0">
        <v>540</v>
      </c>
      <c r="AZ115" t="s" s="0">
        <v>104</v>
      </c>
      <c r="BA115" t="s" s="0">
        <v>137</v>
      </c>
      <c r="BB115" t="s" s="0">
        <v>117</v>
      </c>
      <c r="BC115" t="s" s="0">
        <v>81</v>
      </c>
      <c r="BD115" t="s" s="0">
        <v>81</v>
      </c>
      <c r="BE115" t="s" s="0">
        <v>81</v>
      </c>
      <c r="BF115" t="s" s="0">
        <v>81</v>
      </c>
      <c r="BG115" t="s" s="0">
        <v>81</v>
      </c>
      <c r="BH115" t="s" s="0">
        <v>81</v>
      </c>
      <c r="BI115" t="s" s="0">
        <v>3011</v>
      </c>
      <c r="BJ115" t="s" s="0">
        <v>3012</v>
      </c>
      <c r="BK115" t="s" s="226">
        <f>HYPERLINK("http://dx.doi.org/10.1038/s41598-025-34153-6","http://dx.doi.org/10.1038/s41598-025-34153-6")</f>
        <v>3013</v>
      </c>
      <c r="BL115" t="s" s="0">
        <v>81</v>
      </c>
      <c r="BM115" t="s" s="0">
        <v>81</v>
      </c>
      <c r="BN115" t="s" s="0">
        <v>228</v>
      </c>
      <c r="BO115" t="s" s="0">
        <v>285</v>
      </c>
      <c r="BP115" t="s" s="0">
        <v>286</v>
      </c>
      <c r="BQ115" t="s" s="0">
        <v>3014</v>
      </c>
      <c r="BR115" t="s" s="0">
        <v>3015</v>
      </c>
      <c r="BS115" t="s" s="0">
        <v>3016</v>
      </c>
      <c r="BT115" t="s" s="227">
        <f>HYPERLINK("https://www.webofscience.com/wos/woscc/full-record/WOS:001674635700001","View Record in Web of Science")</f>
        <v>114</v>
      </c>
      <c r="BU115" t="s" s="0">
        <v>145</v>
      </c>
      <c r="BV115" t="s" s="0">
        <v>81</v>
      </c>
      <c r="BW115" t="s" s="0">
        <v>81</v>
      </c>
      <c r="BX115" t="s" s="0">
        <v>116</v>
      </c>
    </row>
    <row r="116">
      <c r="A116" t="s" s="0">
        <v>77</v>
      </c>
      <c r="B116" t="s" s="0">
        <v>77</v>
      </c>
      <c r="C116" t="s" s="0">
        <v>77</v>
      </c>
      <c r="D116" t="s" s="0">
        <v>77</v>
      </c>
      <c r="E116" t="s" s="0">
        <v>3017</v>
      </c>
      <c r="F116" t="s" s="0">
        <v>3018</v>
      </c>
      <c r="G116" t="s" s="0">
        <v>3019</v>
      </c>
      <c r="H116" t="s" s="0">
        <v>81</v>
      </c>
      <c r="I116" t="s" s="0">
        <v>82</v>
      </c>
      <c r="J116" t="s" s="0">
        <v>3020</v>
      </c>
      <c r="K116" t="s" s="0">
        <v>3021</v>
      </c>
      <c r="L116" t="s" s="0">
        <v>3022</v>
      </c>
      <c r="M116" t="s" s="0">
        <v>3023</v>
      </c>
      <c r="N116" t="s" s="0">
        <v>3024</v>
      </c>
      <c r="O116" t="s" s="0">
        <v>3025</v>
      </c>
      <c r="P116" t="s" s="0">
        <v>3026</v>
      </c>
      <c r="Q116" t="s" s="0">
        <v>90</v>
      </c>
      <c r="R116" t="s" s="0">
        <v>81</v>
      </c>
      <c r="S116" t="s" s="0">
        <v>81</v>
      </c>
      <c r="T116" t="s" s="0">
        <v>81</v>
      </c>
      <c r="U116" t="s" s="0">
        <v>81</v>
      </c>
      <c r="V116" t="s" s="0">
        <v>3027</v>
      </c>
      <c r="W116" t="s" s="0">
        <v>469</v>
      </c>
      <c r="X116" t="s" s="0">
        <v>81</v>
      </c>
      <c r="Y116" t="s" s="0">
        <v>81</v>
      </c>
      <c r="Z116" t="s" s="0">
        <v>93</v>
      </c>
      <c r="AA116" t="s" s="0">
        <v>94</v>
      </c>
      <c r="AB116" t="s" s="0">
        <v>81</v>
      </c>
      <c r="AC116" t="s" s="0">
        <v>81</v>
      </c>
      <c r="AD116" t="s" s="0">
        <v>81</v>
      </c>
      <c r="AE116" t="s" s="0">
        <v>81</v>
      </c>
      <c r="AF116" t="s" s="0">
        <v>81</v>
      </c>
      <c r="AG116" t="s" s="0">
        <v>3028</v>
      </c>
      <c r="AH116" t="s" s="0">
        <v>81</v>
      </c>
      <c r="AI116" t="s" s="0">
        <v>3029</v>
      </c>
      <c r="AJ116" t="s" s="0">
        <v>81</v>
      </c>
      <c r="AK116" t="s" s="0">
        <v>81</v>
      </c>
      <c r="AL116" t="s" s="0">
        <v>304</v>
      </c>
      <c r="AM116" t="s" s="0">
        <v>117</v>
      </c>
      <c r="AN116" t="s" s="0">
        <v>117</v>
      </c>
      <c r="AO116" t="s" s="0">
        <v>117</v>
      </c>
      <c r="AP116" t="s" s="0">
        <v>117</v>
      </c>
      <c r="AQ116" t="s" s="0">
        <v>476</v>
      </c>
      <c r="AR116" t="s" s="0">
        <v>477</v>
      </c>
      <c r="AS116" t="s" s="0">
        <v>478</v>
      </c>
      <c r="AT116" t="s" s="0">
        <v>81</v>
      </c>
      <c r="AU116" t="s" s="0">
        <v>479</v>
      </c>
      <c r="AV116" t="s" s="0">
        <v>81</v>
      </c>
      <c r="AW116" t="s" s="0">
        <v>469</v>
      </c>
      <c r="AX116" t="s" s="0">
        <v>480</v>
      </c>
      <c r="AY116" t="s" s="0">
        <v>2394</v>
      </c>
      <c r="AZ116" t="s" s="0">
        <v>104</v>
      </c>
      <c r="BA116" t="s" s="0">
        <v>137</v>
      </c>
      <c r="BB116" t="s" s="0">
        <v>253</v>
      </c>
      <c r="BC116" t="s" s="0">
        <v>81</v>
      </c>
      <c r="BD116" t="s" s="0">
        <v>81</v>
      </c>
      <c r="BE116" t="s" s="0">
        <v>81</v>
      </c>
      <c r="BF116" t="s" s="0">
        <v>81</v>
      </c>
      <c r="BG116" t="s" s="0">
        <v>81</v>
      </c>
      <c r="BH116" t="s" s="0">
        <v>81</v>
      </c>
      <c r="BI116" t="s" s="0">
        <v>3030</v>
      </c>
      <c r="BJ116" t="s" s="0">
        <v>3031</v>
      </c>
      <c r="BK116" t="s" s="228">
        <f>HYPERLINK("http://dx.doi.org/10.3390/diagnostics16050734","http://dx.doi.org/10.3390/diagnostics16050734")</f>
        <v>3032</v>
      </c>
      <c r="BL116" t="s" s="0">
        <v>81</v>
      </c>
      <c r="BM116" t="s" s="0">
        <v>81</v>
      </c>
      <c r="BN116" t="s" s="0">
        <v>193</v>
      </c>
      <c r="BO116" t="s" s="0">
        <v>486</v>
      </c>
      <c r="BP116" t="s" s="0">
        <v>487</v>
      </c>
      <c r="BQ116" t="s" s="0">
        <v>3033</v>
      </c>
      <c r="BR116" t="s" s="0">
        <v>3034</v>
      </c>
      <c r="BS116" t="s" s="0">
        <v>3035</v>
      </c>
      <c r="BT116" t="s" s="229">
        <f>HYPERLINK("https://www.webofscience.com/wos/woscc/full-record/WOS:001713909700001","View Record in Web of Science")</f>
        <v>114</v>
      </c>
      <c r="BU116" t="s" s="0">
        <v>145</v>
      </c>
      <c r="BV116" t="s" s="0">
        <v>81</v>
      </c>
      <c r="BW116" t="s" s="0">
        <v>81</v>
      </c>
      <c r="BX116" t="s" s="0">
        <v>116</v>
      </c>
    </row>
    <row r="117">
      <c r="A117" t="s" s="0">
        <v>77</v>
      </c>
      <c r="B117" t="s" s="0">
        <v>77</v>
      </c>
      <c r="C117" t="s" s="0">
        <v>77</v>
      </c>
      <c r="D117" t="s" s="0">
        <v>77</v>
      </c>
      <c r="E117" t="s" s="0">
        <v>3036</v>
      </c>
      <c r="F117" t="s" s="0">
        <v>3037</v>
      </c>
      <c r="G117" t="s" s="0">
        <v>3038</v>
      </c>
      <c r="H117" t="s" s="0">
        <v>81</v>
      </c>
      <c r="I117" t="s" s="0">
        <v>82</v>
      </c>
      <c r="J117" t="s" s="0">
        <v>3039</v>
      </c>
      <c r="K117" t="s" s="0">
        <v>3040</v>
      </c>
      <c r="L117" t="s" s="0">
        <v>3041</v>
      </c>
      <c r="M117" t="s" s="0">
        <v>3042</v>
      </c>
      <c r="N117" t="s" s="0">
        <v>3043</v>
      </c>
      <c r="O117" t="s" s="0">
        <v>3044</v>
      </c>
      <c r="P117" t="s" s="0">
        <v>3045</v>
      </c>
      <c r="Q117" t="s" s="0">
        <v>90</v>
      </c>
      <c r="R117" t="s" s="0">
        <v>81</v>
      </c>
      <c r="S117" t="s" s="0">
        <v>81</v>
      </c>
      <c r="T117" t="s" s="0">
        <v>81</v>
      </c>
      <c r="U117" t="s" s="0">
        <v>81</v>
      </c>
      <c r="V117" t="s" s="0">
        <v>3046</v>
      </c>
      <c r="W117" t="s" s="0">
        <v>3047</v>
      </c>
      <c r="X117" t="s" s="0">
        <v>81</v>
      </c>
      <c r="Y117" t="s" s="0">
        <v>81</v>
      </c>
      <c r="Z117" t="s" s="0">
        <v>93</v>
      </c>
      <c r="AA117" t="s" s="0">
        <v>94</v>
      </c>
      <c r="AB117" t="s" s="0">
        <v>81</v>
      </c>
      <c r="AC117" t="s" s="0">
        <v>81</v>
      </c>
      <c r="AD117" t="s" s="0">
        <v>81</v>
      </c>
      <c r="AE117" t="s" s="0">
        <v>81</v>
      </c>
      <c r="AF117" t="s" s="0">
        <v>81</v>
      </c>
      <c r="AG117" t="s" s="0">
        <v>3048</v>
      </c>
      <c r="AH117" t="s" s="0">
        <v>81</v>
      </c>
      <c r="AI117" t="s" s="0">
        <v>81</v>
      </c>
      <c r="AJ117" t="s" s="0">
        <v>81</v>
      </c>
      <c r="AK117" t="s" s="0">
        <v>81</v>
      </c>
      <c r="AL117" t="s" s="0">
        <v>657</v>
      </c>
      <c r="AM117" t="s" s="0">
        <v>117</v>
      </c>
      <c r="AN117" t="s" s="0">
        <v>117</v>
      </c>
      <c r="AO117" t="s" s="0">
        <v>130</v>
      </c>
      <c r="AP117" t="s" s="0">
        <v>130</v>
      </c>
      <c r="AQ117" t="s" s="0">
        <v>565</v>
      </c>
      <c r="AR117" t="s" s="0">
        <v>566</v>
      </c>
      <c r="AS117" t="s" s="0">
        <v>567</v>
      </c>
      <c r="AT117" t="s" s="0">
        <v>3049</v>
      </c>
      <c r="AU117" t="s" s="0">
        <v>3050</v>
      </c>
      <c r="AV117" t="s" s="0">
        <v>81</v>
      </c>
      <c r="AW117" t="s" s="0">
        <v>3051</v>
      </c>
      <c r="AX117" t="s" s="0">
        <v>3052</v>
      </c>
      <c r="AY117" t="s" s="0">
        <v>2057</v>
      </c>
      <c r="AZ117" t="s" s="0">
        <v>104</v>
      </c>
      <c r="BA117" t="s" s="0">
        <v>3053</v>
      </c>
      <c r="BB117" t="s" s="0">
        <v>81</v>
      </c>
      <c r="BC117" t="s" s="0">
        <v>81</v>
      </c>
      <c r="BD117" t="s" s="0">
        <v>81</v>
      </c>
      <c r="BE117" t="s" s="0">
        <v>81</v>
      </c>
      <c r="BF117" t="s" s="0">
        <v>81</v>
      </c>
      <c r="BG117" t="s" s="0">
        <v>81</v>
      </c>
      <c r="BH117" t="s" s="0">
        <v>81</v>
      </c>
      <c r="BI117" t="s" s="0">
        <v>3054</v>
      </c>
      <c r="BJ117" t="s" s="0">
        <v>3055</v>
      </c>
      <c r="BK117" t="s" s="230">
        <f>HYPERLINK("http://dx.doi.org/10.1016/j.pscychresns.2026.112234","http://dx.doi.org/10.1016/j.pscychresns.2026.112234")</f>
        <v>3056</v>
      </c>
      <c r="BL117" t="s" s="0">
        <v>81</v>
      </c>
      <c r="BM117" t="s" s="0">
        <v>203</v>
      </c>
      <c r="BN117" t="s" s="0">
        <v>129</v>
      </c>
      <c r="BO117" t="s" s="0">
        <v>3057</v>
      </c>
      <c r="BP117" t="s" s="0">
        <v>3058</v>
      </c>
      <c r="BQ117" t="s" s="0">
        <v>3059</v>
      </c>
      <c r="BR117" t="s" s="0">
        <v>3060</v>
      </c>
      <c r="BS117" t="s" s="0">
        <v>3061</v>
      </c>
      <c r="BT117" t="s" s="231">
        <f>HYPERLINK("https://www.webofscience.com/wos/woscc/full-record/WOS:001762482700001","View Record in Web of Science")</f>
        <v>114</v>
      </c>
      <c r="BU117" t="s" s="0">
        <v>81</v>
      </c>
      <c r="BV117" t="s" s="0">
        <v>81</v>
      </c>
      <c r="BW117" t="s" s="0">
        <v>81</v>
      </c>
      <c r="BX117" t="s" s="0">
        <v>116</v>
      </c>
    </row>
    <row r="118">
      <c r="A118" t="s" s="0">
        <v>77</v>
      </c>
      <c r="B118" t="s" s="0">
        <v>77</v>
      </c>
      <c r="C118" t="s" s="0">
        <v>117</v>
      </c>
      <c r="D118" t="s" s="0">
        <v>77</v>
      </c>
      <c r="E118" t="s" s="0">
        <v>3062</v>
      </c>
      <c r="F118" t="s" s="0">
        <v>3063</v>
      </c>
      <c r="G118" t="s" s="0">
        <v>3064</v>
      </c>
      <c r="H118" t="s" s="0">
        <v>81</v>
      </c>
      <c r="I118" t="s" s="0">
        <v>82</v>
      </c>
      <c r="J118" t="s" s="0">
        <v>3065</v>
      </c>
      <c r="K118" t="s" s="0">
        <v>3066</v>
      </c>
      <c r="L118" t="s" s="0">
        <v>3067</v>
      </c>
      <c r="M118" t="s" s="0">
        <v>3068</v>
      </c>
      <c r="N118" t="s" s="0">
        <v>3069</v>
      </c>
      <c r="O118" t="s" s="0">
        <v>3070</v>
      </c>
      <c r="P118" t="s" s="0">
        <v>3071</v>
      </c>
      <c r="Q118" t="s" s="0">
        <v>90</v>
      </c>
      <c r="R118" t="s" s="0">
        <v>81</v>
      </c>
      <c r="S118" t="s" s="0">
        <v>81</v>
      </c>
      <c r="T118" t="s" s="0">
        <v>81</v>
      </c>
      <c r="U118" t="s" s="0">
        <v>81</v>
      </c>
      <c r="V118" t="s" s="0">
        <v>3072</v>
      </c>
      <c r="W118" t="s" s="0">
        <v>3073</v>
      </c>
      <c r="X118" t="s" s="0">
        <v>81</v>
      </c>
      <c r="Y118" t="s" s="0">
        <v>81</v>
      </c>
      <c r="Z118" t="s" s="0">
        <v>93</v>
      </c>
      <c r="AA118" t="s" s="0">
        <v>94</v>
      </c>
      <c r="AB118" t="s" s="0">
        <v>81</v>
      </c>
      <c r="AC118" t="s" s="0">
        <v>81</v>
      </c>
      <c r="AD118" t="s" s="0">
        <v>81</v>
      </c>
      <c r="AE118" t="s" s="0">
        <v>81</v>
      </c>
      <c r="AF118" t="s" s="0">
        <v>81</v>
      </c>
      <c r="AG118" t="s" s="0">
        <v>3074</v>
      </c>
      <c r="AH118" t="s" s="0">
        <v>81</v>
      </c>
      <c r="AI118" t="s" s="0">
        <v>3075</v>
      </c>
      <c r="AJ118" t="s" s="0">
        <v>81</v>
      </c>
      <c r="AK118" t="s" s="0">
        <v>81</v>
      </c>
      <c r="AL118" t="s" s="0">
        <v>1421</v>
      </c>
      <c r="AM118" t="s" s="0">
        <v>131</v>
      </c>
      <c r="AN118" t="s" s="0">
        <v>131</v>
      </c>
      <c r="AO118" t="s" s="0">
        <v>253</v>
      </c>
      <c r="AP118" t="s" s="0">
        <v>128</v>
      </c>
      <c r="AQ118" t="s" s="0">
        <v>406</v>
      </c>
      <c r="AR118" t="s" s="0">
        <v>407</v>
      </c>
      <c r="AS118" t="s" s="0">
        <v>408</v>
      </c>
      <c r="AT118" t="s" s="0">
        <v>81</v>
      </c>
      <c r="AU118" t="s" s="0">
        <v>3076</v>
      </c>
      <c r="AV118" t="s" s="0">
        <v>81</v>
      </c>
      <c r="AW118" t="s" s="0">
        <v>3077</v>
      </c>
      <c r="AX118" t="s" s="0">
        <v>3078</v>
      </c>
      <c r="AY118" t="s" s="0">
        <v>1880</v>
      </c>
      <c r="AZ118" t="s" s="0">
        <v>136</v>
      </c>
      <c r="BA118" t="s" s="0">
        <v>438</v>
      </c>
      <c r="BB118" t="s" s="0">
        <v>81</v>
      </c>
      <c r="BC118" t="s" s="0">
        <v>81</v>
      </c>
      <c r="BD118" t="s" s="0">
        <v>81</v>
      </c>
      <c r="BE118" t="s" s="0">
        <v>81</v>
      </c>
      <c r="BF118" t="s" s="0">
        <v>81</v>
      </c>
      <c r="BG118" t="s" s="0">
        <v>81</v>
      </c>
      <c r="BH118" t="s" s="0">
        <v>81</v>
      </c>
      <c r="BI118" t="s" s="0">
        <v>3079</v>
      </c>
      <c r="BJ118" t="s" s="0">
        <v>3080</v>
      </c>
      <c r="BK118" t="s" s="232">
        <f>HYPERLINK("http://dx.doi.org/10.1016/j.jbo.2025.100718","http://dx.doi.org/10.1016/j.jbo.2025.100718")</f>
        <v>3081</v>
      </c>
      <c r="BL118" t="s" s="0">
        <v>81</v>
      </c>
      <c r="BM118" t="s" s="0">
        <v>3082</v>
      </c>
      <c r="BN118" t="s" s="0">
        <v>128</v>
      </c>
      <c r="BO118" t="s" s="0">
        <v>939</v>
      </c>
      <c r="BP118" t="s" s="0">
        <v>939</v>
      </c>
      <c r="BQ118" t="s" s="0">
        <v>3083</v>
      </c>
      <c r="BR118" t="s" s="0">
        <v>3084</v>
      </c>
      <c r="BS118" t="s" s="0">
        <v>3085</v>
      </c>
      <c r="BT118" t="s" s="233">
        <f>HYPERLINK("https://www.webofscience.com/wos/woscc/full-record/WOS:001606502700001","View Record in Web of Science")</f>
        <v>114</v>
      </c>
      <c r="BU118" t="s" s="0">
        <v>145</v>
      </c>
      <c r="BV118" t="s" s="0">
        <v>81</v>
      </c>
      <c r="BW118" t="s" s="0">
        <v>81</v>
      </c>
      <c r="BX118" t="s" s="0">
        <v>116</v>
      </c>
    </row>
    <row r="119">
      <c r="A119" t="s" s="0">
        <v>77</v>
      </c>
      <c r="B119" t="s" s="0">
        <v>77</v>
      </c>
      <c r="C119" t="s" s="0">
        <v>77</v>
      </c>
      <c r="D119" t="s" s="0">
        <v>77</v>
      </c>
      <c r="E119" t="s" s="0">
        <v>3086</v>
      </c>
      <c r="F119" t="s" s="0">
        <v>3087</v>
      </c>
      <c r="G119" t="s" s="0">
        <v>3088</v>
      </c>
      <c r="H119" t="s" s="0">
        <v>81</v>
      </c>
      <c r="I119" t="s" s="0">
        <v>82</v>
      </c>
      <c r="J119" t="s" s="0">
        <v>3089</v>
      </c>
      <c r="K119" t="s" s="0">
        <v>3090</v>
      </c>
      <c r="L119" t="s" s="0">
        <v>81</v>
      </c>
      <c r="M119" t="s" s="0">
        <v>81</v>
      </c>
      <c r="N119" t="s" s="0">
        <v>81</v>
      </c>
      <c r="O119" t="s" s="0">
        <v>3091</v>
      </c>
      <c r="P119" t="s" s="0">
        <v>3092</v>
      </c>
      <c r="Q119" t="s" s="0">
        <v>90</v>
      </c>
      <c r="R119" t="s" s="0">
        <v>81</v>
      </c>
      <c r="S119" t="s" s="0">
        <v>81</v>
      </c>
      <c r="T119" t="s" s="0">
        <v>81</v>
      </c>
      <c r="U119" t="s" s="0">
        <v>81</v>
      </c>
      <c r="V119" t="s" s="0">
        <v>3093</v>
      </c>
      <c r="W119" t="s" s="0">
        <v>154</v>
      </c>
      <c r="X119" t="s" s="0">
        <v>81</v>
      </c>
      <c r="Y119" t="s" s="0">
        <v>81</v>
      </c>
      <c r="Z119" t="s" s="0">
        <v>93</v>
      </c>
      <c r="AA119" t="s" s="0">
        <v>94</v>
      </c>
      <c r="AB119" t="s" s="0">
        <v>81</v>
      </c>
      <c r="AC119" t="s" s="0">
        <v>81</v>
      </c>
      <c r="AD119" t="s" s="0">
        <v>81</v>
      </c>
      <c r="AE119" t="s" s="0">
        <v>81</v>
      </c>
      <c r="AF119" t="s" s="0">
        <v>81</v>
      </c>
      <c r="AG119" t="s" s="0">
        <v>3094</v>
      </c>
      <c r="AH119" t="s" s="0">
        <v>3095</v>
      </c>
      <c r="AI119" t="s" s="0">
        <v>3096</v>
      </c>
      <c r="AJ119" t="s" s="0">
        <v>3097</v>
      </c>
      <c r="AK119" t="s" s="0">
        <v>81</v>
      </c>
      <c r="AL119" t="s" s="0">
        <v>536</v>
      </c>
      <c r="AM119" t="s" s="0">
        <v>117</v>
      </c>
      <c r="AN119" t="s" s="0">
        <v>130</v>
      </c>
      <c r="AO119" t="s" s="0">
        <v>253</v>
      </c>
      <c r="AP119" t="s" s="0">
        <v>563</v>
      </c>
      <c r="AQ119" t="s" s="0">
        <v>162</v>
      </c>
      <c r="AR119" t="s" s="0">
        <v>163</v>
      </c>
      <c r="AS119" t="s" s="0">
        <v>164</v>
      </c>
      <c r="AT119" t="s" s="0">
        <v>165</v>
      </c>
      <c r="AU119" t="s" s="0">
        <v>81</v>
      </c>
      <c r="AV119" t="s" s="0">
        <v>81</v>
      </c>
      <c r="AW119" t="s" s="0">
        <v>154</v>
      </c>
      <c r="AX119" t="s" s="0">
        <v>166</v>
      </c>
      <c r="AY119" t="s" s="0">
        <v>136</v>
      </c>
      <c r="AZ119" t="s" s="0">
        <v>136</v>
      </c>
      <c r="BA119" t="s" s="0">
        <v>167</v>
      </c>
      <c r="BB119" t="s" s="0">
        <v>81</v>
      </c>
      <c r="BC119" t="s" s="0">
        <v>81</v>
      </c>
      <c r="BD119" t="s" s="0">
        <v>81</v>
      </c>
      <c r="BE119" t="s" s="0">
        <v>81</v>
      </c>
      <c r="BF119" t="s" s="0">
        <v>81</v>
      </c>
      <c r="BG119" t="s" s="0">
        <v>3098</v>
      </c>
      <c r="BH119" t="s" s="0">
        <v>3099</v>
      </c>
      <c r="BI119" t="s" s="0">
        <v>81</v>
      </c>
      <c r="BJ119" t="s" s="0">
        <v>3100</v>
      </c>
      <c r="BK119" t="s" s="234">
        <f>HYPERLINK("http://dx.doi.org/10.1109/ACCESS.2025.3556700","http://dx.doi.org/10.1109/ACCESS.2025.3556700")</f>
        <v>3101</v>
      </c>
      <c r="BL119" t="s" s="0">
        <v>81</v>
      </c>
      <c r="BM119" t="s" s="0">
        <v>81</v>
      </c>
      <c r="BN119" t="s" s="0">
        <v>475</v>
      </c>
      <c r="BO119" t="s" s="0">
        <v>173</v>
      </c>
      <c r="BP119" t="s" s="0">
        <v>174</v>
      </c>
      <c r="BQ119" t="s" s="0">
        <v>3102</v>
      </c>
      <c r="BR119" t="s" s="0">
        <v>81</v>
      </c>
      <c r="BS119" t="s" s="0">
        <v>3103</v>
      </c>
      <c r="BT119" t="s" s="235">
        <f>HYPERLINK("https://www.webofscience.com/wos/woscc/full-record/WOS:001463859200005","View Record in Web of Science")</f>
        <v>114</v>
      </c>
      <c r="BU119" t="s" s="0">
        <v>145</v>
      </c>
      <c r="BV119" t="s" s="0">
        <v>81</v>
      </c>
      <c r="BW119" t="s" s="0">
        <v>81</v>
      </c>
      <c r="BX119" t="s" s="0">
        <v>116</v>
      </c>
    </row>
    <row r="120">
      <c r="A120" t="s" s="0">
        <v>77</v>
      </c>
      <c r="B120" t="s" s="0">
        <v>77</v>
      </c>
      <c r="C120" t="s" s="0">
        <v>77</v>
      </c>
      <c r="D120" t="s" s="0">
        <v>77</v>
      </c>
      <c r="E120" t="s" s="0">
        <v>3104</v>
      </c>
      <c r="F120" t="s" s="0">
        <v>3105</v>
      </c>
      <c r="G120" t="s" s="0">
        <v>3106</v>
      </c>
      <c r="H120" t="s" s="0">
        <v>81</v>
      </c>
      <c r="I120" t="s" s="0">
        <v>82</v>
      </c>
      <c r="J120" t="s" s="0">
        <v>3107</v>
      </c>
      <c r="K120" t="s" s="0">
        <v>3108</v>
      </c>
      <c r="L120" t="s" s="0">
        <v>3109</v>
      </c>
      <c r="M120" t="s" s="0">
        <v>3110</v>
      </c>
      <c r="N120" t="s" s="0">
        <v>3111</v>
      </c>
      <c r="O120" t="s" s="0">
        <v>3112</v>
      </c>
      <c r="P120" t="s" s="0">
        <v>3113</v>
      </c>
      <c r="Q120" t="s" s="0">
        <v>90</v>
      </c>
      <c r="R120" t="s" s="0">
        <v>81</v>
      </c>
      <c r="S120" t="s" s="0">
        <v>81</v>
      </c>
      <c r="T120" t="s" s="0">
        <v>81</v>
      </c>
      <c r="U120" t="s" s="0">
        <v>81</v>
      </c>
      <c r="V120" t="s" s="0">
        <v>3114</v>
      </c>
      <c r="W120" t="s" s="0">
        <v>3115</v>
      </c>
      <c r="X120" t="s" s="0">
        <v>81</v>
      </c>
      <c r="Y120" t="s" s="0">
        <v>81</v>
      </c>
      <c r="Z120" t="s" s="0">
        <v>93</v>
      </c>
      <c r="AA120" t="s" s="0">
        <v>94</v>
      </c>
      <c r="AB120" t="s" s="0">
        <v>81</v>
      </c>
      <c r="AC120" t="s" s="0">
        <v>81</v>
      </c>
      <c r="AD120" t="s" s="0">
        <v>81</v>
      </c>
      <c r="AE120" t="s" s="0">
        <v>81</v>
      </c>
      <c r="AF120" t="s" s="0">
        <v>81</v>
      </c>
      <c r="AG120" t="s" s="0">
        <v>3116</v>
      </c>
      <c r="AH120" t="s" s="0">
        <v>81</v>
      </c>
      <c r="AI120" t="s" s="0">
        <v>3117</v>
      </c>
      <c r="AJ120" t="s" s="0">
        <v>81</v>
      </c>
      <c r="AK120" t="s" s="0">
        <v>81</v>
      </c>
      <c r="AL120" t="s" s="0">
        <v>1641</v>
      </c>
      <c r="AM120" t="s" s="0">
        <v>77</v>
      </c>
      <c r="AN120" t="s" s="0">
        <v>77</v>
      </c>
      <c r="AO120" t="s" s="0">
        <v>130</v>
      </c>
      <c r="AP120" t="s" s="0">
        <v>130</v>
      </c>
      <c r="AQ120" t="s" s="0">
        <v>406</v>
      </c>
      <c r="AR120" t="s" s="0">
        <v>407</v>
      </c>
      <c r="AS120" t="s" s="0">
        <v>408</v>
      </c>
      <c r="AT120" t="s" s="0">
        <v>3118</v>
      </c>
      <c r="AU120" t="s" s="0">
        <v>3119</v>
      </c>
      <c r="AV120" t="s" s="0">
        <v>81</v>
      </c>
      <c r="AW120" t="s" s="0">
        <v>3115</v>
      </c>
      <c r="AX120" t="s" s="0">
        <v>3120</v>
      </c>
      <c r="AY120" t="s" s="0">
        <v>3121</v>
      </c>
      <c r="AZ120" t="s" s="0">
        <v>104</v>
      </c>
      <c r="BA120" t="s" s="0">
        <v>1399</v>
      </c>
      <c r="BB120" t="s" s="0">
        <v>81</v>
      </c>
      <c r="BC120" t="s" s="0">
        <v>81</v>
      </c>
      <c r="BD120" t="s" s="0">
        <v>81</v>
      </c>
      <c r="BE120" t="s" s="0">
        <v>81</v>
      </c>
      <c r="BF120" t="s" s="0">
        <v>81</v>
      </c>
      <c r="BG120" t="s" s="0">
        <v>81</v>
      </c>
      <c r="BH120" t="s" s="0">
        <v>81</v>
      </c>
      <c r="BI120" t="s" s="0">
        <v>3122</v>
      </c>
      <c r="BJ120" t="s" s="0">
        <v>3123</v>
      </c>
      <c r="BK120" t="s" s="236">
        <f>HYPERLINK("http://dx.doi.org/10.1016/j.displa.2026.103525","http://dx.doi.org/10.1016/j.displa.2026.103525")</f>
        <v>3124</v>
      </c>
      <c r="BL120" t="s" s="0">
        <v>81</v>
      </c>
      <c r="BM120" t="s" s="0">
        <v>81</v>
      </c>
      <c r="BN120" t="s" s="0">
        <v>167</v>
      </c>
      <c r="BO120" t="s" s="0">
        <v>3125</v>
      </c>
      <c r="BP120" t="s" s="0">
        <v>3126</v>
      </c>
      <c r="BQ120" t="s" s="0">
        <v>3127</v>
      </c>
      <c r="BR120" t="s" s="0">
        <v>81</v>
      </c>
      <c r="BS120" t="s" s="0">
        <v>3128</v>
      </c>
      <c r="BT120" t="s" s="237">
        <f>HYPERLINK("https://www.webofscience.com/wos/woscc/full-record/WOS:001780093900001","View Record in Web of Science")</f>
        <v>114</v>
      </c>
      <c r="BU120" t="s" s="0">
        <v>81</v>
      </c>
      <c r="BV120" t="s" s="0">
        <v>81</v>
      </c>
      <c r="BW120" t="s" s="0">
        <v>81</v>
      </c>
      <c r="BX120" t="s" s="0">
        <v>116</v>
      </c>
    </row>
    <row r="121">
      <c r="A121" t="s" s="0">
        <v>77</v>
      </c>
      <c r="B121" t="s" s="0">
        <v>77</v>
      </c>
      <c r="C121" t="s" s="0">
        <v>77</v>
      </c>
      <c r="D121" t="s" s="0">
        <v>77</v>
      </c>
      <c r="E121" t="s" s="0">
        <v>3129</v>
      </c>
      <c r="F121" t="s" s="0">
        <v>3130</v>
      </c>
      <c r="G121" t="s" s="0">
        <v>3131</v>
      </c>
      <c r="H121" t="s" s="0">
        <v>81</v>
      </c>
      <c r="I121" t="s" s="0">
        <v>213</v>
      </c>
      <c r="J121" t="s" s="0">
        <v>3132</v>
      </c>
      <c r="K121" t="s" s="0">
        <v>3133</v>
      </c>
      <c r="L121" t="s" s="0">
        <v>81</v>
      </c>
      <c r="M121" t="s" s="0">
        <v>81</v>
      </c>
      <c r="N121" t="s" s="0">
        <v>3134</v>
      </c>
      <c r="O121" t="s" s="0">
        <v>3135</v>
      </c>
      <c r="P121" t="s" s="0">
        <v>3136</v>
      </c>
      <c r="Q121" t="s" s="0">
        <v>90</v>
      </c>
      <c r="R121" t="s" s="0">
        <v>81</v>
      </c>
      <c r="S121" t="s" s="0">
        <v>81</v>
      </c>
      <c r="T121" t="s" s="0">
        <v>81</v>
      </c>
      <c r="U121" t="s" s="0">
        <v>81</v>
      </c>
      <c r="V121" t="s" s="0">
        <v>3137</v>
      </c>
      <c r="W121" t="s" s="0">
        <v>3138</v>
      </c>
      <c r="X121" t="s" s="0">
        <v>81</v>
      </c>
      <c r="Y121" t="s" s="0">
        <v>81</v>
      </c>
      <c r="Z121" t="s" s="0">
        <v>93</v>
      </c>
      <c r="AA121" t="s" s="0">
        <v>94</v>
      </c>
      <c r="AB121" t="s" s="0">
        <v>81</v>
      </c>
      <c r="AC121" t="s" s="0">
        <v>81</v>
      </c>
      <c r="AD121" t="s" s="0">
        <v>81</v>
      </c>
      <c r="AE121" t="s" s="0">
        <v>81</v>
      </c>
      <c r="AF121" t="s" s="0">
        <v>81</v>
      </c>
      <c r="AG121" t="s" s="0">
        <v>3139</v>
      </c>
      <c r="AH121" t="s" s="0">
        <v>81</v>
      </c>
      <c r="AI121" t="s" s="0">
        <v>3140</v>
      </c>
      <c r="AJ121" t="s" s="0">
        <v>81</v>
      </c>
      <c r="AK121" t="s" s="0">
        <v>81</v>
      </c>
      <c r="AL121" t="s" s="0">
        <v>1538</v>
      </c>
      <c r="AM121" t="s" s="0">
        <v>77</v>
      </c>
      <c r="AN121" t="s" s="0">
        <v>77</v>
      </c>
      <c r="AO121" t="s" s="0">
        <v>77</v>
      </c>
      <c r="AP121" t="s" s="0">
        <v>77</v>
      </c>
      <c r="AQ121" t="s" s="0">
        <v>476</v>
      </c>
      <c r="AR121" t="s" s="0">
        <v>477</v>
      </c>
      <c r="AS121" t="s" s="0">
        <v>478</v>
      </c>
      <c r="AT121" t="s" s="0">
        <v>81</v>
      </c>
      <c r="AU121" t="s" s="0">
        <v>3141</v>
      </c>
      <c r="AV121" t="s" s="0">
        <v>81</v>
      </c>
      <c r="AW121" t="s" s="0">
        <v>3138</v>
      </c>
      <c r="AX121" t="s" s="0">
        <v>3142</v>
      </c>
      <c r="AY121" t="s" s="0">
        <v>1022</v>
      </c>
      <c r="AZ121" t="s" s="0">
        <v>104</v>
      </c>
      <c r="BA121" t="s" s="0">
        <v>228</v>
      </c>
      <c r="BB121" t="s" s="0">
        <v>131</v>
      </c>
      <c r="BC121" t="s" s="0">
        <v>81</v>
      </c>
      <c r="BD121" t="s" s="0">
        <v>81</v>
      </c>
      <c r="BE121" t="s" s="0">
        <v>81</v>
      </c>
      <c r="BF121" t="s" s="0">
        <v>81</v>
      </c>
      <c r="BG121" t="s" s="0">
        <v>81</v>
      </c>
      <c r="BH121" t="s" s="0">
        <v>81</v>
      </c>
      <c r="BI121" t="s" s="0">
        <v>3143</v>
      </c>
      <c r="BJ121" t="s" s="0">
        <v>3144</v>
      </c>
      <c r="BK121" t="s" s="238">
        <f>HYPERLINK("http://dx.doi.org/10.3390/computation14060138","http://dx.doi.org/10.3390/computation14060138")</f>
        <v>3145</v>
      </c>
      <c r="BL121" t="s" s="0">
        <v>81</v>
      </c>
      <c r="BM121" t="s" s="0">
        <v>445</v>
      </c>
      <c r="BN121" t="s" s="0">
        <v>369</v>
      </c>
      <c r="BO121" t="s" s="0">
        <v>3146</v>
      </c>
      <c r="BP121" t="s" s="0">
        <v>3147</v>
      </c>
      <c r="BQ121" t="s" s="0">
        <v>3148</v>
      </c>
      <c r="BR121" t="s" s="0">
        <v>81</v>
      </c>
      <c r="BS121" t="s" s="0">
        <v>3149</v>
      </c>
      <c r="BT121" t="s" s="239">
        <f>HYPERLINK("https://www.webofscience.com/wos/woscc/full-record/WOS:001801960400001","View Record in Web of Science")</f>
        <v>114</v>
      </c>
      <c r="BU121" t="s" s="0">
        <v>115</v>
      </c>
      <c r="BV121" t="s" s="0">
        <v>81</v>
      </c>
      <c r="BW121" t="s" s="0">
        <v>81</v>
      </c>
      <c r="BX121" t="s" s="0">
        <v>116</v>
      </c>
    </row>
    <row r="122">
      <c r="A122" t="s" s="0">
        <v>77</v>
      </c>
      <c r="B122" t="s" s="0">
        <v>77</v>
      </c>
      <c r="C122" t="s" s="0">
        <v>77</v>
      </c>
      <c r="D122" t="s" s="0">
        <v>77</v>
      </c>
      <c r="E122" t="s" s="0">
        <v>3150</v>
      </c>
      <c r="F122" t="s" s="0">
        <v>3151</v>
      </c>
      <c r="G122" t="s" s="0">
        <v>3152</v>
      </c>
      <c r="H122" t="s" s="0">
        <v>81</v>
      </c>
      <c r="I122" t="s" s="0">
        <v>82</v>
      </c>
      <c r="J122" t="s" s="0">
        <v>3153</v>
      </c>
      <c r="K122" t="s" s="0">
        <v>3154</v>
      </c>
      <c r="L122" t="s" s="0">
        <v>3155</v>
      </c>
      <c r="M122" t="s" s="0">
        <v>3155</v>
      </c>
      <c r="N122" t="s" s="0">
        <v>3156</v>
      </c>
      <c r="O122" t="s" s="0">
        <v>3157</v>
      </c>
      <c r="P122" t="s" s="0">
        <v>3158</v>
      </c>
      <c r="Q122" t="s" s="0">
        <v>90</v>
      </c>
      <c r="R122" t="s" s="0">
        <v>81</v>
      </c>
      <c r="S122" t="s" s="0">
        <v>81</v>
      </c>
      <c r="T122" t="s" s="0">
        <v>81</v>
      </c>
      <c r="U122" t="s" s="0">
        <v>81</v>
      </c>
      <c r="V122" t="s" s="0">
        <v>3159</v>
      </c>
      <c r="W122" t="s" s="0">
        <v>954</v>
      </c>
      <c r="X122" t="s" s="0">
        <v>81</v>
      </c>
      <c r="Y122" t="s" s="0">
        <v>81</v>
      </c>
      <c r="Z122" t="s" s="0">
        <v>93</v>
      </c>
      <c r="AA122" t="s" s="0">
        <v>94</v>
      </c>
      <c r="AB122" t="s" s="0">
        <v>81</v>
      </c>
      <c r="AC122" t="s" s="0">
        <v>81</v>
      </c>
      <c r="AD122" t="s" s="0">
        <v>81</v>
      </c>
      <c r="AE122" t="s" s="0">
        <v>81</v>
      </c>
      <c r="AF122" t="s" s="0">
        <v>81</v>
      </c>
      <c r="AG122" t="s" s="0">
        <v>3160</v>
      </c>
      <c r="AH122" t="s" s="0">
        <v>3161</v>
      </c>
      <c r="AI122" t="s" s="0">
        <v>3162</v>
      </c>
      <c r="AJ122" t="s" s="0">
        <v>81</v>
      </c>
      <c r="AK122" t="s" s="0">
        <v>81</v>
      </c>
      <c r="AL122" t="s" s="0">
        <v>3163</v>
      </c>
      <c r="AM122" t="s" s="0">
        <v>77</v>
      </c>
      <c r="AN122" t="s" s="0">
        <v>77</v>
      </c>
      <c r="AO122" t="s" s="0">
        <v>77</v>
      </c>
      <c r="AP122" t="s" s="0">
        <v>77</v>
      </c>
      <c r="AQ122" t="s" s="0">
        <v>957</v>
      </c>
      <c r="AR122" t="s" s="0">
        <v>958</v>
      </c>
      <c r="AS122" t="s" s="0">
        <v>959</v>
      </c>
      <c r="AT122" t="s" s="0">
        <v>960</v>
      </c>
      <c r="AU122" t="s" s="0">
        <v>961</v>
      </c>
      <c r="AV122" t="s" s="0">
        <v>81</v>
      </c>
      <c r="AW122" t="s" s="0">
        <v>962</v>
      </c>
      <c r="AX122" t="s" s="0">
        <v>963</v>
      </c>
      <c r="AY122" t="s" s="0">
        <v>1673</v>
      </c>
      <c r="AZ122" t="s" s="0">
        <v>104</v>
      </c>
      <c r="BA122" t="s" s="0">
        <v>2847</v>
      </c>
      <c r="BB122" t="s" s="0">
        <v>81</v>
      </c>
      <c r="BC122" t="s" s="0">
        <v>81</v>
      </c>
      <c r="BD122" t="s" s="0">
        <v>81</v>
      </c>
      <c r="BE122" t="s" s="0">
        <v>81</v>
      </c>
      <c r="BF122" t="s" s="0">
        <v>81</v>
      </c>
      <c r="BG122" t="s" s="0">
        <v>81</v>
      </c>
      <c r="BH122" t="s" s="0">
        <v>81</v>
      </c>
      <c r="BI122" t="s" s="0">
        <v>3164</v>
      </c>
      <c r="BJ122" t="s" s="0">
        <v>3165</v>
      </c>
      <c r="BK122" t="s" s="240">
        <f>HYPERLINK("http://dx.doi.org/10.1016/j.jbi.2026.105055","http://dx.doi.org/10.1016/j.jbi.2026.105055")</f>
        <v>3166</v>
      </c>
      <c r="BL122" t="s" s="0">
        <v>81</v>
      </c>
      <c r="BM122" t="s" s="0">
        <v>81</v>
      </c>
      <c r="BN122" t="s" s="0">
        <v>226</v>
      </c>
      <c r="BO122" t="s" s="0">
        <v>968</v>
      </c>
      <c r="BP122" t="s" s="0">
        <v>969</v>
      </c>
      <c r="BQ122" t="s" s="0">
        <v>3167</v>
      </c>
      <c r="BR122" t="s" s="0">
        <v>3168</v>
      </c>
      <c r="BS122" t="s" s="0">
        <v>3169</v>
      </c>
      <c r="BT122" t="s" s="241">
        <f>HYPERLINK("https://www.webofscience.com/wos/woscc/full-record/WOS:001779576900001","View Record in Web of Science")</f>
        <v>114</v>
      </c>
      <c r="BU122" t="s" s="0">
        <v>457</v>
      </c>
      <c r="BV122" t="s" s="0">
        <v>81</v>
      </c>
      <c r="BW122" t="s" s="0">
        <v>81</v>
      </c>
      <c r="BX122" t="s" s="0">
        <v>116</v>
      </c>
    </row>
    <row r="123">
      <c r="A123" t="s" s="0">
        <v>77</v>
      </c>
      <c r="B123" t="s" s="0">
        <v>77</v>
      </c>
      <c r="C123" t="s" s="0">
        <v>130</v>
      </c>
      <c r="D123" t="s" s="0">
        <v>77</v>
      </c>
      <c r="E123" t="s" s="0">
        <v>3170</v>
      </c>
      <c r="F123" t="s" s="0">
        <v>3171</v>
      </c>
      <c r="G123" t="s" s="0">
        <v>3172</v>
      </c>
      <c r="H123" t="s" s="0">
        <v>81</v>
      </c>
      <c r="I123" t="s" s="0">
        <v>82</v>
      </c>
      <c r="J123" t="s" s="0">
        <v>3173</v>
      </c>
      <c r="K123" t="s" s="0">
        <v>3174</v>
      </c>
      <c r="L123" t="s" s="0">
        <v>3175</v>
      </c>
      <c r="M123" t="s" s="0">
        <v>3176</v>
      </c>
      <c r="N123" t="s" s="0">
        <v>3177</v>
      </c>
      <c r="O123" t="s" s="0">
        <v>3178</v>
      </c>
      <c r="P123" t="s" s="0">
        <v>3179</v>
      </c>
      <c r="Q123" t="s" s="0">
        <v>90</v>
      </c>
      <c r="R123" t="s" s="0">
        <v>81</v>
      </c>
      <c r="S123" t="s" s="0">
        <v>81</v>
      </c>
      <c r="T123" t="s" s="0">
        <v>81</v>
      </c>
      <c r="U123" t="s" s="0">
        <v>81</v>
      </c>
      <c r="V123" t="s" s="0">
        <v>3180</v>
      </c>
      <c r="W123" t="s" s="0">
        <v>3181</v>
      </c>
      <c r="X123" t="s" s="0">
        <v>81</v>
      </c>
      <c r="Y123" t="s" s="0">
        <v>81</v>
      </c>
      <c r="Z123" t="s" s="0">
        <v>93</v>
      </c>
      <c r="AA123" t="s" s="0">
        <v>94</v>
      </c>
      <c r="AB123" t="s" s="0">
        <v>81</v>
      </c>
      <c r="AC123" t="s" s="0">
        <v>81</v>
      </c>
      <c r="AD123" t="s" s="0">
        <v>81</v>
      </c>
      <c r="AE123" t="s" s="0">
        <v>81</v>
      </c>
      <c r="AF123" t="s" s="0">
        <v>81</v>
      </c>
      <c r="AG123" t="s" s="0">
        <v>3182</v>
      </c>
      <c r="AH123" t="s" s="0">
        <v>3183</v>
      </c>
      <c r="AI123" t="s" s="0">
        <v>3184</v>
      </c>
      <c r="AJ123" t="s" s="0">
        <v>3185</v>
      </c>
      <c r="AK123" t="s" s="0">
        <v>81</v>
      </c>
      <c r="AL123" t="s" s="0">
        <v>3186</v>
      </c>
      <c r="AM123" t="s" s="0">
        <v>228</v>
      </c>
      <c r="AN123" t="s" s="0">
        <v>172</v>
      </c>
      <c r="AO123" t="s" s="0">
        <v>77</v>
      </c>
      <c r="AP123" t="s" s="0">
        <v>475</v>
      </c>
      <c r="AQ123" t="s" s="0">
        <v>1068</v>
      </c>
      <c r="AR123" t="s" s="0">
        <v>1069</v>
      </c>
      <c r="AS123" t="s" s="0">
        <v>1070</v>
      </c>
      <c r="AT123" t="s" s="0">
        <v>3187</v>
      </c>
      <c r="AU123" t="s" s="0">
        <v>3188</v>
      </c>
      <c r="AV123" t="s" s="0">
        <v>81</v>
      </c>
      <c r="AW123" t="s" s="0">
        <v>3189</v>
      </c>
      <c r="AX123" t="s" s="0">
        <v>3190</v>
      </c>
      <c r="AY123" t="s" s="0">
        <v>3191</v>
      </c>
      <c r="AZ123" t="s" s="0">
        <v>573</v>
      </c>
      <c r="BA123" t="s" s="0">
        <v>1797</v>
      </c>
      <c r="BB123" t="s" s="0">
        <v>81</v>
      </c>
      <c r="BC123" t="s" s="0">
        <v>81</v>
      </c>
      <c r="BD123" t="s" s="0">
        <v>81</v>
      </c>
      <c r="BE123" t="s" s="0">
        <v>81</v>
      </c>
      <c r="BF123" t="s" s="0">
        <v>81</v>
      </c>
      <c r="BG123" t="s" s="0">
        <v>81</v>
      </c>
      <c r="BH123" t="s" s="0">
        <v>81</v>
      </c>
      <c r="BI123" t="s" s="0">
        <v>3192</v>
      </c>
      <c r="BJ123" t="s" s="0">
        <v>3193</v>
      </c>
      <c r="BK123" t="s" s="242">
        <f>HYPERLINK("http://dx.doi.org/10.1016/j.bspc.2023.105906","http://dx.doi.org/10.1016/j.bspc.2023.105906")</f>
        <v>3194</v>
      </c>
      <c r="BL123" t="s" s="0">
        <v>81</v>
      </c>
      <c r="BM123" t="s" s="0">
        <v>851</v>
      </c>
      <c r="BN123" t="s" s="0">
        <v>172</v>
      </c>
      <c r="BO123" t="s" s="0">
        <v>238</v>
      </c>
      <c r="BP123" t="s" s="0">
        <v>239</v>
      </c>
      <c r="BQ123" t="s" s="0">
        <v>3195</v>
      </c>
      <c r="BR123" t="s" s="0">
        <v>81</v>
      </c>
      <c r="BS123" t="s" s="0">
        <v>3196</v>
      </c>
      <c r="BT123" t="s" s="243">
        <f>HYPERLINK("https://www.webofscience.com/wos/woscc/full-record/WOS:001154177700001","View Record in Web of Science")</f>
        <v>114</v>
      </c>
      <c r="BU123" t="s" s="0">
        <v>81</v>
      </c>
      <c r="BV123" t="s" s="0">
        <v>81</v>
      </c>
      <c r="BW123" t="s" s="0">
        <v>81</v>
      </c>
      <c r="BX123" t="s" s="0">
        <v>116</v>
      </c>
    </row>
    <row r="124">
      <c r="A124" t="s" s="0">
        <v>77</v>
      </c>
      <c r="B124" t="s" s="0">
        <v>77</v>
      </c>
      <c r="C124" t="s" s="0">
        <v>77</v>
      </c>
      <c r="D124" t="s" s="0">
        <v>77</v>
      </c>
      <c r="E124" t="s" s="0">
        <v>3197</v>
      </c>
      <c r="F124" t="s" s="0">
        <v>3198</v>
      </c>
      <c r="G124" t="s" s="0">
        <v>3199</v>
      </c>
      <c r="H124" t="s" s="0">
        <v>81</v>
      </c>
      <c r="I124" t="s" s="0">
        <v>82</v>
      </c>
      <c r="J124" t="s" s="0">
        <v>3200</v>
      </c>
      <c r="K124" t="s" s="0">
        <v>3201</v>
      </c>
      <c r="L124" t="s" s="0">
        <v>3202</v>
      </c>
      <c r="M124" t="s" s="0">
        <v>3203</v>
      </c>
      <c r="N124" t="s" s="0">
        <v>3204</v>
      </c>
      <c r="O124" t="s" s="0">
        <v>3205</v>
      </c>
      <c r="P124" t="s" s="0">
        <v>3206</v>
      </c>
      <c r="Q124" t="s" s="0">
        <v>90</v>
      </c>
      <c r="R124" t="s" s="0">
        <v>81</v>
      </c>
      <c r="S124" t="s" s="0">
        <v>81</v>
      </c>
      <c r="T124" t="s" s="0">
        <v>81</v>
      </c>
      <c r="U124" t="s" s="0">
        <v>81</v>
      </c>
      <c r="V124" t="s" s="0">
        <v>3207</v>
      </c>
      <c r="W124" t="s" s="0">
        <v>271</v>
      </c>
      <c r="X124" t="s" s="0">
        <v>81</v>
      </c>
      <c r="Y124" t="s" s="0">
        <v>81</v>
      </c>
      <c r="Z124" t="s" s="0">
        <v>93</v>
      </c>
      <c r="AA124" t="s" s="0">
        <v>94</v>
      </c>
      <c r="AB124" t="s" s="0">
        <v>81</v>
      </c>
      <c r="AC124" t="s" s="0">
        <v>81</v>
      </c>
      <c r="AD124" t="s" s="0">
        <v>81</v>
      </c>
      <c r="AE124" t="s" s="0">
        <v>81</v>
      </c>
      <c r="AF124" t="s" s="0">
        <v>81</v>
      </c>
      <c r="AG124" t="s" s="0">
        <v>3208</v>
      </c>
      <c r="AH124" t="s" s="0">
        <v>81</v>
      </c>
      <c r="AI124" t="s" s="0">
        <v>3209</v>
      </c>
      <c r="AJ124" t="s" s="0">
        <v>3210</v>
      </c>
      <c r="AK124" t="s" s="0">
        <v>81</v>
      </c>
      <c r="AL124" t="s" s="0">
        <v>507</v>
      </c>
      <c r="AM124" t="s" s="0">
        <v>130</v>
      </c>
      <c r="AN124" t="s" s="0">
        <v>130</v>
      </c>
      <c r="AO124" t="s" s="0">
        <v>160</v>
      </c>
      <c r="AP124" t="s" s="0">
        <v>160</v>
      </c>
      <c r="AQ124" t="s" s="0">
        <v>274</v>
      </c>
      <c r="AR124" t="s" s="0">
        <v>275</v>
      </c>
      <c r="AS124" t="s" s="0">
        <v>276</v>
      </c>
      <c r="AT124" t="s" s="0">
        <v>277</v>
      </c>
      <c r="AU124" t="s" s="0">
        <v>81</v>
      </c>
      <c r="AV124" t="s" s="0">
        <v>81</v>
      </c>
      <c r="AW124" t="s" s="0">
        <v>278</v>
      </c>
      <c r="AX124" t="s" s="0">
        <v>279</v>
      </c>
      <c r="AY124" t="s" s="0">
        <v>3211</v>
      </c>
      <c r="AZ124" t="s" s="0">
        <v>104</v>
      </c>
      <c r="BA124" t="s" s="0">
        <v>137</v>
      </c>
      <c r="BB124" t="s" s="0">
        <v>117</v>
      </c>
      <c r="BC124" t="s" s="0">
        <v>81</v>
      </c>
      <c r="BD124" t="s" s="0">
        <v>81</v>
      </c>
      <c r="BE124" t="s" s="0">
        <v>81</v>
      </c>
      <c r="BF124" t="s" s="0">
        <v>81</v>
      </c>
      <c r="BG124" t="s" s="0">
        <v>81</v>
      </c>
      <c r="BH124" t="s" s="0">
        <v>81</v>
      </c>
      <c r="BI124" t="s" s="0">
        <v>3212</v>
      </c>
      <c r="BJ124" t="s" s="0">
        <v>3213</v>
      </c>
      <c r="BK124" t="s" s="244">
        <f>HYPERLINK("http://dx.doi.org/10.1038/s41598-026-40734-w","http://dx.doi.org/10.1038/s41598-026-40734-w")</f>
        <v>3214</v>
      </c>
      <c r="BL124" t="s" s="0">
        <v>81</v>
      </c>
      <c r="BM124" t="s" s="0">
        <v>81</v>
      </c>
      <c r="BN124" t="s" s="0">
        <v>258</v>
      </c>
      <c r="BO124" t="s" s="0">
        <v>285</v>
      </c>
      <c r="BP124" t="s" s="0">
        <v>286</v>
      </c>
      <c r="BQ124" t="s" s="0">
        <v>3215</v>
      </c>
      <c r="BR124" t="s" s="0">
        <v>3216</v>
      </c>
      <c r="BS124" t="s" s="0">
        <v>3217</v>
      </c>
      <c r="BT124" t="s" s="245">
        <f>HYPERLINK("https://www.webofscience.com/wos/woscc/full-record/WOS:001727680800023","View Record in Web of Science")</f>
        <v>114</v>
      </c>
      <c r="BU124" t="s" s="0">
        <v>145</v>
      </c>
      <c r="BV124" t="s" s="0">
        <v>81</v>
      </c>
      <c r="BW124" t="s" s="0">
        <v>81</v>
      </c>
      <c r="BX124" t="s" s="0">
        <v>116</v>
      </c>
    </row>
    <row r="125">
      <c r="A125" t="s" s="0">
        <v>77</v>
      </c>
      <c r="B125" t="s" s="0">
        <v>77</v>
      </c>
      <c r="C125" t="s" s="0">
        <v>77</v>
      </c>
      <c r="D125" t="s" s="0">
        <v>77</v>
      </c>
      <c r="E125" t="s" s="0">
        <v>3218</v>
      </c>
      <c r="F125" t="s" s="0">
        <v>3219</v>
      </c>
      <c r="G125" t="s" s="0">
        <v>3220</v>
      </c>
      <c r="H125" t="s" s="0">
        <v>81</v>
      </c>
      <c r="I125" t="s" s="0">
        <v>82</v>
      </c>
      <c r="J125" t="s" s="0">
        <v>3221</v>
      </c>
      <c r="K125" t="s" s="0">
        <v>3222</v>
      </c>
      <c r="L125" t="s" s="0">
        <v>3223</v>
      </c>
      <c r="M125" t="s" s="0">
        <v>3223</v>
      </c>
      <c r="N125" t="s" s="0">
        <v>1935</v>
      </c>
      <c r="O125" t="s" s="0">
        <v>3224</v>
      </c>
      <c r="P125" t="s" s="0">
        <v>3225</v>
      </c>
      <c r="Q125" t="s" s="0">
        <v>90</v>
      </c>
      <c r="R125" t="s" s="0">
        <v>81</v>
      </c>
      <c r="S125" t="s" s="0">
        <v>81</v>
      </c>
      <c r="T125" t="s" s="0">
        <v>81</v>
      </c>
      <c r="U125" t="s" s="0">
        <v>81</v>
      </c>
      <c r="V125" t="s" s="0">
        <v>3226</v>
      </c>
      <c r="W125" t="s" s="0">
        <v>271</v>
      </c>
      <c r="X125" t="s" s="0">
        <v>81</v>
      </c>
      <c r="Y125" t="s" s="0">
        <v>81</v>
      </c>
      <c r="Z125" t="s" s="0">
        <v>93</v>
      </c>
      <c r="AA125" t="s" s="0">
        <v>94</v>
      </c>
      <c r="AB125" t="s" s="0">
        <v>81</v>
      </c>
      <c r="AC125" t="s" s="0">
        <v>81</v>
      </c>
      <c r="AD125" t="s" s="0">
        <v>81</v>
      </c>
      <c r="AE125" t="s" s="0">
        <v>81</v>
      </c>
      <c r="AF125" t="s" s="0">
        <v>81</v>
      </c>
      <c r="AG125" t="s" s="0">
        <v>3227</v>
      </c>
      <c r="AH125" t="s" s="0">
        <v>436</v>
      </c>
      <c r="AI125" t="s" s="0">
        <v>3228</v>
      </c>
      <c r="AJ125" t="s" s="0">
        <v>81</v>
      </c>
      <c r="AK125" t="s" s="0">
        <v>81</v>
      </c>
      <c r="AL125" t="s" s="0">
        <v>451</v>
      </c>
      <c r="AM125" t="s" s="0">
        <v>77</v>
      </c>
      <c r="AN125" t="s" s="0">
        <v>77</v>
      </c>
      <c r="AO125" t="s" s="0">
        <v>117</v>
      </c>
      <c r="AP125" t="s" s="0">
        <v>161</v>
      </c>
      <c r="AQ125" t="s" s="0">
        <v>274</v>
      </c>
      <c r="AR125" t="s" s="0">
        <v>275</v>
      </c>
      <c r="AS125" t="s" s="0">
        <v>276</v>
      </c>
      <c r="AT125" t="s" s="0">
        <v>277</v>
      </c>
      <c r="AU125" t="s" s="0">
        <v>81</v>
      </c>
      <c r="AV125" t="s" s="0">
        <v>81</v>
      </c>
      <c r="AW125" t="s" s="0">
        <v>278</v>
      </c>
      <c r="AX125" t="s" s="0">
        <v>279</v>
      </c>
      <c r="AY125" t="s" s="0">
        <v>3229</v>
      </c>
      <c r="AZ125" t="s" s="0">
        <v>136</v>
      </c>
      <c r="BA125" t="s" s="0">
        <v>172</v>
      </c>
      <c r="BB125" t="s" s="0">
        <v>117</v>
      </c>
      <c r="BC125" t="s" s="0">
        <v>81</v>
      </c>
      <c r="BD125" t="s" s="0">
        <v>81</v>
      </c>
      <c r="BE125" t="s" s="0">
        <v>81</v>
      </c>
      <c r="BF125" t="s" s="0">
        <v>81</v>
      </c>
      <c r="BG125" t="s" s="0">
        <v>81</v>
      </c>
      <c r="BH125" t="s" s="0">
        <v>81</v>
      </c>
      <c r="BI125" t="s" s="0">
        <v>3230</v>
      </c>
      <c r="BJ125" t="s" s="0">
        <v>3231</v>
      </c>
      <c r="BK125" t="s" s="246">
        <f>HYPERLINK("http://dx.doi.org/10.1038/s41598-025-26715-5","http://dx.doi.org/10.1038/s41598-025-26715-5")</f>
        <v>3232</v>
      </c>
      <c r="BL125" t="s" s="0">
        <v>81</v>
      </c>
      <c r="BM125" t="s" s="0">
        <v>81</v>
      </c>
      <c r="BN125" t="s" s="0">
        <v>128</v>
      </c>
      <c r="BO125" t="s" s="0">
        <v>285</v>
      </c>
      <c r="BP125" t="s" s="0">
        <v>286</v>
      </c>
      <c r="BQ125" t="s" s="0">
        <v>3233</v>
      </c>
      <c r="BR125" t="s" s="0">
        <v>3234</v>
      </c>
      <c r="BS125" t="s" s="0">
        <v>3235</v>
      </c>
      <c r="BT125" t="s" s="247">
        <f>HYPERLINK("https://www.webofscience.com/wos/woscc/full-record/WOS:001613940600010","View Record in Web of Science")</f>
        <v>114</v>
      </c>
      <c r="BU125" t="s" s="0">
        <v>145</v>
      </c>
      <c r="BV125" t="s" s="0">
        <v>81</v>
      </c>
      <c r="BW125" t="s" s="0">
        <v>81</v>
      </c>
      <c r="BX125" t="s" s="0">
        <v>116</v>
      </c>
    </row>
    <row r="126">
      <c r="A126" t="s" s="0">
        <v>77</v>
      </c>
      <c r="B126" t="s" s="0">
        <v>77</v>
      </c>
      <c r="C126" t="s" s="0">
        <v>77</v>
      </c>
      <c r="D126" t="s" s="0">
        <v>77</v>
      </c>
      <c r="E126" t="s" s="0">
        <v>3236</v>
      </c>
      <c r="F126" t="s" s="0">
        <v>3237</v>
      </c>
      <c r="G126" t="s" s="0">
        <v>3238</v>
      </c>
      <c r="H126" t="s" s="0">
        <v>81</v>
      </c>
      <c r="I126" t="s" s="0">
        <v>82</v>
      </c>
      <c r="J126" t="s" s="0">
        <v>3239</v>
      </c>
      <c r="K126" t="s" s="0">
        <v>3240</v>
      </c>
      <c r="L126" t="s" s="0">
        <v>3241</v>
      </c>
      <c r="M126" t="s" s="0">
        <v>3242</v>
      </c>
      <c r="N126" t="s" s="0">
        <v>3243</v>
      </c>
      <c r="O126" t="s" s="0">
        <v>3244</v>
      </c>
      <c r="P126" t="s" s="0">
        <v>3245</v>
      </c>
      <c r="Q126" t="s" s="0">
        <v>90</v>
      </c>
      <c r="R126" t="s" s="0">
        <v>81</v>
      </c>
      <c r="S126" t="s" s="0">
        <v>81</v>
      </c>
      <c r="T126" t="s" s="0">
        <v>81</v>
      </c>
      <c r="U126" t="s" s="0">
        <v>81</v>
      </c>
      <c r="V126" t="s" s="0">
        <v>3246</v>
      </c>
      <c r="W126" t="s" s="0">
        <v>1416</v>
      </c>
      <c r="X126" t="s" s="0">
        <v>81</v>
      </c>
      <c r="Y126" t="s" s="0">
        <v>81</v>
      </c>
      <c r="Z126" t="s" s="0">
        <v>93</v>
      </c>
      <c r="AA126" t="s" s="0">
        <v>94</v>
      </c>
      <c r="AB126" t="s" s="0">
        <v>81</v>
      </c>
      <c r="AC126" t="s" s="0">
        <v>81</v>
      </c>
      <c r="AD126" t="s" s="0">
        <v>81</v>
      </c>
      <c r="AE126" t="s" s="0">
        <v>81</v>
      </c>
      <c r="AF126" t="s" s="0">
        <v>81</v>
      </c>
      <c r="AG126" t="s" s="0">
        <v>3247</v>
      </c>
      <c r="AH126" t="s" s="0">
        <v>3248</v>
      </c>
      <c r="AI126" t="s" s="0">
        <v>81</v>
      </c>
      <c r="AJ126" t="s" s="0">
        <v>81</v>
      </c>
      <c r="AK126" t="s" s="0">
        <v>81</v>
      </c>
      <c r="AL126" t="s" s="0">
        <v>193</v>
      </c>
      <c r="AM126" t="s" s="0">
        <v>77</v>
      </c>
      <c r="AN126" t="s" s="0">
        <v>77</v>
      </c>
      <c r="AO126" t="s" s="0">
        <v>253</v>
      </c>
      <c r="AP126" t="s" s="0">
        <v>253</v>
      </c>
      <c r="AQ126" t="s" s="0">
        <v>97</v>
      </c>
      <c r="AR126" t="s" s="0">
        <v>98</v>
      </c>
      <c r="AS126" t="s" s="0">
        <v>99</v>
      </c>
      <c r="AT126" t="s" s="0">
        <v>1422</v>
      </c>
      <c r="AU126" t="s" s="0">
        <v>81</v>
      </c>
      <c r="AV126" t="s" s="0">
        <v>81</v>
      </c>
      <c r="AW126" t="s" s="0">
        <v>1423</v>
      </c>
      <c r="AX126" t="s" s="0">
        <v>1424</v>
      </c>
      <c r="AY126" t="s" s="0">
        <v>3249</v>
      </c>
      <c r="AZ126" t="s" s="0">
        <v>104</v>
      </c>
      <c r="BA126" t="s" s="0">
        <v>137</v>
      </c>
      <c r="BB126" t="s" s="0">
        <v>81</v>
      </c>
      <c r="BC126" t="s" s="0">
        <v>81</v>
      </c>
      <c r="BD126" t="s" s="0">
        <v>81</v>
      </c>
      <c r="BE126" t="s" s="0">
        <v>81</v>
      </c>
      <c r="BF126" t="s" s="0">
        <v>81</v>
      </c>
      <c r="BG126" t="s" s="0">
        <v>81</v>
      </c>
      <c r="BH126" t="s" s="0">
        <v>81</v>
      </c>
      <c r="BI126" t="s" s="0">
        <v>3250</v>
      </c>
      <c r="BJ126" t="s" s="0">
        <v>3251</v>
      </c>
      <c r="BK126" t="s" s="248">
        <f>HYPERLINK("http://dx.doi.org/10.3389/fonc.2026.1767885","http://dx.doi.org/10.3389/fonc.2026.1767885")</f>
        <v>3252</v>
      </c>
      <c r="BL126" t="s" s="0">
        <v>81</v>
      </c>
      <c r="BM126" t="s" s="0">
        <v>284</v>
      </c>
      <c r="BN126" t="s" s="0">
        <v>129</v>
      </c>
      <c r="BO126" t="s" s="0">
        <v>939</v>
      </c>
      <c r="BP126" t="s" s="0">
        <v>939</v>
      </c>
      <c r="BQ126" t="s" s="0">
        <v>3253</v>
      </c>
      <c r="BR126" t="s" s="0">
        <v>3254</v>
      </c>
      <c r="BS126" t="s" s="0">
        <v>3255</v>
      </c>
      <c r="BT126" t="s" s="249">
        <f>HYPERLINK("https://www.webofscience.com/wos/woscc/full-record/WOS:001737233900001","View Record in Web of Science")</f>
        <v>114</v>
      </c>
      <c r="BU126" t="s" s="0">
        <v>145</v>
      </c>
      <c r="BV126" t="s" s="0">
        <v>81</v>
      </c>
      <c r="BW126" t="s" s="0">
        <v>81</v>
      </c>
      <c r="BX126" t="s" s="0">
        <v>116</v>
      </c>
    </row>
    <row r="127">
      <c r="A127" t="s" s="0">
        <v>77</v>
      </c>
      <c r="B127" t="s" s="0">
        <v>77</v>
      </c>
      <c r="C127" t="s" s="0">
        <v>77</v>
      </c>
      <c r="D127" t="s" s="0">
        <v>77</v>
      </c>
      <c r="E127" t="s" s="0">
        <v>3256</v>
      </c>
      <c r="F127" t="s" s="0">
        <v>3257</v>
      </c>
      <c r="G127" t="s" s="0">
        <v>3258</v>
      </c>
      <c r="H127" t="s" s="0">
        <v>81</v>
      </c>
      <c r="I127" t="s" s="0">
        <v>82</v>
      </c>
      <c r="J127" t="s" s="0">
        <v>3259</v>
      </c>
      <c r="K127" t="s" s="0">
        <v>3260</v>
      </c>
      <c r="L127" t="s" s="0">
        <v>3261</v>
      </c>
      <c r="M127" t="s" s="0">
        <v>3262</v>
      </c>
      <c r="N127" t="s" s="0">
        <v>3263</v>
      </c>
      <c r="O127" t="s" s="0">
        <v>3264</v>
      </c>
      <c r="P127" t="s" s="0">
        <v>3265</v>
      </c>
      <c r="Q127" t="s" s="0">
        <v>90</v>
      </c>
      <c r="R127" t="s" s="0">
        <v>81</v>
      </c>
      <c r="S127" t="s" s="0">
        <v>81</v>
      </c>
      <c r="T127" t="s" s="0">
        <v>81</v>
      </c>
      <c r="U127" t="s" s="0">
        <v>81</v>
      </c>
      <c r="V127" t="s" s="0">
        <v>3266</v>
      </c>
      <c r="W127" t="s" s="0">
        <v>154</v>
      </c>
      <c r="X127" t="s" s="0">
        <v>81</v>
      </c>
      <c r="Y127" t="s" s="0">
        <v>81</v>
      </c>
      <c r="Z127" t="s" s="0">
        <v>93</v>
      </c>
      <c r="AA127" t="s" s="0">
        <v>94</v>
      </c>
      <c r="AB127" t="s" s="0">
        <v>81</v>
      </c>
      <c r="AC127" t="s" s="0">
        <v>81</v>
      </c>
      <c r="AD127" t="s" s="0">
        <v>81</v>
      </c>
      <c r="AE127" t="s" s="0">
        <v>81</v>
      </c>
      <c r="AF127" t="s" s="0">
        <v>81</v>
      </c>
      <c r="AG127" t="s" s="0">
        <v>3267</v>
      </c>
      <c r="AH127" t="s" s="0">
        <v>81</v>
      </c>
      <c r="AI127" t="s" s="0">
        <v>3268</v>
      </c>
      <c r="AJ127" t="s" s="0">
        <v>3269</v>
      </c>
      <c r="AK127" t="s" s="0">
        <v>81</v>
      </c>
      <c r="AL127" t="s" s="0">
        <v>252</v>
      </c>
      <c r="AM127" t="s" s="0">
        <v>161</v>
      </c>
      <c r="AN127" t="s" s="0">
        <v>161</v>
      </c>
      <c r="AO127" t="s" s="0">
        <v>253</v>
      </c>
      <c r="AP127" t="s" s="0">
        <v>129</v>
      </c>
      <c r="AQ127" t="s" s="0">
        <v>162</v>
      </c>
      <c r="AR127" t="s" s="0">
        <v>163</v>
      </c>
      <c r="AS127" t="s" s="0">
        <v>164</v>
      </c>
      <c r="AT127" t="s" s="0">
        <v>165</v>
      </c>
      <c r="AU127" t="s" s="0">
        <v>81</v>
      </c>
      <c r="AV127" t="s" s="0">
        <v>81</v>
      </c>
      <c r="AW127" t="s" s="0">
        <v>154</v>
      </c>
      <c r="AX127" t="s" s="0">
        <v>166</v>
      </c>
      <c r="AY127" t="s" s="0">
        <v>136</v>
      </c>
      <c r="AZ127" t="s" s="0">
        <v>136</v>
      </c>
      <c r="BA127" t="s" s="0">
        <v>167</v>
      </c>
      <c r="BB127" t="s" s="0">
        <v>81</v>
      </c>
      <c r="BC127" t="s" s="0">
        <v>81</v>
      </c>
      <c r="BD127" t="s" s="0">
        <v>81</v>
      </c>
      <c r="BE127" t="s" s="0">
        <v>81</v>
      </c>
      <c r="BF127" t="s" s="0">
        <v>81</v>
      </c>
      <c r="BG127" t="s" s="0">
        <v>3270</v>
      </c>
      <c r="BH127" t="s" s="0">
        <v>3271</v>
      </c>
      <c r="BI127" t="s" s="0">
        <v>81</v>
      </c>
      <c r="BJ127" t="s" s="0">
        <v>3272</v>
      </c>
      <c r="BK127" t="s" s="250">
        <f>HYPERLINK("http://dx.doi.org/10.1109/ACCESS.2025.3564529","http://dx.doi.org/10.1109/ACCESS.2025.3564529")</f>
        <v>3273</v>
      </c>
      <c r="BL127" t="s" s="0">
        <v>81</v>
      </c>
      <c r="BM127" t="s" s="0">
        <v>81</v>
      </c>
      <c r="BN127" t="s" s="0">
        <v>226</v>
      </c>
      <c r="BO127" t="s" s="0">
        <v>173</v>
      </c>
      <c r="BP127" t="s" s="0">
        <v>174</v>
      </c>
      <c r="BQ127" t="s" s="0">
        <v>3274</v>
      </c>
      <c r="BR127" t="s" s="0">
        <v>81</v>
      </c>
      <c r="BS127" t="s" s="0">
        <v>3275</v>
      </c>
      <c r="BT127" t="s" s="251">
        <f>HYPERLINK("https://www.webofscience.com/wos/woscc/full-record/WOS:001481864700008","View Record in Web of Science")</f>
        <v>114</v>
      </c>
      <c r="BU127" t="s" s="0">
        <v>145</v>
      </c>
      <c r="BV127" t="s" s="0">
        <v>81</v>
      </c>
      <c r="BW127" t="s" s="0">
        <v>81</v>
      </c>
      <c r="BX127" t="s" s="0">
        <v>116</v>
      </c>
    </row>
    <row r="128">
      <c r="A128" t="s" s="0">
        <v>77</v>
      </c>
      <c r="B128" t="s" s="0">
        <v>77</v>
      </c>
      <c r="C128" t="s" s="0">
        <v>128</v>
      </c>
      <c r="D128" t="s" s="0">
        <v>77</v>
      </c>
      <c r="E128" t="s" s="0">
        <v>3276</v>
      </c>
      <c r="F128" t="s" s="0">
        <v>3277</v>
      </c>
      <c r="G128" t="s" s="0">
        <v>3278</v>
      </c>
      <c r="H128" t="s" s="0">
        <v>81</v>
      </c>
      <c r="I128" t="s" s="0">
        <v>82</v>
      </c>
      <c r="J128" t="s" s="0">
        <v>3279</v>
      </c>
      <c r="K128" t="s" s="0">
        <v>3280</v>
      </c>
      <c r="L128" t="s" s="0">
        <v>3281</v>
      </c>
      <c r="M128" t="s" s="0">
        <v>3282</v>
      </c>
      <c r="N128" t="s" s="0">
        <v>3283</v>
      </c>
      <c r="O128" t="s" s="0">
        <v>3284</v>
      </c>
      <c r="P128" t="s" s="0">
        <v>3285</v>
      </c>
      <c r="Q128" t="s" s="0">
        <v>90</v>
      </c>
      <c r="R128" t="s" s="0">
        <v>81</v>
      </c>
      <c r="S128" t="s" s="0">
        <v>81</v>
      </c>
      <c r="T128" t="s" s="0">
        <v>81</v>
      </c>
      <c r="U128" t="s" s="0">
        <v>81</v>
      </c>
      <c r="V128" t="s" s="0">
        <v>3286</v>
      </c>
      <c r="W128" t="s" s="0">
        <v>557</v>
      </c>
      <c r="X128" t="s" s="0">
        <v>81</v>
      </c>
      <c r="Y128" t="s" s="0">
        <v>81</v>
      </c>
      <c r="Z128" t="s" s="0">
        <v>93</v>
      </c>
      <c r="AA128" t="s" s="0">
        <v>94</v>
      </c>
      <c r="AB128" t="s" s="0">
        <v>81</v>
      </c>
      <c r="AC128" t="s" s="0">
        <v>81</v>
      </c>
      <c r="AD128" t="s" s="0">
        <v>81</v>
      </c>
      <c r="AE128" t="s" s="0">
        <v>81</v>
      </c>
      <c r="AF128" t="s" s="0">
        <v>81</v>
      </c>
      <c r="AG128" t="s" s="0">
        <v>3287</v>
      </c>
      <c r="AH128" t="s" s="0">
        <v>3288</v>
      </c>
      <c r="AI128" t="s" s="0">
        <v>3289</v>
      </c>
      <c r="AJ128" t="s" s="0">
        <v>3290</v>
      </c>
      <c r="AK128" t="s" s="0">
        <v>81</v>
      </c>
      <c r="AL128" t="s" s="0">
        <v>507</v>
      </c>
      <c r="AM128" t="s" s="0">
        <v>706</v>
      </c>
      <c r="AN128" t="s" s="0">
        <v>405</v>
      </c>
      <c r="AO128" t="s" s="0">
        <v>117</v>
      </c>
      <c r="AP128" t="s" s="0">
        <v>109</v>
      </c>
      <c r="AQ128" t="s" s="0">
        <v>565</v>
      </c>
      <c r="AR128" t="s" s="0">
        <v>566</v>
      </c>
      <c r="AS128" t="s" s="0">
        <v>567</v>
      </c>
      <c r="AT128" t="s" s="0">
        <v>568</v>
      </c>
      <c r="AU128" t="s" s="0">
        <v>569</v>
      </c>
      <c r="AV128" t="s" s="0">
        <v>81</v>
      </c>
      <c r="AW128" t="s" s="0">
        <v>570</v>
      </c>
      <c r="AX128" t="s" s="0">
        <v>571</v>
      </c>
      <c r="AY128" t="s" s="0">
        <v>658</v>
      </c>
      <c r="AZ128" t="s" s="0">
        <v>573</v>
      </c>
      <c r="BA128" t="s" s="0">
        <v>3291</v>
      </c>
      <c r="BB128" t="s" s="0">
        <v>81</v>
      </c>
      <c r="BC128" t="s" s="0">
        <v>81</v>
      </c>
      <c r="BD128" t="s" s="0">
        <v>81</v>
      </c>
      <c r="BE128" t="s" s="0">
        <v>81</v>
      </c>
      <c r="BF128" t="s" s="0">
        <v>81</v>
      </c>
      <c r="BG128" t="s" s="0">
        <v>81</v>
      </c>
      <c r="BH128" t="s" s="0">
        <v>81</v>
      </c>
      <c r="BI128" t="s" s="0">
        <v>3292</v>
      </c>
      <c r="BJ128" t="s" s="0">
        <v>3293</v>
      </c>
      <c r="BK128" t="s" s="252">
        <f>HYPERLINK("http://dx.doi.org/10.1016/j.cmpb.2023.107978","http://dx.doi.org/10.1016/j.cmpb.2023.107978")</f>
        <v>3294</v>
      </c>
      <c r="BL128" t="s" s="0">
        <v>81</v>
      </c>
      <c r="BM128" t="s" s="0">
        <v>3295</v>
      </c>
      <c r="BN128" t="s" s="0">
        <v>228</v>
      </c>
      <c r="BO128" t="s" s="0">
        <v>579</v>
      </c>
      <c r="BP128" t="s" s="0">
        <v>580</v>
      </c>
      <c r="BQ128" t="s" s="0">
        <v>3296</v>
      </c>
      <c r="BR128" t="s" s="0">
        <v>3297</v>
      </c>
      <c r="BS128" t="s" s="0">
        <v>3298</v>
      </c>
      <c r="BT128" t="s" s="253">
        <f>HYPERLINK("https://www.webofscience.com/wos/woscc/full-record/WOS:001145678200001","View Record in Web of Science")</f>
        <v>114</v>
      </c>
      <c r="BU128" t="s" s="0">
        <v>457</v>
      </c>
      <c r="BV128" t="s" s="0">
        <v>81</v>
      </c>
      <c r="BW128" t="s" s="0">
        <v>81</v>
      </c>
      <c r="BX128" t="s" s="0">
        <v>116</v>
      </c>
    </row>
    <row r="129">
      <c r="A129" t="s" s="0">
        <v>77</v>
      </c>
      <c r="B129" t="s" s="0">
        <v>77</v>
      </c>
      <c r="C129" t="s" s="0">
        <v>117</v>
      </c>
      <c r="D129" t="s" s="0">
        <v>77</v>
      </c>
      <c r="E129" t="s" s="0">
        <v>3299</v>
      </c>
      <c r="F129" t="s" s="0">
        <v>3300</v>
      </c>
      <c r="G129" t="s" s="0">
        <v>3301</v>
      </c>
      <c r="H129" t="s" s="0">
        <v>81</v>
      </c>
      <c r="I129" t="s" s="0">
        <v>2702</v>
      </c>
      <c r="J129" t="s" s="0">
        <v>3302</v>
      </c>
      <c r="K129" t="s" s="0">
        <v>3303</v>
      </c>
      <c r="L129" t="s" s="0">
        <v>81</v>
      </c>
      <c r="M129" t="s" s="0">
        <v>81</v>
      </c>
      <c r="N129" t="s" s="0">
        <v>81</v>
      </c>
      <c r="O129" t="s" s="0">
        <v>3304</v>
      </c>
      <c r="P129" t="s" s="0">
        <v>3305</v>
      </c>
      <c r="Q129" t="s" s="0">
        <v>90</v>
      </c>
      <c r="R129" t="s" s="0">
        <v>81</v>
      </c>
      <c r="S129" t="s" s="0">
        <v>81</v>
      </c>
      <c r="T129" t="s" s="0">
        <v>81</v>
      </c>
      <c r="U129" t="s" s="0">
        <v>81</v>
      </c>
      <c r="V129" t="s" s="0">
        <v>3306</v>
      </c>
      <c r="W129" t="s" s="0">
        <v>3307</v>
      </c>
      <c r="X129" t="s" s="0">
        <v>81</v>
      </c>
      <c r="Y129" t="s" s="0">
        <v>81</v>
      </c>
      <c r="Z129" t="s" s="0">
        <v>93</v>
      </c>
      <c r="AA129" t="s" s="0">
        <v>94</v>
      </c>
      <c r="AB129" t="s" s="0">
        <v>81</v>
      </c>
      <c r="AC129" t="s" s="0">
        <v>81</v>
      </c>
      <c r="AD129" t="s" s="0">
        <v>81</v>
      </c>
      <c r="AE129" t="s" s="0">
        <v>81</v>
      </c>
      <c r="AF129" t="s" s="0">
        <v>81</v>
      </c>
      <c r="AG129" t="s" s="0">
        <v>3308</v>
      </c>
      <c r="AH129" t="s" s="0">
        <v>3309</v>
      </c>
      <c r="AI129" t="s" s="0">
        <v>81</v>
      </c>
      <c r="AJ129" t="s" s="0">
        <v>3310</v>
      </c>
      <c r="AK129" t="s" s="0">
        <v>81</v>
      </c>
      <c r="AL129" t="s" s="0">
        <v>878</v>
      </c>
      <c r="AM129" t="s" s="0">
        <v>253</v>
      </c>
      <c r="AN129" t="s" s="0">
        <v>131</v>
      </c>
      <c r="AO129" t="s" s="0">
        <v>227</v>
      </c>
      <c r="AP129" t="s" s="0">
        <v>161</v>
      </c>
      <c r="AQ129" t="s" s="0">
        <v>97</v>
      </c>
      <c r="AR129" t="s" s="0">
        <v>98</v>
      </c>
      <c r="AS129" t="s" s="0">
        <v>99</v>
      </c>
      <c r="AT129" t="s" s="0">
        <v>81</v>
      </c>
      <c r="AU129" t="s" s="0">
        <v>3311</v>
      </c>
      <c r="AV129" t="s" s="0">
        <v>81</v>
      </c>
      <c r="AW129" t="s" s="0">
        <v>3312</v>
      </c>
      <c r="AX129" t="s" s="0">
        <v>3313</v>
      </c>
      <c r="AY129" t="s" s="0">
        <v>3314</v>
      </c>
      <c r="AZ129" t="s" s="0">
        <v>136</v>
      </c>
      <c r="BA129" t="s" s="0">
        <v>167</v>
      </c>
      <c r="BB129" t="s" s="0">
        <v>81</v>
      </c>
      <c r="BC129" t="s" s="0">
        <v>81</v>
      </c>
      <c r="BD129" t="s" s="0">
        <v>81</v>
      </c>
      <c r="BE129" t="s" s="0">
        <v>81</v>
      </c>
      <c r="BF129" t="s" s="0">
        <v>81</v>
      </c>
      <c r="BG129" t="s" s="0">
        <v>81</v>
      </c>
      <c r="BH129" t="s" s="0">
        <v>81</v>
      </c>
      <c r="BI129" t="s" s="0">
        <v>3315</v>
      </c>
      <c r="BJ129" t="s" s="0">
        <v>3316</v>
      </c>
      <c r="BK129" t="s" s="254">
        <f>HYPERLINK("http://dx.doi.org/10.3389/fpubh.2025.1470072","http://dx.doi.org/10.3389/fpubh.2025.1470072")</f>
        <v>3317</v>
      </c>
      <c r="BL129" t="s" s="0">
        <v>81</v>
      </c>
      <c r="BM129" t="s" s="0">
        <v>81</v>
      </c>
      <c r="BN129" t="s" s="0">
        <v>172</v>
      </c>
      <c r="BO129" t="s" s="0">
        <v>3318</v>
      </c>
      <c r="BP129" t="s" s="0">
        <v>3318</v>
      </c>
      <c r="BQ129" t="s" s="0">
        <v>3319</v>
      </c>
      <c r="BR129" t="s" s="0">
        <v>3320</v>
      </c>
      <c r="BS129" t="s" s="0">
        <v>3321</v>
      </c>
      <c r="BT129" t="s" s="255">
        <f>HYPERLINK("https://www.webofscience.com/wos/woscc/full-record/WOS:001435114900001","View Record in Web of Science")</f>
        <v>114</v>
      </c>
      <c r="BU129" t="s" s="0">
        <v>145</v>
      </c>
      <c r="BV129" t="s" s="0">
        <v>81</v>
      </c>
      <c r="BW129" t="s" s="0">
        <v>81</v>
      </c>
      <c r="BX129" t="s" s="0">
        <v>116</v>
      </c>
    </row>
    <row r="130">
      <c r="A130" t="s" s="0">
        <v>77</v>
      </c>
      <c r="B130" t="s" s="0">
        <v>77</v>
      </c>
      <c r="C130" t="s" s="0">
        <v>117</v>
      </c>
      <c r="D130" t="s" s="0">
        <v>77</v>
      </c>
      <c r="E130" t="s" s="0">
        <v>3322</v>
      </c>
      <c r="F130" t="s" s="0">
        <v>3323</v>
      </c>
      <c r="G130" t="s" s="0">
        <v>3324</v>
      </c>
      <c r="H130" t="s" s="0">
        <v>81</v>
      </c>
      <c r="I130" t="s" s="0">
        <v>82</v>
      </c>
      <c r="J130" t="s" s="0">
        <v>3325</v>
      </c>
      <c r="K130" t="s" s="0">
        <v>3326</v>
      </c>
      <c r="L130" t="s" s="0">
        <v>3327</v>
      </c>
      <c r="M130" t="s" s="0">
        <v>3328</v>
      </c>
      <c r="N130" t="s" s="0">
        <v>3329</v>
      </c>
      <c r="O130" t="s" s="0">
        <v>3330</v>
      </c>
      <c r="P130" t="s" s="0">
        <v>3331</v>
      </c>
      <c r="Q130" t="s" s="0">
        <v>90</v>
      </c>
      <c r="R130" t="s" s="0">
        <v>81</v>
      </c>
      <c r="S130" t="s" s="0">
        <v>81</v>
      </c>
      <c r="T130" t="s" s="0">
        <v>81</v>
      </c>
      <c r="U130" t="s" s="0">
        <v>81</v>
      </c>
      <c r="V130" t="s" s="0">
        <v>3332</v>
      </c>
      <c r="W130" t="s" s="0">
        <v>3333</v>
      </c>
      <c r="X130" t="s" s="0">
        <v>81</v>
      </c>
      <c r="Y130" t="s" s="0">
        <v>81</v>
      </c>
      <c r="Z130" t="s" s="0">
        <v>93</v>
      </c>
      <c r="AA130" t="s" s="0">
        <v>94</v>
      </c>
      <c r="AB130" t="s" s="0">
        <v>81</v>
      </c>
      <c r="AC130" t="s" s="0">
        <v>81</v>
      </c>
      <c r="AD130" t="s" s="0">
        <v>81</v>
      </c>
      <c r="AE130" t="s" s="0">
        <v>81</v>
      </c>
      <c r="AF130" t="s" s="0">
        <v>81</v>
      </c>
      <c r="AG130" t="s" s="0">
        <v>3334</v>
      </c>
      <c r="AH130" t="s" s="0">
        <v>2621</v>
      </c>
      <c r="AI130" t="s" s="0">
        <v>81</v>
      </c>
      <c r="AJ130" t="s" s="0">
        <v>81</v>
      </c>
      <c r="AK130" t="s" s="0">
        <v>81</v>
      </c>
      <c r="AL130" t="s" s="0">
        <v>541</v>
      </c>
      <c r="AM130" t="s" s="0">
        <v>130</v>
      </c>
      <c r="AN130" t="s" s="0">
        <v>130</v>
      </c>
      <c r="AO130" t="s" s="0">
        <v>130</v>
      </c>
      <c r="AP130" t="s" s="0">
        <v>131</v>
      </c>
      <c r="AQ130" t="s" s="0">
        <v>1098</v>
      </c>
      <c r="AR130" t="s" s="0">
        <v>1099</v>
      </c>
      <c r="AS130" t="s" s="0">
        <v>1100</v>
      </c>
      <c r="AT130" t="s" s="0">
        <v>3335</v>
      </c>
      <c r="AU130" t="s" s="0">
        <v>3336</v>
      </c>
      <c r="AV130" t="s" s="0">
        <v>81</v>
      </c>
      <c r="AW130" t="s" s="0">
        <v>3337</v>
      </c>
      <c r="AX130" t="s" s="0">
        <v>3338</v>
      </c>
      <c r="AY130" t="s" s="0">
        <v>1080</v>
      </c>
      <c r="AZ130" t="s" s="0">
        <v>136</v>
      </c>
      <c r="BA130" t="s" s="0">
        <v>1421</v>
      </c>
      <c r="BB130" t="s" s="0">
        <v>128</v>
      </c>
      <c r="BC130" t="s" s="0">
        <v>81</v>
      </c>
      <c r="BD130" t="s" s="0">
        <v>81</v>
      </c>
      <c r="BE130" t="s" s="0">
        <v>81</v>
      </c>
      <c r="BF130" t="s" s="0">
        <v>81</v>
      </c>
      <c r="BG130" t="s" s="0">
        <v>3339</v>
      </c>
      <c r="BH130" t="s" s="0">
        <v>3340</v>
      </c>
      <c r="BI130" t="s" s="0">
        <v>81</v>
      </c>
      <c r="BJ130" t="s" s="0">
        <v>3341</v>
      </c>
      <c r="BK130" t="s" s="256">
        <f>HYPERLINK("http://dx.doi.org/10.1016/j.acra.2025.06.043","http://dx.doi.org/10.1016/j.acra.2025.06.043")</f>
        <v>3342</v>
      </c>
      <c r="BL130" t="s" s="0">
        <v>81</v>
      </c>
      <c r="BM130" t="s" s="0">
        <v>632</v>
      </c>
      <c r="BN130" t="s" s="0">
        <v>128</v>
      </c>
      <c r="BO130" t="s" s="0">
        <v>1881</v>
      </c>
      <c r="BP130" t="s" s="0">
        <v>1881</v>
      </c>
      <c r="BQ130" t="s" s="0">
        <v>3343</v>
      </c>
      <c r="BR130" t="s" s="0">
        <v>3344</v>
      </c>
      <c r="BS130" t="s" s="0">
        <v>3345</v>
      </c>
      <c r="BT130" t="s" s="257">
        <f>HYPERLINK("https://www.webofscience.com/wos/woscc/full-record/WOS:001566611500001","View Record in Web of Science")</f>
        <v>114</v>
      </c>
      <c r="BU130" t="s" s="0">
        <v>81</v>
      </c>
      <c r="BV130" t="s" s="0">
        <v>81</v>
      </c>
      <c r="BW130" t="s" s="0">
        <v>81</v>
      </c>
      <c r="BX130" t="s" s="0">
        <v>116</v>
      </c>
    </row>
    <row r="131">
      <c r="A131" t="s" s="0">
        <v>130</v>
      </c>
      <c r="B131" t="s" s="0">
        <v>77</v>
      </c>
      <c r="C131" t="s" s="0">
        <v>131</v>
      </c>
      <c r="D131" t="s" s="0">
        <v>77</v>
      </c>
      <c r="E131" t="s" s="0">
        <v>3346</v>
      </c>
      <c r="F131" t="s" s="0">
        <v>3347</v>
      </c>
      <c r="G131" t="s" s="0">
        <v>3348</v>
      </c>
      <c r="H131" t="s" s="0">
        <v>81</v>
      </c>
      <c r="I131" t="s" s="0">
        <v>82</v>
      </c>
      <c r="J131" t="s" s="0">
        <v>3349</v>
      </c>
      <c r="K131" t="s" s="0">
        <v>3350</v>
      </c>
      <c r="L131" t="s" s="0">
        <v>3351</v>
      </c>
      <c r="M131" t="s" s="0">
        <v>3352</v>
      </c>
      <c r="N131" t="s" s="0">
        <v>3353</v>
      </c>
      <c r="O131" t="s" s="0">
        <v>3354</v>
      </c>
      <c r="P131" t="s" s="0">
        <v>3355</v>
      </c>
      <c r="Q131" t="s" s="0">
        <v>90</v>
      </c>
      <c r="R131" t="s" s="0">
        <v>81</v>
      </c>
      <c r="S131" t="s" s="0">
        <v>81</v>
      </c>
      <c r="T131" t="s" s="0">
        <v>81</v>
      </c>
      <c r="U131" t="s" s="0">
        <v>81</v>
      </c>
      <c r="V131" t="s" s="0">
        <v>3356</v>
      </c>
      <c r="W131" t="s" s="0">
        <v>3357</v>
      </c>
      <c r="X131" t="s" s="0">
        <v>81</v>
      </c>
      <c r="Y131" t="s" s="0">
        <v>81</v>
      </c>
      <c r="Z131" t="s" s="0">
        <v>93</v>
      </c>
      <c r="AA131" t="s" s="0">
        <v>94</v>
      </c>
      <c r="AB131" t="s" s="0">
        <v>81</v>
      </c>
      <c r="AC131" t="s" s="0">
        <v>81</v>
      </c>
      <c r="AD131" t="s" s="0">
        <v>81</v>
      </c>
      <c r="AE131" t="s" s="0">
        <v>81</v>
      </c>
      <c r="AF131" t="s" s="0">
        <v>81</v>
      </c>
      <c r="AG131" t="s" s="0">
        <v>3358</v>
      </c>
      <c r="AH131" t="s" s="0">
        <v>3359</v>
      </c>
      <c r="AI131" t="s" s="0">
        <v>3360</v>
      </c>
      <c r="AJ131" t="s" s="0">
        <v>3361</v>
      </c>
      <c r="AK131" t="s" s="0">
        <v>81</v>
      </c>
      <c r="AL131" t="s" s="0">
        <v>438</v>
      </c>
      <c r="AM131" t="s" s="0">
        <v>846</v>
      </c>
      <c r="AN131" t="s" s="0">
        <v>1421</v>
      </c>
      <c r="AO131" t="s" s="0">
        <v>227</v>
      </c>
      <c r="AP131" t="s" s="0">
        <v>706</v>
      </c>
      <c r="AQ131" t="s" s="0">
        <v>3362</v>
      </c>
      <c r="AR131" t="s" s="0">
        <v>3363</v>
      </c>
      <c r="AS131" t="s" s="0">
        <v>3364</v>
      </c>
      <c r="AT131" t="s" s="0">
        <v>3365</v>
      </c>
      <c r="AU131" t="s" s="0">
        <v>3366</v>
      </c>
      <c r="AV131" t="s" s="0">
        <v>81</v>
      </c>
      <c r="AW131" t="s" s="0">
        <v>3357</v>
      </c>
      <c r="AX131" t="s" s="0">
        <v>3367</v>
      </c>
      <c r="AY131" t="s" s="0">
        <v>3368</v>
      </c>
      <c r="AZ131" t="s" s="0">
        <v>573</v>
      </c>
      <c r="BA131" t="s" s="0">
        <v>237</v>
      </c>
      <c r="BB131" t="s" s="0">
        <v>117</v>
      </c>
      <c r="BC131" t="s" s="0">
        <v>81</v>
      </c>
      <c r="BD131" t="s" s="0">
        <v>81</v>
      </c>
      <c r="BE131" t="s" s="0">
        <v>81</v>
      </c>
      <c r="BF131" t="s" s="0">
        <v>81</v>
      </c>
      <c r="BG131" t="s" s="0">
        <v>3369</v>
      </c>
      <c r="BH131" t="s" s="0">
        <v>3370</v>
      </c>
      <c r="BI131" t="s" s="0">
        <v>81</v>
      </c>
      <c r="BJ131" t="s" s="0">
        <v>3371</v>
      </c>
      <c r="BK131" t="s" s="258">
        <f>HYPERLINK("http://dx.doi.org/10.1093/neuonc/noae173","http://dx.doi.org/10.1093/neuonc/noae173")</f>
        <v>3372</v>
      </c>
      <c r="BL131" t="s" s="0">
        <v>81</v>
      </c>
      <c r="BM131" t="s" s="0">
        <v>715</v>
      </c>
      <c r="BN131" t="s" s="0">
        <v>228</v>
      </c>
      <c r="BO131" t="s" s="0">
        <v>3373</v>
      </c>
      <c r="BP131" t="s" s="0">
        <v>3374</v>
      </c>
      <c r="BQ131" t="s" s="0">
        <v>3375</v>
      </c>
      <c r="BR131" t="s" s="0">
        <v>3376</v>
      </c>
      <c r="BS131" t="s" s="0">
        <v>3377</v>
      </c>
      <c r="BT131" t="s" s="259">
        <f>HYPERLINK("https://www.webofscience.com/wos/woscc/full-record/WOS:001321514900001","View Record in Web of Science")</f>
        <v>114</v>
      </c>
      <c r="BU131" t="s" s="0">
        <v>3378</v>
      </c>
      <c r="BV131" t="s" s="0">
        <v>81</v>
      </c>
      <c r="BW131" t="s" s="0">
        <v>81</v>
      </c>
      <c r="BX131" t="s" s="0">
        <v>116</v>
      </c>
    </row>
    <row r="132">
      <c r="A132" t="s" s="0">
        <v>130</v>
      </c>
      <c r="B132" t="s" s="0">
        <v>77</v>
      </c>
      <c r="C132" t="s" s="0">
        <v>160</v>
      </c>
      <c r="D132" t="s" s="0">
        <v>77</v>
      </c>
      <c r="E132" t="s" s="0">
        <v>3379</v>
      </c>
      <c r="F132" t="s" s="0">
        <v>3380</v>
      </c>
      <c r="G132" t="s" s="0">
        <v>3381</v>
      </c>
      <c r="H132" t="s" s="0">
        <v>81</v>
      </c>
      <c r="I132" t="s" s="0">
        <v>82</v>
      </c>
      <c r="J132" t="s" s="0">
        <v>3382</v>
      </c>
      <c r="K132" t="s" s="0">
        <v>3383</v>
      </c>
      <c r="L132" t="s" s="0">
        <v>81</v>
      </c>
      <c r="M132" t="s" s="0">
        <v>81</v>
      </c>
      <c r="N132" t="s" s="0">
        <v>81</v>
      </c>
      <c r="O132" t="s" s="0">
        <v>3384</v>
      </c>
      <c r="P132" t="s" s="0">
        <v>3385</v>
      </c>
      <c r="Q132" t="s" s="0">
        <v>90</v>
      </c>
      <c r="R132" t="s" s="0">
        <v>81</v>
      </c>
      <c r="S132" t="s" s="0">
        <v>81</v>
      </c>
      <c r="T132" t="s" s="0">
        <v>81</v>
      </c>
      <c r="U132" t="s" s="0">
        <v>81</v>
      </c>
      <c r="V132" t="s" s="0">
        <v>3386</v>
      </c>
      <c r="W132" t="s" s="0">
        <v>3387</v>
      </c>
      <c r="X132" t="s" s="0">
        <v>81</v>
      </c>
      <c r="Y132" t="s" s="0">
        <v>81</v>
      </c>
      <c r="Z132" t="s" s="0">
        <v>93</v>
      </c>
      <c r="AA132" t="s" s="0">
        <v>94</v>
      </c>
      <c r="AB132" t="s" s="0">
        <v>81</v>
      </c>
      <c r="AC132" t="s" s="0">
        <v>81</v>
      </c>
      <c r="AD132" t="s" s="0">
        <v>81</v>
      </c>
      <c r="AE132" t="s" s="0">
        <v>81</v>
      </c>
      <c r="AF132" t="s" s="0">
        <v>81</v>
      </c>
      <c r="AG132" t="s" s="0">
        <v>3388</v>
      </c>
      <c r="AH132" t="s" s="0">
        <v>81</v>
      </c>
      <c r="AI132" t="s" s="0">
        <v>3389</v>
      </c>
      <c r="AJ132" t="s" s="0">
        <v>3390</v>
      </c>
      <c r="AK132" t="s" s="0">
        <v>81</v>
      </c>
      <c r="AL132" t="s" s="0">
        <v>345</v>
      </c>
      <c r="AM132" t="s" s="0">
        <v>129</v>
      </c>
      <c r="AN132" t="s" s="0">
        <v>228</v>
      </c>
      <c r="AO132" t="s" s="0">
        <v>131</v>
      </c>
      <c r="AP132" t="s" s="0">
        <v>129</v>
      </c>
      <c r="AQ132" t="s" s="0">
        <v>338</v>
      </c>
      <c r="AR132" t="s" s="0">
        <v>339</v>
      </c>
      <c r="AS132" t="s" s="0">
        <v>340</v>
      </c>
      <c r="AT132" t="s" s="0">
        <v>81</v>
      </c>
      <c r="AU132" t="s" s="0">
        <v>3391</v>
      </c>
      <c r="AV132" t="s" s="0">
        <v>81</v>
      </c>
      <c r="AW132" t="s" s="0">
        <v>3392</v>
      </c>
      <c r="AX132" t="s" s="0">
        <v>3393</v>
      </c>
      <c r="AY132" t="s" s="0">
        <v>3394</v>
      </c>
      <c r="AZ132" t="s" s="0">
        <v>136</v>
      </c>
      <c r="BA132" t="s" s="0">
        <v>541</v>
      </c>
      <c r="BB132" t="s" s="0">
        <v>117</v>
      </c>
      <c r="BC132" t="s" s="0">
        <v>81</v>
      </c>
      <c r="BD132" t="s" s="0">
        <v>81</v>
      </c>
      <c r="BE132" t="s" s="0">
        <v>81</v>
      </c>
      <c r="BF132" t="s" s="0">
        <v>81</v>
      </c>
      <c r="BG132" t="s" s="0">
        <v>81</v>
      </c>
      <c r="BH132" t="s" s="0">
        <v>81</v>
      </c>
      <c r="BI132" t="s" s="0">
        <v>3395</v>
      </c>
      <c r="BJ132" t="s" s="0">
        <v>3396</v>
      </c>
      <c r="BK132" t="s" s="260">
        <f>HYPERLINK("http://dx.doi.org/10.1186/s12967-025-06617-w","http://dx.doi.org/10.1186/s12967-025-06617-w")</f>
        <v>3397</v>
      </c>
      <c r="BL132" t="s" s="0">
        <v>81</v>
      </c>
      <c r="BM132" t="s" s="0">
        <v>81</v>
      </c>
      <c r="BN132" t="s" s="0">
        <v>167</v>
      </c>
      <c r="BO132" t="s" s="0">
        <v>3398</v>
      </c>
      <c r="BP132" t="s" s="0">
        <v>3399</v>
      </c>
      <c r="BQ132" t="s" s="0">
        <v>3400</v>
      </c>
      <c r="BR132" t="s" s="0">
        <v>3401</v>
      </c>
      <c r="BS132" t="s" s="0">
        <v>3402</v>
      </c>
      <c r="BT132" t="s" s="261">
        <f>HYPERLINK("https://www.webofscience.com/wos/woscc/full-record/WOS:001527001000002","View Record in Web of Science")</f>
        <v>114</v>
      </c>
      <c r="BU132" t="s" s="0">
        <v>145</v>
      </c>
      <c r="BV132" t="s" s="0">
        <v>81</v>
      </c>
      <c r="BW132" t="s" s="0">
        <v>81</v>
      </c>
      <c r="BX132" t="s" s="0">
        <v>116</v>
      </c>
    </row>
    <row r="133">
      <c r="A133" t="s" s="0">
        <v>77</v>
      </c>
      <c r="B133" t="s" s="0">
        <v>77</v>
      </c>
      <c r="C133" t="s" s="0">
        <v>117</v>
      </c>
      <c r="D133" t="s" s="0">
        <v>77</v>
      </c>
      <c r="E133" t="s" s="0">
        <v>3403</v>
      </c>
      <c r="F133" t="s" s="0">
        <v>3404</v>
      </c>
      <c r="G133" t="s" s="0">
        <v>3405</v>
      </c>
      <c r="H133" t="s" s="0">
        <v>81</v>
      </c>
      <c r="I133" t="s" s="0">
        <v>82</v>
      </c>
      <c r="J133" t="s" s="0">
        <v>3406</v>
      </c>
      <c r="K133" t="s" s="0">
        <v>3407</v>
      </c>
      <c r="L133" t="s" s="0">
        <v>3408</v>
      </c>
      <c r="M133" t="s" s="0">
        <v>3409</v>
      </c>
      <c r="N133" t="s" s="0">
        <v>81</v>
      </c>
      <c r="O133" t="s" s="0">
        <v>3410</v>
      </c>
      <c r="P133" t="s" s="0">
        <v>3411</v>
      </c>
      <c r="Q133" t="s" s="0">
        <v>90</v>
      </c>
      <c r="R133" t="s" s="0">
        <v>81</v>
      </c>
      <c r="S133" t="s" s="0">
        <v>81</v>
      </c>
      <c r="T133" t="s" s="0">
        <v>81</v>
      </c>
      <c r="U133" t="s" s="0">
        <v>81</v>
      </c>
      <c r="V133" t="s" s="0">
        <v>3412</v>
      </c>
      <c r="W133" t="s" s="0">
        <v>3413</v>
      </c>
      <c r="X133" t="s" s="0">
        <v>81</v>
      </c>
      <c r="Y133" t="s" s="0">
        <v>81</v>
      </c>
      <c r="Z133" t="s" s="0">
        <v>93</v>
      </c>
      <c r="AA133" t="s" s="0">
        <v>94</v>
      </c>
      <c r="AB133" t="s" s="0">
        <v>81</v>
      </c>
      <c r="AC133" t="s" s="0">
        <v>81</v>
      </c>
      <c r="AD133" t="s" s="0">
        <v>81</v>
      </c>
      <c r="AE133" t="s" s="0">
        <v>81</v>
      </c>
      <c r="AF133" t="s" s="0">
        <v>81</v>
      </c>
      <c r="AG133" t="s" s="0">
        <v>3414</v>
      </c>
      <c r="AH133" t="s" s="0">
        <v>2651</v>
      </c>
      <c r="AI133" t="s" s="0">
        <v>3415</v>
      </c>
      <c r="AJ133" t="s" s="0">
        <v>81</v>
      </c>
      <c r="AK133" t="s" s="0">
        <v>81</v>
      </c>
      <c r="AL133" t="s" s="0">
        <v>541</v>
      </c>
      <c r="AM133" t="s" s="0">
        <v>204</v>
      </c>
      <c r="AN133" t="s" s="0">
        <v>204</v>
      </c>
      <c r="AO133" t="s" s="0">
        <v>160</v>
      </c>
      <c r="AP133" t="s" s="0">
        <v>128</v>
      </c>
      <c r="AQ133" t="s" s="0">
        <v>370</v>
      </c>
      <c r="AR133" t="s" s="0">
        <v>1099</v>
      </c>
      <c r="AS133" t="s" s="0">
        <v>1873</v>
      </c>
      <c r="AT133" t="s" s="0">
        <v>3416</v>
      </c>
      <c r="AU133" t="s" s="0">
        <v>3417</v>
      </c>
      <c r="AV133" t="s" s="0">
        <v>81</v>
      </c>
      <c r="AW133" t="s" s="0">
        <v>3418</v>
      </c>
      <c r="AX133" t="s" s="0">
        <v>3419</v>
      </c>
      <c r="AY133" t="s" s="0">
        <v>1080</v>
      </c>
      <c r="AZ133" t="s" s="0">
        <v>136</v>
      </c>
      <c r="BA133" t="s" s="0">
        <v>1097</v>
      </c>
      <c r="BB133" t="s" s="0">
        <v>128</v>
      </c>
      <c r="BC133" t="s" s="0">
        <v>81</v>
      </c>
      <c r="BD133" t="s" s="0">
        <v>81</v>
      </c>
      <c r="BE133" t="s" s="0">
        <v>81</v>
      </c>
      <c r="BF133" t="s" s="0">
        <v>81</v>
      </c>
      <c r="BG133" t="s" s="0">
        <v>3420</v>
      </c>
      <c r="BH133" t="s" s="0">
        <v>3421</v>
      </c>
      <c r="BI133" t="s" s="0">
        <v>81</v>
      </c>
      <c r="BJ133" t="s" s="0">
        <v>3422</v>
      </c>
      <c r="BK133" t="s" s="262">
        <f>HYPERLINK("http://dx.doi.org/10.1007/s00586-025-08873-2","http://dx.doi.org/10.1007/s00586-025-08873-2")</f>
        <v>3423</v>
      </c>
      <c r="BL133" t="s" s="0">
        <v>81</v>
      </c>
      <c r="BM133" t="s" s="0">
        <v>1137</v>
      </c>
      <c r="BN133" t="s" s="0">
        <v>128</v>
      </c>
      <c r="BO133" t="s" s="0">
        <v>1109</v>
      </c>
      <c r="BP133" t="s" s="0">
        <v>1110</v>
      </c>
      <c r="BQ133" t="s" s="0">
        <v>3424</v>
      </c>
      <c r="BR133" t="s" s="0">
        <v>3425</v>
      </c>
      <c r="BS133" t="s" s="0">
        <v>3426</v>
      </c>
      <c r="BT133" t="s" s="263">
        <f>HYPERLINK("https://www.webofscience.com/wos/woscc/full-record/WOS:001472138300001","View Record in Web of Science")</f>
        <v>114</v>
      </c>
      <c r="BU133" t="s" s="0">
        <v>81</v>
      </c>
      <c r="BV133" t="s" s="0">
        <v>81</v>
      </c>
      <c r="BW133" t="s" s="0">
        <v>81</v>
      </c>
      <c r="BX133" t="s" s="0">
        <v>116</v>
      </c>
    </row>
    <row r="134">
      <c r="A134" t="s" s="0">
        <v>77</v>
      </c>
      <c r="B134" t="s" s="0">
        <v>77</v>
      </c>
      <c r="C134" t="s" s="0">
        <v>77</v>
      </c>
      <c r="D134" t="s" s="0">
        <v>77</v>
      </c>
      <c r="E134" t="s" s="0">
        <v>3427</v>
      </c>
      <c r="F134" t="s" s="0">
        <v>3428</v>
      </c>
      <c r="G134" t="s" s="0">
        <v>3429</v>
      </c>
      <c r="H134" t="s" s="0">
        <v>81</v>
      </c>
      <c r="I134" t="s" s="0">
        <v>82</v>
      </c>
      <c r="J134" t="s" s="0">
        <v>3430</v>
      </c>
      <c r="K134" t="s" s="0">
        <v>3431</v>
      </c>
      <c r="L134" t="s" s="0">
        <v>81</v>
      </c>
      <c r="M134" t="s" s="0">
        <v>81</v>
      </c>
      <c r="N134" t="s" s="0">
        <v>81</v>
      </c>
      <c r="O134" t="s" s="0">
        <v>3432</v>
      </c>
      <c r="P134" t="s" s="0">
        <v>3433</v>
      </c>
      <c r="Q134" t="s" s="0">
        <v>90</v>
      </c>
      <c r="R134" t="s" s="0">
        <v>81</v>
      </c>
      <c r="S134" t="s" s="0">
        <v>81</v>
      </c>
      <c r="T134" t="s" s="0">
        <v>81</v>
      </c>
      <c r="U134" t="s" s="0">
        <v>81</v>
      </c>
      <c r="V134" t="s" s="0">
        <v>3434</v>
      </c>
      <c r="W134" t="s" s="0">
        <v>2142</v>
      </c>
      <c r="X134" t="s" s="0">
        <v>81</v>
      </c>
      <c r="Y134" t="s" s="0">
        <v>81</v>
      </c>
      <c r="Z134" t="s" s="0">
        <v>93</v>
      </c>
      <c r="AA134" t="s" s="0">
        <v>94</v>
      </c>
      <c r="AB134" t="s" s="0">
        <v>81</v>
      </c>
      <c r="AC134" t="s" s="0">
        <v>81</v>
      </c>
      <c r="AD134" t="s" s="0">
        <v>81</v>
      </c>
      <c r="AE134" t="s" s="0">
        <v>81</v>
      </c>
      <c r="AF134" t="s" s="0">
        <v>81</v>
      </c>
      <c r="AG134" t="s" s="0">
        <v>3435</v>
      </c>
      <c r="AH134" t="s" s="0">
        <v>3436</v>
      </c>
      <c r="AI134" t="s" s="0">
        <v>3437</v>
      </c>
      <c r="AJ134" t="s" s="0">
        <v>3438</v>
      </c>
      <c r="AK134" t="s" s="0">
        <v>81</v>
      </c>
      <c r="AL134" t="s" s="0">
        <v>1097</v>
      </c>
      <c r="AM134" t="s" s="0">
        <v>130</v>
      </c>
      <c r="AN134" t="s" s="0">
        <v>130</v>
      </c>
      <c r="AO134" t="s" s="0">
        <v>160</v>
      </c>
      <c r="AP134" t="s" s="0">
        <v>161</v>
      </c>
      <c r="AQ134" t="s" s="0">
        <v>370</v>
      </c>
      <c r="AR134" t="s" s="0">
        <v>1099</v>
      </c>
      <c r="AS134" t="s" s="0">
        <v>1873</v>
      </c>
      <c r="AT134" t="s" s="0">
        <v>2147</v>
      </c>
      <c r="AU134" t="s" s="0">
        <v>2148</v>
      </c>
      <c r="AV134" t="s" s="0">
        <v>81</v>
      </c>
      <c r="AW134" t="s" s="0">
        <v>2149</v>
      </c>
      <c r="AX134" t="s" s="0">
        <v>2150</v>
      </c>
      <c r="AY134" t="s" s="0">
        <v>3439</v>
      </c>
      <c r="AZ134" t="s" s="0">
        <v>104</v>
      </c>
      <c r="BA134" t="s" s="0">
        <v>1515</v>
      </c>
      <c r="BB134" t="s" s="0">
        <v>117</v>
      </c>
      <c r="BC134" t="s" s="0">
        <v>81</v>
      </c>
      <c r="BD134" t="s" s="0">
        <v>81</v>
      </c>
      <c r="BE134" t="s" s="0">
        <v>81</v>
      </c>
      <c r="BF134" t="s" s="0">
        <v>81</v>
      </c>
      <c r="BG134" t="s" s="0">
        <v>3440</v>
      </c>
      <c r="BH134" t="s" s="0">
        <v>3441</v>
      </c>
      <c r="BI134" t="s" s="0">
        <v>81</v>
      </c>
      <c r="BJ134" t="s" s="0">
        <v>3442</v>
      </c>
      <c r="BK134" t="s" s="264">
        <f>HYPERLINK("http://dx.doi.org/10.1007/s00261-025-05045-0","http://dx.doi.org/10.1007/s00261-025-05045-0")</f>
        <v>3443</v>
      </c>
      <c r="BL134" t="s" s="0">
        <v>81</v>
      </c>
      <c r="BM134" t="s" s="0">
        <v>413</v>
      </c>
      <c r="BN134" t="s" s="0">
        <v>228</v>
      </c>
      <c r="BO134" t="s" s="0">
        <v>1881</v>
      </c>
      <c r="BP134" t="s" s="0">
        <v>1881</v>
      </c>
      <c r="BQ134" t="s" s="0">
        <v>3444</v>
      </c>
      <c r="BR134" t="s" s="0">
        <v>3445</v>
      </c>
      <c r="BS134" t="s" s="0">
        <v>3446</v>
      </c>
      <c r="BT134" t="s" s="265">
        <f>HYPERLINK("https://www.webofscience.com/wos/woscc/full-record/WOS:001518892800001","View Record in Web of Science")</f>
        <v>114</v>
      </c>
      <c r="BU134" t="s" s="0">
        <v>81</v>
      </c>
      <c r="BV134" t="s" s="0">
        <v>81</v>
      </c>
      <c r="BW134" t="s" s="0">
        <v>81</v>
      </c>
      <c r="BX134" t="s" s="0">
        <v>116</v>
      </c>
    </row>
    <row r="135">
      <c r="A135" t="s" s="0">
        <v>77</v>
      </c>
      <c r="B135" t="s" s="0">
        <v>77</v>
      </c>
      <c r="C135" t="s" s="0">
        <v>77</v>
      </c>
      <c r="D135" t="s" s="0">
        <v>77</v>
      </c>
      <c r="E135" t="s" s="0">
        <v>3447</v>
      </c>
      <c r="F135" t="s" s="0">
        <v>3448</v>
      </c>
      <c r="G135" t="s" s="0">
        <v>3449</v>
      </c>
      <c r="H135" t="s" s="0">
        <v>81</v>
      </c>
      <c r="I135" t="s" s="0">
        <v>82</v>
      </c>
      <c r="J135" t="s" s="0">
        <v>3450</v>
      </c>
      <c r="K135" t="s" s="0">
        <v>3451</v>
      </c>
      <c r="L135" t="s" s="0">
        <v>81</v>
      </c>
      <c r="M135" t="s" s="0">
        <v>81</v>
      </c>
      <c r="N135" t="s" s="0">
        <v>81</v>
      </c>
      <c r="O135" t="s" s="0">
        <v>3452</v>
      </c>
      <c r="P135" t="s" s="0">
        <v>3453</v>
      </c>
      <c r="Q135" t="s" s="0">
        <v>90</v>
      </c>
      <c r="R135" t="s" s="0">
        <v>81</v>
      </c>
      <c r="S135" t="s" s="0">
        <v>81</v>
      </c>
      <c r="T135" t="s" s="0">
        <v>81</v>
      </c>
      <c r="U135" t="s" s="0">
        <v>81</v>
      </c>
      <c r="V135" t="s" s="0">
        <v>3454</v>
      </c>
      <c r="W135" t="s" s="0">
        <v>3455</v>
      </c>
      <c r="X135" t="s" s="0">
        <v>81</v>
      </c>
      <c r="Y135" t="s" s="0">
        <v>81</v>
      </c>
      <c r="Z135" t="s" s="0">
        <v>93</v>
      </c>
      <c r="AA135" t="s" s="0">
        <v>94</v>
      </c>
      <c r="AB135" t="s" s="0">
        <v>81</v>
      </c>
      <c r="AC135" t="s" s="0">
        <v>81</v>
      </c>
      <c r="AD135" t="s" s="0">
        <v>81</v>
      </c>
      <c r="AE135" t="s" s="0">
        <v>81</v>
      </c>
      <c r="AF135" t="s" s="0">
        <v>81</v>
      </c>
      <c r="AG135" t="s" s="0">
        <v>3456</v>
      </c>
      <c r="AH135" t="s" s="0">
        <v>3457</v>
      </c>
      <c r="AI135" t="s" s="0">
        <v>3458</v>
      </c>
      <c r="AJ135" t="s" s="0">
        <v>3459</v>
      </c>
      <c r="AK135" t="s" s="0">
        <v>81</v>
      </c>
      <c r="AL135" t="s" s="0">
        <v>1421</v>
      </c>
      <c r="AM135" t="s" s="0">
        <v>77</v>
      </c>
      <c r="AN135" t="s" s="0">
        <v>77</v>
      </c>
      <c r="AO135" t="s" s="0">
        <v>117</v>
      </c>
      <c r="AP135" t="s" s="0">
        <v>161</v>
      </c>
      <c r="AQ135" t="s" s="0">
        <v>565</v>
      </c>
      <c r="AR135" t="s" s="0">
        <v>566</v>
      </c>
      <c r="AS135" t="s" s="0">
        <v>567</v>
      </c>
      <c r="AT135" t="s" s="0">
        <v>3460</v>
      </c>
      <c r="AU135" t="s" s="0">
        <v>3461</v>
      </c>
      <c r="AV135" t="s" s="0">
        <v>81</v>
      </c>
      <c r="AW135" t="s" s="0">
        <v>3462</v>
      </c>
      <c r="AX135" t="s" s="0">
        <v>3463</v>
      </c>
      <c r="AY135" t="s" s="0">
        <v>1080</v>
      </c>
      <c r="AZ135" t="s" s="0">
        <v>136</v>
      </c>
      <c r="BA135" t="s" s="0">
        <v>3464</v>
      </c>
      <c r="BB135" t="s" s="0">
        <v>81</v>
      </c>
      <c r="BC135" t="s" s="0">
        <v>81</v>
      </c>
      <c r="BD135" t="s" s="0">
        <v>81</v>
      </c>
      <c r="BE135" t="s" s="0">
        <v>81</v>
      </c>
      <c r="BF135" t="s" s="0">
        <v>81</v>
      </c>
      <c r="BG135" t="s" s="0">
        <v>81</v>
      </c>
      <c r="BH135" t="s" s="0">
        <v>81</v>
      </c>
      <c r="BI135" t="s" s="0">
        <v>3465</v>
      </c>
      <c r="BJ135" t="s" s="0">
        <v>3466</v>
      </c>
      <c r="BK135" t="s" s="266">
        <f>HYPERLINK("http://dx.doi.org/10.1016/j.ejrad.2025.112254","http://dx.doi.org/10.1016/j.ejrad.2025.112254")</f>
        <v>3467</v>
      </c>
      <c r="BL135" t="s" s="0">
        <v>81</v>
      </c>
      <c r="BM135" t="s" s="0">
        <v>413</v>
      </c>
      <c r="BN135" t="s" s="0">
        <v>129</v>
      </c>
      <c r="BO135" t="s" s="0">
        <v>1881</v>
      </c>
      <c r="BP135" t="s" s="0">
        <v>1881</v>
      </c>
      <c r="BQ135" t="s" s="0">
        <v>3468</v>
      </c>
      <c r="BR135" t="s" s="0">
        <v>3469</v>
      </c>
      <c r="BS135" t="s" s="0">
        <v>3470</v>
      </c>
      <c r="BT135" t="s" s="267">
        <f>HYPERLINK("https://www.webofscience.com/wos/woscc/full-record/WOS:001520453300001","View Record in Web of Science")</f>
        <v>114</v>
      </c>
      <c r="BU135" t="s" s="0">
        <v>2185</v>
      </c>
      <c r="BV135" t="s" s="0">
        <v>81</v>
      </c>
      <c r="BW135" t="s" s="0">
        <v>81</v>
      </c>
      <c r="BX135" t="s" s="0">
        <v>116</v>
      </c>
    </row>
    <row r="136">
      <c r="A136" t="s" s="0">
        <v>117</v>
      </c>
      <c r="B136" t="s" s="0">
        <v>77</v>
      </c>
      <c r="C136" t="s" s="0">
        <v>117</v>
      </c>
      <c r="D136" t="s" s="0">
        <v>77</v>
      </c>
      <c r="E136" t="s" s="0">
        <v>3471</v>
      </c>
      <c r="F136" t="s" s="0">
        <v>3472</v>
      </c>
      <c r="G136" t="s" s="0">
        <v>3473</v>
      </c>
      <c r="H136" t="s" s="0">
        <v>81</v>
      </c>
      <c r="I136" t="s" s="0">
        <v>82</v>
      </c>
      <c r="J136" t="s" s="0">
        <v>3474</v>
      </c>
      <c r="K136" t="s" s="0">
        <v>3475</v>
      </c>
      <c r="L136" t="s" s="0">
        <v>81</v>
      </c>
      <c r="M136" t="s" s="0">
        <v>81</v>
      </c>
      <c r="N136" t="s" s="0">
        <v>81</v>
      </c>
      <c r="O136" t="s" s="0">
        <v>3476</v>
      </c>
      <c r="P136" t="s" s="0">
        <v>3477</v>
      </c>
      <c r="Q136" t="s" s="0">
        <v>90</v>
      </c>
      <c r="R136" t="s" s="0">
        <v>81</v>
      </c>
      <c r="S136" t="s" s="0">
        <v>81</v>
      </c>
      <c r="T136" t="s" s="0">
        <v>81</v>
      </c>
      <c r="U136" t="s" s="0">
        <v>81</v>
      </c>
      <c r="V136" t="s" s="0">
        <v>3478</v>
      </c>
      <c r="W136" t="s" s="0">
        <v>271</v>
      </c>
      <c r="X136" t="s" s="0">
        <v>81</v>
      </c>
      <c r="Y136" t="s" s="0">
        <v>81</v>
      </c>
      <c r="Z136" t="s" s="0">
        <v>93</v>
      </c>
      <c r="AA136" t="s" s="0">
        <v>94</v>
      </c>
      <c r="AB136" t="s" s="0">
        <v>81</v>
      </c>
      <c r="AC136" t="s" s="0">
        <v>81</v>
      </c>
      <c r="AD136" t="s" s="0">
        <v>81</v>
      </c>
      <c r="AE136" t="s" s="0">
        <v>81</v>
      </c>
      <c r="AF136" t="s" s="0">
        <v>81</v>
      </c>
      <c r="AG136" t="s" s="0">
        <v>3479</v>
      </c>
      <c r="AH136" t="s" s="0">
        <v>3480</v>
      </c>
      <c r="AI136" t="s" s="0">
        <v>3481</v>
      </c>
      <c r="AJ136" t="s" s="0">
        <v>81</v>
      </c>
      <c r="AK136" t="s" s="0">
        <v>81</v>
      </c>
      <c r="AL136" t="s" s="0">
        <v>405</v>
      </c>
      <c r="AM136" t="s" s="0">
        <v>160</v>
      </c>
      <c r="AN136" t="s" s="0">
        <v>253</v>
      </c>
      <c r="AO136" t="s" s="0">
        <v>130</v>
      </c>
      <c r="AP136" t="s" s="0">
        <v>227</v>
      </c>
      <c r="AQ136" t="s" s="0">
        <v>274</v>
      </c>
      <c r="AR136" t="s" s="0">
        <v>275</v>
      </c>
      <c r="AS136" t="s" s="0">
        <v>276</v>
      </c>
      <c r="AT136" t="s" s="0">
        <v>277</v>
      </c>
      <c r="AU136" t="s" s="0">
        <v>81</v>
      </c>
      <c r="AV136" t="s" s="0">
        <v>81</v>
      </c>
      <c r="AW136" t="s" s="0">
        <v>278</v>
      </c>
      <c r="AX136" t="s" s="0">
        <v>279</v>
      </c>
      <c r="AY136" t="s" s="0">
        <v>3482</v>
      </c>
      <c r="AZ136" t="s" s="0">
        <v>136</v>
      </c>
      <c r="BA136" t="s" s="0">
        <v>172</v>
      </c>
      <c r="BB136" t="s" s="0">
        <v>117</v>
      </c>
      <c r="BC136" t="s" s="0">
        <v>81</v>
      </c>
      <c r="BD136" t="s" s="0">
        <v>81</v>
      </c>
      <c r="BE136" t="s" s="0">
        <v>81</v>
      </c>
      <c r="BF136" t="s" s="0">
        <v>81</v>
      </c>
      <c r="BG136" t="s" s="0">
        <v>81</v>
      </c>
      <c r="BH136" t="s" s="0">
        <v>81</v>
      </c>
      <c r="BI136" t="s" s="0">
        <v>3483</v>
      </c>
      <c r="BJ136" t="s" s="0">
        <v>3484</v>
      </c>
      <c r="BK136" t="s" s="268">
        <f>HYPERLINK("http://dx.doi.org/10.1038/s41598-025-01502-4","http://dx.doi.org/10.1038/s41598-025-01502-4")</f>
        <v>3485</v>
      </c>
      <c r="BL136" t="s" s="0">
        <v>81</v>
      </c>
      <c r="BM136" t="s" s="0">
        <v>81</v>
      </c>
      <c r="BN136" t="s" s="0">
        <v>228</v>
      </c>
      <c r="BO136" t="s" s="0">
        <v>285</v>
      </c>
      <c r="BP136" t="s" s="0">
        <v>286</v>
      </c>
      <c r="BQ136" t="s" s="0">
        <v>3486</v>
      </c>
      <c r="BR136" t="s" s="0">
        <v>3487</v>
      </c>
      <c r="BS136" t="s" s="0">
        <v>3488</v>
      </c>
      <c r="BT136" t="s" s="269">
        <f>HYPERLINK("https://www.webofscience.com/wos/woscc/full-record/WOS:001486830600045","View Record in Web of Science")</f>
        <v>114</v>
      </c>
      <c r="BU136" t="s" s="0">
        <v>145</v>
      </c>
      <c r="BV136" t="s" s="0">
        <v>81</v>
      </c>
      <c r="BW136" t="s" s="0">
        <v>81</v>
      </c>
      <c r="BX136" t="s" s="0">
        <v>116</v>
      </c>
    </row>
    <row r="137">
      <c r="A137" t="s" s="0">
        <v>77</v>
      </c>
      <c r="B137" t="s" s="0">
        <v>77</v>
      </c>
      <c r="C137" t="s" s="0">
        <v>77</v>
      </c>
      <c r="D137" t="s" s="0">
        <v>77</v>
      </c>
      <c r="E137" t="s" s="0">
        <v>3489</v>
      </c>
      <c r="F137" t="s" s="0">
        <v>3490</v>
      </c>
      <c r="G137" t="s" s="0">
        <v>3491</v>
      </c>
      <c r="H137" t="s" s="0">
        <v>81</v>
      </c>
      <c r="I137" t="s" s="0">
        <v>213</v>
      </c>
      <c r="J137" t="s" s="0">
        <v>3492</v>
      </c>
      <c r="K137" t="s" s="0">
        <v>3493</v>
      </c>
      <c r="L137" t="s" s="0">
        <v>81</v>
      </c>
      <c r="M137" t="s" s="0">
        <v>81</v>
      </c>
      <c r="N137" t="s" s="0">
        <v>81</v>
      </c>
      <c r="O137" t="s" s="0">
        <v>3494</v>
      </c>
      <c r="P137" t="s" s="0">
        <v>3495</v>
      </c>
      <c r="Q137" t="s" s="0">
        <v>90</v>
      </c>
      <c r="R137" t="s" s="0">
        <v>81</v>
      </c>
      <c r="S137" t="s" s="0">
        <v>81</v>
      </c>
      <c r="T137" t="s" s="0">
        <v>81</v>
      </c>
      <c r="U137" t="s" s="0">
        <v>81</v>
      </c>
      <c r="V137" t="s" s="0">
        <v>3496</v>
      </c>
      <c r="W137" t="s" s="0">
        <v>3497</v>
      </c>
      <c r="X137" t="s" s="0">
        <v>81</v>
      </c>
      <c r="Y137" t="s" s="0">
        <v>81</v>
      </c>
      <c r="Z137" t="s" s="0">
        <v>93</v>
      </c>
      <c r="AA137" t="s" s="0">
        <v>94</v>
      </c>
      <c r="AB137" t="s" s="0">
        <v>81</v>
      </c>
      <c r="AC137" t="s" s="0">
        <v>81</v>
      </c>
      <c r="AD137" t="s" s="0">
        <v>81</v>
      </c>
      <c r="AE137" t="s" s="0">
        <v>81</v>
      </c>
      <c r="AF137" t="s" s="0">
        <v>81</v>
      </c>
      <c r="AG137" t="s" s="0">
        <v>3498</v>
      </c>
      <c r="AH137" t="s" s="0">
        <v>81</v>
      </c>
      <c r="AI137" t="s" s="0">
        <v>3499</v>
      </c>
      <c r="AJ137" t="s" s="0">
        <v>3500</v>
      </c>
      <c r="AK137" t="s" s="0">
        <v>81</v>
      </c>
      <c r="AL137" t="s" s="0">
        <v>1097</v>
      </c>
      <c r="AM137" t="s" s="0">
        <v>77</v>
      </c>
      <c r="AN137" t="s" s="0">
        <v>117</v>
      </c>
      <c r="AO137" t="s" s="0">
        <v>130</v>
      </c>
      <c r="AP137" t="s" s="0">
        <v>227</v>
      </c>
      <c r="AQ137" t="s" s="0">
        <v>476</v>
      </c>
      <c r="AR137" t="s" s="0">
        <v>477</v>
      </c>
      <c r="AS137" t="s" s="0">
        <v>478</v>
      </c>
      <c r="AT137" t="s" s="0">
        <v>81</v>
      </c>
      <c r="AU137" t="s" s="0">
        <v>3501</v>
      </c>
      <c r="AV137" t="s" s="0">
        <v>81</v>
      </c>
      <c r="AW137" t="s" s="0">
        <v>3502</v>
      </c>
      <c r="AX137" t="s" s="0">
        <v>3503</v>
      </c>
      <c r="AY137" t="s" s="0">
        <v>3504</v>
      </c>
      <c r="AZ137" t="s" s="0">
        <v>136</v>
      </c>
      <c r="BA137" t="s" s="0">
        <v>226</v>
      </c>
      <c r="BB137" t="s" s="0">
        <v>253</v>
      </c>
      <c r="BC137" t="s" s="0">
        <v>81</v>
      </c>
      <c r="BD137" t="s" s="0">
        <v>81</v>
      </c>
      <c r="BE137" t="s" s="0">
        <v>81</v>
      </c>
      <c r="BF137" t="s" s="0">
        <v>81</v>
      </c>
      <c r="BG137" t="s" s="0">
        <v>81</v>
      </c>
      <c r="BH137" t="s" s="0">
        <v>81</v>
      </c>
      <c r="BI137" t="s" s="0">
        <v>3505</v>
      </c>
      <c r="BJ137" t="s" s="0">
        <v>3506</v>
      </c>
      <c r="BK137" t="s" s="270">
        <f>HYPERLINK("http://dx.doi.org/10.3390/cosmetics12050194","http://dx.doi.org/10.3390/cosmetics12050194")</f>
        <v>3507</v>
      </c>
      <c r="BL137" t="s" s="0">
        <v>81</v>
      </c>
      <c r="BM137" t="s" s="0">
        <v>81</v>
      </c>
      <c r="BN137" t="s" s="0">
        <v>1900</v>
      </c>
      <c r="BO137" t="s" s="0">
        <v>3508</v>
      </c>
      <c r="BP137" t="s" s="0">
        <v>3508</v>
      </c>
      <c r="BQ137" t="s" s="0">
        <v>3509</v>
      </c>
      <c r="BR137" t="s" s="0">
        <v>81</v>
      </c>
      <c r="BS137" t="s" s="0">
        <v>3510</v>
      </c>
      <c r="BT137" t="s" s="271">
        <f>HYPERLINK("https://www.webofscience.com/wos/woscc/full-record/WOS:001602368500001","View Record in Web of Science")</f>
        <v>114</v>
      </c>
      <c r="BU137" t="s" s="0">
        <v>145</v>
      </c>
      <c r="BV137" t="s" s="0">
        <v>81</v>
      </c>
      <c r="BW137" t="s" s="0">
        <v>81</v>
      </c>
      <c r="BX137" t="s" s="0">
        <v>116</v>
      </c>
    </row>
    <row r="138">
      <c r="A138" t="s" s="0">
        <v>77</v>
      </c>
      <c r="B138" t="s" s="0">
        <v>77</v>
      </c>
      <c r="C138" t="s" s="0">
        <v>77</v>
      </c>
      <c r="D138" t="s" s="0">
        <v>77</v>
      </c>
      <c r="E138" t="s" s="0">
        <v>3511</v>
      </c>
      <c r="F138" t="s" s="0">
        <v>3512</v>
      </c>
      <c r="G138" t="s" s="0">
        <v>3513</v>
      </c>
      <c r="H138" t="s" s="0">
        <v>81</v>
      </c>
      <c r="I138" t="s" s="0">
        <v>82</v>
      </c>
      <c r="J138" t="s" s="0">
        <v>3514</v>
      </c>
      <c r="K138" t="s" s="0">
        <v>3515</v>
      </c>
      <c r="L138" t="s" s="0">
        <v>3516</v>
      </c>
      <c r="M138" t="s" s="0">
        <v>3517</v>
      </c>
      <c r="N138" t="s" s="0">
        <v>3518</v>
      </c>
      <c r="O138" t="s" s="0">
        <v>3519</v>
      </c>
      <c r="P138" t="s" s="0">
        <v>3520</v>
      </c>
      <c r="Q138" t="s" s="0">
        <v>90</v>
      </c>
      <c r="R138" t="s" s="0">
        <v>81</v>
      </c>
      <c r="S138" t="s" s="0">
        <v>81</v>
      </c>
      <c r="T138" t="s" s="0">
        <v>81</v>
      </c>
      <c r="U138" t="s" s="0">
        <v>81</v>
      </c>
      <c r="V138" t="s" s="0">
        <v>3521</v>
      </c>
      <c r="W138" t="s" s="0">
        <v>3522</v>
      </c>
      <c r="X138" t="s" s="0">
        <v>81</v>
      </c>
      <c r="Y138" t="s" s="0">
        <v>81</v>
      </c>
      <c r="Z138" t="s" s="0">
        <v>93</v>
      </c>
      <c r="AA138" t="s" s="0">
        <v>94</v>
      </c>
      <c r="AB138" t="s" s="0">
        <v>81</v>
      </c>
      <c r="AC138" t="s" s="0">
        <v>81</v>
      </c>
      <c r="AD138" t="s" s="0">
        <v>81</v>
      </c>
      <c r="AE138" t="s" s="0">
        <v>81</v>
      </c>
      <c r="AF138" t="s" s="0">
        <v>81</v>
      </c>
      <c r="AG138" t="s" s="0">
        <v>3523</v>
      </c>
      <c r="AH138" t="s" s="0">
        <v>3524</v>
      </c>
      <c r="AI138" t="s" s="0">
        <v>81</v>
      </c>
      <c r="AJ138" t="s" s="0">
        <v>81</v>
      </c>
      <c r="AK138" t="s" s="0">
        <v>81</v>
      </c>
      <c r="AL138" t="s" s="0">
        <v>1097</v>
      </c>
      <c r="AM138" t="s" s="0">
        <v>130</v>
      </c>
      <c r="AN138" t="s" s="0">
        <v>130</v>
      </c>
      <c r="AO138" t="s" s="0">
        <v>117</v>
      </c>
      <c r="AP138" t="s" s="0">
        <v>131</v>
      </c>
      <c r="AQ138" t="s" s="0">
        <v>1098</v>
      </c>
      <c r="AR138" t="s" s="0">
        <v>1099</v>
      </c>
      <c r="AS138" t="s" s="0">
        <v>1100</v>
      </c>
      <c r="AT138" t="s" s="0">
        <v>3525</v>
      </c>
      <c r="AU138" t="s" s="0">
        <v>3526</v>
      </c>
      <c r="AV138" t="s" s="0">
        <v>81</v>
      </c>
      <c r="AW138" t="s" s="0">
        <v>3527</v>
      </c>
      <c r="AX138" t="s" s="0">
        <v>3528</v>
      </c>
      <c r="AY138" t="s" s="0">
        <v>1880</v>
      </c>
      <c r="AZ138" t="s" s="0">
        <v>136</v>
      </c>
      <c r="BA138" t="s" s="0">
        <v>562</v>
      </c>
      <c r="BB138" t="s" s="0">
        <v>81</v>
      </c>
      <c r="BC138" t="s" s="0">
        <v>81</v>
      </c>
      <c r="BD138" t="s" s="0">
        <v>81</v>
      </c>
      <c r="BE138" t="s" s="0">
        <v>81</v>
      </c>
      <c r="BF138" t="s" s="0">
        <v>81</v>
      </c>
      <c r="BG138" t="s" s="0">
        <v>81</v>
      </c>
      <c r="BH138" t="s" s="0">
        <v>81</v>
      </c>
      <c r="BI138" t="s" s="0">
        <v>3529</v>
      </c>
      <c r="BJ138" t="s" s="0">
        <v>3530</v>
      </c>
      <c r="BK138" t="s" s="272">
        <f>HYPERLINK("http://dx.doi.org/10.1016/j.slast.2025.100361","http://dx.doi.org/10.1016/j.slast.2025.100361")</f>
        <v>3531</v>
      </c>
      <c r="BL138" t="s" s="0">
        <v>81</v>
      </c>
      <c r="BM138" t="s" s="0">
        <v>450</v>
      </c>
      <c r="BN138" t="s" s="0">
        <v>225</v>
      </c>
      <c r="BO138" t="s" s="0">
        <v>3532</v>
      </c>
      <c r="BP138" t="s" s="0">
        <v>3533</v>
      </c>
      <c r="BQ138" t="s" s="0">
        <v>3534</v>
      </c>
      <c r="BR138" t="s" s="0">
        <v>3535</v>
      </c>
      <c r="BS138" t="s" s="0">
        <v>3536</v>
      </c>
      <c r="BT138" t="s" s="273">
        <f>HYPERLINK("https://www.webofscience.com/wos/woscc/full-record/WOS:001614170800001","View Record in Web of Science")</f>
        <v>114</v>
      </c>
      <c r="BU138" t="s" s="0">
        <v>145</v>
      </c>
      <c r="BV138" t="s" s="0">
        <v>81</v>
      </c>
      <c r="BW138" t="s" s="0">
        <v>81</v>
      </c>
      <c r="BX138" t="s" s="0">
        <v>116</v>
      </c>
    </row>
    <row r="139">
      <c r="A139" t="s" s="0">
        <v>161</v>
      </c>
      <c r="B139" t="s" s="0">
        <v>77</v>
      </c>
      <c r="C139" t="s" s="0">
        <v>204</v>
      </c>
      <c r="D139" t="s" s="0">
        <v>77</v>
      </c>
      <c r="E139" t="s" s="0">
        <v>3537</v>
      </c>
      <c r="F139" t="s" s="0">
        <v>3538</v>
      </c>
      <c r="G139" t="s" s="0">
        <v>3539</v>
      </c>
      <c r="H139" t="s" s="0">
        <v>81</v>
      </c>
      <c r="I139" t="s" s="0">
        <v>82</v>
      </c>
      <c r="J139" t="s" s="0">
        <v>3540</v>
      </c>
      <c r="K139" t="s" s="0">
        <v>3541</v>
      </c>
      <c r="L139" t="s" s="0">
        <v>3542</v>
      </c>
      <c r="M139" t="s" s="0">
        <v>184</v>
      </c>
      <c r="N139" t="s" s="0">
        <v>3543</v>
      </c>
      <c r="O139" t="s" s="0">
        <v>3544</v>
      </c>
      <c r="P139" t="s" s="0">
        <v>3545</v>
      </c>
      <c r="Q139" t="s" s="0">
        <v>90</v>
      </c>
      <c r="R139" t="s" s="0">
        <v>81</v>
      </c>
      <c r="S139" t="s" s="0">
        <v>81</v>
      </c>
      <c r="T139" t="s" s="0">
        <v>81</v>
      </c>
      <c r="U139" t="s" s="0">
        <v>81</v>
      </c>
      <c r="V139" t="s" s="0">
        <v>3546</v>
      </c>
      <c r="W139" t="s" s="0">
        <v>1691</v>
      </c>
      <c r="X139" t="s" s="0">
        <v>81</v>
      </c>
      <c r="Y139" t="s" s="0">
        <v>81</v>
      </c>
      <c r="Z139" t="s" s="0">
        <v>93</v>
      </c>
      <c r="AA139" t="s" s="0">
        <v>94</v>
      </c>
      <c r="AB139" t="s" s="0">
        <v>81</v>
      </c>
      <c r="AC139" t="s" s="0">
        <v>81</v>
      </c>
      <c r="AD139" t="s" s="0">
        <v>81</v>
      </c>
      <c r="AE139" t="s" s="0">
        <v>81</v>
      </c>
      <c r="AF139" t="s" s="0">
        <v>81</v>
      </c>
      <c r="AG139" t="s" s="0">
        <v>81</v>
      </c>
      <c r="AH139" t="s" s="0">
        <v>3547</v>
      </c>
      <c r="AI139" t="s" s="0">
        <v>3548</v>
      </c>
      <c r="AJ139" t="s" s="0">
        <v>3549</v>
      </c>
      <c r="AK139" t="s" s="0">
        <v>81</v>
      </c>
      <c r="AL139" t="s" s="0">
        <v>846</v>
      </c>
      <c r="AM139" t="s" s="0">
        <v>1487</v>
      </c>
      <c r="AN139" t="s" s="0">
        <v>1161</v>
      </c>
      <c r="AO139" t="s" s="0">
        <v>160</v>
      </c>
      <c r="AP139" t="s" s="0">
        <v>562</v>
      </c>
      <c r="AQ139" t="s" s="0">
        <v>1694</v>
      </c>
      <c r="AR139" t="s" s="0">
        <v>1695</v>
      </c>
      <c r="AS139" t="s" s="0">
        <v>1696</v>
      </c>
      <c r="AT139" t="s" s="0">
        <v>1697</v>
      </c>
      <c r="AU139" t="s" s="0">
        <v>81</v>
      </c>
      <c r="AV139" t="s" s="0">
        <v>81</v>
      </c>
      <c r="AW139" t="s" s="0">
        <v>1698</v>
      </c>
      <c r="AX139" t="s" s="0">
        <v>1699</v>
      </c>
      <c r="AY139" t="s" s="0">
        <v>3550</v>
      </c>
      <c r="AZ139" t="s" s="0">
        <v>573</v>
      </c>
      <c r="BA139" t="s" s="0">
        <v>161</v>
      </c>
      <c r="BB139" t="s" s="0">
        <v>161</v>
      </c>
      <c r="BC139" t="s" s="0">
        <v>81</v>
      </c>
      <c r="BD139" t="s" s="0">
        <v>81</v>
      </c>
      <c r="BE139" t="s" s="0">
        <v>81</v>
      </c>
      <c r="BF139" t="s" s="0">
        <v>81</v>
      </c>
      <c r="BG139" t="s" s="0">
        <v>81</v>
      </c>
      <c r="BH139" t="s" s="0">
        <v>81</v>
      </c>
      <c r="BI139" t="s" s="0">
        <v>3551</v>
      </c>
      <c r="BJ139" t="s" s="0">
        <v>3552</v>
      </c>
      <c r="BK139" t="s" s="274">
        <f>HYPERLINK("http://dx.doi.org/10.1001/jamanetworkopen.2024.22454","http://dx.doi.org/10.1001/jamanetworkopen.2024.22454")</f>
        <v>3553</v>
      </c>
      <c r="BL139" t="s" s="0">
        <v>81</v>
      </c>
      <c r="BM139" t="s" s="0">
        <v>81</v>
      </c>
      <c r="BN139" t="s" s="0">
        <v>204</v>
      </c>
      <c r="BO139" t="s" s="0">
        <v>486</v>
      </c>
      <c r="BP139" t="s" s="0">
        <v>487</v>
      </c>
      <c r="BQ139" t="s" s="0">
        <v>3554</v>
      </c>
      <c r="BR139" t="s" s="0">
        <v>3555</v>
      </c>
      <c r="BS139" t="s" s="0">
        <v>3556</v>
      </c>
      <c r="BT139" t="s" s="275">
        <f>HYPERLINK("https://www.webofscience.com/wos/woscc/full-record/WOS:001272857200003","View Record in Web of Science")</f>
        <v>114</v>
      </c>
      <c r="BU139" t="s" s="0">
        <v>145</v>
      </c>
      <c r="BV139" t="s" s="0">
        <v>81</v>
      </c>
      <c r="BW139" t="s" s="0">
        <v>81</v>
      </c>
      <c r="BX139" t="s" s="0">
        <v>116</v>
      </c>
    </row>
    <row r="140">
      <c r="A140" t="s" s="0">
        <v>77</v>
      </c>
      <c r="B140" t="s" s="0">
        <v>77</v>
      </c>
      <c r="C140" t="s" s="0">
        <v>117</v>
      </c>
      <c r="D140" t="s" s="0">
        <v>77</v>
      </c>
      <c r="E140" t="s" s="0">
        <v>3557</v>
      </c>
      <c r="F140" t="s" s="0">
        <v>3558</v>
      </c>
      <c r="G140" t="s" s="0">
        <v>3559</v>
      </c>
      <c r="H140" t="s" s="0">
        <v>81</v>
      </c>
      <c r="I140" t="s" s="0">
        <v>82</v>
      </c>
      <c r="J140" t="s" s="0">
        <v>3560</v>
      </c>
      <c r="K140" t="s" s="0">
        <v>3561</v>
      </c>
      <c r="L140" t="s" s="0">
        <v>3562</v>
      </c>
      <c r="M140" t="s" s="0">
        <v>3562</v>
      </c>
      <c r="N140" t="s" s="0">
        <v>3563</v>
      </c>
      <c r="O140" t="s" s="0">
        <v>3564</v>
      </c>
      <c r="P140" t="s" s="0">
        <v>3565</v>
      </c>
      <c r="Q140" t="s" s="0">
        <v>90</v>
      </c>
      <c r="R140" t="s" s="0">
        <v>81</v>
      </c>
      <c r="S140" t="s" s="0">
        <v>81</v>
      </c>
      <c r="T140" t="s" s="0">
        <v>81</v>
      </c>
      <c r="U140" t="s" s="0">
        <v>81</v>
      </c>
      <c r="V140" t="s" s="0">
        <v>3566</v>
      </c>
      <c r="W140" t="s" s="0">
        <v>557</v>
      </c>
      <c r="X140" t="s" s="0">
        <v>81</v>
      </c>
      <c r="Y140" t="s" s="0">
        <v>81</v>
      </c>
      <c r="Z140" t="s" s="0">
        <v>93</v>
      </c>
      <c r="AA140" t="s" s="0">
        <v>94</v>
      </c>
      <c r="AB140" t="s" s="0">
        <v>81</v>
      </c>
      <c r="AC140" t="s" s="0">
        <v>81</v>
      </c>
      <c r="AD140" t="s" s="0">
        <v>81</v>
      </c>
      <c r="AE140" t="s" s="0">
        <v>81</v>
      </c>
      <c r="AF140" t="s" s="0">
        <v>81</v>
      </c>
      <c r="AG140" t="s" s="0">
        <v>3567</v>
      </c>
      <c r="AH140" t="s" s="0">
        <v>3568</v>
      </c>
      <c r="AI140" t="s" s="0">
        <v>3569</v>
      </c>
      <c r="AJ140" t="s" s="0">
        <v>3570</v>
      </c>
      <c r="AK140" t="s" s="0">
        <v>81</v>
      </c>
      <c r="AL140" t="s" s="0">
        <v>224</v>
      </c>
      <c r="AM140" t="s" s="0">
        <v>161</v>
      </c>
      <c r="AN140" t="s" s="0">
        <v>161</v>
      </c>
      <c r="AO140" t="s" s="0">
        <v>77</v>
      </c>
      <c r="AP140" t="s" s="0">
        <v>131</v>
      </c>
      <c r="AQ140" t="s" s="0">
        <v>565</v>
      </c>
      <c r="AR140" t="s" s="0">
        <v>566</v>
      </c>
      <c r="AS140" t="s" s="0">
        <v>567</v>
      </c>
      <c r="AT140" t="s" s="0">
        <v>568</v>
      </c>
      <c r="AU140" t="s" s="0">
        <v>569</v>
      </c>
      <c r="AV140" t="s" s="0">
        <v>81</v>
      </c>
      <c r="AW140" t="s" s="0">
        <v>570</v>
      </c>
      <c r="AX140" t="s" s="0">
        <v>571</v>
      </c>
      <c r="AY140" t="s" s="0">
        <v>632</v>
      </c>
      <c r="AZ140" t="s" s="0">
        <v>136</v>
      </c>
      <c r="BA140" t="s" s="0">
        <v>3571</v>
      </c>
      <c r="BB140" t="s" s="0">
        <v>81</v>
      </c>
      <c r="BC140" t="s" s="0">
        <v>81</v>
      </c>
      <c r="BD140" t="s" s="0">
        <v>81</v>
      </c>
      <c r="BE140" t="s" s="0">
        <v>81</v>
      </c>
      <c r="BF140" t="s" s="0">
        <v>81</v>
      </c>
      <c r="BG140" t="s" s="0">
        <v>81</v>
      </c>
      <c r="BH140" t="s" s="0">
        <v>81</v>
      </c>
      <c r="BI140" t="s" s="0">
        <v>3572</v>
      </c>
      <c r="BJ140" t="s" s="0">
        <v>3573</v>
      </c>
      <c r="BK140" t="s" s="276">
        <f>HYPERLINK("http://dx.doi.org/10.1016/j.cmpb.2025.108810","http://dx.doi.org/10.1016/j.cmpb.2025.108810")</f>
        <v>3574</v>
      </c>
      <c r="BL140" t="s" s="0">
        <v>81</v>
      </c>
      <c r="BM140" t="s" s="0">
        <v>382</v>
      </c>
      <c r="BN140" t="s" s="0">
        <v>167</v>
      </c>
      <c r="BO140" t="s" s="0">
        <v>579</v>
      </c>
      <c r="BP140" t="s" s="0">
        <v>580</v>
      </c>
      <c r="BQ140" t="s" s="0">
        <v>3575</v>
      </c>
      <c r="BR140" t="s" s="0">
        <v>3576</v>
      </c>
      <c r="BS140" t="s" s="0">
        <v>3577</v>
      </c>
      <c r="BT140" t="s" s="277">
        <f>HYPERLINK("https://www.webofscience.com/wos/woscc/full-record/WOS:001492987800001","View Record in Web of Science")</f>
        <v>114</v>
      </c>
      <c r="BU140" t="s" s="0">
        <v>81</v>
      </c>
      <c r="BV140" t="s" s="0">
        <v>81</v>
      </c>
      <c r="BW140" t="s" s="0">
        <v>81</v>
      </c>
      <c r="BX140" t="s" s="0">
        <v>116</v>
      </c>
    </row>
    <row r="141">
      <c r="A141" t="s" s="0">
        <v>77</v>
      </c>
      <c r="B141" t="s" s="0">
        <v>77</v>
      </c>
      <c r="C141" t="s" s="0">
        <v>77</v>
      </c>
      <c r="D141" t="s" s="0">
        <v>77</v>
      </c>
      <c r="E141" t="s" s="0">
        <v>3578</v>
      </c>
      <c r="F141" t="s" s="0">
        <v>3579</v>
      </c>
      <c r="G141" t="s" s="0">
        <v>3580</v>
      </c>
      <c r="H141" t="s" s="0">
        <v>81</v>
      </c>
      <c r="I141" t="s" s="0">
        <v>82</v>
      </c>
      <c r="J141" t="s" s="0">
        <v>3581</v>
      </c>
      <c r="K141" t="s" s="0">
        <v>3582</v>
      </c>
      <c r="L141" t="s" s="0">
        <v>3583</v>
      </c>
      <c r="M141" t="s" s="0">
        <v>3584</v>
      </c>
      <c r="N141" t="s" s="0">
        <v>3585</v>
      </c>
      <c r="O141" t="s" s="0">
        <v>3586</v>
      </c>
      <c r="P141" t="s" s="0">
        <v>3587</v>
      </c>
      <c r="Q141" t="s" s="0">
        <v>90</v>
      </c>
      <c r="R141" t="s" s="0">
        <v>81</v>
      </c>
      <c r="S141" t="s" s="0">
        <v>81</v>
      </c>
      <c r="T141" t="s" s="0">
        <v>81</v>
      </c>
      <c r="U141" t="s" s="0">
        <v>81</v>
      </c>
      <c r="V141" t="s" s="0">
        <v>3588</v>
      </c>
      <c r="W141" t="s" s="0">
        <v>3589</v>
      </c>
      <c r="X141" t="s" s="0">
        <v>81</v>
      </c>
      <c r="Y141" t="s" s="0">
        <v>81</v>
      </c>
      <c r="Z141" t="s" s="0">
        <v>93</v>
      </c>
      <c r="AA141" t="s" s="0">
        <v>94</v>
      </c>
      <c r="AB141" t="s" s="0">
        <v>81</v>
      </c>
      <c r="AC141" t="s" s="0">
        <v>81</v>
      </c>
      <c r="AD141" t="s" s="0">
        <v>81</v>
      </c>
      <c r="AE141" t="s" s="0">
        <v>81</v>
      </c>
      <c r="AF141" t="s" s="0">
        <v>81</v>
      </c>
      <c r="AG141" t="s" s="0">
        <v>3590</v>
      </c>
      <c r="AH141" t="s" s="0">
        <v>3591</v>
      </c>
      <c r="AI141" t="s" s="0">
        <v>3592</v>
      </c>
      <c r="AJ141" t="s" s="0">
        <v>3593</v>
      </c>
      <c r="AK141" t="s" s="0">
        <v>81</v>
      </c>
      <c r="AL141" t="s" s="0">
        <v>536</v>
      </c>
      <c r="AM141" t="s" s="0">
        <v>130</v>
      </c>
      <c r="AN141" t="s" s="0">
        <v>130</v>
      </c>
      <c r="AO141" t="s" s="0">
        <v>130</v>
      </c>
      <c r="AP141" t="s" s="0">
        <v>227</v>
      </c>
      <c r="AQ141" t="s" s="0">
        <v>406</v>
      </c>
      <c r="AR141" t="s" s="0">
        <v>407</v>
      </c>
      <c r="AS141" t="s" s="0">
        <v>408</v>
      </c>
      <c r="AT141" t="s" s="0">
        <v>3594</v>
      </c>
      <c r="AU141" t="s" s="0">
        <v>3595</v>
      </c>
      <c r="AV141" t="s" s="0">
        <v>81</v>
      </c>
      <c r="AW141" t="s" s="0">
        <v>3596</v>
      </c>
      <c r="AX141" t="s" s="0">
        <v>3597</v>
      </c>
      <c r="AY141" t="s" s="0">
        <v>3439</v>
      </c>
      <c r="AZ141" t="s" s="0">
        <v>104</v>
      </c>
      <c r="BA141" t="s" s="0">
        <v>167</v>
      </c>
      <c r="BB141" t="s" s="0">
        <v>117</v>
      </c>
      <c r="BC141" t="s" s="0">
        <v>81</v>
      </c>
      <c r="BD141" t="s" s="0">
        <v>81</v>
      </c>
      <c r="BE141" t="s" s="0">
        <v>81</v>
      </c>
      <c r="BF141" t="s" s="0">
        <v>81</v>
      </c>
      <c r="BG141" t="s" s="0">
        <v>81</v>
      </c>
      <c r="BH141" t="s" s="0">
        <v>81</v>
      </c>
      <c r="BI141" t="s" s="0">
        <v>3598</v>
      </c>
      <c r="BJ141" t="s" s="0">
        <v>3599</v>
      </c>
      <c r="BK141" t="s" s="278">
        <f>HYPERLINK("http://dx.doi.org/10.1016/j.tjpad.2025.100397","http://dx.doi.org/10.1016/j.tjpad.2025.100397")</f>
        <v>3600</v>
      </c>
      <c r="BL141" t="s" s="0">
        <v>81</v>
      </c>
      <c r="BM141" t="s" s="0">
        <v>382</v>
      </c>
      <c r="BN141" t="s" s="0">
        <v>128</v>
      </c>
      <c r="BO141" t="s" s="0">
        <v>3601</v>
      </c>
      <c r="BP141" t="s" s="0">
        <v>111</v>
      </c>
      <c r="BQ141" t="s" s="0">
        <v>3602</v>
      </c>
      <c r="BR141" t="s" s="0">
        <v>3603</v>
      </c>
      <c r="BS141" t="s" s="0">
        <v>3604</v>
      </c>
      <c r="BT141" t="s" s="279">
        <f>HYPERLINK("https://www.webofscience.com/wos/woscc/full-record/WOS:001633459300001","View Record in Web of Science")</f>
        <v>114</v>
      </c>
      <c r="BU141" t="s" s="0">
        <v>3605</v>
      </c>
      <c r="BV141" t="s" s="0">
        <v>81</v>
      </c>
      <c r="BW141" t="s" s="0">
        <v>81</v>
      </c>
      <c r="BX141" t="s" s="0">
        <v>116</v>
      </c>
    </row>
    <row r="142">
      <c r="A142" t="s" s="0">
        <v>77</v>
      </c>
      <c r="B142" t="s" s="0">
        <v>77</v>
      </c>
      <c r="C142" t="s" s="0">
        <v>117</v>
      </c>
      <c r="D142" t="s" s="0">
        <v>77</v>
      </c>
      <c r="E142" t="s" s="0">
        <v>3606</v>
      </c>
      <c r="F142" t="s" s="0">
        <v>3607</v>
      </c>
      <c r="G142" t="s" s="0">
        <v>3608</v>
      </c>
      <c r="H142" t="s" s="0">
        <v>81</v>
      </c>
      <c r="I142" t="s" s="0">
        <v>213</v>
      </c>
      <c r="J142" t="s" s="0">
        <v>3609</v>
      </c>
      <c r="K142" t="s" s="0">
        <v>3610</v>
      </c>
      <c r="L142" t="s" s="0">
        <v>3611</v>
      </c>
      <c r="M142" t="s" s="0">
        <v>3612</v>
      </c>
      <c r="N142" t="s" s="0">
        <v>3613</v>
      </c>
      <c r="O142" t="s" s="0">
        <v>3614</v>
      </c>
      <c r="P142" t="s" s="0">
        <v>3615</v>
      </c>
      <c r="Q142" t="s" s="0">
        <v>90</v>
      </c>
      <c r="R142" t="s" s="0">
        <v>81</v>
      </c>
      <c r="S142" t="s" s="0">
        <v>81</v>
      </c>
      <c r="T142" t="s" s="0">
        <v>81</v>
      </c>
      <c r="U142" t="s" s="0">
        <v>81</v>
      </c>
      <c r="V142" t="s" s="0">
        <v>3616</v>
      </c>
      <c r="W142" t="s" s="0">
        <v>2413</v>
      </c>
      <c r="X142" t="s" s="0">
        <v>81</v>
      </c>
      <c r="Y142" t="s" s="0">
        <v>81</v>
      </c>
      <c r="Z142" t="s" s="0">
        <v>93</v>
      </c>
      <c r="AA142" t="s" s="0">
        <v>94</v>
      </c>
      <c r="AB142" t="s" s="0">
        <v>81</v>
      </c>
      <c r="AC142" t="s" s="0">
        <v>81</v>
      </c>
      <c r="AD142" t="s" s="0">
        <v>81</v>
      </c>
      <c r="AE142" t="s" s="0">
        <v>81</v>
      </c>
      <c r="AF142" t="s" s="0">
        <v>81</v>
      </c>
      <c r="AG142" t="s" s="0">
        <v>3617</v>
      </c>
      <c r="AH142" t="s" s="0">
        <v>81</v>
      </c>
      <c r="AI142" t="s" s="0">
        <v>3618</v>
      </c>
      <c r="AJ142" t="s" s="0">
        <v>81</v>
      </c>
      <c r="AK142" t="s" s="0">
        <v>81</v>
      </c>
      <c r="AL142" t="s" s="0">
        <v>368</v>
      </c>
      <c r="AM142" t="s" s="0">
        <v>160</v>
      </c>
      <c r="AN142" t="s" s="0">
        <v>131</v>
      </c>
      <c r="AO142" t="s" s="0">
        <v>130</v>
      </c>
      <c r="AP142" t="s" s="0">
        <v>564</v>
      </c>
      <c r="AQ142" t="s" s="0">
        <v>97</v>
      </c>
      <c r="AR142" t="s" s="0">
        <v>98</v>
      </c>
      <c r="AS142" t="s" s="0">
        <v>99</v>
      </c>
      <c r="AT142" t="s" s="0">
        <v>81</v>
      </c>
      <c r="AU142" t="s" s="0">
        <v>2416</v>
      </c>
      <c r="AV142" t="s" s="0">
        <v>81</v>
      </c>
      <c r="AW142" t="s" s="0">
        <v>2417</v>
      </c>
      <c r="AX142" t="s" s="0">
        <v>2418</v>
      </c>
      <c r="AY142" t="s" s="0">
        <v>3619</v>
      </c>
      <c r="AZ142" t="s" s="0">
        <v>573</v>
      </c>
      <c r="BA142" t="s" s="0">
        <v>161</v>
      </c>
      <c r="BB142" t="s" s="0">
        <v>81</v>
      </c>
      <c r="BC142" t="s" s="0">
        <v>81</v>
      </c>
      <c r="BD142" t="s" s="0">
        <v>81</v>
      </c>
      <c r="BE142" t="s" s="0">
        <v>81</v>
      </c>
      <c r="BF142" t="s" s="0">
        <v>81</v>
      </c>
      <c r="BG142" t="s" s="0">
        <v>81</v>
      </c>
      <c r="BH142" t="s" s="0">
        <v>81</v>
      </c>
      <c r="BI142" t="s" s="0">
        <v>3620</v>
      </c>
      <c r="BJ142" t="s" s="0">
        <v>3621</v>
      </c>
      <c r="BK142" t="s" s="280">
        <f>HYPERLINK("http://dx.doi.org/10.3389/frai.2024.1326050","http://dx.doi.org/10.3389/frai.2024.1326050")</f>
        <v>3622</v>
      </c>
      <c r="BL142" t="s" s="0">
        <v>81</v>
      </c>
      <c r="BM142" t="s" s="0">
        <v>81</v>
      </c>
      <c r="BN142" t="s" s="0">
        <v>225</v>
      </c>
      <c r="BO142" t="s" s="0">
        <v>2422</v>
      </c>
      <c r="BP142" t="s" s="0">
        <v>420</v>
      </c>
      <c r="BQ142" t="s" s="0">
        <v>3623</v>
      </c>
      <c r="BR142" t="s" s="0">
        <v>3624</v>
      </c>
      <c r="BS142" t="s" s="0">
        <v>3625</v>
      </c>
      <c r="BT142" t="s" s="281">
        <f>HYPERLINK("https://www.webofscience.com/wos/woscc/full-record/WOS:001182558700001","View Record in Web of Science")</f>
        <v>114</v>
      </c>
      <c r="BU142" t="s" s="0">
        <v>145</v>
      </c>
      <c r="BV142" t="s" s="0">
        <v>81</v>
      </c>
      <c r="BW142" t="s" s="0">
        <v>81</v>
      </c>
      <c r="BX142" t="s" s="0">
        <v>116</v>
      </c>
    </row>
    <row r="143">
      <c r="A143" t="s" s="0">
        <v>77</v>
      </c>
      <c r="B143" t="s" s="0">
        <v>77</v>
      </c>
      <c r="C143" t="s" s="0">
        <v>130</v>
      </c>
      <c r="D143" t="s" s="0">
        <v>77</v>
      </c>
      <c r="E143" t="s" s="0">
        <v>3626</v>
      </c>
      <c r="F143" t="s" s="0">
        <v>3627</v>
      </c>
      <c r="G143" t="s" s="0">
        <v>3628</v>
      </c>
      <c r="H143" t="s" s="0">
        <v>81</v>
      </c>
      <c r="I143" t="s" s="0">
        <v>82</v>
      </c>
      <c r="J143" t="s" s="0">
        <v>3629</v>
      </c>
      <c r="K143" t="s" s="0">
        <v>3630</v>
      </c>
      <c r="L143" t="s" s="0">
        <v>81</v>
      </c>
      <c r="M143" t="s" s="0">
        <v>81</v>
      </c>
      <c r="N143" t="s" s="0">
        <v>81</v>
      </c>
      <c r="O143" t="s" s="0">
        <v>3631</v>
      </c>
      <c r="P143" t="s" s="0">
        <v>3632</v>
      </c>
      <c r="Q143" t="s" s="0">
        <v>90</v>
      </c>
      <c r="R143" t="s" s="0">
        <v>81</v>
      </c>
      <c r="S143" t="s" s="0">
        <v>81</v>
      </c>
      <c r="T143" t="s" s="0">
        <v>81</v>
      </c>
      <c r="U143" t="s" s="0">
        <v>81</v>
      </c>
      <c r="V143" t="s" s="0">
        <v>3633</v>
      </c>
      <c r="W143" t="s" s="0">
        <v>3634</v>
      </c>
      <c r="X143" t="s" s="0">
        <v>81</v>
      </c>
      <c r="Y143" t="s" s="0">
        <v>81</v>
      </c>
      <c r="Z143" t="s" s="0">
        <v>93</v>
      </c>
      <c r="AA143" t="s" s="0">
        <v>94</v>
      </c>
      <c r="AB143" t="s" s="0">
        <v>81</v>
      </c>
      <c r="AC143" t="s" s="0">
        <v>81</v>
      </c>
      <c r="AD143" t="s" s="0">
        <v>81</v>
      </c>
      <c r="AE143" t="s" s="0">
        <v>81</v>
      </c>
      <c r="AF143" t="s" s="0">
        <v>81</v>
      </c>
      <c r="AG143" t="s" s="0">
        <v>3635</v>
      </c>
      <c r="AH143" t="s" s="0">
        <v>3636</v>
      </c>
      <c r="AI143" t="s" s="0">
        <v>3637</v>
      </c>
      <c r="AJ143" t="s" s="0">
        <v>3638</v>
      </c>
      <c r="AK143" t="s" s="0">
        <v>81</v>
      </c>
      <c r="AL143" t="s" s="0">
        <v>337</v>
      </c>
      <c r="AM143" t="s" s="0">
        <v>337</v>
      </c>
      <c r="AN143" t="s" s="0">
        <v>706</v>
      </c>
      <c r="AO143" t="s" s="0">
        <v>117</v>
      </c>
      <c r="AP143" t="s" s="0">
        <v>258</v>
      </c>
      <c r="AQ143" t="s" s="0">
        <v>305</v>
      </c>
      <c r="AR143" t="s" s="0">
        <v>306</v>
      </c>
      <c r="AS143" t="s" s="0">
        <v>307</v>
      </c>
      <c r="AT143" t="s" s="0">
        <v>3639</v>
      </c>
      <c r="AU143" t="s" s="0">
        <v>3640</v>
      </c>
      <c r="AV143" t="s" s="0">
        <v>81</v>
      </c>
      <c r="AW143" t="s" s="0">
        <v>3641</v>
      </c>
      <c r="AX143" t="s" s="0">
        <v>3642</v>
      </c>
      <c r="AY143" t="s" s="0">
        <v>2281</v>
      </c>
      <c r="AZ143" t="s" s="0">
        <v>482</v>
      </c>
      <c r="BA143" t="s" s="0">
        <v>3643</v>
      </c>
      <c r="BB143" t="s" s="0">
        <v>81</v>
      </c>
      <c r="BC143" t="s" s="0">
        <v>81</v>
      </c>
      <c r="BD143" t="s" s="0">
        <v>81</v>
      </c>
      <c r="BE143" t="s" s="0">
        <v>81</v>
      </c>
      <c r="BF143" t="s" s="0">
        <v>81</v>
      </c>
      <c r="BG143" t="s" s="0">
        <v>81</v>
      </c>
      <c r="BH143" t="s" s="0">
        <v>81</v>
      </c>
      <c r="BI143" t="s" s="0">
        <v>81</v>
      </c>
      <c r="BJ143" t="s" s="0">
        <v>3644</v>
      </c>
      <c r="BK143" t="s" s="282">
        <f>HYPERLINK("http://dx.doi.org/10.1016/j.compeleceng.2022.108396","http://dx.doi.org/10.1016/j.compeleceng.2022.108396")</f>
        <v>3645</v>
      </c>
      <c r="BL143" t="s" s="0">
        <v>81</v>
      </c>
      <c r="BM143" t="s" s="0">
        <v>3646</v>
      </c>
      <c r="BN143" t="s" s="0">
        <v>258</v>
      </c>
      <c r="BO143" t="s" s="0">
        <v>3647</v>
      </c>
      <c r="BP143" t="s" s="0">
        <v>206</v>
      </c>
      <c r="BQ143" t="s" s="0">
        <v>3648</v>
      </c>
      <c r="BR143" t="s" s="0">
        <v>3649</v>
      </c>
      <c r="BS143" t="s" s="0">
        <v>3650</v>
      </c>
      <c r="BT143" t="s" s="283">
        <f>HYPERLINK("https://www.webofscience.com/wos/woscc/full-record/WOS:000870354100010","View Record in Web of Science")</f>
        <v>114</v>
      </c>
      <c r="BU143" t="s" s="0">
        <v>973</v>
      </c>
      <c r="BV143" t="s" s="0">
        <v>81</v>
      </c>
      <c r="BW143" t="s" s="0">
        <v>81</v>
      </c>
      <c r="BX143" t="s" s="0">
        <v>116</v>
      </c>
    </row>
    <row r="144">
      <c r="A144" t="s" s="0">
        <v>77</v>
      </c>
      <c r="B144" t="s" s="0">
        <v>77</v>
      </c>
      <c r="C144" t="s" s="0">
        <v>77</v>
      </c>
      <c r="D144" t="s" s="0">
        <v>77</v>
      </c>
      <c r="E144" t="s" s="0">
        <v>3651</v>
      </c>
      <c r="F144" t="s" s="0">
        <v>3652</v>
      </c>
      <c r="G144" t="s" s="0">
        <v>3653</v>
      </c>
      <c r="H144" t="s" s="0">
        <v>81</v>
      </c>
      <c r="I144" t="s" s="0">
        <v>213</v>
      </c>
      <c r="J144" t="s" s="0">
        <v>3654</v>
      </c>
      <c r="K144" t="s" s="0">
        <v>3655</v>
      </c>
      <c r="L144" t="s" s="0">
        <v>3656</v>
      </c>
      <c r="M144" t="s" s="0">
        <v>3657</v>
      </c>
      <c r="N144" t="s" s="0">
        <v>3658</v>
      </c>
      <c r="O144" t="s" s="0">
        <v>3659</v>
      </c>
      <c r="P144" t="s" s="0">
        <v>3660</v>
      </c>
      <c r="Q144" t="s" s="0">
        <v>90</v>
      </c>
      <c r="R144" t="s" s="0">
        <v>81</v>
      </c>
      <c r="S144" t="s" s="0">
        <v>81</v>
      </c>
      <c r="T144" t="s" s="0">
        <v>81</v>
      </c>
      <c r="U144" t="s" s="0">
        <v>81</v>
      </c>
      <c r="V144" t="s" s="0">
        <v>3661</v>
      </c>
      <c r="W144" t="s" s="0">
        <v>1845</v>
      </c>
      <c r="X144" t="s" s="0">
        <v>81</v>
      </c>
      <c r="Y144" t="s" s="0">
        <v>81</v>
      </c>
      <c r="Z144" t="s" s="0">
        <v>93</v>
      </c>
      <c r="AA144" t="s" s="0">
        <v>94</v>
      </c>
      <c r="AB144" t="s" s="0">
        <v>81</v>
      </c>
      <c r="AC144" t="s" s="0">
        <v>81</v>
      </c>
      <c r="AD144" t="s" s="0">
        <v>81</v>
      </c>
      <c r="AE144" t="s" s="0">
        <v>81</v>
      </c>
      <c r="AF144" t="s" s="0">
        <v>81</v>
      </c>
      <c r="AG144" t="s" s="0">
        <v>3662</v>
      </c>
      <c r="AH144" t="s" s="0">
        <v>3663</v>
      </c>
      <c r="AI144" t="s" s="0">
        <v>3664</v>
      </c>
      <c r="AJ144" t="s" s="0">
        <v>81</v>
      </c>
      <c r="AK144" t="s" s="0">
        <v>81</v>
      </c>
      <c r="AL144" t="s" s="0">
        <v>369</v>
      </c>
      <c r="AM144" t="s" s="0">
        <v>77</v>
      </c>
      <c r="AN144" t="s" s="0">
        <v>77</v>
      </c>
      <c r="AO144" t="s" s="0">
        <v>117</v>
      </c>
      <c r="AP144" t="s" s="0">
        <v>117</v>
      </c>
      <c r="AQ144" t="s" s="0">
        <v>406</v>
      </c>
      <c r="AR144" t="s" s="0">
        <v>407</v>
      </c>
      <c r="AS144" t="s" s="0">
        <v>408</v>
      </c>
      <c r="AT144" t="s" s="0">
        <v>1848</v>
      </c>
      <c r="AU144" t="s" s="0">
        <v>81</v>
      </c>
      <c r="AV144" t="s" s="0">
        <v>81</v>
      </c>
      <c r="AW144" t="s" s="0">
        <v>1849</v>
      </c>
      <c r="AX144" t="s" s="0">
        <v>1850</v>
      </c>
      <c r="AY144" t="s" s="0">
        <v>284</v>
      </c>
      <c r="AZ144" t="s" s="0">
        <v>104</v>
      </c>
      <c r="BA144" t="s" s="0">
        <v>193</v>
      </c>
      <c r="BB144" t="s" s="0">
        <v>81</v>
      </c>
      <c r="BC144" t="s" s="0">
        <v>81</v>
      </c>
      <c r="BD144" t="s" s="0">
        <v>81</v>
      </c>
      <c r="BE144" t="s" s="0">
        <v>81</v>
      </c>
      <c r="BF144" t="s" s="0">
        <v>81</v>
      </c>
      <c r="BG144" t="s" s="0">
        <v>81</v>
      </c>
      <c r="BH144" t="s" s="0">
        <v>81</v>
      </c>
      <c r="BI144" t="s" s="0">
        <v>3665</v>
      </c>
      <c r="BJ144" t="s" s="0">
        <v>3666</v>
      </c>
      <c r="BK144" t="s" s="284">
        <f>HYPERLINK("http://dx.doi.org/10.1016/j.array.2026.100702","http://dx.doi.org/10.1016/j.array.2026.100702")</f>
        <v>3667</v>
      </c>
      <c r="BL144" t="s" s="0">
        <v>81</v>
      </c>
      <c r="BM144" t="s" s="0">
        <v>2583</v>
      </c>
      <c r="BN144" t="s" s="0">
        <v>128</v>
      </c>
      <c r="BO144" t="s" s="0">
        <v>1854</v>
      </c>
      <c r="BP144" t="s" s="0">
        <v>420</v>
      </c>
      <c r="BQ144" t="s" s="0">
        <v>3668</v>
      </c>
      <c r="BR144" t="s" s="0">
        <v>81</v>
      </c>
      <c r="BS144" t="s" s="0">
        <v>3669</v>
      </c>
      <c r="BT144" t="s" s="285">
        <f>HYPERLINK("https://www.webofscience.com/wos/woscc/full-record/WOS:001685743100001","View Record in Web of Science")</f>
        <v>114</v>
      </c>
      <c r="BU144" t="s" s="0">
        <v>145</v>
      </c>
      <c r="BV144" t="s" s="0">
        <v>81</v>
      </c>
      <c r="BW144" t="s" s="0">
        <v>81</v>
      </c>
      <c r="BX144" t="s" s="0">
        <v>116</v>
      </c>
    </row>
    <row r="145">
      <c r="A145" t="s" s="0">
        <v>77</v>
      </c>
      <c r="B145" t="s" s="0">
        <v>77</v>
      </c>
      <c r="C145" t="s" s="0">
        <v>77</v>
      </c>
      <c r="D145" t="s" s="0">
        <v>77</v>
      </c>
      <c r="E145" t="s" s="0">
        <v>3670</v>
      </c>
      <c r="F145" t="s" s="0">
        <v>3671</v>
      </c>
      <c r="G145" t="s" s="0">
        <v>3672</v>
      </c>
      <c r="H145" t="s" s="0">
        <v>81</v>
      </c>
      <c r="I145" t="s" s="0">
        <v>82</v>
      </c>
      <c r="J145" t="s" s="0">
        <v>3673</v>
      </c>
      <c r="K145" t="s" s="0">
        <v>3674</v>
      </c>
      <c r="L145" t="s" s="0">
        <v>3675</v>
      </c>
      <c r="M145" t="s" s="0">
        <v>3675</v>
      </c>
      <c r="N145" t="s" s="0">
        <v>3676</v>
      </c>
      <c r="O145" t="s" s="0">
        <v>3677</v>
      </c>
      <c r="P145" t="s" s="0">
        <v>3678</v>
      </c>
      <c r="Q145" t="s" s="0">
        <v>90</v>
      </c>
      <c r="R145" t="s" s="0">
        <v>81</v>
      </c>
      <c r="S145" t="s" s="0">
        <v>81</v>
      </c>
      <c r="T145" t="s" s="0">
        <v>81</v>
      </c>
      <c r="U145" t="s" s="0">
        <v>81</v>
      </c>
      <c r="V145" t="s" s="0">
        <v>3679</v>
      </c>
      <c r="W145" t="s" s="0">
        <v>3680</v>
      </c>
      <c r="X145" t="s" s="0">
        <v>81</v>
      </c>
      <c r="Y145" t="s" s="0">
        <v>81</v>
      </c>
      <c r="Z145" t="s" s="0">
        <v>93</v>
      </c>
      <c r="AA145" t="s" s="0">
        <v>94</v>
      </c>
      <c r="AB145" t="s" s="0">
        <v>81</v>
      </c>
      <c r="AC145" t="s" s="0">
        <v>81</v>
      </c>
      <c r="AD145" t="s" s="0">
        <v>81</v>
      </c>
      <c r="AE145" t="s" s="0">
        <v>81</v>
      </c>
      <c r="AF145" t="s" s="0">
        <v>81</v>
      </c>
      <c r="AG145" t="s" s="0">
        <v>3681</v>
      </c>
      <c r="AH145" t="s" s="0">
        <v>81</v>
      </c>
      <c r="AI145" t="s" s="0">
        <v>3682</v>
      </c>
      <c r="AJ145" t="s" s="0">
        <v>3683</v>
      </c>
      <c r="AK145" t="s" s="0">
        <v>81</v>
      </c>
      <c r="AL145" t="s" s="0">
        <v>475</v>
      </c>
      <c r="AM145" t="s" s="0">
        <v>77</v>
      </c>
      <c r="AN145" t="s" s="0">
        <v>77</v>
      </c>
      <c r="AO145" t="s" s="0">
        <v>77</v>
      </c>
      <c r="AP145" t="s" s="0">
        <v>130</v>
      </c>
      <c r="AQ145" t="s" s="0">
        <v>3684</v>
      </c>
      <c r="AR145" t="s" s="0">
        <v>339</v>
      </c>
      <c r="AS145" t="s" s="0">
        <v>3685</v>
      </c>
      <c r="AT145" t="s" s="0">
        <v>3686</v>
      </c>
      <c r="AU145" t="s" s="0">
        <v>3687</v>
      </c>
      <c r="AV145" t="s" s="0">
        <v>81</v>
      </c>
      <c r="AW145" t="s" s="0">
        <v>3688</v>
      </c>
      <c r="AX145" t="s" s="0">
        <v>3689</v>
      </c>
      <c r="AY145" t="s" s="0">
        <v>203</v>
      </c>
      <c r="AZ145" t="s" s="0">
        <v>104</v>
      </c>
      <c r="BA145" t="s" s="0">
        <v>1595</v>
      </c>
      <c r="BB145" t="s" s="0">
        <v>253</v>
      </c>
      <c r="BC145" t="s" s="0">
        <v>81</v>
      </c>
      <c r="BD145" t="s" s="0">
        <v>81</v>
      </c>
      <c r="BE145" t="s" s="0">
        <v>81</v>
      </c>
      <c r="BF145" t="s" s="0">
        <v>81</v>
      </c>
      <c r="BG145" t="s" s="0">
        <v>1318</v>
      </c>
      <c r="BH145" t="s" s="0">
        <v>3690</v>
      </c>
      <c r="BI145" t="s" s="0">
        <v>81</v>
      </c>
      <c r="BJ145" t="s" s="0">
        <v>3691</v>
      </c>
      <c r="BK145" t="s" s="286">
        <f>HYPERLINK("http://dx.doi.org/10.1136/bjo-2025-327506","http://dx.doi.org/10.1136/bjo-2025-327506")</f>
        <v>3692</v>
      </c>
      <c r="BL145" t="s" s="0">
        <v>81</v>
      </c>
      <c r="BM145" t="s" s="0">
        <v>450</v>
      </c>
      <c r="BN145" t="s" s="0">
        <v>131</v>
      </c>
      <c r="BO145" t="s" s="0">
        <v>606</v>
      </c>
      <c r="BP145" t="s" s="0">
        <v>606</v>
      </c>
      <c r="BQ145" t="s" s="0">
        <v>3693</v>
      </c>
      <c r="BR145" t="s" s="0">
        <v>3694</v>
      </c>
      <c r="BS145" t="s" s="0">
        <v>3695</v>
      </c>
      <c r="BT145" t="s" s="287">
        <f>HYPERLINK("https://www.webofscience.com/wos/woscc/full-record/WOS:001611110900001","View Record in Web of Science")</f>
        <v>114</v>
      </c>
      <c r="BU145" t="s" s="0">
        <v>804</v>
      </c>
      <c r="BV145" t="s" s="0">
        <v>81</v>
      </c>
      <c r="BW145" t="s" s="0">
        <v>81</v>
      </c>
      <c r="BX145" t="s" s="0">
        <v>116</v>
      </c>
    </row>
    <row r="146">
      <c r="A146" t="s" s="0">
        <v>77</v>
      </c>
      <c r="B146" t="s" s="0">
        <v>77</v>
      </c>
      <c r="C146" t="s" s="0">
        <v>77</v>
      </c>
      <c r="D146" t="s" s="0">
        <v>77</v>
      </c>
      <c r="E146" t="s" s="0">
        <v>3696</v>
      </c>
      <c r="F146" t="s" s="0">
        <v>3697</v>
      </c>
      <c r="G146" t="s" s="0">
        <v>3698</v>
      </c>
      <c r="H146" t="s" s="0">
        <v>81</v>
      </c>
      <c r="I146" t="s" s="0">
        <v>82</v>
      </c>
      <c r="J146" t="s" s="0">
        <v>3699</v>
      </c>
      <c r="K146" t="s" s="0">
        <v>3700</v>
      </c>
      <c r="L146" t="s" s="0">
        <v>3701</v>
      </c>
      <c r="M146" t="s" s="0">
        <v>3702</v>
      </c>
      <c r="N146" t="s" s="0">
        <v>3703</v>
      </c>
      <c r="O146" t="s" s="0">
        <v>3704</v>
      </c>
      <c r="P146" t="s" s="0">
        <v>3705</v>
      </c>
      <c r="Q146" t="s" s="0">
        <v>90</v>
      </c>
      <c r="R146" t="s" s="0">
        <v>81</v>
      </c>
      <c r="S146" t="s" s="0">
        <v>81</v>
      </c>
      <c r="T146" t="s" s="0">
        <v>81</v>
      </c>
      <c r="U146" t="s" s="0">
        <v>81</v>
      </c>
      <c r="V146" t="s" s="0">
        <v>3706</v>
      </c>
      <c r="W146" t="s" s="0">
        <v>3707</v>
      </c>
      <c r="X146" t="s" s="0">
        <v>81</v>
      </c>
      <c r="Y146" t="s" s="0">
        <v>81</v>
      </c>
      <c r="Z146" t="s" s="0">
        <v>93</v>
      </c>
      <c r="AA146" t="s" s="0">
        <v>94</v>
      </c>
      <c r="AB146" t="s" s="0">
        <v>81</v>
      </c>
      <c r="AC146" t="s" s="0">
        <v>81</v>
      </c>
      <c r="AD146" t="s" s="0">
        <v>81</v>
      </c>
      <c r="AE146" t="s" s="0">
        <v>81</v>
      </c>
      <c r="AF146" t="s" s="0">
        <v>81</v>
      </c>
      <c r="AG146" t="s" s="0">
        <v>3708</v>
      </c>
      <c r="AH146" t="s" s="0">
        <v>81</v>
      </c>
      <c r="AI146" t="s" s="0">
        <v>3709</v>
      </c>
      <c r="AJ146" t="s" s="0">
        <v>3710</v>
      </c>
      <c r="AK146" t="s" s="0">
        <v>81</v>
      </c>
      <c r="AL146" t="s" s="0">
        <v>369</v>
      </c>
      <c r="AM146" t="s" s="0">
        <v>77</v>
      </c>
      <c r="AN146" t="s" s="0">
        <v>77</v>
      </c>
      <c r="AO146" t="s" s="0">
        <v>130</v>
      </c>
      <c r="AP146" t="s" s="0">
        <v>227</v>
      </c>
      <c r="AQ146" t="s" s="0">
        <v>708</v>
      </c>
      <c r="AR146" t="s" s="0">
        <v>709</v>
      </c>
      <c r="AS146" t="s" s="0">
        <v>710</v>
      </c>
      <c r="AT146" t="s" s="0">
        <v>3711</v>
      </c>
      <c r="AU146" t="s" s="0">
        <v>3712</v>
      </c>
      <c r="AV146" t="s" s="0">
        <v>81</v>
      </c>
      <c r="AW146" t="s" s="0">
        <v>3713</v>
      </c>
      <c r="AX146" t="s" s="0">
        <v>3714</v>
      </c>
      <c r="AY146" t="s" s="0">
        <v>136</v>
      </c>
      <c r="AZ146" t="s" s="0">
        <v>136</v>
      </c>
      <c r="BA146" t="s" s="0">
        <v>136</v>
      </c>
      <c r="BB146" t="s" s="0">
        <v>117</v>
      </c>
      <c r="BC146" t="s" s="0">
        <v>81</v>
      </c>
      <c r="BD146" t="s" s="0">
        <v>81</v>
      </c>
      <c r="BE146" t="s" s="0">
        <v>81</v>
      </c>
      <c r="BF146" t="s" s="0">
        <v>81</v>
      </c>
      <c r="BG146" t="s" s="0">
        <v>81</v>
      </c>
      <c r="BH146" t="s" s="0">
        <v>81</v>
      </c>
      <c r="BI146" t="s" s="0">
        <v>3715</v>
      </c>
      <c r="BJ146" t="s" s="0">
        <v>3716</v>
      </c>
      <c r="BK146" t="s" s="288">
        <f>HYPERLINK("http://dx.doi.org/10.1155/int/9369999","http://dx.doi.org/10.1155/int/9369999")</f>
        <v>3717</v>
      </c>
      <c r="BL146" t="s" s="0">
        <v>81</v>
      </c>
      <c r="BM146" t="s" s="0">
        <v>81</v>
      </c>
      <c r="BN146" t="s" s="0">
        <v>167</v>
      </c>
      <c r="BO146" t="s" s="0">
        <v>1351</v>
      </c>
      <c r="BP146" t="s" s="0">
        <v>420</v>
      </c>
      <c r="BQ146" t="s" s="0">
        <v>3718</v>
      </c>
      <c r="BR146" t="s" s="0">
        <v>81</v>
      </c>
      <c r="BS146" t="s" s="0">
        <v>3719</v>
      </c>
      <c r="BT146" t="s" s="289">
        <f>HYPERLINK("https://www.webofscience.com/wos/woscc/full-record/WOS:001611165700001","View Record in Web of Science")</f>
        <v>114</v>
      </c>
      <c r="BU146" t="s" s="0">
        <v>804</v>
      </c>
      <c r="BV146" t="s" s="0">
        <v>81</v>
      </c>
      <c r="BW146" t="s" s="0">
        <v>81</v>
      </c>
      <c r="BX146" t="s" s="0">
        <v>116</v>
      </c>
    </row>
    <row r="147">
      <c r="A147" t="s" s="0">
        <v>77</v>
      </c>
      <c r="B147" t="s" s="0">
        <v>77</v>
      </c>
      <c r="C147" t="s" s="0">
        <v>77</v>
      </c>
      <c r="D147" t="s" s="0">
        <v>77</v>
      </c>
      <c r="E147" t="s" s="0">
        <v>3720</v>
      </c>
      <c r="F147" t="s" s="0">
        <v>3721</v>
      </c>
      <c r="G147" t="s" s="0">
        <v>3722</v>
      </c>
      <c r="H147" t="s" s="0">
        <v>81</v>
      </c>
      <c r="I147" t="s" s="0">
        <v>82</v>
      </c>
      <c r="J147" t="s" s="0">
        <v>3723</v>
      </c>
      <c r="K147" t="s" s="0">
        <v>3724</v>
      </c>
      <c r="L147" t="s" s="0">
        <v>3725</v>
      </c>
      <c r="M147" t="s" s="0">
        <v>3726</v>
      </c>
      <c r="N147" t="s" s="0">
        <v>3727</v>
      </c>
      <c r="O147" t="s" s="0">
        <v>3728</v>
      </c>
      <c r="P147" t="s" s="0">
        <v>332</v>
      </c>
      <c r="Q147" t="s" s="0">
        <v>90</v>
      </c>
      <c r="R147" t="s" s="0">
        <v>81</v>
      </c>
      <c r="S147" t="s" s="0">
        <v>81</v>
      </c>
      <c r="T147" t="s" s="0">
        <v>81</v>
      </c>
      <c r="U147" t="s" s="0">
        <v>81</v>
      </c>
      <c r="V147" t="s" s="0">
        <v>3729</v>
      </c>
      <c r="W147" t="s" s="0">
        <v>3730</v>
      </c>
      <c r="X147" t="s" s="0">
        <v>81</v>
      </c>
      <c r="Y147" t="s" s="0">
        <v>81</v>
      </c>
      <c r="Z147" t="s" s="0">
        <v>93</v>
      </c>
      <c r="AA147" t="s" s="0">
        <v>94</v>
      </c>
      <c r="AB147" t="s" s="0">
        <v>81</v>
      </c>
      <c r="AC147" t="s" s="0">
        <v>81</v>
      </c>
      <c r="AD147" t="s" s="0">
        <v>81</v>
      </c>
      <c r="AE147" t="s" s="0">
        <v>81</v>
      </c>
      <c r="AF147" t="s" s="0">
        <v>81</v>
      </c>
      <c r="AG147" t="s" s="0">
        <v>3731</v>
      </c>
      <c r="AH147" t="s" s="0">
        <v>81</v>
      </c>
      <c r="AI147" t="s" s="0">
        <v>81</v>
      </c>
      <c r="AJ147" t="s" s="0">
        <v>81</v>
      </c>
      <c r="AK147" t="s" s="0">
        <v>81</v>
      </c>
      <c r="AL147" t="s" s="0">
        <v>625</v>
      </c>
      <c r="AM147" t="s" s="0">
        <v>77</v>
      </c>
      <c r="AN147" t="s" s="0">
        <v>77</v>
      </c>
      <c r="AO147" t="s" s="0">
        <v>253</v>
      </c>
      <c r="AP147" t="s" s="0">
        <v>253</v>
      </c>
      <c r="AQ147" t="s" s="0">
        <v>1818</v>
      </c>
      <c r="AR147" t="s" s="0">
        <v>1819</v>
      </c>
      <c r="AS147" t="s" s="0">
        <v>1820</v>
      </c>
      <c r="AT147" t="s" s="0">
        <v>3732</v>
      </c>
      <c r="AU147" t="s" s="0">
        <v>3733</v>
      </c>
      <c r="AV147" t="s" s="0">
        <v>81</v>
      </c>
      <c r="AW147" t="s" s="0">
        <v>3734</v>
      </c>
      <c r="AX147" t="s" s="0">
        <v>3735</v>
      </c>
      <c r="AY147" t="s" s="0">
        <v>3082</v>
      </c>
      <c r="AZ147" t="s" s="0">
        <v>136</v>
      </c>
      <c r="BA147" t="s" s="0">
        <v>172</v>
      </c>
      <c r="BB147" t="s" s="0">
        <v>129</v>
      </c>
      <c r="BC147" t="s" s="0">
        <v>81</v>
      </c>
      <c r="BD147" t="s" s="0">
        <v>81</v>
      </c>
      <c r="BE147" t="s" s="0">
        <v>81</v>
      </c>
      <c r="BF147" t="s" s="0">
        <v>81</v>
      </c>
      <c r="BG147" t="s" s="0">
        <v>3736</v>
      </c>
      <c r="BH147" t="s" s="0">
        <v>3737</v>
      </c>
      <c r="BI147" t="s" s="0">
        <v>81</v>
      </c>
      <c r="BJ147" t="s" s="0">
        <v>3738</v>
      </c>
      <c r="BK147" t="s" s="290">
        <f>HYPERLINK("http://dx.doi.org/10.21037/qims-2025-635","http://dx.doi.org/10.21037/qims-2025-635")</f>
        <v>3739</v>
      </c>
      <c r="BL147" t="s" s="0">
        <v>81</v>
      </c>
      <c r="BM147" t="s" s="0">
        <v>81</v>
      </c>
      <c r="BN147" t="s" s="0">
        <v>564</v>
      </c>
      <c r="BO147" t="s" s="0">
        <v>1881</v>
      </c>
      <c r="BP147" t="s" s="0">
        <v>1881</v>
      </c>
      <c r="BQ147" t="s" s="0">
        <v>3740</v>
      </c>
      <c r="BR147" t="s" s="0">
        <v>3741</v>
      </c>
      <c r="BS147" t="s" s="0">
        <v>3742</v>
      </c>
      <c r="BT147" t="s" s="291">
        <f>HYPERLINK("https://www.webofscience.com/wos/woscc/full-record/WOS:001593086700009","View Record in Web of Science")</f>
        <v>114</v>
      </c>
      <c r="BU147" t="s" s="0">
        <v>145</v>
      </c>
      <c r="BV147" t="s" s="0">
        <v>81</v>
      </c>
      <c r="BW147" t="s" s="0">
        <v>81</v>
      </c>
      <c r="BX147" t="s" s="0">
        <v>116</v>
      </c>
    </row>
    <row r="148">
      <c r="A148" t="s" s="0">
        <v>77</v>
      </c>
      <c r="B148" t="s" s="0">
        <v>77</v>
      </c>
      <c r="C148" t="s" s="0">
        <v>77</v>
      </c>
      <c r="D148" t="s" s="0">
        <v>77</v>
      </c>
      <c r="E148" t="s" s="0">
        <v>3743</v>
      </c>
      <c r="F148" t="s" s="0">
        <v>3744</v>
      </c>
      <c r="G148" t="s" s="0">
        <v>3745</v>
      </c>
      <c r="H148" t="s" s="0">
        <v>81</v>
      </c>
      <c r="I148" t="s" s="0">
        <v>213</v>
      </c>
      <c r="J148" t="s" s="0">
        <v>3746</v>
      </c>
      <c r="K148" t="s" s="0">
        <v>3747</v>
      </c>
      <c r="L148" t="s" s="0">
        <v>3748</v>
      </c>
      <c r="M148" t="s" s="0">
        <v>3749</v>
      </c>
      <c r="N148" t="s" s="0">
        <v>3750</v>
      </c>
      <c r="O148" t="s" s="0">
        <v>3751</v>
      </c>
      <c r="P148" t="s" s="0">
        <v>3752</v>
      </c>
      <c r="Q148" t="s" s="0">
        <v>90</v>
      </c>
      <c r="R148" t="s" s="0">
        <v>81</v>
      </c>
      <c r="S148" t="s" s="0">
        <v>81</v>
      </c>
      <c r="T148" t="s" s="0">
        <v>81</v>
      </c>
      <c r="U148" t="s" s="0">
        <v>81</v>
      </c>
      <c r="V148" t="s" s="0">
        <v>3753</v>
      </c>
      <c r="W148" t="s" s="0">
        <v>1365</v>
      </c>
      <c r="X148" t="s" s="0">
        <v>81</v>
      </c>
      <c r="Y148" t="s" s="0">
        <v>81</v>
      </c>
      <c r="Z148" t="s" s="0">
        <v>93</v>
      </c>
      <c r="AA148" t="s" s="0">
        <v>94</v>
      </c>
      <c r="AB148" t="s" s="0">
        <v>81</v>
      </c>
      <c r="AC148" t="s" s="0">
        <v>81</v>
      </c>
      <c r="AD148" t="s" s="0">
        <v>81</v>
      </c>
      <c r="AE148" t="s" s="0">
        <v>81</v>
      </c>
      <c r="AF148" t="s" s="0">
        <v>81</v>
      </c>
      <c r="AG148" t="s" s="0">
        <v>3754</v>
      </c>
      <c r="AH148" t="s" s="0">
        <v>81</v>
      </c>
      <c r="AI148" t="s" s="0">
        <v>3755</v>
      </c>
      <c r="AJ148" t="s" s="0">
        <v>81</v>
      </c>
      <c r="AK148" t="s" s="0">
        <v>81</v>
      </c>
      <c r="AL148" t="s" s="0">
        <v>2623</v>
      </c>
      <c r="AM148" t="s" s="0">
        <v>77</v>
      </c>
      <c r="AN148" t="s" s="0">
        <v>77</v>
      </c>
      <c r="AO148" t="s" s="0">
        <v>77</v>
      </c>
      <c r="AP148" t="s" s="0">
        <v>77</v>
      </c>
      <c r="AQ148" t="s" s="0">
        <v>406</v>
      </c>
      <c r="AR148" t="s" s="0">
        <v>407</v>
      </c>
      <c r="AS148" t="s" s="0">
        <v>408</v>
      </c>
      <c r="AT148" t="s" s="0">
        <v>1370</v>
      </c>
      <c r="AU148" t="s" s="0">
        <v>81</v>
      </c>
      <c r="AV148" t="s" s="0">
        <v>81</v>
      </c>
      <c r="AW148" t="s" s="0">
        <v>1371</v>
      </c>
      <c r="AX148" t="s" s="0">
        <v>1372</v>
      </c>
      <c r="AY148" t="s" s="0">
        <v>1673</v>
      </c>
      <c r="AZ148" t="s" s="0">
        <v>104</v>
      </c>
      <c r="BA148" t="s" s="0">
        <v>131</v>
      </c>
      <c r="BB148" t="s" s="0">
        <v>225</v>
      </c>
      <c r="BC148" t="s" s="0">
        <v>81</v>
      </c>
      <c r="BD148" t="s" s="0">
        <v>81</v>
      </c>
      <c r="BE148" t="s" s="0">
        <v>81</v>
      </c>
      <c r="BF148" t="s" s="0">
        <v>81</v>
      </c>
      <c r="BG148" t="s" s="0">
        <v>81</v>
      </c>
      <c r="BH148" t="s" s="0">
        <v>81</v>
      </c>
      <c r="BI148" t="s" s="0">
        <v>3756</v>
      </c>
      <c r="BJ148" t="s" s="0">
        <v>3757</v>
      </c>
      <c r="BK148" t="s" s="292">
        <f>HYPERLINK("http://dx.doi.org/10.1016/j.xops.2026.101254","http://dx.doi.org/10.1016/j.xops.2026.101254")</f>
        <v>3758</v>
      </c>
      <c r="BL148" t="s" s="0">
        <v>81</v>
      </c>
      <c r="BM148" t="s" s="0">
        <v>445</v>
      </c>
      <c r="BN148" t="s" s="0">
        <v>167</v>
      </c>
      <c r="BO148" t="s" s="0">
        <v>606</v>
      </c>
      <c r="BP148" t="s" s="0">
        <v>606</v>
      </c>
      <c r="BQ148" t="s" s="0">
        <v>3759</v>
      </c>
      <c r="BR148" t="s" s="0">
        <v>3760</v>
      </c>
      <c r="BS148" t="s" s="0">
        <v>3761</v>
      </c>
      <c r="BT148" t="s" s="293">
        <f>HYPERLINK("https://www.webofscience.com/wos/woscc/full-record/WOS:001814468200001","View Record in Web of Science")</f>
        <v>114</v>
      </c>
      <c r="BU148" t="s" s="0">
        <v>145</v>
      </c>
      <c r="BV148" t="s" s="0">
        <v>81</v>
      </c>
      <c r="BW148" t="s" s="0">
        <v>81</v>
      </c>
      <c r="BX148" t="s" s="0">
        <v>116</v>
      </c>
    </row>
    <row r="149">
      <c r="A149" t="s" s="0">
        <v>77</v>
      </c>
      <c r="B149" t="s" s="0">
        <v>77</v>
      </c>
      <c r="C149" t="s" s="0">
        <v>77</v>
      </c>
      <c r="D149" t="s" s="0">
        <v>77</v>
      </c>
      <c r="E149" t="s" s="0">
        <v>3762</v>
      </c>
      <c r="F149" t="s" s="0">
        <v>3763</v>
      </c>
      <c r="G149" t="s" s="0">
        <v>3764</v>
      </c>
      <c r="H149" t="s" s="0">
        <v>81</v>
      </c>
      <c r="I149" t="s" s="0">
        <v>213</v>
      </c>
      <c r="J149" t="s" s="0">
        <v>3765</v>
      </c>
      <c r="K149" t="s" s="0">
        <v>3766</v>
      </c>
      <c r="L149" t="s" s="0">
        <v>3767</v>
      </c>
      <c r="M149" t="s" s="0">
        <v>3767</v>
      </c>
      <c r="N149" t="s" s="0">
        <v>3768</v>
      </c>
      <c r="O149" t="s" s="0">
        <v>3769</v>
      </c>
      <c r="P149" t="s" s="0">
        <v>3770</v>
      </c>
      <c r="Q149" t="s" s="0">
        <v>90</v>
      </c>
      <c r="R149" t="s" s="0">
        <v>81</v>
      </c>
      <c r="S149" t="s" s="0">
        <v>81</v>
      </c>
      <c r="T149" t="s" s="0">
        <v>81</v>
      </c>
      <c r="U149" t="s" s="0">
        <v>81</v>
      </c>
      <c r="V149" t="s" s="0">
        <v>3771</v>
      </c>
      <c r="W149" t="s" s="0">
        <v>3772</v>
      </c>
      <c r="X149" t="s" s="0">
        <v>81</v>
      </c>
      <c r="Y149" t="s" s="0">
        <v>81</v>
      </c>
      <c r="Z149" t="s" s="0">
        <v>93</v>
      </c>
      <c r="AA149" t="s" s="0">
        <v>94</v>
      </c>
      <c r="AB149" t="s" s="0">
        <v>81</v>
      </c>
      <c r="AC149" t="s" s="0">
        <v>81</v>
      </c>
      <c r="AD149" t="s" s="0">
        <v>81</v>
      </c>
      <c r="AE149" t="s" s="0">
        <v>81</v>
      </c>
      <c r="AF149" t="s" s="0">
        <v>81</v>
      </c>
      <c r="AG149" t="s" s="0">
        <v>3773</v>
      </c>
      <c r="AH149" t="s" s="0">
        <v>3774</v>
      </c>
      <c r="AI149" t="s" s="0">
        <v>3775</v>
      </c>
      <c r="AJ149" t="s" s="0">
        <v>3776</v>
      </c>
      <c r="AK149" t="s" s="0">
        <v>81</v>
      </c>
      <c r="AL149" t="s" s="0">
        <v>798</v>
      </c>
      <c r="AM149" t="s" s="0">
        <v>130</v>
      </c>
      <c r="AN149" t="s" s="0">
        <v>130</v>
      </c>
      <c r="AO149" t="s" s="0">
        <v>117</v>
      </c>
      <c r="AP149" t="s" s="0">
        <v>117</v>
      </c>
      <c r="AQ149" t="s" s="0">
        <v>738</v>
      </c>
      <c r="AR149" t="s" s="0">
        <v>306</v>
      </c>
      <c r="AS149" t="s" s="0">
        <v>739</v>
      </c>
      <c r="AT149" t="s" s="0">
        <v>81</v>
      </c>
      <c r="AU149" t="s" s="0">
        <v>3777</v>
      </c>
      <c r="AV149" t="s" s="0">
        <v>81</v>
      </c>
      <c r="AW149" t="s" s="0">
        <v>3778</v>
      </c>
      <c r="AX149" t="s" s="0">
        <v>3779</v>
      </c>
      <c r="AY149" t="s" s="0">
        <v>136</v>
      </c>
      <c r="AZ149" t="s" s="0">
        <v>136</v>
      </c>
      <c r="BA149" t="s" s="0">
        <v>161</v>
      </c>
      <c r="BB149" t="s" s="0">
        <v>227</v>
      </c>
      <c r="BC149" t="s" s="0">
        <v>81</v>
      </c>
      <c r="BD149" t="s" s="0">
        <v>81</v>
      </c>
      <c r="BE149" t="s" s="0">
        <v>81</v>
      </c>
      <c r="BF149" t="s" s="0">
        <v>81</v>
      </c>
      <c r="BG149" t="s" s="0">
        <v>81</v>
      </c>
      <c r="BH149" t="s" s="0">
        <v>81</v>
      </c>
      <c r="BI149" t="s" s="0">
        <v>3780</v>
      </c>
      <c r="BJ149" t="s" s="0">
        <v>3781</v>
      </c>
      <c r="BK149" t="s" s="294">
        <f>HYPERLINK("http://dx.doi.org/10.1093/braincomms/fcaf179","http://dx.doi.org/10.1093/braincomms/fcaf179")</f>
        <v>3782</v>
      </c>
      <c r="BL149" t="s" s="0">
        <v>81</v>
      </c>
      <c r="BM149" t="s" s="0">
        <v>81</v>
      </c>
      <c r="BN149" t="s" s="0">
        <v>226</v>
      </c>
      <c r="BO149" t="s" s="0">
        <v>3783</v>
      </c>
      <c r="BP149" t="s" s="0">
        <v>111</v>
      </c>
      <c r="BQ149" t="s" s="0">
        <v>3784</v>
      </c>
      <c r="BR149" t="s" s="0">
        <v>3785</v>
      </c>
      <c r="BS149" t="s" s="0">
        <v>3786</v>
      </c>
      <c r="BT149" t="s" s="295">
        <f>HYPERLINK("https://www.webofscience.com/wos/woscc/full-record/WOS:001489166400001","View Record in Web of Science")</f>
        <v>114</v>
      </c>
      <c r="BU149" t="s" s="0">
        <v>145</v>
      </c>
      <c r="BV149" t="s" s="0">
        <v>81</v>
      </c>
      <c r="BW149" t="s" s="0">
        <v>81</v>
      </c>
      <c r="BX149" t="s" s="0">
        <v>116</v>
      </c>
    </row>
    <row r="150">
      <c r="A150" t="s" s="0">
        <v>253</v>
      </c>
      <c r="B150" t="s" s="0">
        <v>77</v>
      </c>
      <c r="C150" t="s" s="0">
        <v>3787</v>
      </c>
      <c r="D150" t="s" s="0">
        <v>77</v>
      </c>
      <c r="E150" t="s" s="0">
        <v>3788</v>
      </c>
      <c r="F150" t="s" s="0">
        <v>3789</v>
      </c>
      <c r="G150" t="s" s="0">
        <v>3790</v>
      </c>
      <c r="H150" t="s" s="0">
        <v>81</v>
      </c>
      <c r="I150" t="s" s="0">
        <v>82</v>
      </c>
      <c r="J150" t="s" s="0">
        <v>3791</v>
      </c>
      <c r="K150" t="s" s="0">
        <v>3792</v>
      </c>
      <c r="L150" t="s" s="0">
        <v>3793</v>
      </c>
      <c r="M150" t="s" s="0">
        <v>3794</v>
      </c>
      <c r="N150" t="s" s="0">
        <v>3795</v>
      </c>
      <c r="O150" t="s" s="0">
        <v>3796</v>
      </c>
      <c r="P150" t="s" s="0">
        <v>3797</v>
      </c>
      <c r="Q150" t="s" s="0">
        <v>90</v>
      </c>
      <c r="R150" t="s" s="0">
        <v>81</v>
      </c>
      <c r="S150" t="s" s="0">
        <v>81</v>
      </c>
      <c r="T150" t="s" s="0">
        <v>81</v>
      </c>
      <c r="U150" t="s" s="0">
        <v>81</v>
      </c>
      <c r="V150" t="s" s="0">
        <v>3798</v>
      </c>
      <c r="W150" t="s" s="0">
        <v>3799</v>
      </c>
      <c r="X150" t="s" s="0">
        <v>81</v>
      </c>
      <c r="Y150" t="s" s="0">
        <v>81</v>
      </c>
      <c r="Z150" t="s" s="0">
        <v>93</v>
      </c>
      <c r="AA150" t="s" s="0">
        <v>94</v>
      </c>
      <c r="AB150" t="s" s="0">
        <v>81</v>
      </c>
      <c r="AC150" t="s" s="0">
        <v>81</v>
      </c>
      <c r="AD150" t="s" s="0">
        <v>81</v>
      </c>
      <c r="AE150" t="s" s="0">
        <v>81</v>
      </c>
      <c r="AF150" t="s" s="0">
        <v>81</v>
      </c>
      <c r="AG150" t="s" s="0">
        <v>3800</v>
      </c>
      <c r="AH150" t="s" s="0">
        <v>3801</v>
      </c>
      <c r="AI150" t="s" s="0">
        <v>3802</v>
      </c>
      <c r="AJ150" t="s" s="0">
        <v>3803</v>
      </c>
      <c r="AK150" t="s" s="0">
        <v>81</v>
      </c>
      <c r="AL150" t="s" s="0">
        <v>127</v>
      </c>
      <c r="AM150" t="s" s="0">
        <v>2892</v>
      </c>
      <c r="AN150" t="s" s="0">
        <v>3804</v>
      </c>
      <c r="AO150" t="s" s="0">
        <v>160</v>
      </c>
      <c r="AP150" t="s" s="0">
        <v>3805</v>
      </c>
      <c r="AQ150" t="s" s="0">
        <v>406</v>
      </c>
      <c r="AR150" t="s" s="0">
        <v>407</v>
      </c>
      <c r="AS150" t="s" s="0">
        <v>408</v>
      </c>
      <c r="AT150" t="s" s="0">
        <v>3806</v>
      </c>
      <c r="AU150" t="s" s="0">
        <v>81</v>
      </c>
      <c r="AV150" t="s" s="0">
        <v>81</v>
      </c>
      <c r="AW150" t="s" s="0">
        <v>3807</v>
      </c>
      <c r="AX150" t="s" s="0">
        <v>3808</v>
      </c>
      <c r="AY150" t="s" s="0">
        <v>482</v>
      </c>
      <c r="AZ150" t="s" s="0">
        <v>482</v>
      </c>
      <c r="BA150" t="s" s="0">
        <v>105</v>
      </c>
      <c r="BB150" t="s" s="0">
        <v>81</v>
      </c>
      <c r="BC150" t="s" s="0">
        <v>81</v>
      </c>
      <c r="BD150" t="s" s="0">
        <v>81</v>
      </c>
      <c r="BE150" t="s" s="0">
        <v>81</v>
      </c>
      <c r="BF150" t="s" s="0">
        <v>81</v>
      </c>
      <c r="BG150" t="s" s="0">
        <v>3809</v>
      </c>
      <c r="BH150" t="s" s="0">
        <v>3810</v>
      </c>
      <c r="BI150" t="s" s="0">
        <v>81</v>
      </c>
      <c r="BJ150" t="s" s="0">
        <v>3811</v>
      </c>
      <c r="BK150" t="s" s="296">
        <f>HYPERLINK("http://dx.doi.org/10.1016/j.csbj.2021.12.028","http://dx.doi.org/10.1016/j.csbj.2021.12.028")</f>
        <v>3812</v>
      </c>
      <c r="BL150" t="s" s="0">
        <v>81</v>
      </c>
      <c r="BM150" t="s" s="0">
        <v>81</v>
      </c>
      <c r="BN150" t="s" s="0">
        <v>129</v>
      </c>
      <c r="BO150" t="s" s="0">
        <v>3813</v>
      </c>
      <c r="BP150" t="s" s="0">
        <v>3813</v>
      </c>
      <c r="BQ150" t="s" s="0">
        <v>3814</v>
      </c>
      <c r="BR150" t="s" s="0">
        <v>3815</v>
      </c>
      <c r="BS150" t="s" s="0">
        <v>3816</v>
      </c>
      <c r="BT150" t="s" s="297">
        <f>HYPERLINK("https://www.webofscience.com/wos/woscc/full-record/WOS:000819903300004","View Record in Web of Science")</f>
        <v>114</v>
      </c>
      <c r="BU150" t="s" s="0">
        <v>145</v>
      </c>
      <c r="BV150" t="s" s="0">
        <v>915</v>
      </c>
      <c r="BW150" t="s" s="0">
        <v>916</v>
      </c>
      <c r="BX150" t="s" s="0">
        <v>116</v>
      </c>
    </row>
    <row r="151">
      <c r="A151" t="s" s="0">
        <v>77</v>
      </c>
      <c r="B151" t="s" s="0">
        <v>77</v>
      </c>
      <c r="C151" t="s" s="0">
        <v>77</v>
      </c>
      <c r="D151" t="s" s="0">
        <v>77</v>
      </c>
      <c r="E151" t="s" s="0">
        <v>3817</v>
      </c>
      <c r="F151" t="s" s="0">
        <v>3818</v>
      </c>
      <c r="G151" t="s" s="0">
        <v>3819</v>
      </c>
      <c r="H151" t="s" s="0">
        <v>81</v>
      </c>
      <c r="I151" t="s" s="0">
        <v>213</v>
      </c>
      <c r="J151" t="s" s="0">
        <v>3820</v>
      </c>
      <c r="K151" t="s" s="0">
        <v>3821</v>
      </c>
      <c r="L151" t="s" s="0">
        <v>3822</v>
      </c>
      <c r="M151" t="s" s="0">
        <v>3823</v>
      </c>
      <c r="N151" t="s" s="0">
        <v>3824</v>
      </c>
      <c r="O151" t="s" s="0">
        <v>3825</v>
      </c>
      <c r="P151" t="s" s="0">
        <v>3826</v>
      </c>
      <c r="Q151" t="s" s="0">
        <v>90</v>
      </c>
      <c r="R151" t="s" s="0">
        <v>81</v>
      </c>
      <c r="S151" t="s" s="0">
        <v>81</v>
      </c>
      <c r="T151" t="s" s="0">
        <v>81</v>
      </c>
      <c r="U151" t="s" s="0">
        <v>81</v>
      </c>
      <c r="V151" t="s" s="0">
        <v>3827</v>
      </c>
      <c r="W151" t="s" s="0">
        <v>3828</v>
      </c>
      <c r="X151" t="s" s="0">
        <v>81</v>
      </c>
      <c r="Y151" t="s" s="0">
        <v>81</v>
      </c>
      <c r="Z151" t="s" s="0">
        <v>93</v>
      </c>
      <c r="AA151" t="s" s="0">
        <v>94</v>
      </c>
      <c r="AB151" t="s" s="0">
        <v>81</v>
      </c>
      <c r="AC151" t="s" s="0">
        <v>81</v>
      </c>
      <c r="AD151" t="s" s="0">
        <v>81</v>
      </c>
      <c r="AE151" t="s" s="0">
        <v>81</v>
      </c>
      <c r="AF151" t="s" s="0">
        <v>81</v>
      </c>
      <c r="AG151" t="s" s="0">
        <v>3829</v>
      </c>
      <c r="AH151" t="s" s="0">
        <v>3830</v>
      </c>
      <c r="AI151" t="s" s="0">
        <v>81</v>
      </c>
      <c r="AJ151" t="s" s="0">
        <v>3831</v>
      </c>
      <c r="AK151" t="s" s="0">
        <v>81</v>
      </c>
      <c r="AL151" t="s" s="0">
        <v>1900</v>
      </c>
      <c r="AM151" t="s" s="0">
        <v>77</v>
      </c>
      <c r="AN151" t="s" s="0">
        <v>77</v>
      </c>
      <c r="AO151" t="s" s="0">
        <v>117</v>
      </c>
      <c r="AP151" t="s" s="0">
        <v>160</v>
      </c>
      <c r="AQ151" t="s" s="0">
        <v>3832</v>
      </c>
      <c r="AR151" t="s" s="0">
        <v>3833</v>
      </c>
      <c r="AS151" t="s" s="0">
        <v>3834</v>
      </c>
      <c r="AT151" t="s" s="0">
        <v>3835</v>
      </c>
      <c r="AU151" t="s" s="0">
        <v>81</v>
      </c>
      <c r="AV151" t="s" s="0">
        <v>81</v>
      </c>
      <c r="AW151" t="s" s="0">
        <v>3836</v>
      </c>
      <c r="AX151" t="s" s="0">
        <v>3837</v>
      </c>
      <c r="AY151" t="s" s="0">
        <v>3838</v>
      </c>
      <c r="AZ151" t="s" s="0">
        <v>136</v>
      </c>
      <c r="BA151" t="s" s="0">
        <v>161</v>
      </c>
      <c r="BB151" t="s" s="0">
        <v>227</v>
      </c>
      <c r="BC151" t="s" s="0">
        <v>81</v>
      </c>
      <c r="BD151" t="s" s="0">
        <v>81</v>
      </c>
      <c r="BE151" t="s" s="0">
        <v>81</v>
      </c>
      <c r="BF151" t="s" s="0">
        <v>81</v>
      </c>
      <c r="BG151" t="s" s="0">
        <v>81</v>
      </c>
      <c r="BH151" t="s" s="0">
        <v>81</v>
      </c>
      <c r="BI151" t="s" s="0">
        <v>3839</v>
      </c>
      <c r="BJ151" t="s" s="0">
        <v>3840</v>
      </c>
      <c r="BK151" t="s" s="298">
        <f>HYPERLINK("http://dx.doi.org/10.1088/2631-8695/adf02f","http://dx.doi.org/10.1088/2631-8695/adf02f")</f>
        <v>3841</v>
      </c>
      <c r="BL151" t="s" s="0">
        <v>81</v>
      </c>
      <c r="BM151" t="s" s="0">
        <v>81</v>
      </c>
      <c r="BN151" t="s" s="0">
        <v>172</v>
      </c>
      <c r="BO151" t="s" s="0">
        <v>3842</v>
      </c>
      <c r="BP151" t="s" s="0">
        <v>239</v>
      </c>
      <c r="BQ151" t="s" s="0">
        <v>3843</v>
      </c>
      <c r="BR151" t="s" s="0">
        <v>81</v>
      </c>
      <c r="BS151" t="s" s="0">
        <v>3844</v>
      </c>
      <c r="BT151" t="s" s="299">
        <f>HYPERLINK("https://www.webofscience.com/wos/woscc/full-record/WOS:001554317700001","View Record in Web of Science")</f>
        <v>114</v>
      </c>
      <c r="BU151" t="s" s="0">
        <v>81</v>
      </c>
      <c r="BV151" t="s" s="0">
        <v>81</v>
      </c>
      <c r="BW151" t="s" s="0">
        <v>81</v>
      </c>
      <c r="BX151" t="s" s="0">
        <v>116</v>
      </c>
    </row>
    <row r="152">
      <c r="A152" t="s" s="0">
        <v>117</v>
      </c>
      <c r="B152" t="s" s="0">
        <v>77</v>
      </c>
      <c r="C152" t="s" s="0">
        <v>130</v>
      </c>
      <c r="D152" t="s" s="0">
        <v>77</v>
      </c>
      <c r="E152" t="s" s="0">
        <v>3845</v>
      </c>
      <c r="F152" t="s" s="0">
        <v>3846</v>
      </c>
      <c r="G152" t="s" s="0">
        <v>3847</v>
      </c>
      <c r="H152" t="s" s="0">
        <v>81</v>
      </c>
      <c r="I152" t="s" s="0">
        <v>82</v>
      </c>
      <c r="J152" t="s" s="0">
        <v>3848</v>
      </c>
      <c r="K152" t="s" s="0">
        <v>3849</v>
      </c>
      <c r="L152" t="s" s="0">
        <v>81</v>
      </c>
      <c r="M152" t="s" s="0">
        <v>81</v>
      </c>
      <c r="N152" t="s" s="0">
        <v>81</v>
      </c>
      <c r="O152" t="s" s="0">
        <v>3850</v>
      </c>
      <c r="P152" t="s" s="0">
        <v>3851</v>
      </c>
      <c r="Q152" t="s" s="0">
        <v>90</v>
      </c>
      <c r="R152" t="s" s="0">
        <v>81</v>
      </c>
      <c r="S152" t="s" s="0">
        <v>81</v>
      </c>
      <c r="T152" t="s" s="0">
        <v>81</v>
      </c>
      <c r="U152" t="s" s="0">
        <v>81</v>
      </c>
      <c r="V152" t="s" s="0">
        <v>3852</v>
      </c>
      <c r="W152" t="s" s="0">
        <v>3853</v>
      </c>
      <c r="X152" t="s" s="0">
        <v>81</v>
      </c>
      <c r="Y152" t="s" s="0">
        <v>81</v>
      </c>
      <c r="Z152" t="s" s="0">
        <v>93</v>
      </c>
      <c r="AA152" t="s" s="0">
        <v>94</v>
      </c>
      <c r="AB152" t="s" s="0">
        <v>81</v>
      </c>
      <c r="AC152" t="s" s="0">
        <v>81</v>
      </c>
      <c r="AD152" t="s" s="0">
        <v>81</v>
      </c>
      <c r="AE152" t="s" s="0">
        <v>81</v>
      </c>
      <c r="AF152" t="s" s="0">
        <v>81</v>
      </c>
      <c r="AG152" t="s" s="0">
        <v>3854</v>
      </c>
      <c r="AH152" t="s" s="0">
        <v>81</v>
      </c>
      <c r="AI152" t="s" s="0">
        <v>3855</v>
      </c>
      <c r="AJ152" t="s" s="0">
        <v>3856</v>
      </c>
      <c r="AK152" t="s" s="0">
        <v>81</v>
      </c>
      <c r="AL152" t="s" s="0">
        <v>304</v>
      </c>
      <c r="AM152" t="s" s="0">
        <v>128</v>
      </c>
      <c r="AN152" t="s" s="0">
        <v>129</v>
      </c>
      <c r="AO152" t="s" s="0">
        <v>128</v>
      </c>
      <c r="AP152" t="s" s="0">
        <v>109</v>
      </c>
      <c r="AQ152" t="s" s="0">
        <v>476</v>
      </c>
      <c r="AR152" t="s" s="0">
        <v>477</v>
      </c>
      <c r="AS152" t="s" s="0">
        <v>3857</v>
      </c>
      <c r="AT152" t="s" s="0">
        <v>81</v>
      </c>
      <c r="AU152" t="s" s="0">
        <v>3858</v>
      </c>
      <c r="AV152" t="s" s="0">
        <v>81</v>
      </c>
      <c r="AW152" t="s" s="0">
        <v>3853</v>
      </c>
      <c r="AX152" t="s" s="0">
        <v>3859</v>
      </c>
      <c r="AY152" t="s" s="0">
        <v>382</v>
      </c>
      <c r="AZ152" t="s" s="0">
        <v>136</v>
      </c>
      <c r="BA152" t="s" s="0">
        <v>226</v>
      </c>
      <c r="BB152" t="s" s="0">
        <v>117</v>
      </c>
      <c r="BC152" t="s" s="0">
        <v>81</v>
      </c>
      <c r="BD152" t="s" s="0">
        <v>81</v>
      </c>
      <c r="BE152" t="s" s="0">
        <v>81</v>
      </c>
      <c r="BF152" t="s" s="0">
        <v>81</v>
      </c>
      <c r="BG152" t="s" s="0">
        <v>81</v>
      </c>
      <c r="BH152" t="s" s="0">
        <v>81</v>
      </c>
      <c r="BI152" t="s" s="0">
        <v>3163</v>
      </c>
      <c r="BJ152" t="s" s="0">
        <v>3860</v>
      </c>
      <c r="BK152" t="s" s="300">
        <f>HYPERLINK("http://dx.doi.org/10.3390/bioengineering12010072","http://dx.doi.org/10.3390/bioengineering12010072")</f>
        <v>3861</v>
      </c>
      <c r="BL152" t="s" s="0">
        <v>81</v>
      </c>
      <c r="BM152" t="s" s="0">
        <v>81</v>
      </c>
      <c r="BN152" t="s" s="0">
        <v>167</v>
      </c>
      <c r="BO152" t="s" s="0">
        <v>3862</v>
      </c>
      <c r="BP152" t="s" s="0">
        <v>3863</v>
      </c>
      <c r="BQ152" t="s" s="0">
        <v>3864</v>
      </c>
      <c r="BR152" t="s" s="0">
        <v>3865</v>
      </c>
      <c r="BS152" t="s" s="0">
        <v>3866</v>
      </c>
      <c r="BT152" t="s" s="301">
        <f>HYPERLINK("https://www.webofscience.com/wos/woscc/full-record/WOS:001404553400001","View Record in Web of Science")</f>
        <v>114</v>
      </c>
      <c r="BU152" t="s" s="0">
        <v>145</v>
      </c>
      <c r="BV152" t="s" s="0">
        <v>81</v>
      </c>
      <c r="BW152" t="s" s="0">
        <v>81</v>
      </c>
      <c r="BX152" t="s" s="0">
        <v>116</v>
      </c>
    </row>
    <row r="153">
      <c r="A153" t="s" s="0">
        <v>77</v>
      </c>
      <c r="B153" t="s" s="0">
        <v>77</v>
      </c>
      <c r="C153" t="s" s="0">
        <v>77</v>
      </c>
      <c r="D153" t="s" s="0">
        <v>77</v>
      </c>
      <c r="E153" t="s" s="0">
        <v>3867</v>
      </c>
      <c r="F153" t="s" s="0">
        <v>3868</v>
      </c>
      <c r="G153" t="s" s="0">
        <v>3869</v>
      </c>
      <c r="H153" t="s" s="0">
        <v>81</v>
      </c>
      <c r="I153" t="s" s="0">
        <v>82</v>
      </c>
      <c r="J153" t="s" s="0">
        <v>3870</v>
      </c>
      <c r="K153" t="s" s="0">
        <v>3871</v>
      </c>
      <c r="L153" t="s" s="0">
        <v>3872</v>
      </c>
      <c r="M153" t="s" s="0">
        <v>3873</v>
      </c>
      <c r="N153" t="s" s="0">
        <v>3874</v>
      </c>
      <c r="O153" t="s" s="0">
        <v>3875</v>
      </c>
      <c r="P153" t="s" s="0">
        <v>3876</v>
      </c>
      <c r="Q153" t="s" s="0">
        <v>90</v>
      </c>
      <c r="R153" t="s" s="0">
        <v>81</v>
      </c>
      <c r="S153" t="s" s="0">
        <v>81</v>
      </c>
      <c r="T153" t="s" s="0">
        <v>81</v>
      </c>
      <c r="U153" t="s" s="0">
        <v>81</v>
      </c>
      <c r="V153" t="s" s="0">
        <v>3877</v>
      </c>
      <c r="W153" t="s" s="0">
        <v>3878</v>
      </c>
      <c r="X153" t="s" s="0">
        <v>81</v>
      </c>
      <c r="Y153" t="s" s="0">
        <v>81</v>
      </c>
      <c r="Z153" t="s" s="0">
        <v>93</v>
      </c>
      <c r="AA153" t="s" s="0">
        <v>94</v>
      </c>
      <c r="AB153" t="s" s="0">
        <v>81</v>
      </c>
      <c r="AC153" t="s" s="0">
        <v>81</v>
      </c>
      <c r="AD153" t="s" s="0">
        <v>81</v>
      </c>
      <c r="AE153" t="s" s="0">
        <v>81</v>
      </c>
      <c r="AF153" t="s" s="0">
        <v>81</v>
      </c>
      <c r="AG153" t="s" s="0">
        <v>3879</v>
      </c>
      <c r="AH153" t="s" s="0">
        <v>3880</v>
      </c>
      <c r="AI153" t="s" s="0">
        <v>81</v>
      </c>
      <c r="AJ153" t="s" s="0">
        <v>81</v>
      </c>
      <c r="AK153" t="s" s="0">
        <v>81</v>
      </c>
      <c r="AL153" t="s" s="0">
        <v>798</v>
      </c>
      <c r="AM153" t="s" s="0">
        <v>77</v>
      </c>
      <c r="AN153" t="s" s="0">
        <v>77</v>
      </c>
      <c r="AO153" t="s" s="0">
        <v>225</v>
      </c>
      <c r="AP153" t="s" s="0">
        <v>225</v>
      </c>
      <c r="AQ153" t="s" s="0">
        <v>370</v>
      </c>
      <c r="AR153" t="s" s="0">
        <v>1099</v>
      </c>
      <c r="AS153" t="s" s="0">
        <v>1873</v>
      </c>
      <c r="AT153" t="s" s="0">
        <v>3881</v>
      </c>
      <c r="AU153" t="s" s="0">
        <v>3882</v>
      </c>
      <c r="AV153" t="s" s="0">
        <v>81</v>
      </c>
      <c r="AW153" t="s" s="0">
        <v>3883</v>
      </c>
      <c r="AX153" t="s" s="0">
        <v>3884</v>
      </c>
      <c r="AY153" t="s" s="0">
        <v>445</v>
      </c>
      <c r="AZ153" t="s" s="0">
        <v>104</v>
      </c>
      <c r="BA153" t="s" s="0">
        <v>1538</v>
      </c>
      <c r="BB153" t="s" s="0">
        <v>131</v>
      </c>
      <c r="BC153" t="s" s="0">
        <v>81</v>
      </c>
      <c r="BD153" t="s" s="0">
        <v>81</v>
      </c>
      <c r="BE153" t="s" s="0">
        <v>81</v>
      </c>
      <c r="BF153" t="s" s="0">
        <v>81</v>
      </c>
      <c r="BG153" t="s" s="0">
        <v>3885</v>
      </c>
      <c r="BH153" t="s" s="0">
        <v>3886</v>
      </c>
      <c r="BI153" t="s" s="0">
        <v>81</v>
      </c>
      <c r="BJ153" t="s" s="0">
        <v>3887</v>
      </c>
      <c r="BK153" t="s" s="302">
        <f>HYPERLINK("http://dx.doi.org/10.1007/s00330-025-12315-4","http://dx.doi.org/10.1007/s00330-025-12315-4")</f>
        <v>3888</v>
      </c>
      <c r="BL153" t="s" s="0">
        <v>81</v>
      </c>
      <c r="BM153" t="s" s="0">
        <v>3439</v>
      </c>
      <c r="BN153" t="s" s="0">
        <v>226</v>
      </c>
      <c r="BO153" t="s" s="0">
        <v>1881</v>
      </c>
      <c r="BP153" t="s" s="0">
        <v>1881</v>
      </c>
      <c r="BQ153" t="s" s="0">
        <v>3889</v>
      </c>
      <c r="BR153" t="s" s="0">
        <v>3890</v>
      </c>
      <c r="BS153" t="s" s="0">
        <v>3891</v>
      </c>
      <c r="BT153" t="s" s="303">
        <f>HYPERLINK("https://www.webofscience.com/wos/woscc/full-record/WOS:001676407400001","View Record in Web of Science")</f>
        <v>114</v>
      </c>
      <c r="BU153" t="s" s="0">
        <v>81</v>
      </c>
      <c r="BV153" t="s" s="0">
        <v>81</v>
      </c>
      <c r="BW153" t="s" s="0">
        <v>81</v>
      </c>
      <c r="BX153" t="s" s="0">
        <v>116</v>
      </c>
    </row>
    <row r="154">
      <c r="A154" t="s" s="0">
        <v>77</v>
      </c>
      <c r="B154" t="s" s="0">
        <v>77</v>
      </c>
      <c r="C154" t="s" s="0">
        <v>77</v>
      </c>
      <c r="D154" t="s" s="0">
        <v>77</v>
      </c>
      <c r="E154" t="s" s="0">
        <v>3892</v>
      </c>
      <c r="F154" t="s" s="0">
        <v>3893</v>
      </c>
      <c r="G154" t="s" s="0">
        <v>3894</v>
      </c>
      <c r="H154" t="s" s="0">
        <v>81</v>
      </c>
      <c r="I154" t="s" s="0">
        <v>82</v>
      </c>
      <c r="J154" t="s" s="0">
        <v>3895</v>
      </c>
      <c r="K154" t="s" s="0">
        <v>3896</v>
      </c>
      <c r="L154" t="s" s="0">
        <v>3897</v>
      </c>
      <c r="M154" t="s" s="0">
        <v>3898</v>
      </c>
      <c r="N154" t="s" s="0">
        <v>3899</v>
      </c>
      <c r="O154" t="s" s="0">
        <v>3900</v>
      </c>
      <c r="P154" t="s" s="0">
        <v>3901</v>
      </c>
      <c r="Q154" t="s" s="0">
        <v>90</v>
      </c>
      <c r="R154" t="s" s="0">
        <v>81</v>
      </c>
      <c r="S154" t="s" s="0">
        <v>81</v>
      </c>
      <c r="T154" t="s" s="0">
        <v>81</v>
      </c>
      <c r="U154" t="s" s="0">
        <v>81</v>
      </c>
      <c r="V154" t="s" s="0">
        <v>3902</v>
      </c>
      <c r="W154" t="s" s="0">
        <v>3853</v>
      </c>
      <c r="X154" t="s" s="0">
        <v>81</v>
      </c>
      <c r="Y154" t="s" s="0">
        <v>81</v>
      </c>
      <c r="Z154" t="s" s="0">
        <v>93</v>
      </c>
      <c r="AA154" t="s" s="0">
        <v>94</v>
      </c>
      <c r="AB154" t="s" s="0">
        <v>81</v>
      </c>
      <c r="AC154" t="s" s="0">
        <v>81</v>
      </c>
      <c r="AD154" t="s" s="0">
        <v>81</v>
      </c>
      <c r="AE154" t="s" s="0">
        <v>81</v>
      </c>
      <c r="AF154" t="s" s="0">
        <v>81</v>
      </c>
      <c r="AG154" t="s" s="0">
        <v>3903</v>
      </c>
      <c r="AH154" t="s" s="0">
        <v>81</v>
      </c>
      <c r="AI154" t="s" s="0">
        <v>3904</v>
      </c>
      <c r="AJ154" t="s" s="0">
        <v>81</v>
      </c>
      <c r="AK154" t="s" s="0">
        <v>81</v>
      </c>
      <c r="AL154" t="s" s="0">
        <v>252</v>
      </c>
      <c r="AM154" t="s" s="0">
        <v>77</v>
      </c>
      <c r="AN154" t="s" s="0">
        <v>77</v>
      </c>
      <c r="AO154" t="s" s="0">
        <v>117</v>
      </c>
      <c r="AP154" t="s" s="0">
        <v>117</v>
      </c>
      <c r="AQ154" t="s" s="0">
        <v>476</v>
      </c>
      <c r="AR154" t="s" s="0">
        <v>477</v>
      </c>
      <c r="AS154" t="s" s="0">
        <v>478</v>
      </c>
      <c r="AT154" t="s" s="0">
        <v>81</v>
      </c>
      <c r="AU154" t="s" s="0">
        <v>3858</v>
      </c>
      <c r="AV154" t="s" s="0">
        <v>81</v>
      </c>
      <c r="AW154" t="s" s="0">
        <v>3853</v>
      </c>
      <c r="AX154" t="s" s="0">
        <v>3859</v>
      </c>
      <c r="AY154" t="s" s="0">
        <v>3905</v>
      </c>
      <c r="AZ154" t="s" s="0">
        <v>104</v>
      </c>
      <c r="BA154" t="s" s="0">
        <v>167</v>
      </c>
      <c r="BB154" t="s" s="0">
        <v>253</v>
      </c>
      <c r="BC154" t="s" s="0">
        <v>81</v>
      </c>
      <c r="BD154" t="s" s="0">
        <v>81</v>
      </c>
      <c r="BE154" t="s" s="0">
        <v>81</v>
      </c>
      <c r="BF154" t="s" s="0">
        <v>81</v>
      </c>
      <c r="BG154" t="s" s="0">
        <v>81</v>
      </c>
      <c r="BH154" t="s" s="0">
        <v>81</v>
      </c>
      <c r="BI154" t="s" s="0">
        <v>447</v>
      </c>
      <c r="BJ154" t="s" s="0">
        <v>3906</v>
      </c>
      <c r="BK154" t="s" s="304">
        <f>HYPERLINK("http://dx.doi.org/10.3390/bioengineering13050564","http://dx.doi.org/10.3390/bioengineering13050564")</f>
        <v>3907</v>
      </c>
      <c r="BL154" t="s" s="0">
        <v>81</v>
      </c>
      <c r="BM154" t="s" s="0">
        <v>203</v>
      </c>
      <c r="BN154" t="s" s="0">
        <v>562</v>
      </c>
      <c r="BO154" t="s" s="0">
        <v>3862</v>
      </c>
      <c r="BP154" t="s" s="0">
        <v>3863</v>
      </c>
      <c r="BQ154" t="s" s="0">
        <v>3908</v>
      </c>
      <c r="BR154" t="s" s="0">
        <v>3909</v>
      </c>
      <c r="BS154" t="s" s="0">
        <v>3910</v>
      </c>
      <c r="BT154" t="s" s="305">
        <f>HYPERLINK("https://www.webofscience.com/wos/woscc/full-record/WOS:001774845500001","View Record in Web of Science")</f>
        <v>114</v>
      </c>
      <c r="BU154" t="s" s="0">
        <v>145</v>
      </c>
      <c r="BV154" t="s" s="0">
        <v>81</v>
      </c>
      <c r="BW154" t="s" s="0">
        <v>81</v>
      </c>
      <c r="BX154" t="s" s="0">
        <v>116</v>
      </c>
    </row>
    <row r="155">
      <c r="A155" t="s" s="0">
        <v>77</v>
      </c>
      <c r="B155" t="s" s="0">
        <v>77</v>
      </c>
      <c r="C155" t="s" s="0">
        <v>77</v>
      </c>
      <c r="D155" t="s" s="0">
        <v>77</v>
      </c>
      <c r="E155" t="s" s="0">
        <v>3911</v>
      </c>
      <c r="F155" t="s" s="0">
        <v>3912</v>
      </c>
      <c r="G155" t="s" s="0">
        <v>3913</v>
      </c>
      <c r="H155" t="s" s="0">
        <v>81</v>
      </c>
      <c r="I155" t="s" s="0">
        <v>82</v>
      </c>
      <c r="J155" t="s" s="0">
        <v>3914</v>
      </c>
      <c r="K155" t="s" s="0">
        <v>3915</v>
      </c>
      <c r="L155" t="s" s="0">
        <v>3916</v>
      </c>
      <c r="M155" t="s" s="0">
        <v>3917</v>
      </c>
      <c r="N155" t="s" s="0">
        <v>3918</v>
      </c>
      <c r="O155" t="s" s="0">
        <v>3919</v>
      </c>
      <c r="P155" t="s" s="0">
        <v>81</v>
      </c>
      <c r="Q155" t="s" s="0">
        <v>90</v>
      </c>
      <c r="R155" t="s" s="0">
        <v>81</v>
      </c>
      <c r="S155" t="s" s="0">
        <v>81</v>
      </c>
      <c r="T155" t="s" s="0">
        <v>81</v>
      </c>
      <c r="U155" t="s" s="0">
        <v>81</v>
      </c>
      <c r="V155" t="s" s="0">
        <v>3920</v>
      </c>
      <c r="W155" t="s" s="0">
        <v>1917</v>
      </c>
      <c r="X155" t="s" s="0">
        <v>81</v>
      </c>
      <c r="Y155" t="s" s="0">
        <v>81</v>
      </c>
      <c r="Z155" t="s" s="0">
        <v>93</v>
      </c>
      <c r="AA155" t="s" s="0">
        <v>94</v>
      </c>
      <c r="AB155" t="s" s="0">
        <v>81</v>
      </c>
      <c r="AC155" t="s" s="0">
        <v>81</v>
      </c>
      <c r="AD155" t="s" s="0">
        <v>81</v>
      </c>
      <c r="AE155" t="s" s="0">
        <v>81</v>
      </c>
      <c r="AF155" t="s" s="0">
        <v>81</v>
      </c>
      <c r="AG155" t="s" s="0">
        <v>3921</v>
      </c>
      <c r="AH155" t="s" s="0">
        <v>3922</v>
      </c>
      <c r="AI155" t="s" s="0">
        <v>81</v>
      </c>
      <c r="AJ155" t="s" s="0">
        <v>81</v>
      </c>
      <c r="AK155" t="s" s="0">
        <v>81</v>
      </c>
      <c r="AL155" t="s" s="0">
        <v>368</v>
      </c>
      <c r="AM155" t="s" s="0">
        <v>77</v>
      </c>
      <c r="AN155" t="s" s="0">
        <v>77</v>
      </c>
      <c r="AO155" t="s" s="0">
        <v>77</v>
      </c>
      <c r="AP155" t="s" s="0">
        <v>77</v>
      </c>
      <c r="AQ155" t="s" s="0">
        <v>1162</v>
      </c>
      <c r="AR155" t="s" s="0">
        <v>1163</v>
      </c>
      <c r="AS155" t="s" s="0">
        <v>1164</v>
      </c>
      <c r="AT155" t="s" s="0">
        <v>81</v>
      </c>
      <c r="AU155" t="s" s="0">
        <v>1919</v>
      </c>
      <c r="AV155" t="s" s="0">
        <v>81</v>
      </c>
      <c r="AW155" t="s" s="0">
        <v>1920</v>
      </c>
      <c r="AX155" t="s" s="0">
        <v>1921</v>
      </c>
      <c r="AY155" t="s" s="0">
        <v>104</v>
      </c>
      <c r="AZ155" t="s" s="0">
        <v>104</v>
      </c>
      <c r="BA155" t="s" s="0">
        <v>228</v>
      </c>
      <c r="BB155" t="s" s="0">
        <v>81</v>
      </c>
      <c r="BC155" t="s" s="0">
        <v>81</v>
      </c>
      <c r="BD155" t="s" s="0">
        <v>81</v>
      </c>
      <c r="BE155" t="s" s="0">
        <v>81</v>
      </c>
      <c r="BF155" t="s" s="0">
        <v>81</v>
      </c>
      <c r="BG155" t="s" s="0">
        <v>81</v>
      </c>
      <c r="BH155" t="s" s="0">
        <v>81</v>
      </c>
      <c r="BI155" t="s" s="0">
        <v>3923</v>
      </c>
      <c r="BJ155" t="s" s="0">
        <v>3924</v>
      </c>
      <c r="BK155" t="s" s="306">
        <f>HYPERLINK("http://dx.doi.org/10.2196/91048","http://dx.doi.org/10.2196/91048")</f>
        <v>3925</v>
      </c>
      <c r="BL155" t="s" s="0">
        <v>81</v>
      </c>
      <c r="BM155" t="s" s="0">
        <v>81</v>
      </c>
      <c r="BN155" t="s" s="0">
        <v>226</v>
      </c>
      <c r="BO155" t="s" s="0">
        <v>1925</v>
      </c>
      <c r="BP155" t="s" s="0">
        <v>1925</v>
      </c>
      <c r="BQ155" t="s" s="0">
        <v>3926</v>
      </c>
      <c r="BR155" t="s" s="0">
        <v>3927</v>
      </c>
      <c r="BS155" t="s" s="0">
        <v>3928</v>
      </c>
      <c r="BT155" t="s" s="307">
        <f>HYPERLINK("https://www.webofscience.com/wos/woscc/full-record/WOS:001848297900002","View Record in Web of Science")</f>
        <v>114</v>
      </c>
      <c r="BU155" t="s" s="0">
        <v>145</v>
      </c>
      <c r="BV155" t="s" s="0">
        <v>81</v>
      </c>
      <c r="BW155" t="s" s="0">
        <v>81</v>
      </c>
      <c r="BX155" t="s" s="0">
        <v>116</v>
      </c>
    </row>
    <row r="156">
      <c r="A156" t="s" s="0">
        <v>77</v>
      </c>
      <c r="B156" t="s" s="0">
        <v>77</v>
      </c>
      <c r="C156" t="s" s="0">
        <v>77</v>
      </c>
      <c r="D156" t="s" s="0">
        <v>77</v>
      </c>
      <c r="E156" t="s" s="0">
        <v>3929</v>
      </c>
      <c r="F156" t="s" s="0">
        <v>3930</v>
      </c>
      <c r="G156" t="s" s="0">
        <v>3931</v>
      </c>
      <c r="H156" t="s" s="0">
        <v>81</v>
      </c>
      <c r="I156" t="s" s="0">
        <v>213</v>
      </c>
      <c r="J156" t="s" s="0">
        <v>3932</v>
      </c>
      <c r="K156" t="s" s="0">
        <v>3933</v>
      </c>
      <c r="L156" t="s" s="0">
        <v>81</v>
      </c>
      <c r="M156" t="s" s="0">
        <v>81</v>
      </c>
      <c r="N156" t="s" s="0">
        <v>3934</v>
      </c>
      <c r="O156" t="s" s="0">
        <v>3935</v>
      </c>
      <c r="P156" t="s" s="0">
        <v>81</v>
      </c>
      <c r="Q156" t="s" s="0">
        <v>90</v>
      </c>
      <c r="R156" t="s" s="0">
        <v>81</v>
      </c>
      <c r="S156" t="s" s="0">
        <v>81</v>
      </c>
      <c r="T156" t="s" s="0">
        <v>81</v>
      </c>
      <c r="U156" t="s" s="0">
        <v>81</v>
      </c>
      <c r="V156" t="s" s="0">
        <v>3936</v>
      </c>
      <c r="W156" t="s" s="0">
        <v>3937</v>
      </c>
      <c r="X156" t="s" s="0">
        <v>81</v>
      </c>
      <c r="Y156" t="s" s="0">
        <v>81</v>
      </c>
      <c r="Z156" t="s" s="0">
        <v>93</v>
      </c>
      <c r="AA156" t="s" s="0">
        <v>94</v>
      </c>
      <c r="AB156" t="s" s="0">
        <v>81</v>
      </c>
      <c r="AC156" t="s" s="0">
        <v>81</v>
      </c>
      <c r="AD156" t="s" s="0">
        <v>81</v>
      </c>
      <c r="AE156" t="s" s="0">
        <v>81</v>
      </c>
      <c r="AF156" t="s" s="0">
        <v>81</v>
      </c>
      <c r="AG156" t="s" s="0">
        <v>3938</v>
      </c>
      <c r="AH156" t="s" s="0">
        <v>81</v>
      </c>
      <c r="AI156" t="s" s="0">
        <v>81</v>
      </c>
      <c r="AJ156" t="s" s="0">
        <v>81</v>
      </c>
      <c r="AK156" t="s" s="0">
        <v>81</v>
      </c>
      <c r="AL156" t="s" s="0">
        <v>1900</v>
      </c>
      <c r="AM156" t="s" s="0">
        <v>77</v>
      </c>
      <c r="AN156" t="s" s="0">
        <v>77</v>
      </c>
      <c r="AO156" t="s" s="0">
        <v>253</v>
      </c>
      <c r="AP156" t="s" s="0">
        <v>253</v>
      </c>
      <c r="AQ156" t="s" s="0">
        <v>3939</v>
      </c>
      <c r="AR156" t="s" s="0">
        <v>3940</v>
      </c>
      <c r="AS156" t="s" s="0">
        <v>3941</v>
      </c>
      <c r="AT156" t="s" s="0">
        <v>3942</v>
      </c>
      <c r="AU156" t="s" s="0">
        <v>3943</v>
      </c>
      <c r="AV156" t="s" s="0">
        <v>81</v>
      </c>
      <c r="AW156" t="s" s="0">
        <v>3944</v>
      </c>
      <c r="AX156" t="s" s="0">
        <v>3945</v>
      </c>
      <c r="AY156" t="s" s="0">
        <v>104</v>
      </c>
      <c r="AZ156" t="s" s="0">
        <v>104</v>
      </c>
      <c r="BA156" t="s" s="0">
        <v>846</v>
      </c>
      <c r="BB156" t="s" s="0">
        <v>117</v>
      </c>
      <c r="BC156" t="s" s="0">
        <v>81</v>
      </c>
      <c r="BD156" t="s" s="0">
        <v>81</v>
      </c>
      <c r="BE156" t="s" s="0">
        <v>81</v>
      </c>
      <c r="BF156" t="s" s="0">
        <v>81</v>
      </c>
      <c r="BG156" t="s" s="0">
        <v>3946</v>
      </c>
      <c r="BH156" t="s" s="0">
        <v>3947</v>
      </c>
      <c r="BI156" t="s" s="0">
        <v>81</v>
      </c>
      <c r="BJ156" t="s" s="0">
        <v>3948</v>
      </c>
      <c r="BK156" t="s" s="308">
        <f>HYPERLINK("http://dx.doi.org/10.13053/CyS-30-1-6316","http://dx.doi.org/10.13053/CyS-30-1-6316")</f>
        <v>3949</v>
      </c>
      <c r="BL156" t="s" s="0">
        <v>81</v>
      </c>
      <c r="BM156" t="s" s="0">
        <v>81</v>
      </c>
      <c r="BN156" t="s" s="0">
        <v>475</v>
      </c>
      <c r="BO156" t="s" s="0">
        <v>2605</v>
      </c>
      <c r="BP156" t="s" s="0">
        <v>420</v>
      </c>
      <c r="BQ156" t="s" s="0">
        <v>3950</v>
      </c>
      <c r="BR156" t="s" s="0">
        <v>81</v>
      </c>
      <c r="BS156" t="s" s="0">
        <v>3951</v>
      </c>
      <c r="BT156" t="s" s="309">
        <f>HYPERLINK("https://www.webofscience.com/wos/woscc/full-record/WOS:001733635600015","View Record in Web of Science")</f>
        <v>114</v>
      </c>
      <c r="BU156" t="s" s="0">
        <v>81</v>
      </c>
      <c r="BV156" t="s" s="0">
        <v>81</v>
      </c>
      <c r="BW156" t="s" s="0">
        <v>81</v>
      </c>
      <c r="BX156" t="s" s="0">
        <v>116</v>
      </c>
    </row>
    <row r="157">
      <c r="A157" t="s" s="0">
        <v>77</v>
      </c>
      <c r="B157" t="s" s="0">
        <v>77</v>
      </c>
      <c r="C157" t="s" s="0">
        <v>160</v>
      </c>
      <c r="D157" t="s" s="0">
        <v>77</v>
      </c>
      <c r="E157" t="s" s="0">
        <v>3952</v>
      </c>
      <c r="F157" t="s" s="0">
        <v>3953</v>
      </c>
      <c r="G157" t="s" s="0">
        <v>3954</v>
      </c>
      <c r="H157" t="s" s="0">
        <v>81</v>
      </c>
      <c r="I157" t="s" s="0">
        <v>82</v>
      </c>
      <c r="J157" t="s" s="0">
        <v>3955</v>
      </c>
      <c r="K157" t="s" s="0">
        <v>3956</v>
      </c>
      <c r="L157" t="s" s="0">
        <v>3957</v>
      </c>
      <c r="M157" t="s" s="0">
        <v>3958</v>
      </c>
      <c r="N157" t="s" s="0">
        <v>3959</v>
      </c>
      <c r="O157" t="s" s="0">
        <v>3960</v>
      </c>
      <c r="P157" t="s" s="0">
        <v>3961</v>
      </c>
      <c r="Q157" t="s" s="0">
        <v>90</v>
      </c>
      <c r="R157" t="s" s="0">
        <v>81</v>
      </c>
      <c r="S157" t="s" s="0">
        <v>81</v>
      </c>
      <c r="T157" t="s" s="0">
        <v>81</v>
      </c>
      <c r="U157" t="s" s="0">
        <v>81</v>
      </c>
      <c r="V157" t="s" s="0">
        <v>3962</v>
      </c>
      <c r="W157" t="s" s="0">
        <v>3963</v>
      </c>
      <c r="X157" t="s" s="0">
        <v>81</v>
      </c>
      <c r="Y157" t="s" s="0">
        <v>81</v>
      </c>
      <c r="Z157" t="s" s="0">
        <v>93</v>
      </c>
      <c r="AA157" t="s" s="0">
        <v>94</v>
      </c>
      <c r="AB157" t="s" s="0">
        <v>81</v>
      </c>
      <c r="AC157" t="s" s="0">
        <v>81</v>
      </c>
      <c r="AD157" t="s" s="0">
        <v>81</v>
      </c>
      <c r="AE157" t="s" s="0">
        <v>81</v>
      </c>
      <c r="AF157" t="s" s="0">
        <v>81</v>
      </c>
      <c r="AG157" t="s" s="0">
        <v>3964</v>
      </c>
      <c r="AH157" t="s" s="0">
        <v>3965</v>
      </c>
      <c r="AI157" t="s" s="0">
        <v>3966</v>
      </c>
      <c r="AJ157" t="s" s="0">
        <v>3967</v>
      </c>
      <c r="AK157" t="s" s="0">
        <v>81</v>
      </c>
      <c r="AL157" t="s" s="0">
        <v>474</v>
      </c>
      <c r="AM157" t="s" s="0">
        <v>137</v>
      </c>
      <c r="AN157" t="s" s="0">
        <v>137</v>
      </c>
      <c r="AO157" t="s" s="0">
        <v>130</v>
      </c>
      <c r="AP157" t="s" s="0">
        <v>172</v>
      </c>
      <c r="AQ157" t="s" s="0">
        <v>406</v>
      </c>
      <c r="AR157" t="s" s="0">
        <v>407</v>
      </c>
      <c r="AS157" t="s" s="0">
        <v>408</v>
      </c>
      <c r="AT157" t="s" s="0">
        <v>3968</v>
      </c>
      <c r="AU157" t="s" s="0">
        <v>81</v>
      </c>
      <c r="AV157" t="s" s="0">
        <v>81</v>
      </c>
      <c r="AW157" t="s" s="0">
        <v>3963</v>
      </c>
      <c r="AX157" t="s" s="0">
        <v>3969</v>
      </c>
      <c r="AY157" t="s" s="0">
        <v>824</v>
      </c>
      <c r="AZ157" t="s" s="0">
        <v>136</v>
      </c>
      <c r="BA157" t="s" s="0">
        <v>2225</v>
      </c>
      <c r="BB157" t="s" s="0">
        <v>81</v>
      </c>
      <c r="BC157" t="s" s="0">
        <v>81</v>
      </c>
      <c r="BD157" t="s" s="0">
        <v>81</v>
      </c>
      <c r="BE157" t="s" s="0">
        <v>81</v>
      </c>
      <c r="BF157" t="s" s="0">
        <v>81</v>
      </c>
      <c r="BG157" t="s" s="0">
        <v>81</v>
      </c>
      <c r="BH157" t="s" s="0">
        <v>81</v>
      </c>
      <c r="BI157" t="s" s="0">
        <v>3970</v>
      </c>
      <c r="BJ157" t="s" s="0">
        <v>3971</v>
      </c>
      <c r="BK157" t="s" s="310">
        <f>HYPERLINK("http://dx.doi.org/10.1016/j.ebiom.2025.105789","http://dx.doi.org/10.1016/j.ebiom.2025.105789")</f>
        <v>3972</v>
      </c>
      <c r="BL157" t="s" s="0">
        <v>81</v>
      </c>
      <c r="BM157" t="s" s="0">
        <v>413</v>
      </c>
      <c r="BN157" t="s" s="0">
        <v>137</v>
      </c>
      <c r="BO157" t="s" s="0">
        <v>3973</v>
      </c>
      <c r="BP157" t="s" s="0">
        <v>3974</v>
      </c>
      <c r="BQ157" t="s" s="0">
        <v>3975</v>
      </c>
      <c r="BR157" t="s" s="0">
        <v>3976</v>
      </c>
      <c r="BS157" t="s" s="0">
        <v>3977</v>
      </c>
      <c r="BT157" t="s" s="311">
        <f>HYPERLINK("https://www.webofscience.com/wos/woscc/full-record/WOS:001510041800001","View Record in Web of Science")</f>
        <v>114</v>
      </c>
      <c r="BU157" t="s" s="0">
        <v>145</v>
      </c>
      <c r="BV157" t="s" s="0">
        <v>81</v>
      </c>
      <c r="BW157" t="s" s="0">
        <v>81</v>
      </c>
      <c r="BX157" t="s" s="0">
        <v>116</v>
      </c>
    </row>
    <row r="158">
      <c r="A158" t="s" s="0">
        <v>77</v>
      </c>
      <c r="B158" t="s" s="0">
        <v>77</v>
      </c>
      <c r="C158" t="s" s="0">
        <v>160</v>
      </c>
      <c r="D158" t="s" s="0">
        <v>77</v>
      </c>
      <c r="E158" t="s" s="0">
        <v>3978</v>
      </c>
      <c r="F158" t="s" s="0">
        <v>3979</v>
      </c>
      <c r="G158" t="s" s="0">
        <v>3980</v>
      </c>
      <c r="H158" t="s" s="0">
        <v>81</v>
      </c>
      <c r="I158" t="s" s="0">
        <v>82</v>
      </c>
      <c r="J158" t="s" s="0">
        <v>3981</v>
      </c>
      <c r="K158" t="s" s="0">
        <v>3982</v>
      </c>
      <c r="L158" t="s" s="0">
        <v>3983</v>
      </c>
      <c r="M158" t="s" s="0">
        <v>3983</v>
      </c>
      <c r="N158" t="s" s="0">
        <v>3984</v>
      </c>
      <c r="O158" t="s" s="0">
        <v>3985</v>
      </c>
      <c r="P158" t="s" s="0">
        <v>3986</v>
      </c>
      <c r="Q158" t="s" s="0">
        <v>90</v>
      </c>
      <c r="R158" t="s" s="0">
        <v>81</v>
      </c>
      <c r="S158" t="s" s="0">
        <v>81</v>
      </c>
      <c r="T158" t="s" s="0">
        <v>81</v>
      </c>
      <c r="U158" t="s" s="0">
        <v>81</v>
      </c>
      <c r="V158" t="s" s="0">
        <v>3987</v>
      </c>
      <c r="W158" t="s" s="0">
        <v>3988</v>
      </c>
      <c r="X158" t="s" s="0">
        <v>81</v>
      </c>
      <c r="Y158" t="s" s="0">
        <v>81</v>
      </c>
      <c r="Z158" t="s" s="0">
        <v>93</v>
      </c>
      <c r="AA158" t="s" s="0">
        <v>94</v>
      </c>
      <c r="AB158" t="s" s="0">
        <v>81</v>
      </c>
      <c r="AC158" t="s" s="0">
        <v>81</v>
      </c>
      <c r="AD158" t="s" s="0">
        <v>81</v>
      </c>
      <c r="AE158" t="s" s="0">
        <v>81</v>
      </c>
      <c r="AF158" t="s" s="0">
        <v>81</v>
      </c>
      <c r="AG158" t="s" s="0">
        <v>3989</v>
      </c>
      <c r="AH158" t="s" s="0">
        <v>3990</v>
      </c>
      <c r="AI158" t="s" s="0">
        <v>3991</v>
      </c>
      <c r="AJ158" t="s" s="0">
        <v>3992</v>
      </c>
      <c r="AK158" t="s" s="0">
        <v>81</v>
      </c>
      <c r="AL158" t="s" s="0">
        <v>1728</v>
      </c>
      <c r="AM158" t="s" s="0">
        <v>167</v>
      </c>
      <c r="AN158" t="s" s="0">
        <v>167</v>
      </c>
      <c r="AO158" t="s" s="0">
        <v>130</v>
      </c>
      <c r="AP158" t="s" s="0">
        <v>129</v>
      </c>
      <c r="AQ158" t="s" s="0">
        <v>708</v>
      </c>
      <c r="AR158" t="s" s="0">
        <v>709</v>
      </c>
      <c r="AS158" t="s" s="0">
        <v>710</v>
      </c>
      <c r="AT158" t="s" s="0">
        <v>3993</v>
      </c>
      <c r="AU158" t="s" s="0">
        <v>3994</v>
      </c>
      <c r="AV158" t="s" s="0">
        <v>81</v>
      </c>
      <c r="AW158" t="s" s="0">
        <v>3995</v>
      </c>
      <c r="AX158" t="s" s="0">
        <v>3996</v>
      </c>
      <c r="AY158" t="s" s="0">
        <v>636</v>
      </c>
      <c r="AZ158" t="s" s="0">
        <v>136</v>
      </c>
      <c r="BA158" t="s" s="0">
        <v>237</v>
      </c>
      <c r="BB158" t="s" s="0">
        <v>227</v>
      </c>
      <c r="BC158" t="s" s="0">
        <v>81</v>
      </c>
      <c r="BD158" t="s" s="0">
        <v>81</v>
      </c>
      <c r="BE158" t="s" s="0">
        <v>81</v>
      </c>
      <c r="BF158" t="s" s="0">
        <v>81</v>
      </c>
      <c r="BG158" t="s" s="0">
        <v>3997</v>
      </c>
      <c r="BH158" t="s" s="0">
        <v>3998</v>
      </c>
      <c r="BI158" t="s" s="0">
        <v>81</v>
      </c>
      <c r="BJ158" t="s" s="0">
        <v>3999</v>
      </c>
      <c r="BK158" t="s" s="312">
        <f>HYPERLINK("http://dx.doi.org/10.1111/bdi.70011","http://dx.doi.org/10.1111/bdi.70011")</f>
        <v>4000</v>
      </c>
      <c r="BL158" t="s" s="0">
        <v>81</v>
      </c>
      <c r="BM158" t="s" s="0">
        <v>377</v>
      </c>
      <c r="BN158" t="s" s="0">
        <v>172</v>
      </c>
      <c r="BO158" t="s" s="0">
        <v>4001</v>
      </c>
      <c r="BP158" t="s" s="0">
        <v>3058</v>
      </c>
      <c r="BQ158" t="s" s="0">
        <v>4002</v>
      </c>
      <c r="BR158" t="s" s="0">
        <v>4003</v>
      </c>
      <c r="BS158" t="s" s="0">
        <v>4004</v>
      </c>
      <c r="BT158" t="s" s="313">
        <f>HYPERLINK("https://www.webofscience.com/wos/woscc/full-record/WOS:001439101800001","View Record in Web of Science")</f>
        <v>114</v>
      </c>
      <c r="BU158" t="s" s="0">
        <v>457</v>
      </c>
      <c r="BV158" t="s" s="0">
        <v>81</v>
      </c>
      <c r="BW158" t="s" s="0">
        <v>81</v>
      </c>
      <c r="BX158" t="s" s="0">
        <v>116</v>
      </c>
    </row>
    <row r="159">
      <c r="A159" t="s" s="0">
        <v>77</v>
      </c>
      <c r="B159" t="s" s="0">
        <v>77</v>
      </c>
      <c r="C159" t="s" s="0">
        <v>130</v>
      </c>
      <c r="D159" t="s" s="0">
        <v>77</v>
      </c>
      <c r="E159" t="s" s="0">
        <v>4005</v>
      </c>
      <c r="F159" t="s" s="0">
        <v>4006</v>
      </c>
      <c r="G159" t="s" s="0">
        <v>4007</v>
      </c>
      <c r="H159" t="s" s="0">
        <v>81</v>
      </c>
      <c r="I159" t="s" s="0">
        <v>82</v>
      </c>
      <c r="J159" t="s" s="0">
        <v>4008</v>
      </c>
      <c r="K159" t="s" s="0">
        <v>4009</v>
      </c>
      <c r="L159" t="s" s="0">
        <v>4010</v>
      </c>
      <c r="M159" t="s" s="0">
        <v>4011</v>
      </c>
      <c r="N159" t="s" s="0">
        <v>4012</v>
      </c>
      <c r="O159" t="s" s="0">
        <v>4013</v>
      </c>
      <c r="P159" t="s" s="0">
        <v>4014</v>
      </c>
      <c r="Q159" t="s" s="0">
        <v>90</v>
      </c>
      <c r="R159" t="s" s="0">
        <v>81</v>
      </c>
      <c r="S159" t="s" s="0">
        <v>81</v>
      </c>
      <c r="T159" t="s" s="0">
        <v>81</v>
      </c>
      <c r="U159" t="s" s="0">
        <v>81</v>
      </c>
      <c r="V159" t="s" s="0">
        <v>4015</v>
      </c>
      <c r="W159" t="s" s="0">
        <v>1391</v>
      </c>
      <c r="X159" t="s" s="0">
        <v>81</v>
      </c>
      <c r="Y159" t="s" s="0">
        <v>81</v>
      </c>
      <c r="Z159" t="s" s="0">
        <v>93</v>
      </c>
      <c r="AA159" t="s" s="0">
        <v>94</v>
      </c>
      <c r="AB159" t="s" s="0">
        <v>81</v>
      </c>
      <c r="AC159" t="s" s="0">
        <v>81</v>
      </c>
      <c r="AD159" t="s" s="0">
        <v>81</v>
      </c>
      <c r="AE159" t="s" s="0">
        <v>81</v>
      </c>
      <c r="AF159" t="s" s="0">
        <v>81</v>
      </c>
      <c r="AG159" t="s" s="0">
        <v>81</v>
      </c>
      <c r="AH159" t="s" s="0">
        <v>4016</v>
      </c>
      <c r="AI159" t="s" s="0">
        <v>4017</v>
      </c>
      <c r="AJ159" t="s" s="0">
        <v>4018</v>
      </c>
      <c r="AK159" t="s" s="0">
        <v>81</v>
      </c>
      <c r="AL159" t="s" s="0">
        <v>4019</v>
      </c>
      <c r="AM159" t="s" s="0">
        <v>167</v>
      </c>
      <c r="AN159" t="s" s="0">
        <v>167</v>
      </c>
      <c r="AO159" t="s" s="0">
        <v>160</v>
      </c>
      <c r="AP159" t="s" s="0">
        <v>204</v>
      </c>
      <c r="AQ159" t="s" s="0">
        <v>274</v>
      </c>
      <c r="AR159" t="s" s="0">
        <v>275</v>
      </c>
      <c r="AS159" t="s" s="0">
        <v>276</v>
      </c>
      <c r="AT159" t="s" s="0">
        <v>1395</v>
      </c>
      <c r="AU159" t="s" s="0">
        <v>81</v>
      </c>
      <c r="AV159" t="s" s="0">
        <v>81</v>
      </c>
      <c r="AW159" t="s" s="0">
        <v>1396</v>
      </c>
      <c r="AX159" t="s" s="0">
        <v>1397</v>
      </c>
      <c r="AY159" t="s" s="0">
        <v>4020</v>
      </c>
      <c r="AZ159" t="s" s="0">
        <v>136</v>
      </c>
      <c r="BA159" t="s" s="0">
        <v>225</v>
      </c>
      <c r="BB159" t="s" s="0">
        <v>117</v>
      </c>
      <c r="BC159" t="s" s="0">
        <v>81</v>
      </c>
      <c r="BD159" t="s" s="0">
        <v>81</v>
      </c>
      <c r="BE159" t="s" s="0">
        <v>81</v>
      </c>
      <c r="BF159" t="s" s="0">
        <v>81</v>
      </c>
      <c r="BG159" t="s" s="0">
        <v>81</v>
      </c>
      <c r="BH159" t="s" s="0">
        <v>81</v>
      </c>
      <c r="BI159" t="s" s="0">
        <v>4021</v>
      </c>
      <c r="BJ159" t="s" s="0">
        <v>4022</v>
      </c>
      <c r="BK159" t="s" s="314">
        <f>HYPERLINK("http://dx.doi.org/10.1038/s41746-025-02003-4","http://dx.doi.org/10.1038/s41746-025-02003-4")</f>
        <v>4023</v>
      </c>
      <c r="BL159" t="s" s="0">
        <v>81</v>
      </c>
      <c r="BM159" t="s" s="0">
        <v>81</v>
      </c>
      <c r="BN159" t="s" s="0">
        <v>563</v>
      </c>
      <c r="BO159" t="s" s="0">
        <v>1172</v>
      </c>
      <c r="BP159" t="s" s="0">
        <v>1172</v>
      </c>
      <c r="BQ159" t="s" s="0">
        <v>4024</v>
      </c>
      <c r="BR159" t="s" s="0">
        <v>4025</v>
      </c>
      <c r="BS159" t="s" s="0">
        <v>4026</v>
      </c>
      <c r="BT159" t="s" s="315">
        <f>HYPERLINK("https://www.webofscience.com/wos/woscc/full-record/WOS:001600458800003","View Record in Web of Science")</f>
        <v>114</v>
      </c>
      <c r="BU159" t="s" s="0">
        <v>145</v>
      </c>
      <c r="BV159" t="s" s="0">
        <v>81</v>
      </c>
      <c r="BW159" t="s" s="0">
        <v>81</v>
      </c>
      <c r="BX159" t="s" s="0">
        <v>116</v>
      </c>
    </row>
    <row r="160">
      <c r="A160" t="s" s="0">
        <v>77</v>
      </c>
      <c r="B160" t="s" s="0">
        <v>77</v>
      </c>
      <c r="C160" t="s" s="0">
        <v>77</v>
      </c>
      <c r="D160" t="s" s="0">
        <v>77</v>
      </c>
      <c r="E160" t="s" s="0">
        <v>4027</v>
      </c>
      <c r="F160" t="s" s="0">
        <v>4028</v>
      </c>
      <c r="G160" t="s" s="0">
        <v>4029</v>
      </c>
      <c r="H160" t="s" s="0">
        <v>81</v>
      </c>
      <c r="I160" t="s" s="0">
        <v>82</v>
      </c>
      <c r="J160" t="s" s="0">
        <v>4030</v>
      </c>
      <c r="K160" t="s" s="0">
        <v>4031</v>
      </c>
      <c r="L160" t="s" s="0">
        <v>81</v>
      </c>
      <c r="M160" t="s" s="0">
        <v>81</v>
      </c>
      <c r="N160" t="s" s="0">
        <v>81</v>
      </c>
      <c r="O160" t="s" s="0">
        <v>4032</v>
      </c>
      <c r="P160" t="s" s="0">
        <v>4033</v>
      </c>
      <c r="Q160" t="s" s="0">
        <v>90</v>
      </c>
      <c r="R160" t="s" s="0">
        <v>81</v>
      </c>
      <c r="S160" t="s" s="0">
        <v>81</v>
      </c>
      <c r="T160" t="s" s="0">
        <v>81</v>
      </c>
      <c r="U160" t="s" s="0">
        <v>81</v>
      </c>
      <c r="V160" t="s" s="0">
        <v>4034</v>
      </c>
      <c r="W160" t="s" s="0">
        <v>4035</v>
      </c>
      <c r="X160" t="s" s="0">
        <v>81</v>
      </c>
      <c r="Y160" t="s" s="0">
        <v>81</v>
      </c>
      <c r="Z160" t="s" s="0">
        <v>93</v>
      </c>
      <c r="AA160" t="s" s="0">
        <v>94</v>
      </c>
      <c r="AB160" t="s" s="0">
        <v>81</v>
      </c>
      <c r="AC160" t="s" s="0">
        <v>81</v>
      </c>
      <c r="AD160" t="s" s="0">
        <v>81</v>
      </c>
      <c r="AE160" t="s" s="0">
        <v>81</v>
      </c>
      <c r="AF160" t="s" s="0">
        <v>81</v>
      </c>
      <c r="AG160" t="s" s="0">
        <v>4036</v>
      </c>
      <c r="AH160" t="s" s="0">
        <v>4037</v>
      </c>
      <c r="AI160" t="s" s="0">
        <v>4038</v>
      </c>
      <c r="AJ160" t="s" s="0">
        <v>81</v>
      </c>
      <c r="AK160" t="s" s="0">
        <v>81</v>
      </c>
      <c r="AL160" t="s" s="0">
        <v>318</v>
      </c>
      <c r="AM160" t="s" s="0">
        <v>77</v>
      </c>
      <c r="AN160" t="s" s="0">
        <v>77</v>
      </c>
      <c r="AO160" t="s" s="0">
        <v>77</v>
      </c>
      <c r="AP160" t="s" s="0">
        <v>77</v>
      </c>
      <c r="AQ160" t="s" s="0">
        <v>4039</v>
      </c>
      <c r="AR160" t="s" s="0">
        <v>4040</v>
      </c>
      <c r="AS160" t="s" s="0">
        <v>4041</v>
      </c>
      <c r="AT160" t="s" s="0">
        <v>4042</v>
      </c>
      <c r="AU160" t="s" s="0">
        <v>81</v>
      </c>
      <c r="AV160" t="s" s="0">
        <v>81</v>
      </c>
      <c r="AW160" t="s" s="0">
        <v>4043</v>
      </c>
      <c r="AX160" t="s" s="0">
        <v>4044</v>
      </c>
      <c r="AY160" t="s" s="0">
        <v>4045</v>
      </c>
      <c r="AZ160" t="s" s="0">
        <v>104</v>
      </c>
      <c r="BA160" t="s" s="0">
        <v>258</v>
      </c>
      <c r="BB160" t="s" s="0">
        <v>161</v>
      </c>
      <c r="BC160" t="s" s="0">
        <v>81</v>
      </c>
      <c r="BD160" t="s" s="0">
        <v>81</v>
      </c>
      <c r="BE160" t="s" s="0">
        <v>81</v>
      </c>
      <c r="BF160" t="s" s="0">
        <v>81</v>
      </c>
      <c r="BG160" t="s" s="0">
        <v>81</v>
      </c>
      <c r="BH160" t="s" s="0">
        <v>81</v>
      </c>
      <c r="BI160" t="s" s="0">
        <v>4046</v>
      </c>
      <c r="BJ160" t="s" s="0">
        <v>4047</v>
      </c>
      <c r="BK160" t="s" s="316">
        <f>HYPERLINK("http://dx.doi.org/10.4251/wjgo.v18.i7.119847","http://dx.doi.org/10.4251/wjgo.v18.i7.119847")</f>
        <v>4048</v>
      </c>
      <c r="BL160" t="s" s="0">
        <v>81</v>
      </c>
      <c r="BM160" t="s" s="0">
        <v>81</v>
      </c>
      <c r="BN160" t="s" s="0">
        <v>167</v>
      </c>
      <c r="BO160" t="s" s="0">
        <v>4049</v>
      </c>
      <c r="BP160" t="s" s="0">
        <v>4049</v>
      </c>
      <c r="BQ160" t="s" s="0">
        <v>4050</v>
      </c>
      <c r="BR160" t="s" s="0">
        <v>81</v>
      </c>
      <c r="BS160" t="s" s="0">
        <v>4051</v>
      </c>
      <c r="BT160" t="s" s="317">
        <f>HYPERLINK("https://www.webofscience.com/wos/woscc/full-record/WOS:001825347900015","View Record in Web of Science")</f>
        <v>114</v>
      </c>
      <c r="BU160" t="s" s="0">
        <v>115</v>
      </c>
      <c r="BV160" t="s" s="0">
        <v>81</v>
      </c>
      <c r="BW160" t="s" s="0">
        <v>81</v>
      </c>
      <c r="BX160" t="s" s="0">
        <v>116</v>
      </c>
    </row>
    <row r="161">
      <c r="A161" t="s" s="0">
        <v>77</v>
      </c>
      <c r="B161" t="s" s="0">
        <v>77</v>
      </c>
      <c r="C161" t="s" s="0">
        <v>117</v>
      </c>
      <c r="D161" t="s" s="0">
        <v>77</v>
      </c>
      <c r="E161" t="s" s="0">
        <v>4052</v>
      </c>
      <c r="F161" t="s" s="0">
        <v>4053</v>
      </c>
      <c r="G161" t="s" s="0">
        <v>4054</v>
      </c>
      <c r="H161" t="s" s="0">
        <v>81</v>
      </c>
      <c r="I161" t="s" s="0">
        <v>213</v>
      </c>
      <c r="J161" t="s" s="0">
        <v>4055</v>
      </c>
      <c r="K161" t="s" s="0">
        <v>4056</v>
      </c>
      <c r="L161" t="s" s="0">
        <v>4057</v>
      </c>
      <c r="M161" t="s" s="0">
        <v>4058</v>
      </c>
      <c r="N161" t="s" s="0">
        <v>4059</v>
      </c>
      <c r="O161" t="s" s="0">
        <v>4060</v>
      </c>
      <c r="P161" t="s" s="0">
        <v>4061</v>
      </c>
      <c r="Q161" t="s" s="0">
        <v>90</v>
      </c>
      <c r="R161" t="s" s="0">
        <v>81</v>
      </c>
      <c r="S161" t="s" s="0">
        <v>81</v>
      </c>
      <c r="T161" t="s" s="0">
        <v>81</v>
      </c>
      <c r="U161" t="s" s="0">
        <v>81</v>
      </c>
      <c r="V161" t="s" s="0">
        <v>4062</v>
      </c>
      <c r="W161" t="s" s="0">
        <v>873</v>
      </c>
      <c r="X161" t="s" s="0">
        <v>81</v>
      </c>
      <c r="Y161" t="s" s="0">
        <v>81</v>
      </c>
      <c r="Z161" t="s" s="0">
        <v>93</v>
      </c>
      <c r="AA161" t="s" s="0">
        <v>94</v>
      </c>
      <c r="AB161" t="s" s="0">
        <v>81</v>
      </c>
      <c r="AC161" t="s" s="0">
        <v>81</v>
      </c>
      <c r="AD161" t="s" s="0">
        <v>81</v>
      </c>
      <c r="AE161" t="s" s="0">
        <v>81</v>
      </c>
      <c r="AF161" t="s" s="0">
        <v>81</v>
      </c>
      <c r="AG161" t="s" s="0">
        <v>4063</v>
      </c>
      <c r="AH161" t="s" s="0">
        <v>4064</v>
      </c>
      <c r="AI161" t="s" s="0">
        <v>4065</v>
      </c>
      <c r="AJ161" t="s" s="0">
        <v>4066</v>
      </c>
      <c r="AK161" t="s" s="0">
        <v>81</v>
      </c>
      <c r="AL161" t="s" s="0">
        <v>1900</v>
      </c>
      <c r="AM161" t="s" s="0">
        <v>131</v>
      </c>
      <c r="AN161" t="s" s="0">
        <v>131</v>
      </c>
      <c r="AO161" t="s" s="0">
        <v>77</v>
      </c>
      <c r="AP161" t="s" s="0">
        <v>130</v>
      </c>
      <c r="AQ161" t="s" s="0">
        <v>738</v>
      </c>
      <c r="AR161" t="s" s="0">
        <v>306</v>
      </c>
      <c r="AS161" t="s" s="0">
        <v>739</v>
      </c>
      <c r="AT161" t="s" s="0">
        <v>81</v>
      </c>
      <c r="AU161" t="s" s="0">
        <v>879</v>
      </c>
      <c r="AV161" t="s" s="0">
        <v>81</v>
      </c>
      <c r="AW161" t="s" s="0">
        <v>880</v>
      </c>
      <c r="AX161" t="s" s="0">
        <v>881</v>
      </c>
      <c r="AY161" t="s" s="0">
        <v>4067</v>
      </c>
      <c r="AZ161" t="s" s="0">
        <v>573</v>
      </c>
      <c r="BA161" t="s" s="0">
        <v>131</v>
      </c>
      <c r="BB161" t="s" s="0">
        <v>117</v>
      </c>
      <c r="BC161" t="s" s="0">
        <v>81</v>
      </c>
      <c r="BD161" t="s" s="0">
        <v>81</v>
      </c>
      <c r="BE161" t="s" s="0">
        <v>81</v>
      </c>
      <c r="BF161" t="s" s="0">
        <v>81</v>
      </c>
      <c r="BG161" t="s" s="0">
        <v>4068</v>
      </c>
      <c r="BH161" t="s" s="0">
        <v>905</v>
      </c>
      <c r="BI161" t="s" s="0">
        <v>81</v>
      </c>
      <c r="BJ161" t="s" s="0">
        <v>4069</v>
      </c>
      <c r="BK161" t="s" s="318">
        <f>HYPERLINK("http://dx.doi.org/10.1093/ehjdh/ztae081","http://dx.doi.org/10.1093/ehjdh/ztae081")</f>
        <v>4070</v>
      </c>
      <c r="BL161" t="s" s="0">
        <v>81</v>
      </c>
      <c r="BM161" t="s" s="0">
        <v>1798</v>
      </c>
      <c r="BN161" t="s" s="0">
        <v>204</v>
      </c>
      <c r="BO161" t="s" s="0">
        <v>515</v>
      </c>
      <c r="BP161" t="s" s="0">
        <v>516</v>
      </c>
      <c r="BQ161" t="s" s="0">
        <v>4071</v>
      </c>
      <c r="BR161" t="s" s="0">
        <v>4072</v>
      </c>
      <c r="BS161" t="s" s="0">
        <v>4073</v>
      </c>
      <c r="BT161" t="s" s="319">
        <f>HYPERLINK("https://www.webofscience.com/wos/woscc/full-record/WOS:001365507100001","View Record in Web of Science")</f>
        <v>114</v>
      </c>
      <c r="BU161" t="s" s="0">
        <v>145</v>
      </c>
      <c r="BV161" t="s" s="0">
        <v>81</v>
      </c>
      <c r="BW161" t="s" s="0">
        <v>81</v>
      </c>
      <c r="BX161" t="s" s="0">
        <v>116</v>
      </c>
    </row>
    <row r="162">
      <c r="A162" t="s" s="0">
        <v>117</v>
      </c>
      <c r="B162" t="s" s="0">
        <v>77</v>
      </c>
      <c r="C162" t="s" s="0">
        <v>130</v>
      </c>
      <c r="D162" t="s" s="0">
        <v>77</v>
      </c>
      <c r="E162" t="s" s="0">
        <v>4074</v>
      </c>
      <c r="F162" t="s" s="0">
        <v>4075</v>
      </c>
      <c r="G162" t="s" s="0">
        <v>4076</v>
      </c>
      <c r="H162" t="s" s="0">
        <v>81</v>
      </c>
      <c r="I162" t="s" s="0">
        <v>82</v>
      </c>
      <c r="J162" t="s" s="0">
        <v>4077</v>
      </c>
      <c r="K162" t="s" s="0">
        <v>4078</v>
      </c>
      <c r="L162" t="s" s="0">
        <v>4079</v>
      </c>
      <c r="M162" t="s" s="0">
        <v>184</v>
      </c>
      <c r="N162" t="s" s="0">
        <v>1632</v>
      </c>
      <c r="O162" t="s" s="0">
        <v>4080</v>
      </c>
      <c r="P162" t="s" s="0">
        <v>4081</v>
      </c>
      <c r="Q162" t="s" s="0">
        <v>90</v>
      </c>
      <c r="R162" t="s" s="0">
        <v>81</v>
      </c>
      <c r="S162" t="s" s="0">
        <v>81</v>
      </c>
      <c r="T162" t="s" s="0">
        <v>81</v>
      </c>
      <c r="U162" t="s" s="0">
        <v>81</v>
      </c>
      <c r="V162" t="s" s="0">
        <v>4082</v>
      </c>
      <c r="W162" t="s" s="0">
        <v>4083</v>
      </c>
      <c r="X162" t="s" s="0">
        <v>81</v>
      </c>
      <c r="Y162" t="s" s="0">
        <v>81</v>
      </c>
      <c r="Z162" t="s" s="0">
        <v>93</v>
      </c>
      <c r="AA162" t="s" s="0">
        <v>94</v>
      </c>
      <c r="AB162" t="s" s="0">
        <v>81</v>
      </c>
      <c r="AC162" t="s" s="0">
        <v>81</v>
      </c>
      <c r="AD162" t="s" s="0">
        <v>81</v>
      </c>
      <c r="AE162" t="s" s="0">
        <v>81</v>
      </c>
      <c r="AF162" t="s" s="0">
        <v>81</v>
      </c>
      <c r="AG162" t="s" s="0">
        <v>4084</v>
      </c>
      <c r="AH162" t="s" s="0">
        <v>81</v>
      </c>
      <c r="AI162" t="s" s="0">
        <v>4085</v>
      </c>
      <c r="AJ162" t="s" s="0">
        <v>81</v>
      </c>
      <c r="AK162" t="s" s="0">
        <v>81</v>
      </c>
      <c r="AL162" t="s" s="0">
        <v>252</v>
      </c>
      <c r="AM162" t="s" s="0">
        <v>541</v>
      </c>
      <c r="AN162" t="s" s="0">
        <v>345</v>
      </c>
      <c r="AO162" t="s" s="0">
        <v>77</v>
      </c>
      <c r="AP162" t="s" s="0">
        <v>564</v>
      </c>
      <c r="AQ162" t="s" s="0">
        <v>370</v>
      </c>
      <c r="AR162" t="s" s="0">
        <v>1099</v>
      </c>
      <c r="AS162" t="s" s="0">
        <v>1873</v>
      </c>
      <c r="AT162" t="s" s="0">
        <v>4086</v>
      </c>
      <c r="AU162" t="s" s="0">
        <v>81</v>
      </c>
      <c r="AV162" t="s" s="0">
        <v>81</v>
      </c>
      <c r="AW162" t="s" s="0">
        <v>4087</v>
      </c>
      <c r="AX162" t="s" s="0">
        <v>4088</v>
      </c>
      <c r="AY162" t="s" s="0">
        <v>4089</v>
      </c>
      <c r="AZ162" t="s" s="0">
        <v>573</v>
      </c>
      <c r="BA162" t="s" s="0">
        <v>204</v>
      </c>
      <c r="BB162" t="s" s="0">
        <v>117</v>
      </c>
      <c r="BC162" t="s" s="0">
        <v>81</v>
      </c>
      <c r="BD162" t="s" s="0">
        <v>81</v>
      </c>
      <c r="BE162" t="s" s="0">
        <v>81</v>
      </c>
      <c r="BF162" t="s" s="0">
        <v>81</v>
      </c>
      <c r="BG162" t="s" s="0">
        <v>81</v>
      </c>
      <c r="BH162" t="s" s="0">
        <v>81</v>
      </c>
      <c r="BI162" t="s" s="0">
        <v>117</v>
      </c>
      <c r="BJ162" t="s" s="0">
        <v>4090</v>
      </c>
      <c r="BK162" t="s" s="320">
        <f>HYPERLINK("http://dx.doi.org/10.1186/s40658-023-00605-z","http://dx.doi.org/10.1186/s40658-023-00605-z")</f>
        <v>4091</v>
      </c>
      <c r="BL162" t="s" s="0">
        <v>81</v>
      </c>
      <c r="BM162" t="s" s="0">
        <v>81</v>
      </c>
      <c r="BN162" t="s" s="0">
        <v>137</v>
      </c>
      <c r="BO162" t="s" s="0">
        <v>1881</v>
      </c>
      <c r="BP162" t="s" s="0">
        <v>1881</v>
      </c>
      <c r="BQ162" t="s" s="0">
        <v>4092</v>
      </c>
      <c r="BR162" t="s" s="0">
        <v>4093</v>
      </c>
      <c r="BS162" t="s" s="0">
        <v>4094</v>
      </c>
      <c r="BT162" t="s" s="321">
        <f>HYPERLINK("https://www.webofscience.com/wos/woscc/full-record/WOS:001137744900001","View Record in Web of Science")</f>
        <v>114</v>
      </c>
      <c r="BU162" t="s" s="0">
        <v>145</v>
      </c>
      <c r="BV162" t="s" s="0">
        <v>81</v>
      </c>
      <c r="BW162" t="s" s="0">
        <v>81</v>
      </c>
      <c r="BX162" t="s" s="0">
        <v>116</v>
      </c>
    </row>
    <row r="163">
      <c r="A163" t="s" s="0">
        <v>77</v>
      </c>
      <c r="B163" t="s" s="0">
        <v>77</v>
      </c>
      <c r="C163" t="s" s="0">
        <v>77</v>
      </c>
      <c r="D163" t="s" s="0">
        <v>77</v>
      </c>
      <c r="E163" t="s" s="0">
        <v>4095</v>
      </c>
      <c r="F163" t="s" s="0">
        <v>4096</v>
      </c>
      <c r="G163" t="s" s="0">
        <v>4097</v>
      </c>
      <c r="H163" t="s" s="0">
        <v>81</v>
      </c>
      <c r="I163" t="s" s="0">
        <v>213</v>
      </c>
      <c r="J163" t="s" s="0">
        <v>4098</v>
      </c>
      <c r="K163" t="s" s="0">
        <v>4099</v>
      </c>
      <c r="L163" t="s" s="0">
        <v>81</v>
      </c>
      <c r="M163" t="s" s="0">
        <v>81</v>
      </c>
      <c r="N163" t="s" s="0">
        <v>81</v>
      </c>
      <c r="O163" t="s" s="0">
        <v>4100</v>
      </c>
      <c r="P163" t="s" s="0">
        <v>4101</v>
      </c>
      <c r="Q163" t="s" s="0">
        <v>90</v>
      </c>
      <c r="R163" t="s" s="0">
        <v>81</v>
      </c>
      <c r="S163" t="s" s="0">
        <v>81</v>
      </c>
      <c r="T163" t="s" s="0">
        <v>81</v>
      </c>
      <c r="U163" t="s" s="0">
        <v>81</v>
      </c>
      <c r="V163" t="s" s="0">
        <v>4102</v>
      </c>
      <c r="W163" t="s" s="0">
        <v>4103</v>
      </c>
      <c r="X163" t="s" s="0">
        <v>81</v>
      </c>
      <c r="Y163" t="s" s="0">
        <v>81</v>
      </c>
      <c r="Z163" t="s" s="0">
        <v>93</v>
      </c>
      <c r="AA163" t="s" s="0">
        <v>94</v>
      </c>
      <c r="AB163" t="s" s="0">
        <v>81</v>
      </c>
      <c r="AC163" t="s" s="0">
        <v>81</v>
      </c>
      <c r="AD163" t="s" s="0">
        <v>81</v>
      </c>
      <c r="AE163" t="s" s="0">
        <v>81</v>
      </c>
      <c r="AF163" t="s" s="0">
        <v>81</v>
      </c>
      <c r="AG163" t="s" s="0">
        <v>4104</v>
      </c>
      <c r="AH163" t="s" s="0">
        <v>4105</v>
      </c>
      <c r="AI163" t="s" s="0">
        <v>4106</v>
      </c>
      <c r="AJ163" t="s" s="0">
        <v>4107</v>
      </c>
      <c r="AK163" t="s" s="0">
        <v>81</v>
      </c>
      <c r="AL163" t="s" s="0">
        <v>995</v>
      </c>
      <c r="AM163" t="s" s="0">
        <v>131</v>
      </c>
      <c r="AN163" t="s" s="0">
        <v>128</v>
      </c>
      <c r="AO163" t="s" s="0">
        <v>77</v>
      </c>
      <c r="AP163" t="s" s="0">
        <v>129</v>
      </c>
      <c r="AQ163" t="s" s="0">
        <v>476</v>
      </c>
      <c r="AR163" t="s" s="0">
        <v>477</v>
      </c>
      <c r="AS163" t="s" s="0">
        <v>478</v>
      </c>
      <c r="AT163" t="s" s="0">
        <v>81</v>
      </c>
      <c r="AU163" t="s" s="0">
        <v>4108</v>
      </c>
      <c r="AV163" t="s" s="0">
        <v>81</v>
      </c>
      <c r="AW163" t="s" s="0">
        <v>4109</v>
      </c>
      <c r="AX163" t="s" s="0">
        <v>4110</v>
      </c>
      <c r="AY163" t="s" s="0">
        <v>2231</v>
      </c>
      <c r="AZ163" t="s" s="0">
        <v>573</v>
      </c>
      <c r="BA163" t="s" s="0">
        <v>129</v>
      </c>
      <c r="BB163" t="s" s="0">
        <v>226</v>
      </c>
      <c r="BC163" t="s" s="0">
        <v>81</v>
      </c>
      <c r="BD163" t="s" s="0">
        <v>81</v>
      </c>
      <c r="BE163" t="s" s="0">
        <v>81</v>
      </c>
      <c r="BF163" t="s" s="0">
        <v>81</v>
      </c>
      <c r="BG163" t="s" s="0">
        <v>81</v>
      </c>
      <c r="BH163" t="s" s="0">
        <v>81</v>
      </c>
      <c r="BI163" t="s" s="0">
        <v>4111</v>
      </c>
      <c r="BJ163" t="s" s="0">
        <v>4112</v>
      </c>
      <c r="BK163" t="s" s="322">
        <f>HYPERLINK("http://dx.doi.org/10.3390/jimaging10120297","http://dx.doi.org/10.3390/jimaging10120297")</f>
        <v>4113</v>
      </c>
      <c r="BL163" t="s" s="0">
        <v>81</v>
      </c>
      <c r="BM163" t="s" s="0">
        <v>81</v>
      </c>
      <c r="BN163" t="s" s="0">
        <v>475</v>
      </c>
      <c r="BO163" t="s" s="0">
        <v>4114</v>
      </c>
      <c r="BP163" t="s" s="0">
        <v>4114</v>
      </c>
      <c r="BQ163" t="s" s="0">
        <v>4115</v>
      </c>
      <c r="BR163" t="s" s="0">
        <v>4116</v>
      </c>
      <c r="BS163" t="s" s="0">
        <v>4117</v>
      </c>
      <c r="BT163" t="s" s="323">
        <f>HYPERLINK("https://www.webofscience.com/wos/woscc/full-record/WOS:001386965500001","View Record in Web of Science")</f>
        <v>114</v>
      </c>
      <c r="BU163" t="s" s="0">
        <v>145</v>
      </c>
      <c r="BV163" t="s" s="0">
        <v>81</v>
      </c>
      <c r="BW163" t="s" s="0">
        <v>81</v>
      </c>
      <c r="BX163" t="s" s="0">
        <v>116</v>
      </c>
    </row>
    <row r="164">
      <c r="A164" t="s" s="0">
        <v>77</v>
      </c>
      <c r="B164" t="s" s="0">
        <v>77</v>
      </c>
      <c r="C164" t="s" s="0">
        <v>77</v>
      </c>
      <c r="D164" t="s" s="0">
        <v>77</v>
      </c>
      <c r="E164" t="s" s="0">
        <v>4118</v>
      </c>
      <c r="F164" t="s" s="0">
        <v>4119</v>
      </c>
      <c r="G164" t="s" s="0">
        <v>4120</v>
      </c>
      <c r="H164" t="s" s="0">
        <v>81</v>
      </c>
      <c r="I164" t="s" s="0">
        <v>82</v>
      </c>
      <c r="J164" t="s" s="0">
        <v>4121</v>
      </c>
      <c r="K164" t="s" s="0">
        <v>4122</v>
      </c>
      <c r="L164" t="s" s="0">
        <v>4123</v>
      </c>
      <c r="M164" t="s" s="0">
        <v>4124</v>
      </c>
      <c r="N164" t="s" s="0">
        <v>4125</v>
      </c>
      <c r="O164" t="s" s="0">
        <v>4126</v>
      </c>
      <c r="P164" t="s" s="0">
        <v>4127</v>
      </c>
      <c r="Q164" t="s" s="0">
        <v>90</v>
      </c>
      <c r="R164" t="s" s="0">
        <v>81</v>
      </c>
      <c r="S164" t="s" s="0">
        <v>81</v>
      </c>
      <c r="T164" t="s" s="0">
        <v>81</v>
      </c>
      <c r="U164" t="s" s="0">
        <v>81</v>
      </c>
      <c r="V164" t="s" s="0">
        <v>4128</v>
      </c>
      <c r="W164" t="s" s="0">
        <v>271</v>
      </c>
      <c r="X164" t="s" s="0">
        <v>81</v>
      </c>
      <c r="Y164" t="s" s="0">
        <v>81</v>
      </c>
      <c r="Z164" t="s" s="0">
        <v>93</v>
      </c>
      <c r="AA164" t="s" s="0">
        <v>94</v>
      </c>
      <c r="AB164" t="s" s="0">
        <v>81</v>
      </c>
      <c r="AC164" t="s" s="0">
        <v>81</v>
      </c>
      <c r="AD164" t="s" s="0">
        <v>81</v>
      </c>
      <c r="AE164" t="s" s="0">
        <v>81</v>
      </c>
      <c r="AF164" t="s" s="0">
        <v>81</v>
      </c>
      <c r="AG164" t="s" s="0">
        <v>4129</v>
      </c>
      <c r="AH164" t="s" s="0">
        <v>4130</v>
      </c>
      <c r="AI164" t="s" s="0">
        <v>4131</v>
      </c>
      <c r="AJ164" t="s" s="0">
        <v>81</v>
      </c>
      <c r="AK164" t="s" s="0">
        <v>81</v>
      </c>
      <c r="AL164" t="s" s="0">
        <v>451</v>
      </c>
      <c r="AM164" t="s" s="0">
        <v>117</v>
      </c>
      <c r="AN164" t="s" s="0">
        <v>117</v>
      </c>
      <c r="AO164" t="s" s="0">
        <v>225</v>
      </c>
      <c r="AP164" t="s" s="0">
        <v>225</v>
      </c>
      <c r="AQ164" t="s" s="0">
        <v>274</v>
      </c>
      <c r="AR164" t="s" s="0">
        <v>275</v>
      </c>
      <c r="AS164" t="s" s="0">
        <v>276</v>
      </c>
      <c r="AT164" t="s" s="0">
        <v>277</v>
      </c>
      <c r="AU164" t="s" s="0">
        <v>81</v>
      </c>
      <c r="AV164" t="s" s="0">
        <v>81</v>
      </c>
      <c r="AW164" t="s" s="0">
        <v>278</v>
      </c>
      <c r="AX164" t="s" s="0">
        <v>279</v>
      </c>
      <c r="AY164" t="s" s="0">
        <v>4132</v>
      </c>
      <c r="AZ164" t="s" s="0">
        <v>136</v>
      </c>
      <c r="BA164" t="s" s="0">
        <v>172</v>
      </c>
      <c r="BB164" t="s" s="0">
        <v>117</v>
      </c>
      <c r="BC164" t="s" s="0">
        <v>81</v>
      </c>
      <c r="BD164" t="s" s="0">
        <v>81</v>
      </c>
      <c r="BE164" t="s" s="0">
        <v>81</v>
      </c>
      <c r="BF164" t="s" s="0">
        <v>81</v>
      </c>
      <c r="BG164" t="s" s="0">
        <v>81</v>
      </c>
      <c r="BH164" t="s" s="0">
        <v>81</v>
      </c>
      <c r="BI164" t="s" s="0">
        <v>4133</v>
      </c>
      <c r="BJ164" t="s" s="0">
        <v>4134</v>
      </c>
      <c r="BK164" t="s" s="324">
        <f>HYPERLINK("http://dx.doi.org/10.1038/s41598-025-23500-2","http://dx.doi.org/10.1038/s41598-025-23500-2")</f>
        <v>4135</v>
      </c>
      <c r="BL164" t="s" s="0">
        <v>81</v>
      </c>
      <c r="BM164" t="s" s="0">
        <v>81</v>
      </c>
      <c r="BN164" t="s" s="0">
        <v>167</v>
      </c>
      <c r="BO164" t="s" s="0">
        <v>285</v>
      </c>
      <c r="BP164" t="s" s="0">
        <v>286</v>
      </c>
      <c r="BQ164" t="s" s="0">
        <v>4136</v>
      </c>
      <c r="BR164" t="s" s="0">
        <v>4137</v>
      </c>
      <c r="BS164" t="s" s="0">
        <v>4138</v>
      </c>
      <c r="BT164" t="s" s="325">
        <f>HYPERLINK("https://www.webofscience.com/wos/woscc/full-record/WOS:001615622600006","View Record in Web of Science")</f>
        <v>114</v>
      </c>
      <c r="BU164" t="s" s="0">
        <v>145</v>
      </c>
      <c r="BV164" t="s" s="0">
        <v>81</v>
      </c>
      <c r="BW164" t="s" s="0">
        <v>81</v>
      </c>
      <c r="BX164" t="s" s="0">
        <v>116</v>
      </c>
    </row>
    <row r="165">
      <c r="A165" t="s" s="0">
        <v>77</v>
      </c>
      <c r="B165" t="s" s="0">
        <v>77</v>
      </c>
      <c r="C165" t="s" s="0">
        <v>77</v>
      </c>
      <c r="D165" t="s" s="0">
        <v>77</v>
      </c>
      <c r="E165" t="s" s="0">
        <v>4139</v>
      </c>
      <c r="F165" t="s" s="0">
        <v>4140</v>
      </c>
      <c r="G165" t="s" s="0">
        <v>4141</v>
      </c>
      <c r="H165" t="s" s="0">
        <v>81</v>
      </c>
      <c r="I165" t="s" s="0">
        <v>82</v>
      </c>
      <c r="J165" t="s" s="0">
        <v>4142</v>
      </c>
      <c r="K165" t="s" s="0">
        <v>4143</v>
      </c>
      <c r="L165" t="s" s="0">
        <v>4144</v>
      </c>
      <c r="M165" t="s" s="0">
        <v>4145</v>
      </c>
      <c r="N165" t="s" s="0">
        <v>4146</v>
      </c>
      <c r="O165" t="s" s="0">
        <v>4147</v>
      </c>
      <c r="P165" t="s" s="0">
        <v>4148</v>
      </c>
      <c r="Q165" t="s" s="0">
        <v>90</v>
      </c>
      <c r="R165" t="s" s="0">
        <v>81</v>
      </c>
      <c r="S165" t="s" s="0">
        <v>81</v>
      </c>
      <c r="T165" t="s" s="0">
        <v>81</v>
      </c>
      <c r="U165" t="s" s="0">
        <v>81</v>
      </c>
      <c r="V165" t="s" s="0">
        <v>4149</v>
      </c>
      <c r="W165" t="s" s="0">
        <v>4150</v>
      </c>
      <c r="X165" t="s" s="0">
        <v>81</v>
      </c>
      <c r="Y165" t="s" s="0">
        <v>81</v>
      </c>
      <c r="Z165" t="s" s="0">
        <v>93</v>
      </c>
      <c r="AA165" t="s" s="0">
        <v>94</v>
      </c>
      <c r="AB165" t="s" s="0">
        <v>81</v>
      </c>
      <c r="AC165" t="s" s="0">
        <v>81</v>
      </c>
      <c r="AD165" t="s" s="0">
        <v>81</v>
      </c>
      <c r="AE165" t="s" s="0">
        <v>81</v>
      </c>
      <c r="AF165" t="s" s="0">
        <v>81</v>
      </c>
      <c r="AG165" t="s" s="0">
        <v>4151</v>
      </c>
      <c r="AH165" t="s" s="0">
        <v>4152</v>
      </c>
      <c r="AI165" t="s" s="0">
        <v>4153</v>
      </c>
      <c r="AJ165" t="s" s="0">
        <v>4154</v>
      </c>
      <c r="AK165" t="s" s="0">
        <v>81</v>
      </c>
      <c r="AL165" t="s" s="0">
        <v>1900</v>
      </c>
      <c r="AM165" t="s" s="0">
        <v>117</v>
      </c>
      <c r="AN165" t="s" s="0">
        <v>117</v>
      </c>
      <c r="AO165" t="s" s="0">
        <v>225</v>
      </c>
      <c r="AP165" t="s" s="0">
        <v>225</v>
      </c>
      <c r="AQ165" t="s" s="0">
        <v>930</v>
      </c>
      <c r="AR165" t="s" s="0">
        <v>931</v>
      </c>
      <c r="AS165" t="s" s="0">
        <v>932</v>
      </c>
      <c r="AT165" t="s" s="0">
        <v>4155</v>
      </c>
      <c r="AU165" t="s" s="0">
        <v>4156</v>
      </c>
      <c r="AV165" t="s" s="0">
        <v>81</v>
      </c>
      <c r="AW165" t="s" s="0">
        <v>4157</v>
      </c>
      <c r="AX165" t="s" s="0">
        <v>4158</v>
      </c>
      <c r="AY165" t="s" s="0">
        <v>4159</v>
      </c>
      <c r="AZ165" t="s" s="0">
        <v>136</v>
      </c>
      <c r="BA165" t="s" s="0">
        <v>228</v>
      </c>
      <c r="BB165" t="s" s="0">
        <v>253</v>
      </c>
      <c r="BC165" t="s" s="0">
        <v>81</v>
      </c>
      <c r="BD165" t="s" s="0">
        <v>81</v>
      </c>
      <c r="BE165" t="s" s="0">
        <v>81</v>
      </c>
      <c r="BF165" t="s" s="0">
        <v>81</v>
      </c>
      <c r="BG165" t="s" s="0">
        <v>1618</v>
      </c>
      <c r="BH165" t="s" s="0">
        <v>4160</v>
      </c>
      <c r="BI165" t="s" s="0">
        <v>81</v>
      </c>
      <c r="BJ165" t="s" s="0">
        <v>4161</v>
      </c>
      <c r="BK165" t="s" s="326">
        <f>HYPERLINK("http://dx.doi.org/10.1097/eus.0000000000000145","http://dx.doi.org/10.1097/eus.0000000000000145")</f>
        <v>4162</v>
      </c>
      <c r="BL165" t="s" s="0">
        <v>81</v>
      </c>
      <c r="BM165" t="s" s="0">
        <v>81</v>
      </c>
      <c r="BN165" t="s" s="0">
        <v>225</v>
      </c>
      <c r="BO165" t="s" s="0">
        <v>2062</v>
      </c>
      <c r="BP165" t="s" s="0">
        <v>2062</v>
      </c>
      <c r="BQ165" t="s" s="0">
        <v>4163</v>
      </c>
      <c r="BR165" t="s" s="0">
        <v>4164</v>
      </c>
      <c r="BS165" t="s" s="0">
        <v>4165</v>
      </c>
      <c r="BT165" t="s" s="327">
        <f>HYPERLINK("https://www.webofscience.com/wos/woscc/full-record/WOS:001615849600003","View Record in Web of Science")</f>
        <v>114</v>
      </c>
      <c r="BU165" t="s" s="0">
        <v>457</v>
      </c>
      <c r="BV165" t="s" s="0">
        <v>81</v>
      </c>
      <c r="BW165" t="s" s="0">
        <v>81</v>
      </c>
      <c r="BX165" t="s" s="0">
        <v>116</v>
      </c>
    </row>
    <row r="166">
      <c r="A166" t="s" s="0">
        <v>77</v>
      </c>
      <c r="B166" t="s" s="0">
        <v>77</v>
      </c>
      <c r="C166" t="s" s="0">
        <v>77</v>
      </c>
      <c r="D166" t="s" s="0">
        <v>77</v>
      </c>
      <c r="E166" t="s" s="0">
        <v>4166</v>
      </c>
      <c r="F166" t="s" s="0">
        <v>4167</v>
      </c>
      <c r="G166" t="s" s="0">
        <v>4168</v>
      </c>
      <c r="H166" t="s" s="0">
        <v>81</v>
      </c>
      <c r="I166" t="s" s="0">
        <v>82</v>
      </c>
      <c r="J166" t="s" s="0">
        <v>4169</v>
      </c>
      <c r="K166" t="s" s="0">
        <v>4170</v>
      </c>
      <c r="L166" t="s" s="0">
        <v>81</v>
      </c>
      <c r="M166" t="s" s="0">
        <v>81</v>
      </c>
      <c r="N166" t="s" s="0">
        <v>81</v>
      </c>
      <c r="O166" t="s" s="0">
        <v>4171</v>
      </c>
      <c r="P166" t="s" s="0">
        <v>4172</v>
      </c>
      <c r="Q166" t="s" s="0">
        <v>90</v>
      </c>
      <c r="R166" t="s" s="0">
        <v>81</v>
      </c>
      <c r="S166" t="s" s="0">
        <v>81</v>
      </c>
      <c r="T166" t="s" s="0">
        <v>81</v>
      </c>
      <c r="U166" t="s" s="0">
        <v>81</v>
      </c>
      <c r="V166" t="s" s="0">
        <v>4173</v>
      </c>
      <c r="W166" t="s" s="0">
        <v>4174</v>
      </c>
      <c r="X166" t="s" s="0">
        <v>81</v>
      </c>
      <c r="Y166" t="s" s="0">
        <v>81</v>
      </c>
      <c r="Z166" t="s" s="0">
        <v>93</v>
      </c>
      <c r="AA166" t="s" s="0">
        <v>94</v>
      </c>
      <c r="AB166" t="s" s="0">
        <v>81</v>
      </c>
      <c r="AC166" t="s" s="0">
        <v>81</v>
      </c>
      <c r="AD166" t="s" s="0">
        <v>81</v>
      </c>
      <c r="AE166" t="s" s="0">
        <v>81</v>
      </c>
      <c r="AF166" t="s" s="0">
        <v>81</v>
      </c>
      <c r="AG166" t="s" s="0">
        <v>4175</v>
      </c>
      <c r="AH166" t="s" s="0">
        <v>81</v>
      </c>
      <c r="AI166" t="s" s="0">
        <v>81</v>
      </c>
      <c r="AJ166" t="s" s="0">
        <v>81</v>
      </c>
      <c r="AK166" t="s" s="0">
        <v>81</v>
      </c>
      <c r="AL166" t="s" s="0">
        <v>1487</v>
      </c>
      <c r="AM166" t="s" s="0">
        <v>77</v>
      </c>
      <c r="AN166" t="s" s="0">
        <v>117</v>
      </c>
      <c r="AO166" t="s" s="0">
        <v>253</v>
      </c>
      <c r="AP166" t="s" s="0">
        <v>128</v>
      </c>
      <c r="AQ166" t="s" s="0">
        <v>406</v>
      </c>
      <c r="AR166" t="s" s="0">
        <v>407</v>
      </c>
      <c r="AS166" t="s" s="0">
        <v>408</v>
      </c>
      <c r="AT166" t="s" s="0">
        <v>4176</v>
      </c>
      <c r="AU166" t="s" s="0">
        <v>81</v>
      </c>
      <c r="AV166" t="s" s="0">
        <v>81</v>
      </c>
      <c r="AW166" t="s" s="0">
        <v>4177</v>
      </c>
      <c r="AX166" t="s" s="0">
        <v>4178</v>
      </c>
      <c r="AY166" t="s" s="0">
        <v>1880</v>
      </c>
      <c r="AZ166" t="s" s="0">
        <v>136</v>
      </c>
      <c r="BA166" t="s" s="0">
        <v>258</v>
      </c>
      <c r="BB166" t="s" s="0">
        <v>160</v>
      </c>
      <c r="BC166" t="s" s="0">
        <v>81</v>
      </c>
      <c r="BD166" t="s" s="0">
        <v>81</v>
      </c>
      <c r="BE166" t="s" s="0">
        <v>81</v>
      </c>
      <c r="BF166" t="s" s="0">
        <v>81</v>
      </c>
      <c r="BG166" t="s" s="0">
        <v>81</v>
      </c>
      <c r="BH166" t="s" s="0">
        <v>81</v>
      </c>
      <c r="BI166" t="s" s="0">
        <v>4179</v>
      </c>
      <c r="BJ166" t="s" s="0">
        <v>4180</v>
      </c>
      <c r="BK166" t="s" s="328">
        <f>HYPERLINK("http://dx.doi.org/10.1016/j.jrras.2025.101943","http://dx.doi.org/10.1016/j.jrras.2025.101943")</f>
        <v>4181</v>
      </c>
      <c r="BL166" t="s" s="0">
        <v>81</v>
      </c>
      <c r="BM166" t="s" s="0">
        <v>1080</v>
      </c>
      <c r="BN166" t="s" s="0">
        <v>564</v>
      </c>
      <c r="BO166" t="s" s="0">
        <v>4182</v>
      </c>
      <c r="BP166" t="s" s="0">
        <v>4183</v>
      </c>
      <c r="BQ166" t="s" s="0">
        <v>4184</v>
      </c>
      <c r="BR166" t="s" s="0">
        <v>81</v>
      </c>
      <c r="BS166" t="s" s="0">
        <v>4185</v>
      </c>
      <c r="BT166" t="s" s="329">
        <f>HYPERLINK("https://www.webofscience.com/wos/woscc/full-record/WOS:001578971500001","View Record in Web of Science")</f>
        <v>114</v>
      </c>
      <c r="BU166" t="s" s="0">
        <v>115</v>
      </c>
      <c r="BV166" t="s" s="0">
        <v>81</v>
      </c>
      <c r="BW166" t="s" s="0">
        <v>81</v>
      </c>
      <c r="BX166" t="s" s="0">
        <v>116</v>
      </c>
    </row>
    <row r="167">
      <c r="A167" t="s" s="0">
        <v>77</v>
      </c>
      <c r="B167" t="s" s="0">
        <v>77</v>
      </c>
      <c r="C167" t="s" s="0">
        <v>77</v>
      </c>
      <c r="D167" t="s" s="0">
        <v>77</v>
      </c>
      <c r="E167" t="s" s="0">
        <v>4186</v>
      </c>
      <c r="F167" t="s" s="0">
        <v>4187</v>
      </c>
      <c r="G167" t="s" s="0">
        <v>4188</v>
      </c>
      <c r="H167" t="s" s="0">
        <v>81</v>
      </c>
      <c r="I167" t="s" s="0">
        <v>82</v>
      </c>
      <c r="J167" t="s" s="0">
        <v>4189</v>
      </c>
      <c r="K167" t="s" s="0">
        <v>4190</v>
      </c>
      <c r="L167" t="s" s="0">
        <v>81</v>
      </c>
      <c r="M167" t="s" s="0">
        <v>81</v>
      </c>
      <c r="N167" t="s" s="0">
        <v>81</v>
      </c>
      <c r="O167" t="s" s="0">
        <v>4191</v>
      </c>
      <c r="P167" t="s" s="0">
        <v>81</v>
      </c>
      <c r="Q167" t="s" s="0">
        <v>90</v>
      </c>
      <c r="R167" t="s" s="0">
        <v>81</v>
      </c>
      <c r="S167" t="s" s="0">
        <v>81</v>
      </c>
      <c r="T167" t="s" s="0">
        <v>81</v>
      </c>
      <c r="U167" t="s" s="0">
        <v>81</v>
      </c>
      <c r="V167" t="s" s="0">
        <v>4192</v>
      </c>
      <c r="W167" t="s" s="0">
        <v>4193</v>
      </c>
      <c r="X167" t="s" s="0">
        <v>81</v>
      </c>
      <c r="Y167" t="s" s="0">
        <v>81</v>
      </c>
      <c r="Z167" t="s" s="0">
        <v>93</v>
      </c>
      <c r="AA167" t="s" s="0">
        <v>94</v>
      </c>
      <c r="AB167" t="s" s="0">
        <v>81</v>
      </c>
      <c r="AC167" t="s" s="0">
        <v>81</v>
      </c>
      <c r="AD167" t="s" s="0">
        <v>81</v>
      </c>
      <c r="AE167" t="s" s="0">
        <v>81</v>
      </c>
      <c r="AF167" t="s" s="0">
        <v>81</v>
      </c>
      <c r="AG167" t="s" s="0">
        <v>4194</v>
      </c>
      <c r="AH167" t="s" s="0">
        <v>4195</v>
      </c>
      <c r="AI167" t="s" s="0">
        <v>81</v>
      </c>
      <c r="AJ167" t="s" s="0">
        <v>81</v>
      </c>
      <c r="AK167" t="s" s="0">
        <v>81</v>
      </c>
      <c r="AL167" t="s" s="0">
        <v>193</v>
      </c>
      <c r="AM167" t="s" s="0">
        <v>77</v>
      </c>
      <c r="AN167" t="s" s="0">
        <v>77</v>
      </c>
      <c r="AO167" t="s" s="0">
        <v>77</v>
      </c>
      <c r="AP167" t="s" s="0">
        <v>77</v>
      </c>
      <c r="AQ167" t="s" s="0">
        <v>4196</v>
      </c>
      <c r="AR167" t="s" s="0">
        <v>4197</v>
      </c>
      <c r="AS167" t="s" s="0">
        <v>4198</v>
      </c>
      <c r="AT167" t="s" s="0">
        <v>4199</v>
      </c>
      <c r="AU167" t="s" s="0">
        <v>4200</v>
      </c>
      <c r="AV167" t="s" s="0">
        <v>81</v>
      </c>
      <c r="AW167" t="s" s="0">
        <v>4201</v>
      </c>
      <c r="AX167" t="s" s="0">
        <v>4202</v>
      </c>
      <c r="AY167" t="s" s="0">
        <v>2057</v>
      </c>
      <c r="AZ167" t="s" s="0">
        <v>104</v>
      </c>
      <c r="BA167" t="s" s="0">
        <v>3186</v>
      </c>
      <c r="BB167" t="s" s="0">
        <v>128</v>
      </c>
      <c r="BC167" t="s" s="0">
        <v>81</v>
      </c>
      <c r="BD167" t="s" s="0">
        <v>81</v>
      </c>
      <c r="BE167" t="s" s="0">
        <v>81</v>
      </c>
      <c r="BF167" t="s" s="0">
        <v>81</v>
      </c>
      <c r="BG167" t="s" s="0">
        <v>4203</v>
      </c>
      <c r="BH167" t="s" s="0">
        <v>4204</v>
      </c>
      <c r="BI167" t="s" s="0">
        <v>81</v>
      </c>
      <c r="BJ167" t="s" s="0">
        <v>4205</v>
      </c>
      <c r="BK167" t="s" s="330">
        <f>HYPERLINK("http://dx.doi.org/10.3349/ymj.2025.0370","http://dx.doi.org/10.3349/ymj.2025.0370")</f>
        <v>4206</v>
      </c>
      <c r="BL167" t="s" s="0">
        <v>81</v>
      </c>
      <c r="BM167" t="s" s="0">
        <v>81</v>
      </c>
      <c r="BN167" t="s" s="0">
        <v>226</v>
      </c>
      <c r="BO167" t="s" s="0">
        <v>486</v>
      </c>
      <c r="BP167" t="s" s="0">
        <v>487</v>
      </c>
      <c r="BQ167" t="s" s="0">
        <v>4207</v>
      </c>
      <c r="BR167" t="s" s="0">
        <v>81</v>
      </c>
      <c r="BS167" t="s" s="0">
        <v>4208</v>
      </c>
      <c r="BT167" t="s" s="331">
        <f>HYPERLINK("https://www.webofscience.com/wos/woscc/full-record/WOS:001852291100005","View Record in Web of Science")</f>
        <v>114</v>
      </c>
      <c r="BU167" t="s" s="0">
        <v>115</v>
      </c>
      <c r="BV167" t="s" s="0">
        <v>81</v>
      </c>
      <c r="BW167" t="s" s="0">
        <v>81</v>
      </c>
      <c r="BX167" t="s" s="0">
        <v>116</v>
      </c>
    </row>
    <row r="168">
      <c r="A168" t="s" s="0">
        <v>77</v>
      </c>
      <c r="B168" t="s" s="0">
        <v>77</v>
      </c>
      <c r="C168" t="s" s="0">
        <v>77</v>
      </c>
      <c r="D168" t="s" s="0">
        <v>77</v>
      </c>
      <c r="E168" t="s" s="0">
        <v>4209</v>
      </c>
      <c r="F168" t="s" s="0">
        <v>4210</v>
      </c>
      <c r="G168" t="s" s="0">
        <v>4211</v>
      </c>
      <c r="H168" t="s" s="0">
        <v>81</v>
      </c>
      <c r="I168" t="s" s="0">
        <v>213</v>
      </c>
      <c r="J168" t="s" s="0">
        <v>4212</v>
      </c>
      <c r="K168" t="s" s="0">
        <v>4213</v>
      </c>
      <c r="L168" t="s" s="0">
        <v>81</v>
      </c>
      <c r="M168" t="s" s="0">
        <v>81</v>
      </c>
      <c r="N168" t="s" s="0">
        <v>81</v>
      </c>
      <c r="O168" t="s" s="0">
        <v>4214</v>
      </c>
      <c r="P168" t="s" s="0">
        <v>4215</v>
      </c>
      <c r="Q168" t="s" s="0">
        <v>90</v>
      </c>
      <c r="R168" t="s" s="0">
        <v>81</v>
      </c>
      <c r="S168" t="s" s="0">
        <v>81</v>
      </c>
      <c r="T168" t="s" s="0">
        <v>81</v>
      </c>
      <c r="U168" t="s" s="0">
        <v>81</v>
      </c>
      <c r="V168" t="s" s="0">
        <v>4216</v>
      </c>
      <c r="W168" t="s" s="0">
        <v>4217</v>
      </c>
      <c r="X168" t="s" s="0">
        <v>81</v>
      </c>
      <c r="Y168" t="s" s="0">
        <v>81</v>
      </c>
      <c r="Z168" t="s" s="0">
        <v>93</v>
      </c>
      <c r="AA168" t="s" s="0">
        <v>94</v>
      </c>
      <c r="AB168" t="s" s="0">
        <v>81</v>
      </c>
      <c r="AC168" t="s" s="0">
        <v>81</v>
      </c>
      <c r="AD168" t="s" s="0">
        <v>81</v>
      </c>
      <c r="AE168" t="s" s="0">
        <v>81</v>
      </c>
      <c r="AF168" t="s" s="0">
        <v>81</v>
      </c>
      <c r="AG168" t="s" s="0">
        <v>4218</v>
      </c>
      <c r="AH168" t="s" s="0">
        <v>4219</v>
      </c>
      <c r="AI168" t="s" s="0">
        <v>4220</v>
      </c>
      <c r="AJ168" t="s" s="0">
        <v>4221</v>
      </c>
      <c r="AK168" t="s" s="0">
        <v>81</v>
      </c>
      <c r="AL168" t="s" s="0">
        <v>541</v>
      </c>
      <c r="AM168" t="s" s="0">
        <v>227</v>
      </c>
      <c r="AN168" t="s" s="0">
        <v>227</v>
      </c>
      <c r="AO168" t="s" s="0">
        <v>117</v>
      </c>
      <c r="AP168" t="s" s="0">
        <v>130</v>
      </c>
      <c r="AQ168" t="s" s="0">
        <v>738</v>
      </c>
      <c r="AR168" t="s" s="0">
        <v>306</v>
      </c>
      <c r="AS168" t="s" s="0">
        <v>739</v>
      </c>
      <c r="AT168" t="s" s="0">
        <v>81</v>
      </c>
      <c r="AU168" t="s" s="0">
        <v>4222</v>
      </c>
      <c r="AV168" t="s" s="0">
        <v>81</v>
      </c>
      <c r="AW168" t="s" s="0">
        <v>4223</v>
      </c>
      <c r="AX168" t="s" s="0">
        <v>4224</v>
      </c>
      <c r="AY168" t="s" s="0">
        <v>1080</v>
      </c>
      <c r="AZ168" t="s" s="0">
        <v>136</v>
      </c>
      <c r="BA168" t="s" s="0">
        <v>130</v>
      </c>
      <c r="BB168" t="s" s="0">
        <v>253</v>
      </c>
      <c r="BC168" t="s" s="0">
        <v>81</v>
      </c>
      <c r="BD168" t="s" s="0">
        <v>81</v>
      </c>
      <c r="BE168" t="s" s="0">
        <v>81</v>
      </c>
      <c r="BF168" t="s" s="0">
        <v>81</v>
      </c>
      <c r="BG168" t="s" s="0">
        <v>81</v>
      </c>
      <c r="BH168" t="s" s="0">
        <v>81</v>
      </c>
      <c r="BI168" t="s" s="0">
        <v>4225</v>
      </c>
      <c r="BJ168" t="s" s="0">
        <v>4226</v>
      </c>
      <c r="BK168" t="s" s="332">
        <f>HYPERLINK("http://dx.doi.org/10.1093/radadv/umaf035","http://dx.doi.org/10.1093/radadv/umaf035")</f>
        <v>4227</v>
      </c>
      <c r="BL168" t="s" s="0">
        <v>81</v>
      </c>
      <c r="BM168" t="s" s="0">
        <v>81</v>
      </c>
      <c r="BN168" t="s" s="0">
        <v>204</v>
      </c>
      <c r="BO168" t="s" s="0">
        <v>1881</v>
      </c>
      <c r="BP168" t="s" s="0">
        <v>1881</v>
      </c>
      <c r="BQ168" t="s" s="0">
        <v>4228</v>
      </c>
      <c r="BR168" t="s" s="0">
        <v>4229</v>
      </c>
      <c r="BS168" t="s" s="0">
        <v>4230</v>
      </c>
      <c r="BT168" t="s" s="333">
        <f>HYPERLINK("https://www.webofscience.com/wos/woscc/full-record/WOS:001601387300001","View Record in Web of Science")</f>
        <v>114</v>
      </c>
      <c r="BU168" t="s" s="0">
        <v>145</v>
      </c>
      <c r="BV168" t="s" s="0">
        <v>81</v>
      </c>
      <c r="BW168" t="s" s="0">
        <v>81</v>
      </c>
      <c r="BX168" t="s" s="0">
        <v>116</v>
      </c>
    </row>
    <row r="169">
      <c r="A169" t="s" s="0">
        <v>77</v>
      </c>
      <c r="B169" t="s" s="0">
        <v>77</v>
      </c>
      <c r="C169" t="s" s="0">
        <v>77</v>
      </c>
      <c r="D169" t="s" s="0">
        <v>77</v>
      </c>
      <c r="E169" t="s" s="0">
        <v>4231</v>
      </c>
      <c r="F169" t="s" s="0">
        <v>4232</v>
      </c>
      <c r="G169" t="s" s="0">
        <v>4233</v>
      </c>
      <c r="H169" t="s" s="0">
        <v>81</v>
      </c>
      <c r="I169" t="s" s="0">
        <v>213</v>
      </c>
      <c r="J169" t="s" s="0">
        <v>4234</v>
      </c>
      <c r="K169" t="s" s="0">
        <v>4235</v>
      </c>
      <c r="L169" t="s" s="0">
        <v>4236</v>
      </c>
      <c r="M169" t="s" s="0">
        <v>4237</v>
      </c>
      <c r="N169" t="s" s="0">
        <v>4238</v>
      </c>
      <c r="O169" t="s" s="0">
        <v>4239</v>
      </c>
      <c r="P169" t="s" s="0">
        <v>4240</v>
      </c>
      <c r="Q169" t="s" s="0">
        <v>90</v>
      </c>
      <c r="R169" t="s" s="0">
        <v>81</v>
      </c>
      <c r="S169" t="s" s="0">
        <v>81</v>
      </c>
      <c r="T169" t="s" s="0">
        <v>81</v>
      </c>
      <c r="U169" t="s" s="0">
        <v>81</v>
      </c>
      <c r="V169" t="s" s="0">
        <v>4241</v>
      </c>
      <c r="W169" t="s" s="0">
        <v>4242</v>
      </c>
      <c r="X169" t="s" s="0">
        <v>81</v>
      </c>
      <c r="Y169" t="s" s="0">
        <v>81</v>
      </c>
      <c r="Z169" t="s" s="0">
        <v>93</v>
      </c>
      <c r="AA169" t="s" s="0">
        <v>94</v>
      </c>
      <c r="AB169" t="s" s="0">
        <v>81</v>
      </c>
      <c r="AC169" t="s" s="0">
        <v>81</v>
      </c>
      <c r="AD169" t="s" s="0">
        <v>81</v>
      </c>
      <c r="AE169" t="s" s="0">
        <v>81</v>
      </c>
      <c r="AF169" t="s" s="0">
        <v>81</v>
      </c>
      <c r="AG169" t="s" s="0">
        <v>4243</v>
      </c>
      <c r="AH169" t="s" s="0">
        <v>4244</v>
      </c>
      <c r="AI169" t="s" s="0">
        <v>81</v>
      </c>
      <c r="AJ169" t="s" s="0">
        <v>4245</v>
      </c>
      <c r="AK169" t="s" s="0">
        <v>81</v>
      </c>
      <c r="AL169" t="s" s="0">
        <v>1538</v>
      </c>
      <c r="AM169" t="s" s="0">
        <v>77</v>
      </c>
      <c r="AN169" t="s" s="0">
        <v>77</v>
      </c>
      <c r="AO169" t="s" s="0">
        <v>117</v>
      </c>
      <c r="AP169" t="s" s="0">
        <v>117</v>
      </c>
      <c r="AQ169" t="s" s="0">
        <v>4246</v>
      </c>
      <c r="AR169" t="s" s="0">
        <v>4247</v>
      </c>
      <c r="AS169" t="s" s="0">
        <v>4248</v>
      </c>
      <c r="AT169" t="s" s="0">
        <v>4249</v>
      </c>
      <c r="AU169" t="s" s="0">
        <v>4250</v>
      </c>
      <c r="AV169" t="s" s="0">
        <v>81</v>
      </c>
      <c r="AW169" t="s" s="0">
        <v>4251</v>
      </c>
      <c r="AX169" t="s" s="0">
        <v>4252</v>
      </c>
      <c r="AY169" t="s" s="0">
        <v>104</v>
      </c>
      <c r="AZ169" t="s" s="0">
        <v>104</v>
      </c>
      <c r="BA169" t="s" s="0">
        <v>405</v>
      </c>
      <c r="BB169" t="s" s="0">
        <v>117</v>
      </c>
      <c r="BC169" t="s" s="0">
        <v>81</v>
      </c>
      <c r="BD169" t="s" s="0">
        <v>81</v>
      </c>
      <c r="BE169" t="s" s="0">
        <v>81</v>
      </c>
      <c r="BF169" t="s" s="0">
        <v>81</v>
      </c>
      <c r="BG169" t="s" s="0">
        <v>81</v>
      </c>
      <c r="BH169" t="s" s="0">
        <v>81</v>
      </c>
      <c r="BI169" t="s" s="0">
        <v>4253</v>
      </c>
      <c r="BJ169" t="s" s="0">
        <v>4254</v>
      </c>
      <c r="BK169" t="s" s="334">
        <f>HYPERLINK("http://dx.doi.org/10.59400/adecp3902","http://dx.doi.org/10.59400/adecp3902")</f>
        <v>4255</v>
      </c>
      <c r="BL169" t="s" s="0">
        <v>81</v>
      </c>
      <c r="BM169" t="s" s="0">
        <v>81</v>
      </c>
      <c r="BN169" t="s" s="0">
        <v>105</v>
      </c>
      <c r="BO169" t="s" s="0">
        <v>4256</v>
      </c>
      <c r="BP169" t="s" s="0">
        <v>3147</v>
      </c>
      <c r="BQ169" t="s" s="0">
        <v>4257</v>
      </c>
      <c r="BR169" t="s" s="0">
        <v>81</v>
      </c>
      <c r="BS169" t="s" s="0">
        <v>4258</v>
      </c>
      <c r="BT169" t="s" s="335">
        <f>HYPERLINK("https://www.webofscience.com/wos/woscc/full-record/WOS:001735341000002","View Record in Web of Science")</f>
        <v>114</v>
      </c>
      <c r="BU169" t="s" s="0">
        <v>804</v>
      </c>
      <c r="BV169" t="s" s="0">
        <v>81</v>
      </c>
      <c r="BW169" t="s" s="0">
        <v>81</v>
      </c>
      <c r="BX169" t="s" s="0">
        <v>116</v>
      </c>
    </row>
    <row r="170">
      <c r="A170" t="s" s="0">
        <v>77</v>
      </c>
      <c r="B170" t="s" s="0">
        <v>77</v>
      </c>
      <c r="C170" t="s" s="0">
        <v>117</v>
      </c>
      <c r="D170" t="s" s="0">
        <v>77</v>
      </c>
      <c r="E170" t="s" s="0">
        <v>4259</v>
      </c>
      <c r="F170" t="s" s="0">
        <v>4260</v>
      </c>
      <c r="G170" t="s" s="0">
        <v>4261</v>
      </c>
      <c r="H170" t="s" s="0">
        <v>81</v>
      </c>
      <c r="I170" t="s" s="0">
        <v>2702</v>
      </c>
      <c r="J170" t="s" s="0">
        <v>4262</v>
      </c>
      <c r="K170" t="s" s="0">
        <v>4263</v>
      </c>
      <c r="L170" t="s" s="0">
        <v>4264</v>
      </c>
      <c r="M170" t="s" s="0">
        <v>4265</v>
      </c>
      <c r="N170" t="s" s="0">
        <v>4266</v>
      </c>
      <c r="O170" t="s" s="0">
        <v>4267</v>
      </c>
      <c r="P170" t="s" s="0">
        <v>4268</v>
      </c>
      <c r="Q170" t="s" s="0">
        <v>90</v>
      </c>
      <c r="R170" t="s" s="0">
        <v>81</v>
      </c>
      <c r="S170" t="s" s="0">
        <v>81</v>
      </c>
      <c r="T170" t="s" s="0">
        <v>81</v>
      </c>
      <c r="U170" t="s" s="0">
        <v>81</v>
      </c>
      <c r="V170" t="s" s="0">
        <v>4269</v>
      </c>
      <c r="W170" t="s" s="0">
        <v>3307</v>
      </c>
      <c r="X170" t="s" s="0">
        <v>81</v>
      </c>
      <c r="Y170" t="s" s="0">
        <v>81</v>
      </c>
      <c r="Z170" t="s" s="0">
        <v>93</v>
      </c>
      <c r="AA170" t="s" s="0">
        <v>94</v>
      </c>
      <c r="AB170" t="s" s="0">
        <v>81</v>
      </c>
      <c r="AC170" t="s" s="0">
        <v>81</v>
      </c>
      <c r="AD170" t="s" s="0">
        <v>81</v>
      </c>
      <c r="AE170" t="s" s="0">
        <v>81</v>
      </c>
      <c r="AF170" t="s" s="0">
        <v>81</v>
      </c>
      <c r="AG170" t="s" s="0">
        <v>4270</v>
      </c>
      <c r="AH170" t="s" s="0">
        <v>4271</v>
      </c>
      <c r="AI170" t="s" s="0">
        <v>81</v>
      </c>
      <c r="AJ170" t="s" s="0">
        <v>4272</v>
      </c>
      <c r="AK170" t="s" s="0">
        <v>81</v>
      </c>
      <c r="AL170" t="s" s="0">
        <v>846</v>
      </c>
      <c r="AM170" t="s" s="0">
        <v>130</v>
      </c>
      <c r="AN170" t="s" s="0">
        <v>130</v>
      </c>
      <c r="AO170" t="s" s="0">
        <v>77</v>
      </c>
      <c r="AP170" t="s" s="0">
        <v>137</v>
      </c>
      <c r="AQ170" t="s" s="0">
        <v>97</v>
      </c>
      <c r="AR170" t="s" s="0">
        <v>98</v>
      </c>
      <c r="AS170" t="s" s="0">
        <v>99</v>
      </c>
      <c r="AT170" t="s" s="0">
        <v>81</v>
      </c>
      <c r="AU170" t="s" s="0">
        <v>3311</v>
      </c>
      <c r="AV170" t="s" s="0">
        <v>81</v>
      </c>
      <c r="AW170" t="s" s="0">
        <v>3312</v>
      </c>
      <c r="AX170" t="s" s="0">
        <v>3313</v>
      </c>
      <c r="AY170" t="s" s="0">
        <v>4273</v>
      </c>
      <c r="AZ170" t="s" s="0">
        <v>482</v>
      </c>
      <c r="BA170" t="s" s="0">
        <v>129</v>
      </c>
      <c r="BB170" t="s" s="0">
        <v>81</v>
      </c>
      <c r="BC170" t="s" s="0">
        <v>81</v>
      </c>
      <c r="BD170" t="s" s="0">
        <v>81</v>
      </c>
      <c r="BE170" t="s" s="0">
        <v>81</v>
      </c>
      <c r="BF170" t="s" s="0">
        <v>81</v>
      </c>
      <c r="BG170" t="s" s="0">
        <v>81</v>
      </c>
      <c r="BH170" t="s" s="0">
        <v>81</v>
      </c>
      <c r="BI170" t="s" s="0">
        <v>4274</v>
      </c>
      <c r="BJ170" t="s" s="0">
        <v>4275</v>
      </c>
      <c r="BK170" t="s" s="336">
        <f>HYPERLINK("http://dx.doi.org/10.3389/fpubh.2022.982289","http://dx.doi.org/10.3389/fpubh.2022.982289")</f>
        <v>4276</v>
      </c>
      <c r="BL170" t="s" s="0">
        <v>81</v>
      </c>
      <c r="BM170" t="s" s="0">
        <v>81</v>
      </c>
      <c r="BN170" t="s" s="0">
        <v>172</v>
      </c>
      <c r="BO170" t="s" s="0">
        <v>3318</v>
      </c>
      <c r="BP170" t="s" s="0">
        <v>3318</v>
      </c>
      <c r="BQ170" t="s" s="0">
        <v>4277</v>
      </c>
      <c r="BR170" t="s" s="0">
        <v>4278</v>
      </c>
      <c r="BS170" t="s" s="0">
        <v>4279</v>
      </c>
      <c r="BT170" t="s" s="337">
        <f>HYPERLINK("https://www.webofscience.com/wos/woscc/full-record/WOS:000893969800001","View Record in Web of Science")</f>
        <v>114</v>
      </c>
      <c r="BU170" t="s" s="0">
        <v>145</v>
      </c>
      <c r="BV170" t="s" s="0">
        <v>81</v>
      </c>
      <c r="BW170" t="s" s="0">
        <v>81</v>
      </c>
      <c r="BX170" t="s" s="0">
        <v>116</v>
      </c>
    </row>
    <row r="171">
      <c r="A171" t="s" s="0">
        <v>77</v>
      </c>
      <c r="B171" t="s" s="0">
        <v>77</v>
      </c>
      <c r="C171" t="s" s="0">
        <v>77</v>
      </c>
      <c r="D171" t="s" s="0">
        <v>77</v>
      </c>
      <c r="E171" t="s" s="0">
        <v>4280</v>
      </c>
      <c r="F171" t="s" s="0">
        <v>4281</v>
      </c>
      <c r="G171" t="s" s="0">
        <v>4282</v>
      </c>
      <c r="H171" t="s" s="0">
        <v>81</v>
      </c>
      <c r="I171" t="s" s="0">
        <v>82</v>
      </c>
      <c r="J171" t="s" s="0">
        <v>4283</v>
      </c>
      <c r="K171" t="s" s="0">
        <v>4284</v>
      </c>
      <c r="L171" t="s" s="0">
        <v>4285</v>
      </c>
      <c r="M171" t="s" s="0">
        <v>4286</v>
      </c>
      <c r="N171" t="s" s="0">
        <v>4287</v>
      </c>
      <c r="O171" t="s" s="0">
        <v>4288</v>
      </c>
      <c r="P171" t="s" s="0">
        <v>81</v>
      </c>
      <c r="Q171" t="s" s="0">
        <v>90</v>
      </c>
      <c r="R171" t="s" s="0">
        <v>81</v>
      </c>
      <c r="S171" t="s" s="0">
        <v>81</v>
      </c>
      <c r="T171" t="s" s="0">
        <v>81</v>
      </c>
      <c r="U171" t="s" s="0">
        <v>81</v>
      </c>
      <c r="V171" t="s" s="0">
        <v>4289</v>
      </c>
      <c r="W171" t="s" s="0">
        <v>4290</v>
      </c>
      <c r="X171" t="s" s="0">
        <v>81</v>
      </c>
      <c r="Y171" t="s" s="0">
        <v>81</v>
      </c>
      <c r="Z171" t="s" s="0">
        <v>93</v>
      </c>
      <c r="AA171" t="s" s="0">
        <v>94</v>
      </c>
      <c r="AB171" t="s" s="0">
        <v>81</v>
      </c>
      <c r="AC171" t="s" s="0">
        <v>81</v>
      </c>
      <c r="AD171" t="s" s="0">
        <v>81</v>
      </c>
      <c r="AE171" t="s" s="0">
        <v>81</v>
      </c>
      <c r="AF171" t="s" s="0">
        <v>81</v>
      </c>
      <c r="AG171" t="s" s="0">
        <v>4291</v>
      </c>
      <c r="AH171" t="s" s="0">
        <v>4292</v>
      </c>
      <c r="AI171" t="s" s="0">
        <v>4293</v>
      </c>
      <c r="AJ171" t="s" s="0">
        <v>81</v>
      </c>
      <c r="AK171" t="s" s="0">
        <v>81</v>
      </c>
      <c r="AL171" t="s" s="0">
        <v>1097</v>
      </c>
      <c r="AM171" t="s" s="0">
        <v>130</v>
      </c>
      <c r="AN171" t="s" s="0">
        <v>130</v>
      </c>
      <c r="AO171" t="s" s="0">
        <v>130</v>
      </c>
      <c r="AP171" t="s" s="0">
        <v>128</v>
      </c>
      <c r="AQ171" t="s" s="0">
        <v>4294</v>
      </c>
      <c r="AR171" t="s" s="0">
        <v>4295</v>
      </c>
      <c r="AS171" t="s" s="0">
        <v>4296</v>
      </c>
      <c r="AT171" t="s" s="0">
        <v>4297</v>
      </c>
      <c r="AU171" t="s" s="0">
        <v>81</v>
      </c>
      <c r="AV171" t="s" s="0">
        <v>81</v>
      </c>
      <c r="AW171" t="s" s="0">
        <v>4298</v>
      </c>
      <c r="AX171" t="s" s="0">
        <v>4299</v>
      </c>
      <c r="AY171" t="s" s="0">
        <v>573</v>
      </c>
      <c r="AZ171" t="s" s="0">
        <v>573</v>
      </c>
      <c r="BA171" t="s" s="0">
        <v>137</v>
      </c>
      <c r="BB171" t="s" s="0">
        <v>81</v>
      </c>
      <c r="BC171" t="s" s="0">
        <v>81</v>
      </c>
      <c r="BD171" t="s" s="0">
        <v>81</v>
      </c>
      <c r="BE171" t="s" s="0">
        <v>81</v>
      </c>
      <c r="BF171" t="s" s="0">
        <v>81</v>
      </c>
      <c r="BG171" t="s" s="0">
        <v>4300</v>
      </c>
      <c r="BH171" t="s" s="0">
        <v>4301</v>
      </c>
      <c r="BI171" t="s" s="0">
        <v>81</v>
      </c>
      <c r="BJ171" t="s" s="0">
        <v>4302</v>
      </c>
      <c r="BK171" t="s" s="338">
        <f>HYPERLINK("http://dx.doi.org/10.2147/CMAR.S467400","http://dx.doi.org/10.2147/CMAR.S467400")</f>
        <v>4303</v>
      </c>
      <c r="BL171" t="s" s="0">
        <v>81</v>
      </c>
      <c r="BM171" t="s" s="0">
        <v>81</v>
      </c>
      <c r="BN171" t="s" s="0">
        <v>167</v>
      </c>
      <c r="BO171" t="s" s="0">
        <v>939</v>
      </c>
      <c r="BP171" t="s" s="0">
        <v>939</v>
      </c>
      <c r="BQ171" t="s" s="0">
        <v>4304</v>
      </c>
      <c r="BR171" t="s" s="0">
        <v>4305</v>
      </c>
      <c r="BS171" t="s" s="0">
        <v>4306</v>
      </c>
      <c r="BT171" t="s" s="339">
        <f>HYPERLINK("https://www.webofscience.com/wos/woscc/full-record/WOS:001267227800001","View Record in Web of Science")</f>
        <v>114</v>
      </c>
      <c r="BU171" t="s" s="0">
        <v>145</v>
      </c>
      <c r="BV171" t="s" s="0">
        <v>81</v>
      </c>
      <c r="BW171" t="s" s="0">
        <v>81</v>
      </c>
      <c r="BX171" t="s" s="0">
        <v>116</v>
      </c>
    </row>
    <row r="172">
      <c r="A172" t="s" s="0">
        <v>77</v>
      </c>
      <c r="B172" t="s" s="0">
        <v>77</v>
      </c>
      <c r="C172" t="s" s="0">
        <v>1421</v>
      </c>
      <c r="D172" t="s" s="0">
        <v>77</v>
      </c>
      <c r="E172" t="s" s="0">
        <v>4307</v>
      </c>
      <c r="F172" t="s" s="0">
        <v>4308</v>
      </c>
      <c r="G172" t="s" s="0">
        <v>4309</v>
      </c>
      <c r="H172" t="s" s="0">
        <v>81</v>
      </c>
      <c r="I172" t="s" s="0">
        <v>82</v>
      </c>
      <c r="J172" t="s" s="0">
        <v>4310</v>
      </c>
      <c r="K172" t="s" s="0">
        <v>4311</v>
      </c>
      <c r="L172" t="s" s="0">
        <v>4312</v>
      </c>
      <c r="M172" t="s" s="0">
        <v>4312</v>
      </c>
      <c r="N172" t="s" s="0">
        <v>4313</v>
      </c>
      <c r="O172" t="s" s="0">
        <v>4314</v>
      </c>
      <c r="P172" t="s" s="0">
        <v>4315</v>
      </c>
      <c r="Q172" t="s" s="0">
        <v>90</v>
      </c>
      <c r="R172" t="s" s="0">
        <v>81</v>
      </c>
      <c r="S172" t="s" s="0">
        <v>81</v>
      </c>
      <c r="T172" t="s" s="0">
        <v>81</v>
      </c>
      <c r="U172" t="s" s="0">
        <v>81</v>
      </c>
      <c r="V172" t="s" s="0">
        <v>4316</v>
      </c>
      <c r="W172" t="s" s="0">
        <v>1335</v>
      </c>
      <c r="X172" t="s" s="0">
        <v>81</v>
      </c>
      <c r="Y172" t="s" s="0">
        <v>81</v>
      </c>
      <c r="Z172" t="s" s="0">
        <v>93</v>
      </c>
      <c r="AA172" t="s" s="0">
        <v>94</v>
      </c>
      <c r="AB172" t="s" s="0">
        <v>81</v>
      </c>
      <c r="AC172" t="s" s="0">
        <v>81</v>
      </c>
      <c r="AD172" t="s" s="0">
        <v>81</v>
      </c>
      <c r="AE172" t="s" s="0">
        <v>81</v>
      </c>
      <c r="AF172" t="s" s="0">
        <v>81</v>
      </c>
      <c r="AG172" t="s" s="0">
        <v>4317</v>
      </c>
      <c r="AH172" t="s" s="0">
        <v>4318</v>
      </c>
      <c r="AI172" t="s" s="0">
        <v>4319</v>
      </c>
      <c r="AJ172" t="s" s="0">
        <v>81</v>
      </c>
      <c r="AK172" t="s" s="0">
        <v>81</v>
      </c>
      <c r="AL172" t="s" s="0">
        <v>4320</v>
      </c>
      <c r="AM172" t="s" s="0">
        <v>1797</v>
      </c>
      <c r="AN172" t="s" s="0">
        <v>4321</v>
      </c>
      <c r="AO172" t="s" s="0">
        <v>161</v>
      </c>
      <c r="AP172" t="s" s="0">
        <v>1097</v>
      </c>
      <c r="AQ172" t="s" s="0">
        <v>370</v>
      </c>
      <c r="AR172" t="s" s="0">
        <v>371</v>
      </c>
      <c r="AS172" t="s" s="0">
        <v>372</v>
      </c>
      <c r="AT172" t="s" s="0">
        <v>1341</v>
      </c>
      <c r="AU172" t="s" s="0">
        <v>1342</v>
      </c>
      <c r="AV172" t="s" s="0">
        <v>81</v>
      </c>
      <c r="AW172" t="s" s="0">
        <v>1343</v>
      </c>
      <c r="AX172" t="s" s="0">
        <v>1344</v>
      </c>
      <c r="AY172" t="s" s="0">
        <v>4322</v>
      </c>
      <c r="AZ172" t="s" s="0">
        <v>573</v>
      </c>
      <c r="BA172" t="s" s="0">
        <v>990</v>
      </c>
      <c r="BB172" t="s" s="0">
        <v>226</v>
      </c>
      <c r="BC172" t="s" s="0">
        <v>81</v>
      </c>
      <c r="BD172" t="s" s="0">
        <v>81</v>
      </c>
      <c r="BE172" t="s" s="0">
        <v>81</v>
      </c>
      <c r="BF172" t="s" s="0">
        <v>81</v>
      </c>
      <c r="BG172" t="s" s="0">
        <v>81</v>
      </c>
      <c r="BH172" t="s" s="0">
        <v>81</v>
      </c>
      <c r="BI172" t="s" s="0">
        <v>4323</v>
      </c>
      <c r="BJ172" t="s" s="0">
        <v>4324</v>
      </c>
      <c r="BK172" t="s" s="340">
        <f>HYPERLINK("http://dx.doi.org/10.1007/s10462-024-10984-z","http://dx.doi.org/10.1007/s10462-024-10984-z")</f>
        <v>4325</v>
      </c>
      <c r="BL172" t="s" s="0">
        <v>81</v>
      </c>
      <c r="BM172" t="s" s="0">
        <v>81</v>
      </c>
      <c r="BN172" t="s" s="0">
        <v>705</v>
      </c>
      <c r="BO172" t="s" s="0">
        <v>1351</v>
      </c>
      <c r="BP172" t="s" s="0">
        <v>420</v>
      </c>
      <c r="BQ172" t="s" s="0">
        <v>4326</v>
      </c>
      <c r="BR172" t="s" s="0">
        <v>81</v>
      </c>
      <c r="BS172" t="s" s="0">
        <v>4327</v>
      </c>
      <c r="BT172" t="s" s="341">
        <f>HYPERLINK("https://www.webofscience.com/wos/woscc/full-record/WOS:001336421600004","View Record in Web of Science")</f>
        <v>114</v>
      </c>
      <c r="BU172" t="s" s="0">
        <v>804</v>
      </c>
      <c r="BV172" t="s" s="0">
        <v>915</v>
      </c>
      <c r="BW172" t="s" s="0">
        <v>916</v>
      </c>
      <c r="BX172" t="s" s="0">
        <v>116</v>
      </c>
    </row>
    <row r="173">
      <c r="A173" t="s" s="0">
        <v>77</v>
      </c>
      <c r="B173" t="s" s="0">
        <v>77</v>
      </c>
      <c r="C173" t="s" s="0">
        <v>77</v>
      </c>
      <c r="D173" t="s" s="0">
        <v>77</v>
      </c>
      <c r="E173" t="s" s="0">
        <v>4328</v>
      </c>
      <c r="F173" t="s" s="0">
        <v>4329</v>
      </c>
      <c r="G173" t="s" s="0">
        <v>4330</v>
      </c>
      <c r="H173" t="s" s="0">
        <v>81</v>
      </c>
      <c r="I173" t="s" s="0">
        <v>82</v>
      </c>
      <c r="J173" t="s" s="0">
        <v>4331</v>
      </c>
      <c r="K173" t="s" s="0">
        <v>4332</v>
      </c>
      <c r="L173" t="s" s="0">
        <v>81</v>
      </c>
      <c r="M173" t="s" s="0">
        <v>81</v>
      </c>
      <c r="N173" t="s" s="0">
        <v>81</v>
      </c>
      <c r="O173" t="s" s="0">
        <v>4333</v>
      </c>
      <c r="P173" t="s" s="0">
        <v>4334</v>
      </c>
      <c r="Q173" t="s" s="0">
        <v>90</v>
      </c>
      <c r="R173" t="s" s="0">
        <v>81</v>
      </c>
      <c r="S173" t="s" s="0">
        <v>81</v>
      </c>
      <c r="T173" t="s" s="0">
        <v>81</v>
      </c>
      <c r="U173" t="s" s="0">
        <v>81</v>
      </c>
      <c r="V173" t="s" s="0">
        <v>4335</v>
      </c>
      <c r="W173" t="s" s="0">
        <v>4336</v>
      </c>
      <c r="X173" t="s" s="0">
        <v>81</v>
      </c>
      <c r="Y173" t="s" s="0">
        <v>81</v>
      </c>
      <c r="Z173" t="s" s="0">
        <v>93</v>
      </c>
      <c r="AA173" t="s" s="0">
        <v>94</v>
      </c>
      <c r="AB173" t="s" s="0">
        <v>81</v>
      </c>
      <c r="AC173" t="s" s="0">
        <v>81</v>
      </c>
      <c r="AD173" t="s" s="0">
        <v>81</v>
      </c>
      <c r="AE173" t="s" s="0">
        <v>81</v>
      </c>
      <c r="AF173" t="s" s="0">
        <v>81</v>
      </c>
      <c r="AG173" t="s" s="0">
        <v>4337</v>
      </c>
      <c r="AH173" t="s" s="0">
        <v>4338</v>
      </c>
      <c r="AI173" t="s" s="0">
        <v>4339</v>
      </c>
      <c r="AJ173" t="s" s="0">
        <v>4340</v>
      </c>
      <c r="AK173" t="s" s="0">
        <v>81</v>
      </c>
      <c r="AL173" t="s" s="0">
        <v>705</v>
      </c>
      <c r="AM173" t="s" s="0">
        <v>225</v>
      </c>
      <c r="AN173" t="s" s="0">
        <v>225</v>
      </c>
      <c r="AO173" t="s" s="0">
        <v>77</v>
      </c>
      <c r="AP173" t="s" s="0">
        <v>226</v>
      </c>
      <c r="AQ173" t="s" s="0">
        <v>162</v>
      </c>
      <c r="AR173" t="s" s="0">
        <v>163</v>
      </c>
      <c r="AS173" t="s" s="0">
        <v>164</v>
      </c>
      <c r="AT173" t="s" s="0">
        <v>4341</v>
      </c>
      <c r="AU173" t="s" s="0">
        <v>4342</v>
      </c>
      <c r="AV173" t="s" s="0">
        <v>81</v>
      </c>
      <c r="AW173" t="s" s="0">
        <v>4343</v>
      </c>
      <c r="AX173" t="s" s="0">
        <v>4344</v>
      </c>
      <c r="AY173" t="s" s="0">
        <v>1798</v>
      </c>
      <c r="AZ173" t="s" s="0">
        <v>573</v>
      </c>
      <c r="BA173" t="s" s="0">
        <v>562</v>
      </c>
      <c r="BB173" t="s" s="0">
        <v>204</v>
      </c>
      <c r="BC173" t="s" s="0">
        <v>81</v>
      </c>
      <c r="BD173" t="s" s="0">
        <v>81</v>
      </c>
      <c r="BE173" t="s" s="0">
        <v>81</v>
      </c>
      <c r="BF173" t="s" s="0">
        <v>81</v>
      </c>
      <c r="BG173" t="s" s="0">
        <v>4345</v>
      </c>
      <c r="BH173" t="s" s="0">
        <v>4346</v>
      </c>
      <c r="BI173" t="s" s="0">
        <v>81</v>
      </c>
      <c r="BJ173" t="s" s="0">
        <v>4347</v>
      </c>
      <c r="BK173" t="s" s="342">
        <f>HYPERLINK("http://dx.doi.org/10.1109/TNNLS.2023.3290188","http://dx.doi.org/10.1109/TNNLS.2023.3290188")</f>
        <v>4348</v>
      </c>
      <c r="BL173" t="s" s="0">
        <v>81</v>
      </c>
      <c r="BM173" t="s" s="0">
        <v>2463</v>
      </c>
      <c r="BN173" t="s" s="0">
        <v>167</v>
      </c>
      <c r="BO173" t="s" s="0">
        <v>4349</v>
      </c>
      <c r="BP173" t="s" s="0">
        <v>206</v>
      </c>
      <c r="BQ173" t="s" s="0">
        <v>4350</v>
      </c>
      <c r="BR173" t="s" s="0">
        <v>4351</v>
      </c>
      <c r="BS173" t="s" s="0">
        <v>4352</v>
      </c>
      <c r="BT173" t="s" s="343">
        <f>HYPERLINK("https://www.webofscience.com/wos/woscc/full-record/WOS:001025536100001","View Record in Web of Science")</f>
        <v>114</v>
      </c>
      <c r="BU173" t="s" s="0">
        <v>81</v>
      </c>
      <c r="BV173" t="s" s="0">
        <v>81</v>
      </c>
      <c r="BW173" t="s" s="0">
        <v>81</v>
      </c>
      <c r="BX173" t="s" s="0">
        <v>116</v>
      </c>
    </row>
    <row r="174">
      <c r="A174" t="s" s="0">
        <v>77</v>
      </c>
      <c r="B174" t="s" s="0">
        <v>77</v>
      </c>
      <c r="C174" t="s" s="0">
        <v>130</v>
      </c>
      <c r="D174" t="s" s="0">
        <v>77</v>
      </c>
      <c r="E174" t="s" s="0">
        <v>4353</v>
      </c>
      <c r="F174" t="s" s="0">
        <v>4354</v>
      </c>
      <c r="G174" t="s" s="0">
        <v>4355</v>
      </c>
      <c r="H174" t="s" s="0">
        <v>81</v>
      </c>
      <c r="I174" t="s" s="0">
        <v>82</v>
      </c>
      <c r="J174" t="s" s="0">
        <v>4356</v>
      </c>
      <c r="K174" t="s" s="0">
        <v>4357</v>
      </c>
      <c r="L174" t="s" s="0">
        <v>4358</v>
      </c>
      <c r="M174" t="s" s="0">
        <v>4359</v>
      </c>
      <c r="N174" t="s" s="0">
        <v>4360</v>
      </c>
      <c r="O174" t="s" s="0">
        <v>4361</v>
      </c>
      <c r="P174" t="s" s="0">
        <v>4362</v>
      </c>
      <c r="Q174" t="s" s="0">
        <v>90</v>
      </c>
      <c r="R174" t="s" s="0">
        <v>81</v>
      </c>
      <c r="S174" t="s" s="0">
        <v>81</v>
      </c>
      <c r="T174" t="s" s="0">
        <v>81</v>
      </c>
      <c r="U174" t="s" s="0">
        <v>81</v>
      </c>
      <c r="V174" t="s" s="0">
        <v>4363</v>
      </c>
      <c r="W174" t="s" s="0">
        <v>4364</v>
      </c>
      <c r="X174" t="s" s="0">
        <v>81</v>
      </c>
      <c r="Y174" t="s" s="0">
        <v>81</v>
      </c>
      <c r="Z174" t="s" s="0">
        <v>93</v>
      </c>
      <c r="AA174" t="s" s="0">
        <v>94</v>
      </c>
      <c r="AB174" t="s" s="0">
        <v>81</v>
      </c>
      <c r="AC174" t="s" s="0">
        <v>81</v>
      </c>
      <c r="AD174" t="s" s="0">
        <v>81</v>
      </c>
      <c r="AE174" t="s" s="0">
        <v>81</v>
      </c>
      <c r="AF174" t="s" s="0">
        <v>81</v>
      </c>
      <c r="AG174" t="s" s="0">
        <v>81</v>
      </c>
      <c r="AH174" t="s" s="0">
        <v>4365</v>
      </c>
      <c r="AI174" t="s" s="0">
        <v>4366</v>
      </c>
      <c r="AJ174" t="s" s="0">
        <v>4367</v>
      </c>
      <c r="AK174" t="s" s="0">
        <v>81</v>
      </c>
      <c r="AL174" t="s" s="0">
        <v>878</v>
      </c>
      <c r="AM174" t="s" s="0">
        <v>130</v>
      </c>
      <c r="AN174" t="s" s="0">
        <v>130</v>
      </c>
      <c r="AO174" t="s" s="0">
        <v>131</v>
      </c>
      <c r="AP174" t="s" s="0">
        <v>129</v>
      </c>
      <c r="AQ174" t="s" s="0">
        <v>274</v>
      </c>
      <c r="AR174" t="s" s="0">
        <v>275</v>
      </c>
      <c r="AS174" t="s" s="0">
        <v>276</v>
      </c>
      <c r="AT174" t="s" s="0">
        <v>81</v>
      </c>
      <c r="AU174" t="s" s="0">
        <v>4368</v>
      </c>
      <c r="AV174" t="s" s="0">
        <v>81</v>
      </c>
      <c r="AW174" t="s" s="0">
        <v>4369</v>
      </c>
      <c r="AX174" t="s" s="0">
        <v>4370</v>
      </c>
      <c r="AY174" t="s" s="0">
        <v>233</v>
      </c>
      <c r="AZ174" t="s" s="0">
        <v>136</v>
      </c>
      <c r="BA174" t="s" s="0">
        <v>563</v>
      </c>
      <c r="BB174" t="s" s="0">
        <v>117</v>
      </c>
      <c r="BC174" t="s" s="0">
        <v>81</v>
      </c>
      <c r="BD174" t="s" s="0">
        <v>81</v>
      </c>
      <c r="BE174" t="s" s="0">
        <v>81</v>
      </c>
      <c r="BF174" t="s" s="0">
        <v>81</v>
      </c>
      <c r="BG174" t="s" s="0">
        <v>81</v>
      </c>
      <c r="BH174" t="s" s="0">
        <v>81</v>
      </c>
      <c r="BI174" t="s" s="0">
        <v>4371</v>
      </c>
      <c r="BJ174" t="s" s="0">
        <v>4372</v>
      </c>
      <c r="BK174" t="s" s="344">
        <f>HYPERLINK("http://dx.doi.org/10.1038/s41467-025-66961-9","http://dx.doi.org/10.1038/s41467-025-66961-9")</f>
        <v>4373</v>
      </c>
      <c r="BL174" t="s" s="0">
        <v>81</v>
      </c>
      <c r="BM174" t="s" s="0">
        <v>81</v>
      </c>
      <c r="BN174" t="s" s="0">
        <v>172</v>
      </c>
      <c r="BO174" t="s" s="0">
        <v>285</v>
      </c>
      <c r="BP174" t="s" s="0">
        <v>286</v>
      </c>
      <c r="BQ174" t="s" s="0">
        <v>4374</v>
      </c>
      <c r="BR174" t="s" s="0">
        <v>4375</v>
      </c>
      <c r="BS174" t="s" s="0">
        <v>4376</v>
      </c>
      <c r="BT174" t="s" s="345">
        <f>HYPERLINK("https://www.webofscience.com/wos/woscc/full-record/WOS:001658384800001","View Record in Web of Science")</f>
        <v>114</v>
      </c>
      <c r="BU174" t="s" s="0">
        <v>145</v>
      </c>
      <c r="BV174" t="s" s="0">
        <v>81</v>
      </c>
      <c r="BW174" t="s" s="0">
        <v>81</v>
      </c>
      <c r="BX174" t="s" s="0">
        <v>116</v>
      </c>
    </row>
    <row r="175">
      <c r="A175" t="s" s="0">
        <v>77</v>
      </c>
      <c r="B175" t="s" s="0">
        <v>77</v>
      </c>
      <c r="C175" t="s" s="0">
        <v>227</v>
      </c>
      <c r="D175" t="s" s="0">
        <v>77</v>
      </c>
      <c r="E175" t="s" s="0">
        <v>4377</v>
      </c>
      <c r="F175" t="s" s="0">
        <v>4378</v>
      </c>
      <c r="G175" t="s" s="0">
        <v>4379</v>
      </c>
      <c r="H175" t="s" s="0">
        <v>81</v>
      </c>
      <c r="I175" t="s" s="0">
        <v>82</v>
      </c>
      <c r="J175" t="s" s="0">
        <v>4380</v>
      </c>
      <c r="K175" t="s" s="0">
        <v>4381</v>
      </c>
      <c r="L175" t="s" s="0">
        <v>4382</v>
      </c>
      <c r="M175" t="s" s="0">
        <v>4383</v>
      </c>
      <c r="N175" t="s" s="0">
        <v>4384</v>
      </c>
      <c r="O175" t="s" s="0">
        <v>4385</v>
      </c>
      <c r="P175" t="s" s="0">
        <v>4386</v>
      </c>
      <c r="Q175" t="s" s="0">
        <v>90</v>
      </c>
      <c r="R175" t="s" s="0">
        <v>81</v>
      </c>
      <c r="S175" t="s" s="0">
        <v>81</v>
      </c>
      <c r="T175" t="s" s="0">
        <v>81</v>
      </c>
      <c r="U175" t="s" s="0">
        <v>81</v>
      </c>
      <c r="V175" t="s" s="0">
        <v>4387</v>
      </c>
      <c r="W175" t="s" s="0">
        <v>1063</v>
      </c>
      <c r="X175" t="s" s="0">
        <v>81</v>
      </c>
      <c r="Y175" t="s" s="0">
        <v>81</v>
      </c>
      <c r="Z175" t="s" s="0">
        <v>93</v>
      </c>
      <c r="AA175" t="s" s="0">
        <v>94</v>
      </c>
      <c r="AB175" t="s" s="0">
        <v>81</v>
      </c>
      <c r="AC175" t="s" s="0">
        <v>81</v>
      </c>
      <c r="AD175" t="s" s="0">
        <v>81</v>
      </c>
      <c r="AE175" t="s" s="0">
        <v>81</v>
      </c>
      <c r="AF175" t="s" s="0">
        <v>81</v>
      </c>
      <c r="AG175" t="s" s="0">
        <v>4388</v>
      </c>
      <c r="AH175" t="s" s="0">
        <v>81</v>
      </c>
      <c r="AI175" t="s" s="0">
        <v>4389</v>
      </c>
      <c r="AJ175" t="s" s="0">
        <v>4390</v>
      </c>
      <c r="AK175" t="s" s="0">
        <v>81</v>
      </c>
      <c r="AL175" t="s" s="0">
        <v>1538</v>
      </c>
      <c r="AM175" t="s" s="0">
        <v>225</v>
      </c>
      <c r="AN175" t="s" s="0">
        <v>225</v>
      </c>
      <c r="AO175" t="s" s="0">
        <v>131</v>
      </c>
      <c r="AP175" t="s" s="0">
        <v>1067</v>
      </c>
      <c r="AQ175" t="s" s="0">
        <v>1068</v>
      </c>
      <c r="AR175" t="s" s="0">
        <v>1069</v>
      </c>
      <c r="AS175" t="s" s="0">
        <v>1070</v>
      </c>
      <c r="AT175" t="s" s="0">
        <v>1071</v>
      </c>
      <c r="AU175" t="s" s="0">
        <v>1072</v>
      </c>
      <c r="AV175" t="s" s="0">
        <v>81</v>
      </c>
      <c r="AW175" t="s" s="0">
        <v>1073</v>
      </c>
      <c r="AX175" t="s" s="0">
        <v>1074</v>
      </c>
      <c r="AY175" t="s" s="0">
        <v>3439</v>
      </c>
      <c r="AZ175" t="s" s="0">
        <v>104</v>
      </c>
      <c r="BA175" t="s" s="0">
        <v>4391</v>
      </c>
      <c r="BB175" t="s" s="0">
        <v>81</v>
      </c>
      <c r="BC175" t="s" s="0">
        <v>81</v>
      </c>
      <c r="BD175" t="s" s="0">
        <v>81</v>
      </c>
      <c r="BE175" t="s" s="0">
        <v>81</v>
      </c>
      <c r="BF175" t="s" s="0">
        <v>81</v>
      </c>
      <c r="BG175" t="s" s="0">
        <v>81</v>
      </c>
      <c r="BH175" t="s" s="0">
        <v>81</v>
      </c>
      <c r="BI175" t="s" s="0">
        <v>4392</v>
      </c>
      <c r="BJ175" t="s" s="0">
        <v>4393</v>
      </c>
      <c r="BK175" t="s" s="346">
        <f>HYPERLINK("http://dx.doi.org/10.1016/j.patcog.2025.111917","http://dx.doi.org/10.1016/j.patcog.2025.111917")</f>
        <v>4394</v>
      </c>
      <c r="BL175" t="s" s="0">
        <v>81</v>
      </c>
      <c r="BM175" t="s" s="0">
        <v>382</v>
      </c>
      <c r="BN175" t="s" s="0">
        <v>228</v>
      </c>
      <c r="BO175" t="s" s="0">
        <v>1081</v>
      </c>
      <c r="BP175" t="s" s="0">
        <v>206</v>
      </c>
      <c r="BQ175" t="s" s="0">
        <v>4395</v>
      </c>
      <c r="BR175" t="s" s="0">
        <v>81</v>
      </c>
      <c r="BS175" t="s" s="0">
        <v>4396</v>
      </c>
      <c r="BT175" t="s" s="347">
        <f>HYPERLINK("https://www.webofscience.com/wos/woscc/full-record/WOS:001513408300006","View Record in Web of Science")</f>
        <v>114</v>
      </c>
      <c r="BU175" t="s" s="0">
        <v>81</v>
      </c>
      <c r="BV175" t="s" s="0">
        <v>81</v>
      </c>
      <c r="BW175" t="s" s="0">
        <v>81</v>
      </c>
      <c r="BX175" t="s" s="0">
        <v>116</v>
      </c>
    </row>
    <row r="176">
      <c r="A176" t="s" s="0">
        <v>130</v>
      </c>
      <c r="B176" t="s" s="0">
        <v>77</v>
      </c>
      <c r="C176" t="s" s="0">
        <v>227</v>
      </c>
      <c r="D176" t="s" s="0">
        <v>77</v>
      </c>
      <c r="E176" t="s" s="0">
        <v>4397</v>
      </c>
      <c r="F176" t="s" s="0">
        <v>4398</v>
      </c>
      <c r="G176" t="s" s="0">
        <v>4399</v>
      </c>
      <c r="H176" t="s" s="0">
        <v>81</v>
      </c>
      <c r="I176" t="s" s="0">
        <v>82</v>
      </c>
      <c r="J176" t="s" s="0">
        <v>4400</v>
      </c>
      <c r="K176" t="s" s="0">
        <v>4401</v>
      </c>
      <c r="L176" t="s" s="0">
        <v>4402</v>
      </c>
      <c r="M176" t="s" s="0">
        <v>4402</v>
      </c>
      <c r="N176" t="s" s="0">
        <v>4403</v>
      </c>
      <c r="O176" t="s" s="0">
        <v>4404</v>
      </c>
      <c r="P176" t="s" s="0">
        <v>4405</v>
      </c>
      <c r="Q176" t="s" s="0">
        <v>90</v>
      </c>
      <c r="R176" t="s" s="0">
        <v>81</v>
      </c>
      <c r="S176" t="s" s="0">
        <v>81</v>
      </c>
      <c r="T176" t="s" s="0">
        <v>81</v>
      </c>
      <c r="U176" t="s" s="0">
        <v>81</v>
      </c>
      <c r="V176" t="s" s="0">
        <v>4406</v>
      </c>
      <c r="W176" t="s" s="0">
        <v>3878</v>
      </c>
      <c r="X176" t="s" s="0">
        <v>81</v>
      </c>
      <c r="Y176" t="s" s="0">
        <v>81</v>
      </c>
      <c r="Z176" t="s" s="0">
        <v>93</v>
      </c>
      <c r="AA176" t="s" s="0">
        <v>94</v>
      </c>
      <c r="AB176" t="s" s="0">
        <v>81</v>
      </c>
      <c r="AC176" t="s" s="0">
        <v>81</v>
      </c>
      <c r="AD176" t="s" s="0">
        <v>81</v>
      </c>
      <c r="AE176" t="s" s="0">
        <v>81</v>
      </c>
      <c r="AF176" t="s" s="0">
        <v>81</v>
      </c>
      <c r="AG176" t="s" s="0">
        <v>4407</v>
      </c>
      <c r="AH176" t="s" s="0">
        <v>4408</v>
      </c>
      <c r="AI176" t="s" s="0">
        <v>81</v>
      </c>
      <c r="AJ176" t="s" s="0">
        <v>81</v>
      </c>
      <c r="AK176" t="s" s="0">
        <v>81</v>
      </c>
      <c r="AL176" t="s" s="0">
        <v>1067</v>
      </c>
      <c r="AM176" t="s" s="0">
        <v>131</v>
      </c>
      <c r="AN176" t="s" s="0">
        <v>128</v>
      </c>
      <c r="AO176" t="s" s="0">
        <v>253</v>
      </c>
      <c r="AP176" t="s" s="0">
        <v>226</v>
      </c>
      <c r="AQ176" t="s" s="0">
        <v>370</v>
      </c>
      <c r="AR176" t="s" s="0">
        <v>1099</v>
      </c>
      <c r="AS176" t="s" s="0">
        <v>1873</v>
      </c>
      <c r="AT176" t="s" s="0">
        <v>3881</v>
      </c>
      <c r="AU176" t="s" s="0">
        <v>3882</v>
      </c>
      <c r="AV176" t="s" s="0">
        <v>81</v>
      </c>
      <c r="AW176" t="s" s="0">
        <v>3883</v>
      </c>
      <c r="AX176" t="s" s="0">
        <v>3884</v>
      </c>
      <c r="AY176" t="s" s="0">
        <v>632</v>
      </c>
      <c r="AZ176" t="s" s="0">
        <v>136</v>
      </c>
      <c r="BA176" t="s" s="0">
        <v>562</v>
      </c>
      <c r="BB176" t="s" s="0">
        <v>225</v>
      </c>
      <c r="BC176" t="s" s="0">
        <v>81</v>
      </c>
      <c r="BD176" t="s" s="0">
        <v>81</v>
      </c>
      <c r="BE176" t="s" s="0">
        <v>81</v>
      </c>
      <c r="BF176" t="s" s="0">
        <v>81</v>
      </c>
      <c r="BG176" t="s" s="0">
        <v>4409</v>
      </c>
      <c r="BH176" t="s" s="0">
        <v>4410</v>
      </c>
      <c r="BI176" t="s" s="0">
        <v>81</v>
      </c>
      <c r="BJ176" t="s" s="0">
        <v>4411</v>
      </c>
      <c r="BK176" t="s" s="348">
        <f>HYPERLINK("http://dx.doi.org/10.1007/s00330-025-11450-2","http://dx.doi.org/10.1007/s00330-025-11450-2")</f>
        <v>4412</v>
      </c>
      <c r="BL176" t="s" s="0">
        <v>81</v>
      </c>
      <c r="BM176" t="s" s="0">
        <v>418</v>
      </c>
      <c r="BN176" t="s" s="0">
        <v>204</v>
      </c>
      <c r="BO176" t="s" s="0">
        <v>1881</v>
      </c>
      <c r="BP176" t="s" s="0">
        <v>1881</v>
      </c>
      <c r="BQ176" t="s" s="0">
        <v>4413</v>
      </c>
      <c r="BR176" t="s" s="0">
        <v>4414</v>
      </c>
      <c r="BS176" t="s" s="0">
        <v>4415</v>
      </c>
      <c r="BT176" t="s" s="349">
        <f>HYPERLINK("https://www.webofscience.com/wos/woscc/full-record/WOS:001423008600001","View Record in Web of Science")</f>
        <v>114</v>
      </c>
      <c r="BU176" t="s" s="0">
        <v>4416</v>
      </c>
      <c r="BV176" t="s" s="0">
        <v>81</v>
      </c>
      <c r="BW176" t="s" s="0">
        <v>81</v>
      </c>
      <c r="BX176" t="s" s="0">
        <v>116</v>
      </c>
    </row>
    <row r="177">
      <c r="A177" t="s" s="0">
        <v>77</v>
      </c>
      <c r="B177" t="s" s="0">
        <v>77</v>
      </c>
      <c r="C177" t="s" s="0">
        <v>77</v>
      </c>
      <c r="D177" t="s" s="0">
        <v>77</v>
      </c>
      <c r="E177" t="s" s="0">
        <v>4417</v>
      </c>
      <c r="F177" t="s" s="0">
        <v>4418</v>
      </c>
      <c r="G177" t="s" s="0">
        <v>4419</v>
      </c>
      <c r="H177" t="s" s="0">
        <v>81</v>
      </c>
      <c r="I177" t="s" s="0">
        <v>82</v>
      </c>
      <c r="J177" t="s" s="0">
        <v>4420</v>
      </c>
      <c r="K177" t="s" s="0">
        <v>4421</v>
      </c>
      <c r="L177" t="s" s="0">
        <v>81</v>
      </c>
      <c r="M177" t="s" s="0">
        <v>81</v>
      </c>
      <c r="N177" t="s" s="0">
        <v>81</v>
      </c>
      <c r="O177" t="s" s="0">
        <v>4422</v>
      </c>
      <c r="P177" t="s" s="0">
        <v>4423</v>
      </c>
      <c r="Q177" t="s" s="0">
        <v>90</v>
      </c>
      <c r="R177" t="s" s="0">
        <v>81</v>
      </c>
      <c r="S177" t="s" s="0">
        <v>81</v>
      </c>
      <c r="T177" t="s" s="0">
        <v>81</v>
      </c>
      <c r="U177" t="s" s="0">
        <v>81</v>
      </c>
      <c r="V177" t="s" s="0">
        <v>4424</v>
      </c>
      <c r="W177" t="s" s="0">
        <v>4425</v>
      </c>
      <c r="X177" t="s" s="0">
        <v>81</v>
      </c>
      <c r="Y177" t="s" s="0">
        <v>81</v>
      </c>
      <c r="Z177" t="s" s="0">
        <v>93</v>
      </c>
      <c r="AA177" t="s" s="0">
        <v>94</v>
      </c>
      <c r="AB177" t="s" s="0">
        <v>81</v>
      </c>
      <c r="AC177" t="s" s="0">
        <v>81</v>
      </c>
      <c r="AD177" t="s" s="0">
        <v>81</v>
      </c>
      <c r="AE177" t="s" s="0">
        <v>81</v>
      </c>
      <c r="AF177" t="s" s="0">
        <v>81</v>
      </c>
      <c r="AG177" t="s" s="0">
        <v>4426</v>
      </c>
      <c r="AH177" t="s" s="0">
        <v>4427</v>
      </c>
      <c r="AI177" t="s" s="0">
        <v>4428</v>
      </c>
      <c r="AJ177" t="s" s="0">
        <v>4429</v>
      </c>
      <c r="AK177" t="s" s="0">
        <v>81</v>
      </c>
      <c r="AL177" t="s" s="0">
        <v>109</v>
      </c>
      <c r="AM177" t="s" s="0">
        <v>130</v>
      </c>
      <c r="AN177" t="s" s="0">
        <v>130</v>
      </c>
      <c r="AO177" t="s" s="0">
        <v>117</v>
      </c>
      <c r="AP177" t="s" s="0">
        <v>117</v>
      </c>
      <c r="AQ177" t="s" s="0">
        <v>370</v>
      </c>
      <c r="AR177" t="s" s="0">
        <v>1099</v>
      </c>
      <c r="AS177" t="s" s="0">
        <v>1873</v>
      </c>
      <c r="AT177" t="s" s="0">
        <v>4430</v>
      </c>
      <c r="AU177" t="s" s="0">
        <v>4431</v>
      </c>
      <c r="AV177" t="s" s="0">
        <v>81</v>
      </c>
      <c r="AW177" t="s" s="0">
        <v>4432</v>
      </c>
      <c r="AX177" t="s" s="0">
        <v>4433</v>
      </c>
      <c r="AY177" t="s" s="0">
        <v>203</v>
      </c>
      <c r="AZ177" t="s" s="0">
        <v>104</v>
      </c>
      <c r="BA177" t="s" s="0">
        <v>405</v>
      </c>
      <c r="BB177" t="s" s="0">
        <v>253</v>
      </c>
      <c r="BC177" t="s" s="0">
        <v>81</v>
      </c>
      <c r="BD177" t="s" s="0">
        <v>81</v>
      </c>
      <c r="BE177" t="s" s="0">
        <v>81</v>
      </c>
      <c r="BF177" t="s" s="0">
        <v>81</v>
      </c>
      <c r="BG177" t="s" s="0">
        <v>4434</v>
      </c>
      <c r="BH177" t="s" s="0">
        <v>4435</v>
      </c>
      <c r="BI177" t="s" s="0">
        <v>81</v>
      </c>
      <c r="BJ177" t="s" s="0">
        <v>4436</v>
      </c>
      <c r="BK177" t="s" s="350">
        <f>HYPERLINK("http://dx.doi.org/10.1245/s10434-026-19179-y","http://dx.doi.org/10.1245/s10434-026-19179-y")</f>
        <v>4437</v>
      </c>
      <c r="BL177" t="s" s="0">
        <v>81</v>
      </c>
      <c r="BM177" t="s" s="0">
        <v>2583</v>
      </c>
      <c r="BN177" t="s" s="0">
        <v>161</v>
      </c>
      <c r="BO177" t="s" s="0">
        <v>4438</v>
      </c>
      <c r="BP177" t="s" s="0">
        <v>4438</v>
      </c>
      <c r="BQ177" t="s" s="0">
        <v>4439</v>
      </c>
      <c r="BR177" t="s" s="0">
        <v>4440</v>
      </c>
      <c r="BS177" t="s" s="0">
        <v>4441</v>
      </c>
      <c r="BT177" t="s" s="351">
        <f>HYPERLINK("https://www.webofscience.com/wos/woscc/full-record/WOS:001681870500001","View Record in Web of Science")</f>
        <v>114</v>
      </c>
      <c r="BU177" t="s" s="0">
        <v>81</v>
      </c>
      <c r="BV177" t="s" s="0">
        <v>81</v>
      </c>
      <c r="BW177" t="s" s="0">
        <v>81</v>
      </c>
      <c r="BX177" t="s" s="0">
        <v>116</v>
      </c>
    </row>
    <row r="178">
      <c r="A178" t="s" s="0">
        <v>117</v>
      </c>
      <c r="B178" t="s" s="0">
        <v>77</v>
      </c>
      <c r="C178" t="s" s="0">
        <v>77</v>
      </c>
      <c r="D178" t="s" s="0">
        <v>77</v>
      </c>
      <c r="E178" t="s" s="0">
        <v>4442</v>
      </c>
      <c r="F178" t="s" s="0">
        <v>4443</v>
      </c>
      <c r="G178" t="s" s="0">
        <v>4444</v>
      </c>
      <c r="H178" t="s" s="0">
        <v>81</v>
      </c>
      <c r="I178" t="s" s="0">
        <v>213</v>
      </c>
      <c r="J178" t="s" s="0">
        <v>4445</v>
      </c>
      <c r="K178" t="s" s="0">
        <v>4446</v>
      </c>
      <c r="L178" t="s" s="0">
        <v>81</v>
      </c>
      <c r="M178" t="s" s="0">
        <v>81</v>
      </c>
      <c r="N178" t="s" s="0">
        <v>81</v>
      </c>
      <c r="O178" t="s" s="0">
        <v>4447</v>
      </c>
      <c r="P178" t="s" s="0">
        <v>4448</v>
      </c>
      <c r="Q178" t="s" s="0">
        <v>90</v>
      </c>
      <c r="R178" t="s" s="0">
        <v>81</v>
      </c>
      <c r="S178" t="s" s="0">
        <v>81</v>
      </c>
      <c r="T178" t="s" s="0">
        <v>81</v>
      </c>
      <c r="U178" t="s" s="0">
        <v>81</v>
      </c>
      <c r="V178" t="s" s="0">
        <v>4449</v>
      </c>
      <c r="W178" t="s" s="0">
        <v>4450</v>
      </c>
      <c r="X178" t="s" s="0">
        <v>81</v>
      </c>
      <c r="Y178" t="s" s="0">
        <v>81</v>
      </c>
      <c r="Z178" t="s" s="0">
        <v>93</v>
      </c>
      <c r="AA178" t="s" s="0">
        <v>94</v>
      </c>
      <c r="AB178" t="s" s="0">
        <v>81</v>
      </c>
      <c r="AC178" t="s" s="0">
        <v>81</v>
      </c>
      <c r="AD178" t="s" s="0">
        <v>81</v>
      </c>
      <c r="AE178" t="s" s="0">
        <v>81</v>
      </c>
      <c r="AF178" t="s" s="0">
        <v>81</v>
      </c>
      <c r="AG178" t="s" s="0">
        <v>4451</v>
      </c>
      <c r="AH178" t="s" s="0">
        <v>81</v>
      </c>
      <c r="AI178" t="s" s="0">
        <v>4452</v>
      </c>
      <c r="AJ178" t="s" s="0">
        <v>4453</v>
      </c>
      <c r="AK178" t="s" s="0">
        <v>81</v>
      </c>
      <c r="AL178" t="s" s="0">
        <v>405</v>
      </c>
      <c r="AM178" t="s" s="0">
        <v>130</v>
      </c>
      <c r="AN178" t="s" s="0">
        <v>227</v>
      </c>
      <c r="AO178" t="s" s="0">
        <v>77</v>
      </c>
      <c r="AP178" t="s" s="0">
        <v>130</v>
      </c>
      <c r="AQ178" t="s" s="0">
        <v>476</v>
      </c>
      <c r="AR178" t="s" s="0">
        <v>477</v>
      </c>
      <c r="AS178" t="s" s="0">
        <v>3857</v>
      </c>
      <c r="AT178" t="s" s="0">
        <v>81</v>
      </c>
      <c r="AU178" t="s" s="0">
        <v>4454</v>
      </c>
      <c r="AV178" t="s" s="0">
        <v>81</v>
      </c>
      <c r="AW178" t="s" s="0">
        <v>4455</v>
      </c>
      <c r="AX178" t="s" s="0">
        <v>4456</v>
      </c>
      <c r="AY178" t="s" s="0">
        <v>2231</v>
      </c>
      <c r="AZ178" t="s" s="0">
        <v>573</v>
      </c>
      <c r="BA178" t="s" s="0">
        <v>225</v>
      </c>
      <c r="BB178" t="s" s="0">
        <v>226</v>
      </c>
      <c r="BC178" t="s" s="0">
        <v>81</v>
      </c>
      <c r="BD178" t="s" s="0">
        <v>81</v>
      </c>
      <c r="BE178" t="s" s="0">
        <v>81</v>
      </c>
      <c r="BF178" t="s" s="0">
        <v>81</v>
      </c>
      <c r="BG178" t="s" s="0">
        <v>81</v>
      </c>
      <c r="BH178" t="s" s="0">
        <v>81</v>
      </c>
      <c r="BI178" t="s" s="0">
        <v>1597</v>
      </c>
      <c r="BJ178" t="s" s="0">
        <v>4457</v>
      </c>
      <c r="BK178" t="s" s="352">
        <f>HYPERLINK("http://dx.doi.org/10.3390/bdcc8120178","http://dx.doi.org/10.3390/bdcc8120178")</f>
        <v>4458</v>
      </c>
      <c r="BL178" t="s" s="0">
        <v>81</v>
      </c>
      <c r="BM178" t="s" s="0">
        <v>81</v>
      </c>
      <c r="BN178" t="s" s="0">
        <v>337</v>
      </c>
      <c r="BO178" t="s" s="0">
        <v>4459</v>
      </c>
      <c r="BP178" t="s" s="0">
        <v>420</v>
      </c>
      <c r="BQ178" t="s" s="0">
        <v>4460</v>
      </c>
      <c r="BR178" t="s" s="0">
        <v>81</v>
      </c>
      <c r="BS178" t="s" s="0">
        <v>4461</v>
      </c>
      <c r="BT178" t="s" s="353">
        <f>HYPERLINK("https://www.webofscience.com/wos/woscc/full-record/WOS:001387147900001","View Record in Web of Science")</f>
        <v>114</v>
      </c>
      <c r="BU178" t="s" s="0">
        <v>145</v>
      </c>
      <c r="BV178" t="s" s="0">
        <v>81</v>
      </c>
      <c r="BW178" t="s" s="0">
        <v>81</v>
      </c>
      <c r="BX178" t="s" s="0">
        <v>116</v>
      </c>
    </row>
    <row r="179">
      <c r="A179" t="s" s="0">
        <v>77</v>
      </c>
      <c r="B179" t="s" s="0">
        <v>77</v>
      </c>
      <c r="C179" t="s" s="0">
        <v>77</v>
      </c>
      <c r="D179" t="s" s="0">
        <v>77</v>
      </c>
      <c r="E179" t="s" s="0">
        <v>4462</v>
      </c>
      <c r="F179" t="s" s="0">
        <v>4463</v>
      </c>
      <c r="G179" t="s" s="0">
        <v>4464</v>
      </c>
      <c r="H179" t="s" s="0">
        <v>81</v>
      </c>
      <c r="I179" t="s" s="0">
        <v>82</v>
      </c>
      <c r="J179" t="s" s="0">
        <v>4465</v>
      </c>
      <c r="K179" t="s" s="0">
        <v>4466</v>
      </c>
      <c r="L179" t="s" s="0">
        <v>4467</v>
      </c>
      <c r="M179" t="s" s="0">
        <v>4468</v>
      </c>
      <c r="N179" t="s" s="0">
        <v>4469</v>
      </c>
      <c r="O179" t="s" s="0">
        <v>4470</v>
      </c>
      <c r="P179" t="s" s="0">
        <v>4471</v>
      </c>
      <c r="Q179" t="s" s="0">
        <v>90</v>
      </c>
      <c r="R179" t="s" s="0">
        <v>81</v>
      </c>
      <c r="S179" t="s" s="0">
        <v>81</v>
      </c>
      <c r="T179" t="s" s="0">
        <v>81</v>
      </c>
      <c r="U179" t="s" s="0">
        <v>81</v>
      </c>
      <c r="V179" t="s" s="0">
        <v>4472</v>
      </c>
      <c r="W179" t="s" s="0">
        <v>2197</v>
      </c>
      <c r="X179" t="s" s="0">
        <v>81</v>
      </c>
      <c r="Y179" t="s" s="0">
        <v>81</v>
      </c>
      <c r="Z179" t="s" s="0">
        <v>93</v>
      </c>
      <c r="AA179" t="s" s="0">
        <v>94</v>
      </c>
      <c r="AB179" t="s" s="0">
        <v>81</v>
      </c>
      <c r="AC179" t="s" s="0">
        <v>81</v>
      </c>
      <c r="AD179" t="s" s="0">
        <v>81</v>
      </c>
      <c r="AE179" t="s" s="0">
        <v>81</v>
      </c>
      <c r="AF179" t="s" s="0">
        <v>81</v>
      </c>
      <c r="AG179" t="s" s="0">
        <v>4473</v>
      </c>
      <c r="AH179" t="s" s="0">
        <v>81</v>
      </c>
      <c r="AI179" t="s" s="0">
        <v>4474</v>
      </c>
      <c r="AJ179" t="s" s="0">
        <v>4475</v>
      </c>
      <c r="AK179" t="s" s="0">
        <v>81</v>
      </c>
      <c r="AL179" t="s" s="0">
        <v>564</v>
      </c>
      <c r="AM179" t="s" s="0">
        <v>130</v>
      </c>
      <c r="AN179" t="s" s="0">
        <v>227</v>
      </c>
      <c r="AO179" t="s" s="0">
        <v>130</v>
      </c>
      <c r="AP179" t="s" s="0">
        <v>130</v>
      </c>
      <c r="AQ179" t="s" s="0">
        <v>97</v>
      </c>
      <c r="AR179" t="s" s="0">
        <v>98</v>
      </c>
      <c r="AS179" t="s" s="0">
        <v>99</v>
      </c>
      <c r="AT179" t="s" s="0">
        <v>81</v>
      </c>
      <c r="AU179" t="s" s="0">
        <v>2200</v>
      </c>
      <c r="AV179" t="s" s="0">
        <v>81</v>
      </c>
      <c r="AW179" t="s" s="0">
        <v>2201</v>
      </c>
      <c r="AX179" t="s" s="0">
        <v>2202</v>
      </c>
      <c r="AY179" t="s" s="0">
        <v>4476</v>
      </c>
      <c r="AZ179" t="s" s="0">
        <v>104</v>
      </c>
      <c r="BA179" t="s" s="0">
        <v>226</v>
      </c>
      <c r="BB179" t="s" s="0">
        <v>81</v>
      </c>
      <c r="BC179" t="s" s="0">
        <v>81</v>
      </c>
      <c r="BD179" t="s" s="0">
        <v>81</v>
      </c>
      <c r="BE179" t="s" s="0">
        <v>81</v>
      </c>
      <c r="BF179" t="s" s="0">
        <v>81</v>
      </c>
      <c r="BG179" t="s" s="0">
        <v>81</v>
      </c>
      <c r="BH179" t="s" s="0">
        <v>81</v>
      </c>
      <c r="BI179" t="s" s="0">
        <v>4477</v>
      </c>
      <c r="BJ179" t="s" s="0">
        <v>4478</v>
      </c>
      <c r="BK179" t="s" s="354">
        <f>HYPERLINK("http://dx.doi.org/10.3389/fmed.2025.1741146","http://dx.doi.org/10.3389/fmed.2025.1741146")</f>
        <v>4479</v>
      </c>
      <c r="BL179" t="s" s="0">
        <v>81</v>
      </c>
      <c r="BM179" t="s" s="0">
        <v>81</v>
      </c>
      <c r="BN179" t="s" s="0">
        <v>563</v>
      </c>
      <c r="BO179" t="s" s="0">
        <v>486</v>
      </c>
      <c r="BP179" t="s" s="0">
        <v>487</v>
      </c>
      <c r="BQ179" t="s" s="0">
        <v>4480</v>
      </c>
      <c r="BR179" t="s" s="0">
        <v>4481</v>
      </c>
      <c r="BS179" t="s" s="0">
        <v>4482</v>
      </c>
      <c r="BT179" t="s" s="355">
        <f>HYPERLINK("https://www.webofscience.com/wos/woscc/full-record/WOS:001667768000001","View Record in Web of Science")</f>
        <v>114</v>
      </c>
      <c r="BU179" t="s" s="0">
        <v>145</v>
      </c>
      <c r="BV179" t="s" s="0">
        <v>81</v>
      </c>
      <c r="BW179" t="s" s="0">
        <v>81</v>
      </c>
      <c r="BX179" t="s" s="0">
        <v>116</v>
      </c>
    </row>
    <row r="180">
      <c r="A180" t="s" s="0">
        <v>77</v>
      </c>
      <c r="B180" t="s" s="0">
        <v>77</v>
      </c>
      <c r="C180" t="s" s="0">
        <v>77</v>
      </c>
      <c r="D180" t="s" s="0">
        <v>77</v>
      </c>
      <c r="E180" t="s" s="0">
        <v>4483</v>
      </c>
      <c r="F180" t="s" s="0">
        <v>4484</v>
      </c>
      <c r="G180" t="s" s="0">
        <v>4485</v>
      </c>
      <c r="H180" t="s" s="0">
        <v>81</v>
      </c>
      <c r="I180" t="s" s="0">
        <v>82</v>
      </c>
      <c r="J180" t="s" s="0">
        <v>4486</v>
      </c>
      <c r="K180" t="s" s="0">
        <v>4487</v>
      </c>
      <c r="L180" t="s" s="0">
        <v>4488</v>
      </c>
      <c r="M180" t="s" s="0">
        <v>4489</v>
      </c>
      <c r="N180" t="s" s="0">
        <v>4490</v>
      </c>
      <c r="O180" t="s" s="0">
        <v>4491</v>
      </c>
      <c r="P180" t="s" s="0">
        <v>4492</v>
      </c>
      <c r="Q180" t="s" s="0">
        <v>90</v>
      </c>
      <c r="R180" t="s" s="0">
        <v>81</v>
      </c>
      <c r="S180" t="s" s="0">
        <v>81</v>
      </c>
      <c r="T180" t="s" s="0">
        <v>81</v>
      </c>
      <c r="U180" t="s" s="0">
        <v>81</v>
      </c>
      <c r="V180" t="s" s="0">
        <v>4493</v>
      </c>
      <c r="W180" t="s" s="0">
        <v>4494</v>
      </c>
      <c r="X180" t="s" s="0">
        <v>81</v>
      </c>
      <c r="Y180" t="s" s="0">
        <v>81</v>
      </c>
      <c r="Z180" t="s" s="0">
        <v>93</v>
      </c>
      <c r="AA180" t="s" s="0">
        <v>94</v>
      </c>
      <c r="AB180" t="s" s="0">
        <v>81</v>
      </c>
      <c r="AC180" t="s" s="0">
        <v>81</v>
      </c>
      <c r="AD180" t="s" s="0">
        <v>81</v>
      </c>
      <c r="AE180" t="s" s="0">
        <v>81</v>
      </c>
      <c r="AF180" t="s" s="0">
        <v>81</v>
      </c>
      <c r="AG180" t="s" s="0">
        <v>4495</v>
      </c>
      <c r="AH180" t="s" s="0">
        <v>4496</v>
      </c>
      <c r="AI180" t="s" s="0">
        <v>81</v>
      </c>
      <c r="AJ180" t="s" s="0">
        <v>81</v>
      </c>
      <c r="AK180" t="s" s="0">
        <v>81</v>
      </c>
      <c r="AL180" t="s" s="0">
        <v>475</v>
      </c>
      <c r="AM180" t="s" s="0">
        <v>77</v>
      </c>
      <c r="AN180" t="s" s="0">
        <v>77</v>
      </c>
      <c r="AO180" t="s" s="0">
        <v>117</v>
      </c>
      <c r="AP180" t="s" s="0">
        <v>117</v>
      </c>
      <c r="AQ180" t="s" s="0">
        <v>4497</v>
      </c>
      <c r="AR180" t="s" s="0">
        <v>4498</v>
      </c>
      <c r="AS180" t="s" s="0">
        <v>4499</v>
      </c>
      <c r="AT180" t="s" s="0">
        <v>4500</v>
      </c>
      <c r="AU180" t="s" s="0">
        <v>81</v>
      </c>
      <c r="AV180" t="s" s="0">
        <v>81</v>
      </c>
      <c r="AW180" t="s" s="0">
        <v>4501</v>
      </c>
      <c r="AX180" t="s" s="0">
        <v>4502</v>
      </c>
      <c r="AY180" t="s" s="0">
        <v>4503</v>
      </c>
      <c r="AZ180" t="s" s="0">
        <v>104</v>
      </c>
      <c r="BA180" t="s" s="0">
        <v>541</v>
      </c>
      <c r="BB180" t="s" s="0">
        <v>227</v>
      </c>
      <c r="BC180" t="s" s="0">
        <v>81</v>
      </c>
      <c r="BD180" t="s" s="0">
        <v>81</v>
      </c>
      <c r="BE180" t="s" s="0">
        <v>81</v>
      </c>
      <c r="BF180" t="s" s="0">
        <v>81</v>
      </c>
      <c r="BG180" t="s" s="0">
        <v>4504</v>
      </c>
      <c r="BH180" t="s" s="0">
        <v>4505</v>
      </c>
      <c r="BI180" t="s" s="0">
        <v>81</v>
      </c>
      <c r="BJ180" t="s" s="0">
        <v>4506</v>
      </c>
      <c r="BK180" t="s" s="356">
        <f>HYPERLINK("http://dx.doi.org/10.20892/j.issn.2095-3941.2025.0771","http://dx.doi.org/10.20892/j.issn.2095-3941.2025.0771")</f>
        <v>4507</v>
      </c>
      <c r="BL180" t="s" s="0">
        <v>81</v>
      </c>
      <c r="BM180" t="s" s="0">
        <v>81</v>
      </c>
      <c r="BN180" t="s" s="0">
        <v>475</v>
      </c>
      <c r="BO180" t="s" s="0">
        <v>4508</v>
      </c>
      <c r="BP180" t="s" s="0">
        <v>4509</v>
      </c>
      <c r="BQ180" t="s" s="0">
        <v>4510</v>
      </c>
      <c r="BR180" t="s" s="0">
        <v>4511</v>
      </c>
      <c r="BS180" t="s" s="0">
        <v>4512</v>
      </c>
      <c r="BT180" t="s" s="357">
        <f>HYPERLINK("https://www.webofscience.com/wos/woscc/full-record/WOS:001739009200011","View Record in Web of Science")</f>
        <v>114</v>
      </c>
      <c r="BU180" t="s" s="0">
        <v>145</v>
      </c>
      <c r="BV180" t="s" s="0">
        <v>81</v>
      </c>
      <c r="BW180" t="s" s="0">
        <v>81</v>
      </c>
      <c r="BX180" t="s" s="0">
        <v>116</v>
      </c>
    </row>
    <row r="181">
      <c r="A181" t="s" s="0">
        <v>77</v>
      </c>
      <c r="B181" t="s" s="0">
        <v>77</v>
      </c>
      <c r="C181" t="s" s="0">
        <v>77</v>
      </c>
      <c r="D181" t="s" s="0">
        <v>77</v>
      </c>
      <c r="E181" t="s" s="0">
        <v>4513</v>
      </c>
      <c r="F181" t="s" s="0">
        <v>4514</v>
      </c>
      <c r="G181" t="s" s="0">
        <v>4515</v>
      </c>
      <c r="H181" t="s" s="0">
        <v>81</v>
      </c>
      <c r="I181" t="s" s="0">
        <v>82</v>
      </c>
      <c r="J181" t="s" s="0">
        <v>4516</v>
      </c>
      <c r="K181" t="s" s="0">
        <v>4517</v>
      </c>
      <c r="L181" t="s" s="0">
        <v>4518</v>
      </c>
      <c r="M181" t="s" s="0">
        <v>4519</v>
      </c>
      <c r="N181" t="s" s="0">
        <v>4520</v>
      </c>
      <c r="O181" t="s" s="0">
        <v>4521</v>
      </c>
      <c r="P181" t="s" s="0">
        <v>4522</v>
      </c>
      <c r="Q181" t="s" s="0">
        <v>90</v>
      </c>
      <c r="R181" t="s" s="0">
        <v>81</v>
      </c>
      <c r="S181" t="s" s="0">
        <v>81</v>
      </c>
      <c r="T181" t="s" s="0">
        <v>81</v>
      </c>
      <c r="U181" t="s" s="0">
        <v>81</v>
      </c>
      <c r="V181" t="s" s="0">
        <v>4523</v>
      </c>
      <c r="W181" t="s" s="0">
        <v>1510</v>
      </c>
      <c r="X181" t="s" s="0">
        <v>81</v>
      </c>
      <c r="Y181" t="s" s="0">
        <v>81</v>
      </c>
      <c r="Z181" t="s" s="0">
        <v>93</v>
      </c>
      <c r="AA181" t="s" s="0">
        <v>94</v>
      </c>
      <c r="AB181" t="s" s="0">
        <v>81</v>
      </c>
      <c r="AC181" t="s" s="0">
        <v>81</v>
      </c>
      <c r="AD181" t="s" s="0">
        <v>81</v>
      </c>
      <c r="AE181" t="s" s="0">
        <v>81</v>
      </c>
      <c r="AF181" t="s" s="0">
        <v>81</v>
      </c>
      <c r="AG181" t="s" s="0">
        <v>4524</v>
      </c>
      <c r="AH181" t="s" s="0">
        <v>4525</v>
      </c>
      <c r="AI181" t="s" s="0">
        <v>81</v>
      </c>
      <c r="AJ181" t="s" s="0">
        <v>81</v>
      </c>
      <c r="AK181" t="s" s="0">
        <v>81</v>
      </c>
      <c r="AL181" t="s" s="0">
        <v>451</v>
      </c>
      <c r="AM181" t="s" s="0">
        <v>77</v>
      </c>
      <c r="AN181" t="s" s="0">
        <v>77</v>
      </c>
      <c r="AO181" t="s" s="0">
        <v>227</v>
      </c>
      <c r="AP181" t="s" s="0">
        <v>227</v>
      </c>
      <c r="AQ181" t="s" s="0">
        <v>476</v>
      </c>
      <c r="AR181" t="s" s="0">
        <v>477</v>
      </c>
      <c r="AS181" t="s" s="0">
        <v>478</v>
      </c>
      <c r="AT181" t="s" s="0">
        <v>81</v>
      </c>
      <c r="AU181" t="s" s="0">
        <v>1516</v>
      </c>
      <c r="AV181" t="s" s="0">
        <v>81</v>
      </c>
      <c r="AW181" t="s" s="0">
        <v>1510</v>
      </c>
      <c r="AX181" t="s" s="0">
        <v>1517</v>
      </c>
      <c r="AY181" t="s" s="0">
        <v>4526</v>
      </c>
      <c r="AZ181" t="s" s="0">
        <v>104</v>
      </c>
      <c r="BA181" t="s" s="0">
        <v>258</v>
      </c>
      <c r="BB181" t="s" s="0">
        <v>225</v>
      </c>
      <c r="BC181" t="s" s="0">
        <v>81</v>
      </c>
      <c r="BD181" t="s" s="0">
        <v>81</v>
      </c>
      <c r="BE181" t="s" s="0">
        <v>81</v>
      </c>
      <c r="BF181" t="s" s="0">
        <v>81</v>
      </c>
      <c r="BG181" t="s" s="0">
        <v>81</v>
      </c>
      <c r="BH181" t="s" s="0">
        <v>81</v>
      </c>
      <c r="BI181" t="s" s="0">
        <v>2695</v>
      </c>
      <c r="BJ181" t="s" s="0">
        <v>4527</v>
      </c>
      <c r="BK181" t="s" s="358">
        <f>HYPERLINK("http://dx.doi.org/10.3390/cancers18081204","http://dx.doi.org/10.3390/cancers18081204")</f>
        <v>4528</v>
      </c>
      <c r="BL181" t="s" s="0">
        <v>81</v>
      </c>
      <c r="BM181" t="s" s="0">
        <v>349</v>
      </c>
      <c r="BN181" t="s" s="0">
        <v>564</v>
      </c>
      <c r="BO181" t="s" s="0">
        <v>939</v>
      </c>
      <c r="BP181" t="s" s="0">
        <v>939</v>
      </c>
      <c r="BQ181" t="s" s="0">
        <v>4529</v>
      </c>
      <c r="BR181" t="s" s="0">
        <v>4530</v>
      </c>
      <c r="BS181" t="s" s="0">
        <v>4531</v>
      </c>
      <c r="BT181" t="s" s="359">
        <f>HYPERLINK("https://www.webofscience.com/wos/woscc/full-record/WOS:001749425000001","View Record in Web of Science")</f>
        <v>114</v>
      </c>
      <c r="BU181" t="s" s="0">
        <v>145</v>
      </c>
      <c r="BV181" t="s" s="0">
        <v>81</v>
      </c>
      <c r="BW181" t="s" s="0">
        <v>81</v>
      </c>
      <c r="BX181" t="s" s="0">
        <v>116</v>
      </c>
    </row>
    <row r="182">
      <c r="A182" t="s" s="0">
        <v>193</v>
      </c>
      <c r="B182" t="s" s="0">
        <v>77</v>
      </c>
      <c r="C182" t="s" s="0">
        <v>4532</v>
      </c>
      <c r="D182" t="s" s="0">
        <v>77</v>
      </c>
      <c r="E182" t="s" s="0">
        <v>4533</v>
      </c>
      <c r="F182" t="s" s="0">
        <v>4534</v>
      </c>
      <c r="G182" t="s" s="0">
        <v>4535</v>
      </c>
      <c r="H182" t="s" s="0">
        <v>81</v>
      </c>
      <c r="I182" t="s" s="0">
        <v>82</v>
      </c>
      <c r="J182" t="s" s="0">
        <v>4536</v>
      </c>
      <c r="K182" t="s" s="0">
        <v>4537</v>
      </c>
      <c r="L182" t="s" s="0">
        <v>4538</v>
      </c>
      <c r="M182" t="s" s="0">
        <v>4539</v>
      </c>
      <c r="N182" t="s" s="0">
        <v>4540</v>
      </c>
      <c r="O182" t="s" s="0">
        <v>4541</v>
      </c>
      <c r="P182" t="s" s="0">
        <v>4542</v>
      </c>
      <c r="Q182" t="s" s="0">
        <v>90</v>
      </c>
      <c r="R182" t="s" s="0">
        <v>81</v>
      </c>
      <c r="S182" t="s" s="0">
        <v>81</v>
      </c>
      <c r="T182" t="s" s="0">
        <v>81</v>
      </c>
      <c r="U182" t="s" s="0">
        <v>81</v>
      </c>
      <c r="V182" t="s" s="0">
        <v>4543</v>
      </c>
      <c r="W182" t="s" s="0">
        <v>4544</v>
      </c>
      <c r="X182" t="s" s="0">
        <v>81</v>
      </c>
      <c r="Y182" t="s" s="0">
        <v>81</v>
      </c>
      <c r="Z182" t="s" s="0">
        <v>93</v>
      </c>
      <c r="AA182" t="s" s="0">
        <v>94</v>
      </c>
      <c r="AB182" t="s" s="0">
        <v>81</v>
      </c>
      <c r="AC182" t="s" s="0">
        <v>81</v>
      </c>
      <c r="AD182" t="s" s="0">
        <v>81</v>
      </c>
      <c r="AE182" t="s" s="0">
        <v>81</v>
      </c>
      <c r="AF182" t="s" s="0">
        <v>81</v>
      </c>
      <c r="AG182" t="s" s="0">
        <v>81</v>
      </c>
      <c r="AH182" t="s" s="0">
        <v>4545</v>
      </c>
      <c r="AI182" t="s" s="0">
        <v>4546</v>
      </c>
      <c r="AJ182" t="s" s="0">
        <v>4547</v>
      </c>
      <c r="AK182" t="s" s="0">
        <v>81</v>
      </c>
      <c r="AL182" t="s" s="0">
        <v>4548</v>
      </c>
      <c r="AM182" t="s" s="0">
        <v>4549</v>
      </c>
      <c r="AN182" t="s" s="0">
        <v>4550</v>
      </c>
      <c r="AO182" t="s" s="0">
        <v>129</v>
      </c>
      <c r="AP182" t="s" s="0">
        <v>4551</v>
      </c>
      <c r="AQ182" t="s" s="0">
        <v>4552</v>
      </c>
      <c r="AR182" t="s" s="0">
        <v>4553</v>
      </c>
      <c r="AS182" t="s" s="0">
        <v>4554</v>
      </c>
      <c r="AT182" t="s" s="0">
        <v>4555</v>
      </c>
      <c r="AU182" t="s" s="0">
        <v>4556</v>
      </c>
      <c r="AV182" t="s" s="0">
        <v>81</v>
      </c>
      <c r="AW182" t="s" s="0">
        <v>4544</v>
      </c>
      <c r="AX182" t="s" s="0">
        <v>4557</v>
      </c>
      <c r="AY182" t="s" s="0">
        <v>4558</v>
      </c>
      <c r="AZ182" t="s" s="0">
        <v>482</v>
      </c>
      <c r="BA182" t="s" s="0">
        <v>252</v>
      </c>
      <c r="BB182" t="s" s="0">
        <v>225</v>
      </c>
      <c r="BC182" t="s" s="0">
        <v>81</v>
      </c>
      <c r="BD182" t="s" s="0">
        <v>81</v>
      </c>
      <c r="BE182" t="s" s="0">
        <v>81</v>
      </c>
      <c r="BF182" t="s" s="0">
        <v>81</v>
      </c>
      <c r="BG182" t="s" s="0">
        <v>4559</v>
      </c>
      <c r="BH182" t="s" s="0">
        <v>4560</v>
      </c>
      <c r="BI182" t="s" s="0">
        <v>81</v>
      </c>
      <c r="BJ182" t="s" s="0">
        <v>4561</v>
      </c>
      <c r="BK182" t="s" s="360">
        <f>HYPERLINK("http://dx.doi.org/10.1016/j.ccell.2022.07.004","http://dx.doi.org/10.1016/j.ccell.2022.07.004")</f>
        <v>4562</v>
      </c>
      <c r="BL182" t="s" s="0">
        <v>81</v>
      </c>
      <c r="BM182" t="s" s="0">
        <v>4563</v>
      </c>
      <c r="BN182" t="s" s="0">
        <v>105</v>
      </c>
      <c r="BO182" t="s" s="0">
        <v>4564</v>
      </c>
      <c r="BP182" t="s" s="0">
        <v>4564</v>
      </c>
      <c r="BQ182" t="s" s="0">
        <v>4565</v>
      </c>
      <c r="BR182" t="s" s="0">
        <v>4566</v>
      </c>
      <c r="BS182" t="s" s="0">
        <v>4567</v>
      </c>
      <c r="BT182" t="s" s="361">
        <f>HYPERLINK("https://www.webofscience.com/wos/woscc/full-record/WOS:000889136400014","View Record in Web of Science")</f>
        <v>114</v>
      </c>
      <c r="BU182" t="s" s="0">
        <v>457</v>
      </c>
      <c r="BV182" t="s" s="0">
        <v>915</v>
      </c>
      <c r="BW182" t="s" s="0">
        <v>916</v>
      </c>
      <c r="BX182" t="s" s="0">
        <v>116</v>
      </c>
    </row>
    <row r="183">
      <c r="A183" t="s" s="0">
        <v>117</v>
      </c>
      <c r="B183" t="s" s="0">
        <v>77</v>
      </c>
      <c r="C183" t="s" s="0">
        <v>227</v>
      </c>
      <c r="D183" t="s" s="0">
        <v>77</v>
      </c>
      <c r="E183" t="s" s="0">
        <v>4568</v>
      </c>
      <c r="F183" t="s" s="0">
        <v>4569</v>
      </c>
      <c r="G183" t="s" s="0">
        <v>4570</v>
      </c>
      <c r="H183" t="s" s="0">
        <v>81</v>
      </c>
      <c r="I183" t="s" s="0">
        <v>82</v>
      </c>
      <c r="J183" t="s" s="0">
        <v>4571</v>
      </c>
      <c r="K183" t="s" s="0">
        <v>4572</v>
      </c>
      <c r="L183" t="s" s="0">
        <v>4573</v>
      </c>
      <c r="M183" t="s" s="0">
        <v>4574</v>
      </c>
      <c r="N183" t="s" s="0">
        <v>4575</v>
      </c>
      <c r="O183" t="s" s="0">
        <v>4576</v>
      </c>
      <c r="P183" t="s" s="0">
        <v>4577</v>
      </c>
      <c r="Q183" t="s" s="0">
        <v>90</v>
      </c>
      <c r="R183" t="s" s="0">
        <v>81</v>
      </c>
      <c r="S183" t="s" s="0">
        <v>81</v>
      </c>
      <c r="T183" t="s" s="0">
        <v>81</v>
      </c>
      <c r="U183" t="s" s="0">
        <v>81</v>
      </c>
      <c r="V183" t="s" s="0">
        <v>4578</v>
      </c>
      <c r="W183" t="s" s="0">
        <v>4579</v>
      </c>
      <c r="X183" t="s" s="0">
        <v>81</v>
      </c>
      <c r="Y183" t="s" s="0">
        <v>81</v>
      </c>
      <c r="Z183" t="s" s="0">
        <v>93</v>
      </c>
      <c r="AA183" t="s" s="0">
        <v>94</v>
      </c>
      <c r="AB183" t="s" s="0">
        <v>81</v>
      </c>
      <c r="AC183" t="s" s="0">
        <v>81</v>
      </c>
      <c r="AD183" t="s" s="0">
        <v>81</v>
      </c>
      <c r="AE183" t="s" s="0">
        <v>81</v>
      </c>
      <c r="AF183" t="s" s="0">
        <v>81</v>
      </c>
      <c r="AG183" t="s" s="0">
        <v>4580</v>
      </c>
      <c r="AH183" t="s" s="0">
        <v>81</v>
      </c>
      <c r="AI183" t="s" s="0">
        <v>81</v>
      </c>
      <c r="AJ183" t="s" s="0">
        <v>81</v>
      </c>
      <c r="AK183" t="s" s="0">
        <v>81</v>
      </c>
      <c r="AL183" t="s" s="0">
        <v>304</v>
      </c>
      <c r="AM183" t="s" s="0">
        <v>204</v>
      </c>
      <c r="AN183" t="s" s="0">
        <v>167</v>
      </c>
      <c r="AO183" t="s" s="0">
        <v>160</v>
      </c>
      <c r="AP183" t="s" s="0">
        <v>225</v>
      </c>
      <c r="AQ183" t="s" s="0">
        <v>97</v>
      </c>
      <c r="AR183" t="s" s="0">
        <v>98</v>
      </c>
      <c r="AS183" t="s" s="0">
        <v>99</v>
      </c>
      <c r="AT183" t="s" s="0">
        <v>4581</v>
      </c>
      <c r="AU183" t="s" s="0">
        <v>81</v>
      </c>
      <c r="AV183" t="s" s="0">
        <v>81</v>
      </c>
      <c r="AW183" t="s" s="0">
        <v>4582</v>
      </c>
      <c r="AX183" t="s" s="0">
        <v>4583</v>
      </c>
      <c r="AY183" t="s" s="0">
        <v>4584</v>
      </c>
      <c r="AZ183" t="s" s="0">
        <v>136</v>
      </c>
      <c r="BA183" t="s" s="0">
        <v>137</v>
      </c>
      <c r="BB183" t="s" s="0">
        <v>81</v>
      </c>
      <c r="BC183" t="s" s="0">
        <v>81</v>
      </c>
      <c r="BD183" t="s" s="0">
        <v>81</v>
      </c>
      <c r="BE183" t="s" s="0">
        <v>81</v>
      </c>
      <c r="BF183" t="s" s="0">
        <v>81</v>
      </c>
      <c r="BG183" t="s" s="0">
        <v>81</v>
      </c>
      <c r="BH183" t="s" s="0">
        <v>81</v>
      </c>
      <c r="BI183" t="s" s="0">
        <v>4585</v>
      </c>
      <c r="BJ183" t="s" s="0">
        <v>4586</v>
      </c>
      <c r="BK183" t="s" s="362">
        <f>HYPERLINK("http://dx.doi.org/10.3389/fimmu.2025.1540013","http://dx.doi.org/10.3389/fimmu.2025.1540013")</f>
        <v>4587</v>
      </c>
      <c r="BL183" t="s" s="0">
        <v>81</v>
      </c>
      <c r="BM183" t="s" s="0">
        <v>81</v>
      </c>
      <c r="BN183" t="s" s="0">
        <v>167</v>
      </c>
      <c r="BO183" t="s" s="0">
        <v>4588</v>
      </c>
      <c r="BP183" t="s" s="0">
        <v>4588</v>
      </c>
      <c r="BQ183" t="s" s="0">
        <v>4589</v>
      </c>
      <c r="BR183" t="s" s="0">
        <v>4590</v>
      </c>
      <c r="BS183" t="s" s="0">
        <v>4591</v>
      </c>
      <c r="BT183" t="s" s="363">
        <f>HYPERLINK("https://www.webofscience.com/wos/woscc/full-record/WOS:001450905300001","View Record in Web of Science")</f>
        <v>114</v>
      </c>
      <c r="BU183" t="s" s="0">
        <v>145</v>
      </c>
      <c r="BV183" t="s" s="0">
        <v>81</v>
      </c>
      <c r="BW183" t="s" s="0">
        <v>81</v>
      </c>
      <c r="BX183" t="s" s="0">
        <v>116</v>
      </c>
    </row>
    <row r="184">
      <c r="A184" t="s" s="0">
        <v>77</v>
      </c>
      <c r="B184" t="s" s="0">
        <v>77</v>
      </c>
      <c r="C184" t="s" s="0">
        <v>77</v>
      </c>
      <c r="D184" t="s" s="0">
        <v>77</v>
      </c>
      <c r="E184" t="s" s="0">
        <v>4592</v>
      </c>
      <c r="F184" t="s" s="0">
        <v>4593</v>
      </c>
      <c r="G184" t="s" s="0">
        <v>4594</v>
      </c>
      <c r="H184" t="s" s="0">
        <v>81</v>
      </c>
      <c r="I184" t="s" s="0">
        <v>82</v>
      </c>
      <c r="J184" t="s" s="0">
        <v>4595</v>
      </c>
      <c r="K184" t="s" s="0">
        <v>4596</v>
      </c>
      <c r="L184" t="s" s="0">
        <v>4597</v>
      </c>
      <c r="M184" t="s" s="0">
        <v>4598</v>
      </c>
      <c r="N184" t="s" s="0">
        <v>4599</v>
      </c>
      <c r="O184" t="s" s="0">
        <v>4600</v>
      </c>
      <c r="P184" t="s" s="0">
        <v>4601</v>
      </c>
      <c r="Q184" t="s" s="0">
        <v>90</v>
      </c>
      <c r="R184" t="s" s="0">
        <v>81</v>
      </c>
      <c r="S184" t="s" s="0">
        <v>81</v>
      </c>
      <c r="T184" t="s" s="0">
        <v>81</v>
      </c>
      <c r="U184" t="s" s="0">
        <v>81</v>
      </c>
      <c r="V184" t="s" s="0">
        <v>4602</v>
      </c>
      <c r="W184" t="s" s="0">
        <v>4603</v>
      </c>
      <c r="X184" t="s" s="0">
        <v>81</v>
      </c>
      <c r="Y184" t="s" s="0">
        <v>81</v>
      </c>
      <c r="Z184" t="s" s="0">
        <v>93</v>
      </c>
      <c r="AA184" t="s" s="0">
        <v>94</v>
      </c>
      <c r="AB184" t="s" s="0">
        <v>81</v>
      </c>
      <c r="AC184" t="s" s="0">
        <v>81</v>
      </c>
      <c r="AD184" t="s" s="0">
        <v>81</v>
      </c>
      <c r="AE184" t="s" s="0">
        <v>81</v>
      </c>
      <c r="AF184" t="s" s="0">
        <v>81</v>
      </c>
      <c r="AG184" t="s" s="0">
        <v>81</v>
      </c>
      <c r="AH184" t="s" s="0">
        <v>4604</v>
      </c>
      <c r="AI184" t="s" s="0">
        <v>4605</v>
      </c>
      <c r="AJ184" t="s" s="0">
        <v>81</v>
      </c>
      <c r="AK184" t="s" s="0">
        <v>81</v>
      </c>
      <c r="AL184" t="s" s="0">
        <v>3143</v>
      </c>
      <c r="AM184" t="s" s="0">
        <v>77</v>
      </c>
      <c r="AN184" t="s" s="0">
        <v>77</v>
      </c>
      <c r="AO184" t="s" s="0">
        <v>117</v>
      </c>
      <c r="AP184" t="s" s="0">
        <v>117</v>
      </c>
      <c r="AQ184" t="s" s="0">
        <v>4552</v>
      </c>
      <c r="AR184" t="s" s="0">
        <v>4553</v>
      </c>
      <c r="AS184" t="s" s="0">
        <v>4554</v>
      </c>
      <c r="AT184" t="s" s="0">
        <v>4606</v>
      </c>
      <c r="AU184" t="s" s="0">
        <v>4607</v>
      </c>
      <c r="AV184" t="s" s="0">
        <v>81</v>
      </c>
      <c r="AW184" t="s" s="0">
        <v>4608</v>
      </c>
      <c r="AX184" t="s" s="0">
        <v>4609</v>
      </c>
      <c r="AY184" t="s" s="0">
        <v>4610</v>
      </c>
      <c r="AZ184" t="s" s="0">
        <v>104</v>
      </c>
      <c r="BA184" t="s" s="0">
        <v>563</v>
      </c>
      <c r="BB184" t="s" s="0">
        <v>131</v>
      </c>
      <c r="BC184" t="s" s="0">
        <v>81</v>
      </c>
      <c r="BD184" t="s" s="0">
        <v>81</v>
      </c>
      <c r="BE184" t="s" s="0">
        <v>81</v>
      </c>
      <c r="BF184" t="s" s="0">
        <v>81</v>
      </c>
      <c r="BG184" t="s" s="0">
        <v>81</v>
      </c>
      <c r="BH184" t="s" s="0">
        <v>81</v>
      </c>
      <c r="BI184" t="s" s="0">
        <v>4611</v>
      </c>
      <c r="BJ184" t="s" s="0">
        <v>4612</v>
      </c>
      <c r="BK184" t="s" s="364">
        <f>HYPERLINK("http://dx.doi.org/10.1016/j.cels.2026.101594","http://dx.doi.org/10.1016/j.cels.2026.101594")</f>
        <v>4613</v>
      </c>
      <c r="BL184" t="s" s="0">
        <v>81</v>
      </c>
      <c r="BM184" t="s" s="0">
        <v>81</v>
      </c>
      <c r="BN184" t="s" s="0">
        <v>337</v>
      </c>
      <c r="BO184" t="s" s="0">
        <v>4614</v>
      </c>
      <c r="BP184" t="s" s="0">
        <v>4614</v>
      </c>
      <c r="BQ184" t="s" s="0">
        <v>4615</v>
      </c>
      <c r="BR184" t="s" s="0">
        <v>4616</v>
      </c>
      <c r="BS184" t="s" s="0">
        <v>4617</v>
      </c>
      <c r="BT184" t="s" s="365">
        <f>HYPERLINK("https://www.webofscience.com/wos/woscc/full-record/WOS:001804930000001","View Record in Web of Science")</f>
        <v>114</v>
      </c>
      <c r="BU184" t="s" s="0">
        <v>457</v>
      </c>
      <c r="BV184" t="s" s="0">
        <v>81</v>
      </c>
      <c r="BW184" t="s" s="0">
        <v>81</v>
      </c>
      <c r="BX184" t="s" s="0">
        <v>116</v>
      </c>
    </row>
    <row r="185">
      <c r="A185" t="s" s="0">
        <v>77</v>
      </c>
      <c r="B185" t="s" s="0">
        <v>77</v>
      </c>
      <c r="C185" t="s" s="0">
        <v>77</v>
      </c>
      <c r="D185" t="s" s="0">
        <v>77</v>
      </c>
      <c r="E185" t="s" s="0">
        <v>4618</v>
      </c>
      <c r="F185" t="s" s="0">
        <v>4619</v>
      </c>
      <c r="G185" t="s" s="0">
        <v>4620</v>
      </c>
      <c r="H185" t="s" s="0">
        <v>81</v>
      </c>
      <c r="I185" t="s" s="0">
        <v>82</v>
      </c>
      <c r="J185" t="s" s="0">
        <v>4621</v>
      </c>
      <c r="K185" t="s" s="0">
        <v>4622</v>
      </c>
      <c r="L185" t="s" s="0">
        <v>4079</v>
      </c>
      <c r="M185" t="s" s="0">
        <v>184</v>
      </c>
      <c r="N185" t="s" s="0">
        <v>4623</v>
      </c>
      <c r="O185" t="s" s="0">
        <v>4624</v>
      </c>
      <c r="P185" t="s" s="0">
        <v>4625</v>
      </c>
      <c r="Q185" t="s" s="0">
        <v>90</v>
      </c>
      <c r="R185" t="s" s="0">
        <v>81</v>
      </c>
      <c r="S185" t="s" s="0">
        <v>81</v>
      </c>
      <c r="T185" t="s" s="0">
        <v>81</v>
      </c>
      <c r="U185" t="s" s="0">
        <v>81</v>
      </c>
      <c r="V185" t="s" s="0">
        <v>4626</v>
      </c>
      <c r="W185" t="s" s="0">
        <v>2197</v>
      </c>
      <c r="X185" t="s" s="0">
        <v>81</v>
      </c>
      <c r="Y185" t="s" s="0">
        <v>81</v>
      </c>
      <c r="Z185" t="s" s="0">
        <v>93</v>
      </c>
      <c r="AA185" t="s" s="0">
        <v>94</v>
      </c>
      <c r="AB185" t="s" s="0">
        <v>81</v>
      </c>
      <c r="AC185" t="s" s="0">
        <v>81</v>
      </c>
      <c r="AD185" t="s" s="0">
        <v>81</v>
      </c>
      <c r="AE185" t="s" s="0">
        <v>81</v>
      </c>
      <c r="AF185" t="s" s="0">
        <v>81</v>
      </c>
      <c r="AG185" t="s" s="0">
        <v>4627</v>
      </c>
      <c r="AH185" t="s" s="0">
        <v>81</v>
      </c>
      <c r="AI185" t="s" s="0">
        <v>81</v>
      </c>
      <c r="AJ185" t="s" s="0">
        <v>81</v>
      </c>
      <c r="AK185" t="s" s="0">
        <v>81</v>
      </c>
      <c r="AL185" t="s" s="0">
        <v>798</v>
      </c>
      <c r="AM185" t="s" s="0">
        <v>77</v>
      </c>
      <c r="AN185" t="s" s="0">
        <v>77</v>
      </c>
      <c r="AO185" t="s" s="0">
        <v>117</v>
      </c>
      <c r="AP185" t="s" s="0">
        <v>117</v>
      </c>
      <c r="AQ185" t="s" s="0">
        <v>97</v>
      </c>
      <c r="AR185" t="s" s="0">
        <v>98</v>
      </c>
      <c r="AS185" t="s" s="0">
        <v>99</v>
      </c>
      <c r="AT185" t="s" s="0">
        <v>81</v>
      </c>
      <c r="AU185" t="s" s="0">
        <v>2200</v>
      </c>
      <c r="AV185" t="s" s="0">
        <v>81</v>
      </c>
      <c r="AW185" t="s" s="0">
        <v>2201</v>
      </c>
      <c r="AX185" t="s" s="0">
        <v>2202</v>
      </c>
      <c r="AY185" t="s" s="0">
        <v>2868</v>
      </c>
      <c r="AZ185" t="s" s="0">
        <v>104</v>
      </c>
      <c r="BA185" t="s" s="0">
        <v>167</v>
      </c>
      <c r="BB185" t="s" s="0">
        <v>81</v>
      </c>
      <c r="BC185" t="s" s="0">
        <v>81</v>
      </c>
      <c r="BD185" t="s" s="0">
        <v>81</v>
      </c>
      <c r="BE185" t="s" s="0">
        <v>81</v>
      </c>
      <c r="BF185" t="s" s="0">
        <v>81</v>
      </c>
      <c r="BG185" t="s" s="0">
        <v>81</v>
      </c>
      <c r="BH185" t="s" s="0">
        <v>81</v>
      </c>
      <c r="BI185" t="s" s="0">
        <v>4628</v>
      </c>
      <c r="BJ185" t="s" s="0">
        <v>4629</v>
      </c>
      <c r="BK185" t="s" s="366">
        <f>HYPERLINK("http://dx.doi.org/10.3389/fmed.2026.1829629","http://dx.doi.org/10.3389/fmed.2026.1829629")</f>
        <v>4630</v>
      </c>
      <c r="BL185" t="s" s="0">
        <v>81</v>
      </c>
      <c r="BM185" t="s" s="0">
        <v>203</v>
      </c>
      <c r="BN185" t="s" s="0">
        <v>129</v>
      </c>
      <c r="BO185" t="s" s="0">
        <v>486</v>
      </c>
      <c r="BP185" t="s" s="0">
        <v>487</v>
      </c>
      <c r="BQ185" t="s" s="0">
        <v>4631</v>
      </c>
      <c r="BR185" t="s" s="0">
        <v>4632</v>
      </c>
      <c r="BS185" t="s" s="0">
        <v>4633</v>
      </c>
      <c r="BT185" t="s" s="367">
        <f>HYPERLINK("https://www.webofscience.com/wos/woscc/full-record/WOS:001772435300001","View Record in Web of Science")</f>
        <v>114</v>
      </c>
      <c r="BU185" t="s" s="0">
        <v>145</v>
      </c>
      <c r="BV185" t="s" s="0">
        <v>81</v>
      </c>
      <c r="BW185" t="s" s="0">
        <v>81</v>
      </c>
      <c r="BX185" t="s" s="0">
        <v>116</v>
      </c>
    </row>
    <row r="186">
      <c r="A186" t="s" s="0">
        <v>77</v>
      </c>
      <c r="B186" t="s" s="0">
        <v>77</v>
      </c>
      <c r="C186" t="s" s="0">
        <v>77</v>
      </c>
      <c r="D186" t="s" s="0">
        <v>77</v>
      </c>
      <c r="E186" t="s" s="0">
        <v>4634</v>
      </c>
      <c r="F186" t="s" s="0">
        <v>4635</v>
      </c>
      <c r="G186" t="s" s="0">
        <v>4636</v>
      </c>
      <c r="H186" t="s" s="0">
        <v>81</v>
      </c>
      <c r="I186" t="s" s="0">
        <v>82</v>
      </c>
      <c r="J186" t="s" s="0">
        <v>4637</v>
      </c>
      <c r="K186" t="s" s="0">
        <v>4638</v>
      </c>
      <c r="L186" t="s" s="0">
        <v>81</v>
      </c>
      <c r="M186" t="s" s="0">
        <v>81</v>
      </c>
      <c r="N186" t="s" s="0">
        <v>3134</v>
      </c>
      <c r="O186" t="s" s="0">
        <v>4639</v>
      </c>
      <c r="P186" t="s" s="0">
        <v>81</v>
      </c>
      <c r="Q186" t="s" s="0">
        <v>90</v>
      </c>
      <c r="R186" t="s" s="0">
        <v>81</v>
      </c>
      <c r="S186" t="s" s="0">
        <v>81</v>
      </c>
      <c r="T186" t="s" s="0">
        <v>81</v>
      </c>
      <c r="U186" t="s" s="0">
        <v>81</v>
      </c>
      <c r="V186" t="s" s="0">
        <v>4640</v>
      </c>
      <c r="W186" t="s" s="0">
        <v>469</v>
      </c>
      <c r="X186" t="s" s="0">
        <v>81</v>
      </c>
      <c r="Y186" t="s" s="0">
        <v>81</v>
      </c>
      <c r="Z186" t="s" s="0">
        <v>93</v>
      </c>
      <c r="AA186" t="s" s="0">
        <v>94</v>
      </c>
      <c r="AB186" t="s" s="0">
        <v>81</v>
      </c>
      <c r="AC186" t="s" s="0">
        <v>81</v>
      </c>
      <c r="AD186" t="s" s="0">
        <v>81</v>
      </c>
      <c r="AE186" t="s" s="0">
        <v>81</v>
      </c>
      <c r="AF186" t="s" s="0">
        <v>81</v>
      </c>
      <c r="AG186" t="s" s="0">
        <v>4641</v>
      </c>
      <c r="AH186" t="s" s="0">
        <v>4642</v>
      </c>
      <c r="AI186" t="s" s="0">
        <v>4643</v>
      </c>
      <c r="AJ186" t="s" s="0">
        <v>81</v>
      </c>
      <c r="AK186" t="s" s="0">
        <v>81</v>
      </c>
      <c r="AL186" t="s" s="0">
        <v>345</v>
      </c>
      <c r="AM186" t="s" s="0">
        <v>77</v>
      </c>
      <c r="AN186" t="s" s="0">
        <v>117</v>
      </c>
      <c r="AO186" t="s" s="0">
        <v>77</v>
      </c>
      <c r="AP186" t="s" s="0">
        <v>77</v>
      </c>
      <c r="AQ186" t="s" s="0">
        <v>476</v>
      </c>
      <c r="AR186" t="s" s="0">
        <v>477</v>
      </c>
      <c r="AS186" t="s" s="0">
        <v>478</v>
      </c>
      <c r="AT186" t="s" s="0">
        <v>81</v>
      </c>
      <c r="AU186" t="s" s="0">
        <v>479</v>
      </c>
      <c r="AV186" t="s" s="0">
        <v>81</v>
      </c>
      <c r="AW186" t="s" s="0">
        <v>469</v>
      </c>
      <c r="AX186" t="s" s="0">
        <v>480</v>
      </c>
      <c r="AY186" t="s" s="0">
        <v>4644</v>
      </c>
      <c r="AZ186" t="s" s="0">
        <v>104</v>
      </c>
      <c r="BA186" t="s" s="0">
        <v>137</v>
      </c>
      <c r="BB186" t="s" s="0">
        <v>161</v>
      </c>
      <c r="BC186" t="s" s="0">
        <v>81</v>
      </c>
      <c r="BD186" t="s" s="0">
        <v>81</v>
      </c>
      <c r="BE186" t="s" s="0">
        <v>81</v>
      </c>
      <c r="BF186" t="s" s="0">
        <v>81</v>
      </c>
      <c r="BG186" t="s" s="0">
        <v>81</v>
      </c>
      <c r="BH186" t="s" s="0">
        <v>81</v>
      </c>
      <c r="BI186" t="s" s="0">
        <v>4645</v>
      </c>
      <c r="BJ186" t="s" s="0">
        <v>4646</v>
      </c>
      <c r="BK186" t="s" s="368">
        <f>HYPERLINK("http://dx.doi.org/10.3390/diagnostics16071023","http://dx.doi.org/10.3390/diagnostics16071023")</f>
        <v>4647</v>
      </c>
      <c r="BL186" t="s" s="0">
        <v>81</v>
      </c>
      <c r="BM186" t="s" s="0">
        <v>81</v>
      </c>
      <c r="BN186" t="s" s="0">
        <v>204</v>
      </c>
      <c r="BO186" t="s" s="0">
        <v>486</v>
      </c>
      <c r="BP186" t="s" s="0">
        <v>487</v>
      </c>
      <c r="BQ186" t="s" s="0">
        <v>4648</v>
      </c>
      <c r="BR186" t="s" s="0">
        <v>4649</v>
      </c>
      <c r="BS186" t="s" s="0">
        <v>4650</v>
      </c>
      <c r="BT186" t="s" s="369">
        <f>HYPERLINK("https://www.webofscience.com/wos/woscc/full-record/WOS:001738916200001","View Record in Web of Science")</f>
        <v>114</v>
      </c>
      <c r="BU186" t="s" s="0">
        <v>145</v>
      </c>
      <c r="BV186" t="s" s="0">
        <v>81</v>
      </c>
      <c r="BW186" t="s" s="0">
        <v>81</v>
      </c>
      <c r="BX186" t="s" s="0">
        <v>116</v>
      </c>
    </row>
    <row r="187">
      <c r="A187" t="s" s="0">
        <v>130</v>
      </c>
      <c r="B187" t="s" s="0">
        <v>77</v>
      </c>
      <c r="C187" t="s" s="0">
        <v>161</v>
      </c>
      <c r="D187" t="s" s="0">
        <v>77</v>
      </c>
      <c r="E187" t="s" s="0">
        <v>4651</v>
      </c>
      <c r="F187" t="s" s="0">
        <v>4652</v>
      </c>
      <c r="G187" t="s" s="0">
        <v>4653</v>
      </c>
      <c r="H187" t="s" s="0">
        <v>81</v>
      </c>
      <c r="I187" t="s" s="0">
        <v>82</v>
      </c>
      <c r="J187" t="s" s="0">
        <v>4654</v>
      </c>
      <c r="K187" t="s" s="0">
        <v>4655</v>
      </c>
      <c r="L187" t="s" s="0">
        <v>4656</v>
      </c>
      <c r="M187" t="s" s="0">
        <v>4657</v>
      </c>
      <c r="N187" t="s" s="0">
        <v>4658</v>
      </c>
      <c r="O187" t="s" s="0">
        <v>4659</v>
      </c>
      <c r="P187" t="s" s="0">
        <v>4660</v>
      </c>
      <c r="Q187" t="s" s="0">
        <v>90</v>
      </c>
      <c r="R187" t="s" s="0">
        <v>81</v>
      </c>
      <c r="S187" t="s" s="0">
        <v>81</v>
      </c>
      <c r="T187" t="s" s="0">
        <v>81</v>
      </c>
      <c r="U187" t="s" s="0">
        <v>81</v>
      </c>
      <c r="V187" t="s" s="0">
        <v>4661</v>
      </c>
      <c r="W187" t="s" s="0">
        <v>4662</v>
      </c>
      <c r="X187" t="s" s="0">
        <v>81</v>
      </c>
      <c r="Y187" t="s" s="0">
        <v>81</v>
      </c>
      <c r="Z187" t="s" s="0">
        <v>93</v>
      </c>
      <c r="AA187" t="s" s="0">
        <v>94</v>
      </c>
      <c r="AB187" t="s" s="0">
        <v>81</v>
      </c>
      <c r="AC187" t="s" s="0">
        <v>81</v>
      </c>
      <c r="AD187" t="s" s="0">
        <v>81</v>
      </c>
      <c r="AE187" t="s" s="0">
        <v>81</v>
      </c>
      <c r="AF187" t="s" s="0">
        <v>81</v>
      </c>
      <c r="AG187" t="s" s="0">
        <v>81</v>
      </c>
      <c r="AH187" t="s" s="0">
        <v>4663</v>
      </c>
      <c r="AI187" t="s" s="0">
        <v>4664</v>
      </c>
      <c r="AJ187" t="s" s="0">
        <v>4665</v>
      </c>
      <c r="AK187" t="s" s="0">
        <v>81</v>
      </c>
      <c r="AL187" t="s" s="0">
        <v>1421</v>
      </c>
      <c r="AM187" t="s" s="0">
        <v>564</v>
      </c>
      <c r="AN187" t="s" s="0">
        <v>345</v>
      </c>
      <c r="AO187" t="s" s="0">
        <v>227</v>
      </c>
      <c r="AP187" t="s" s="0">
        <v>846</v>
      </c>
      <c r="AQ187" t="s" s="0">
        <v>1098</v>
      </c>
      <c r="AR187" t="s" s="0">
        <v>1099</v>
      </c>
      <c r="AS187" t="s" s="0">
        <v>1100</v>
      </c>
      <c r="AT187" t="s" s="0">
        <v>4666</v>
      </c>
      <c r="AU187" t="s" s="0">
        <v>4667</v>
      </c>
      <c r="AV187" t="s" s="0">
        <v>81</v>
      </c>
      <c r="AW187" t="s" s="0">
        <v>4668</v>
      </c>
      <c r="AX187" t="s" s="0">
        <v>4669</v>
      </c>
      <c r="AY187" t="s" s="0">
        <v>778</v>
      </c>
      <c r="AZ187" t="s" s="0">
        <v>1519</v>
      </c>
      <c r="BA187" t="s" s="0">
        <v>4670</v>
      </c>
      <c r="BB187" t="s" s="0">
        <v>81</v>
      </c>
      <c r="BC187" t="s" s="0">
        <v>81</v>
      </c>
      <c r="BD187" t="s" s="0">
        <v>81</v>
      </c>
      <c r="BE187" t="s" s="0">
        <v>81</v>
      </c>
      <c r="BF187" t="s" s="0">
        <v>81</v>
      </c>
      <c r="BG187" t="s" s="0">
        <v>4671</v>
      </c>
      <c r="BH187" t="s" s="0">
        <v>4672</v>
      </c>
      <c r="BI187" t="s" s="0">
        <v>81</v>
      </c>
      <c r="BJ187" t="s" s="0">
        <v>4673</v>
      </c>
      <c r="BK187" t="s" s="370">
        <f>HYPERLINK("http://dx.doi.org/10.1016/j.ajo.2023.04.007","http://dx.doi.org/10.1016/j.ajo.2023.04.007")</f>
        <v>4674</v>
      </c>
      <c r="BL187" t="s" s="0">
        <v>81</v>
      </c>
      <c r="BM187" t="s" s="0">
        <v>4675</v>
      </c>
      <c r="BN187" t="s" s="0">
        <v>226</v>
      </c>
      <c r="BO187" t="s" s="0">
        <v>606</v>
      </c>
      <c r="BP187" t="s" s="0">
        <v>606</v>
      </c>
      <c r="BQ187" t="s" s="0">
        <v>4676</v>
      </c>
      <c r="BR187" t="s" s="0">
        <v>4677</v>
      </c>
      <c r="BS187" t="s" s="0">
        <v>4678</v>
      </c>
      <c r="BT187" t="s" s="371">
        <f>HYPERLINK("https://www.webofscience.com/wos/woscc/full-record/WOS:001010462200001","View Record in Web of Science")</f>
        <v>114</v>
      </c>
      <c r="BU187" t="s" s="0">
        <v>804</v>
      </c>
      <c r="BV187" t="s" s="0">
        <v>81</v>
      </c>
      <c r="BW187" t="s" s="0">
        <v>81</v>
      </c>
      <c r="BX187" t="s" s="0">
        <v>116</v>
      </c>
    </row>
    <row r="188">
      <c r="A188" t="s" s="0">
        <v>77</v>
      </c>
      <c r="B188" t="s" s="0">
        <v>77</v>
      </c>
      <c r="C188" t="s" s="0">
        <v>77</v>
      </c>
      <c r="D188" t="s" s="0">
        <v>77</v>
      </c>
      <c r="E188" t="s" s="0">
        <v>4679</v>
      </c>
      <c r="F188" t="s" s="0">
        <v>4680</v>
      </c>
      <c r="G188" t="s" s="0">
        <v>4681</v>
      </c>
      <c r="H188" t="s" s="0">
        <v>81</v>
      </c>
      <c r="I188" t="s" s="0">
        <v>82</v>
      </c>
      <c r="J188" t="s" s="0">
        <v>4682</v>
      </c>
      <c r="K188" t="s" s="0">
        <v>4683</v>
      </c>
      <c r="L188" t="s" s="0">
        <v>4684</v>
      </c>
      <c r="M188" t="s" s="0">
        <v>4684</v>
      </c>
      <c r="N188" t="s" s="0">
        <v>4685</v>
      </c>
      <c r="O188" t="s" s="0">
        <v>4686</v>
      </c>
      <c r="P188" t="s" s="0">
        <v>4687</v>
      </c>
      <c r="Q188" t="s" s="0">
        <v>90</v>
      </c>
      <c r="R188" t="s" s="0">
        <v>81</v>
      </c>
      <c r="S188" t="s" s="0">
        <v>81</v>
      </c>
      <c r="T188" t="s" s="0">
        <v>81</v>
      </c>
      <c r="U188" t="s" s="0">
        <v>81</v>
      </c>
      <c r="V188" t="s" s="0">
        <v>4688</v>
      </c>
      <c r="W188" t="s" s="0">
        <v>4689</v>
      </c>
      <c r="X188" t="s" s="0">
        <v>81</v>
      </c>
      <c r="Y188" t="s" s="0">
        <v>81</v>
      </c>
      <c r="Z188" t="s" s="0">
        <v>93</v>
      </c>
      <c r="AA188" t="s" s="0">
        <v>94</v>
      </c>
      <c r="AB188" t="s" s="0">
        <v>81</v>
      </c>
      <c r="AC188" t="s" s="0">
        <v>81</v>
      </c>
      <c r="AD188" t="s" s="0">
        <v>81</v>
      </c>
      <c r="AE188" t="s" s="0">
        <v>81</v>
      </c>
      <c r="AF188" t="s" s="0">
        <v>81</v>
      </c>
      <c r="AG188" t="s" s="0">
        <v>4690</v>
      </c>
      <c r="AH188" t="s" s="0">
        <v>4691</v>
      </c>
      <c r="AI188" t="s" s="0">
        <v>4692</v>
      </c>
      <c r="AJ188" t="s" s="0">
        <v>4693</v>
      </c>
      <c r="AK188" t="s" s="0">
        <v>81</v>
      </c>
      <c r="AL188" t="s" s="0">
        <v>1421</v>
      </c>
      <c r="AM188" t="s" s="0">
        <v>117</v>
      </c>
      <c r="AN188" t="s" s="0">
        <v>117</v>
      </c>
      <c r="AO188" t="s" s="0">
        <v>161</v>
      </c>
      <c r="AP188" t="s" s="0">
        <v>318</v>
      </c>
      <c r="AQ188" t="s" s="0">
        <v>4694</v>
      </c>
      <c r="AR188" t="s" s="0">
        <v>4695</v>
      </c>
      <c r="AS188" t="s" s="0">
        <v>4696</v>
      </c>
      <c r="AT188" t="s" s="0">
        <v>4697</v>
      </c>
      <c r="AU188" t="s" s="0">
        <v>4698</v>
      </c>
      <c r="AV188" t="s" s="0">
        <v>81</v>
      </c>
      <c r="AW188" t="s" s="0">
        <v>4699</v>
      </c>
      <c r="AX188" t="s" s="0">
        <v>4700</v>
      </c>
      <c r="AY188" t="s" s="0">
        <v>382</v>
      </c>
      <c r="AZ188" t="s" s="0">
        <v>136</v>
      </c>
      <c r="BA188" t="s" s="0">
        <v>109</v>
      </c>
      <c r="BB188" t="s" s="0">
        <v>117</v>
      </c>
      <c r="BC188" t="s" s="0">
        <v>81</v>
      </c>
      <c r="BD188" t="s" s="0">
        <v>81</v>
      </c>
      <c r="BE188" t="s" s="0">
        <v>81</v>
      </c>
      <c r="BF188" t="s" s="0">
        <v>81</v>
      </c>
      <c r="BG188" t="s" s="0">
        <v>4323</v>
      </c>
      <c r="BH188" t="s" s="0">
        <v>4701</v>
      </c>
      <c r="BI188" t="s" s="0">
        <v>81</v>
      </c>
      <c r="BJ188" t="s" s="0">
        <v>4702</v>
      </c>
      <c r="BK188" t="s" s="372">
        <f>HYPERLINK("http://dx.doi.org/10.2298/CSIS241110011Y","http://dx.doi.org/10.2298/CSIS241110011Y")</f>
        <v>4703</v>
      </c>
      <c r="BL188" t="s" s="0">
        <v>81</v>
      </c>
      <c r="BM188" t="s" s="0">
        <v>81</v>
      </c>
      <c r="BN188" t="s" s="0">
        <v>258</v>
      </c>
      <c r="BO188" t="s" s="0">
        <v>4704</v>
      </c>
      <c r="BP188" t="s" s="0">
        <v>420</v>
      </c>
      <c r="BQ188" t="s" s="0">
        <v>4705</v>
      </c>
      <c r="BR188" t="s" s="0">
        <v>81</v>
      </c>
      <c r="BS188" t="s" s="0">
        <v>4706</v>
      </c>
      <c r="BT188" t="s" s="373">
        <f>HYPERLINK("https://www.webofscience.com/wos/woscc/full-record/WOS:001429349700016","View Record in Web of Science")</f>
        <v>114</v>
      </c>
      <c r="BU188" t="s" s="0">
        <v>115</v>
      </c>
      <c r="BV188" t="s" s="0">
        <v>81</v>
      </c>
      <c r="BW188" t="s" s="0">
        <v>81</v>
      </c>
      <c r="BX188" t="s" s="0">
        <v>116</v>
      </c>
    </row>
    <row r="189">
      <c r="A189" t="s" s="0">
        <v>77</v>
      </c>
      <c r="B189" t="s" s="0">
        <v>77</v>
      </c>
      <c r="C189" t="s" s="0">
        <v>77</v>
      </c>
      <c r="D189" t="s" s="0">
        <v>77</v>
      </c>
      <c r="E189" t="s" s="0">
        <v>4707</v>
      </c>
      <c r="F189" t="s" s="0">
        <v>4708</v>
      </c>
      <c r="G189" t="s" s="0">
        <v>4709</v>
      </c>
      <c r="H189" t="s" s="0">
        <v>81</v>
      </c>
      <c r="I189" t="s" s="0">
        <v>82</v>
      </c>
      <c r="J189" t="s" s="0">
        <v>4710</v>
      </c>
      <c r="K189" t="s" s="0">
        <v>4711</v>
      </c>
      <c r="L189" t="s" s="0">
        <v>81</v>
      </c>
      <c r="M189" t="s" s="0">
        <v>81</v>
      </c>
      <c r="N189" t="s" s="0">
        <v>81</v>
      </c>
      <c r="O189" t="s" s="0">
        <v>4712</v>
      </c>
      <c r="P189" t="s" s="0">
        <v>4713</v>
      </c>
      <c r="Q189" t="s" s="0">
        <v>90</v>
      </c>
      <c r="R189" t="s" s="0">
        <v>81</v>
      </c>
      <c r="S189" t="s" s="0">
        <v>81</v>
      </c>
      <c r="T189" t="s" s="0">
        <v>81</v>
      </c>
      <c r="U189" t="s" s="0">
        <v>81</v>
      </c>
      <c r="V189" t="s" s="0">
        <v>4714</v>
      </c>
      <c r="W189" t="s" s="0">
        <v>4715</v>
      </c>
      <c r="X189" t="s" s="0">
        <v>81</v>
      </c>
      <c r="Y189" t="s" s="0">
        <v>81</v>
      </c>
      <c r="Z189" t="s" s="0">
        <v>93</v>
      </c>
      <c r="AA189" t="s" s="0">
        <v>94</v>
      </c>
      <c r="AB189" t="s" s="0">
        <v>81</v>
      </c>
      <c r="AC189" t="s" s="0">
        <v>81</v>
      </c>
      <c r="AD189" t="s" s="0">
        <v>81</v>
      </c>
      <c r="AE189" t="s" s="0">
        <v>81</v>
      </c>
      <c r="AF189" t="s" s="0">
        <v>81</v>
      </c>
      <c r="AG189" t="s" s="0">
        <v>4716</v>
      </c>
      <c r="AH189" t="s" s="0">
        <v>81</v>
      </c>
      <c r="AI189" t="s" s="0">
        <v>4717</v>
      </c>
      <c r="AJ189" t="s" s="0">
        <v>81</v>
      </c>
      <c r="AK189" t="s" s="0">
        <v>81</v>
      </c>
      <c r="AL189" t="s" s="0">
        <v>405</v>
      </c>
      <c r="AM189" t="s" s="0">
        <v>77</v>
      </c>
      <c r="AN189" t="s" s="0">
        <v>77</v>
      </c>
      <c r="AO189" t="s" s="0">
        <v>77</v>
      </c>
      <c r="AP189" t="s" s="0">
        <v>77</v>
      </c>
      <c r="AQ189" t="s" s="0">
        <v>4718</v>
      </c>
      <c r="AR189" t="s" s="0">
        <v>339</v>
      </c>
      <c r="AS189" t="s" s="0">
        <v>4719</v>
      </c>
      <c r="AT189" t="s" s="0">
        <v>81</v>
      </c>
      <c r="AU189" t="s" s="0">
        <v>4720</v>
      </c>
      <c r="AV189" t="s" s="0">
        <v>81</v>
      </c>
      <c r="AW189" t="s" s="0">
        <v>4721</v>
      </c>
      <c r="AX189" t="s" s="0">
        <v>4722</v>
      </c>
      <c r="AY189" t="s" s="0">
        <v>4723</v>
      </c>
      <c r="AZ189" t="s" s="0">
        <v>104</v>
      </c>
      <c r="BA189" t="s" s="0">
        <v>226</v>
      </c>
      <c r="BB189" t="s" s="0">
        <v>81</v>
      </c>
      <c r="BC189" t="s" s="0">
        <v>81</v>
      </c>
      <c r="BD189" t="s" s="0">
        <v>81</v>
      </c>
      <c r="BE189" t="s" s="0">
        <v>81</v>
      </c>
      <c r="BF189" t="s" s="0">
        <v>81</v>
      </c>
      <c r="BG189" t="s" s="0">
        <v>81</v>
      </c>
      <c r="BH189" t="s" s="0">
        <v>81</v>
      </c>
      <c r="BI189" t="s" s="0">
        <v>4724</v>
      </c>
      <c r="BJ189" t="s" s="0">
        <v>4725</v>
      </c>
      <c r="BK189" t="s" s="374">
        <f>HYPERLINK("http://dx.doi.org/10.7717/peerj-cs.3872","http://dx.doi.org/10.7717/peerj-cs.3872")</f>
        <v>4726</v>
      </c>
      <c r="BL189" t="s" s="0">
        <v>81</v>
      </c>
      <c r="BM189" t="s" s="0">
        <v>203</v>
      </c>
      <c r="BN189" t="s" s="0">
        <v>318</v>
      </c>
      <c r="BO189" t="s" s="0">
        <v>4459</v>
      </c>
      <c r="BP189" t="s" s="0">
        <v>420</v>
      </c>
      <c r="BQ189" t="s" s="0">
        <v>4727</v>
      </c>
      <c r="BR189" t="s" s="0">
        <v>81</v>
      </c>
      <c r="BS189" t="s" s="0">
        <v>4728</v>
      </c>
      <c r="BT189" t="s" s="375">
        <f>HYPERLINK("https://www.webofscience.com/wos/woscc/full-record/WOS:001778746200001","View Record in Web of Science")</f>
        <v>114</v>
      </c>
      <c r="BU189" t="s" s="0">
        <v>3605</v>
      </c>
      <c r="BV189" t="s" s="0">
        <v>81</v>
      </c>
      <c r="BW189" t="s" s="0">
        <v>81</v>
      </c>
      <c r="BX189" t="s" s="0">
        <v>116</v>
      </c>
    </row>
    <row r="190">
      <c r="A190" t="s" s="0">
        <v>77</v>
      </c>
      <c r="B190" t="s" s="0">
        <v>77</v>
      </c>
      <c r="C190" t="s" s="0">
        <v>77</v>
      </c>
      <c r="D190" t="s" s="0">
        <v>77</v>
      </c>
      <c r="E190" t="s" s="0">
        <v>4729</v>
      </c>
      <c r="F190" t="s" s="0">
        <v>4730</v>
      </c>
      <c r="G190" t="s" s="0">
        <v>4731</v>
      </c>
      <c r="H190" t="s" s="0">
        <v>81</v>
      </c>
      <c r="I190" t="s" s="0">
        <v>82</v>
      </c>
      <c r="J190" t="s" s="0">
        <v>4732</v>
      </c>
      <c r="K190" t="s" s="0">
        <v>4733</v>
      </c>
      <c r="L190" t="s" s="0">
        <v>81</v>
      </c>
      <c r="M190" t="s" s="0">
        <v>81</v>
      </c>
      <c r="N190" t="s" s="0">
        <v>81</v>
      </c>
      <c r="O190" t="s" s="0">
        <v>4734</v>
      </c>
      <c r="P190" t="s" s="0">
        <v>4735</v>
      </c>
      <c r="Q190" t="s" s="0">
        <v>90</v>
      </c>
      <c r="R190" t="s" s="0">
        <v>81</v>
      </c>
      <c r="S190" t="s" s="0">
        <v>81</v>
      </c>
      <c r="T190" t="s" s="0">
        <v>81</v>
      </c>
      <c r="U190" t="s" s="0">
        <v>81</v>
      </c>
      <c r="V190" t="s" s="0">
        <v>4736</v>
      </c>
      <c r="W190" t="s" s="0">
        <v>4737</v>
      </c>
      <c r="X190" t="s" s="0">
        <v>81</v>
      </c>
      <c r="Y190" t="s" s="0">
        <v>81</v>
      </c>
      <c r="Z190" t="s" s="0">
        <v>93</v>
      </c>
      <c r="AA190" t="s" s="0">
        <v>94</v>
      </c>
      <c r="AB190" t="s" s="0">
        <v>81</v>
      </c>
      <c r="AC190" t="s" s="0">
        <v>81</v>
      </c>
      <c r="AD190" t="s" s="0">
        <v>81</v>
      </c>
      <c r="AE190" t="s" s="0">
        <v>81</v>
      </c>
      <c r="AF190" t="s" s="0">
        <v>81</v>
      </c>
      <c r="AG190" t="s" s="0">
        <v>4738</v>
      </c>
      <c r="AH190" t="s" s="0">
        <v>81</v>
      </c>
      <c r="AI190" t="s" s="0">
        <v>81</v>
      </c>
      <c r="AJ190" t="s" s="0">
        <v>81</v>
      </c>
      <c r="AK190" t="s" s="0">
        <v>81</v>
      </c>
      <c r="AL190" t="s" s="0">
        <v>405</v>
      </c>
      <c r="AM190" t="s" s="0">
        <v>77</v>
      </c>
      <c r="AN190" t="s" s="0">
        <v>77</v>
      </c>
      <c r="AO190" t="s" s="0">
        <v>130</v>
      </c>
      <c r="AP190" t="s" s="0">
        <v>130</v>
      </c>
      <c r="AQ190" t="s" s="0">
        <v>338</v>
      </c>
      <c r="AR190" t="s" s="0">
        <v>339</v>
      </c>
      <c r="AS190" t="s" s="0">
        <v>340</v>
      </c>
      <c r="AT190" t="s" s="0">
        <v>81</v>
      </c>
      <c r="AU190" t="s" s="0">
        <v>4739</v>
      </c>
      <c r="AV190" t="s" s="0">
        <v>81</v>
      </c>
      <c r="AW190" t="s" s="0">
        <v>4740</v>
      </c>
      <c r="AX190" t="s" s="0">
        <v>4741</v>
      </c>
      <c r="AY190" t="s" s="0">
        <v>4742</v>
      </c>
      <c r="AZ190" t="s" s="0">
        <v>104</v>
      </c>
      <c r="BA190" t="s" s="0">
        <v>345</v>
      </c>
      <c r="BB190" t="s" s="0">
        <v>117</v>
      </c>
      <c r="BC190" t="s" s="0">
        <v>81</v>
      </c>
      <c r="BD190" t="s" s="0">
        <v>81</v>
      </c>
      <c r="BE190" t="s" s="0">
        <v>81</v>
      </c>
      <c r="BF190" t="s" s="0">
        <v>81</v>
      </c>
      <c r="BG190" t="s" s="0">
        <v>81</v>
      </c>
      <c r="BH190" t="s" s="0">
        <v>81</v>
      </c>
      <c r="BI190" t="s" s="0">
        <v>4743</v>
      </c>
      <c r="BJ190" t="s" s="0">
        <v>4744</v>
      </c>
      <c r="BK190" t="s" s="376">
        <f>HYPERLINK("http://dx.doi.org/10.1186/s12911-026-03466-5","http://dx.doi.org/10.1186/s12911-026-03466-5")</f>
        <v>4745</v>
      </c>
      <c r="BL190" t="s" s="0">
        <v>81</v>
      </c>
      <c r="BM190" t="s" s="0">
        <v>349</v>
      </c>
      <c r="BN190" t="s" s="0">
        <v>228</v>
      </c>
      <c r="BO190" t="s" s="0">
        <v>1925</v>
      </c>
      <c r="BP190" t="s" s="0">
        <v>1925</v>
      </c>
      <c r="BQ190" t="s" s="0">
        <v>4746</v>
      </c>
      <c r="BR190" t="s" s="0">
        <v>4747</v>
      </c>
      <c r="BS190" t="s" s="0">
        <v>4748</v>
      </c>
      <c r="BT190" t="s" s="377">
        <f>HYPERLINK("https://www.webofscience.com/wos/woscc/full-record/WOS:001775878100001","View Record in Web of Science")</f>
        <v>114</v>
      </c>
      <c r="BU190" t="s" s="0">
        <v>145</v>
      </c>
      <c r="BV190" t="s" s="0">
        <v>81</v>
      </c>
      <c r="BW190" t="s" s="0">
        <v>81</v>
      </c>
      <c r="BX190" t="s" s="0">
        <v>116</v>
      </c>
    </row>
    <row r="191">
      <c r="A191" t="s" s="0">
        <v>77</v>
      </c>
      <c r="B191" t="s" s="0">
        <v>77</v>
      </c>
      <c r="C191" t="s" s="0">
        <v>117</v>
      </c>
      <c r="D191" t="s" s="0">
        <v>77</v>
      </c>
      <c r="E191" t="s" s="0">
        <v>4749</v>
      </c>
      <c r="F191" t="s" s="0">
        <v>4750</v>
      </c>
      <c r="G191" t="s" s="0">
        <v>4751</v>
      </c>
      <c r="H191" t="s" s="0">
        <v>81</v>
      </c>
      <c r="I191" t="s" s="0">
        <v>82</v>
      </c>
      <c r="J191" t="s" s="0">
        <v>4752</v>
      </c>
      <c r="K191" t="s" s="0">
        <v>4753</v>
      </c>
      <c r="L191" t="s" s="0">
        <v>4754</v>
      </c>
      <c r="M191" t="s" s="0">
        <v>4755</v>
      </c>
      <c r="N191" t="s" s="0">
        <v>4756</v>
      </c>
      <c r="O191" t="s" s="0">
        <v>4757</v>
      </c>
      <c r="P191" t="s" s="0">
        <v>4758</v>
      </c>
      <c r="Q191" t="s" s="0">
        <v>90</v>
      </c>
      <c r="R191" t="s" s="0">
        <v>81</v>
      </c>
      <c r="S191" t="s" s="0">
        <v>81</v>
      </c>
      <c r="T191" t="s" s="0">
        <v>81</v>
      </c>
      <c r="U191" t="s" s="0">
        <v>81</v>
      </c>
      <c r="V191" t="s" s="0">
        <v>4759</v>
      </c>
      <c r="W191" t="s" s="0">
        <v>92</v>
      </c>
      <c r="X191" t="s" s="0">
        <v>81</v>
      </c>
      <c r="Y191" t="s" s="0">
        <v>81</v>
      </c>
      <c r="Z191" t="s" s="0">
        <v>93</v>
      </c>
      <c r="AA191" t="s" s="0">
        <v>94</v>
      </c>
      <c r="AB191" t="s" s="0">
        <v>81</v>
      </c>
      <c r="AC191" t="s" s="0">
        <v>81</v>
      </c>
      <c r="AD191" t="s" s="0">
        <v>81</v>
      </c>
      <c r="AE191" t="s" s="0">
        <v>81</v>
      </c>
      <c r="AF191" t="s" s="0">
        <v>81</v>
      </c>
      <c r="AG191" t="s" s="0">
        <v>4760</v>
      </c>
      <c r="AH191" t="s" s="0">
        <v>81</v>
      </c>
      <c r="AI191" t="s" s="0">
        <v>81</v>
      </c>
      <c r="AJ191" t="s" s="0">
        <v>81</v>
      </c>
      <c r="AK191" t="s" s="0">
        <v>81</v>
      </c>
      <c r="AL191" t="s" s="0">
        <v>127</v>
      </c>
      <c r="AM191" t="s" s="0">
        <v>160</v>
      </c>
      <c r="AN191" t="s" s="0">
        <v>160</v>
      </c>
      <c r="AO191" t="s" s="0">
        <v>160</v>
      </c>
      <c r="AP191" t="s" s="0">
        <v>563</v>
      </c>
      <c r="AQ191" t="s" s="0">
        <v>97</v>
      </c>
      <c r="AR191" t="s" s="0">
        <v>98</v>
      </c>
      <c r="AS191" t="s" s="0">
        <v>99</v>
      </c>
      <c r="AT191" t="s" s="0">
        <v>81</v>
      </c>
      <c r="AU191" t="s" s="0">
        <v>100</v>
      </c>
      <c r="AV191" t="s" s="0">
        <v>81</v>
      </c>
      <c r="AW191" t="s" s="0">
        <v>101</v>
      </c>
      <c r="AX191" t="s" s="0">
        <v>102</v>
      </c>
      <c r="AY191" t="s" s="0">
        <v>4761</v>
      </c>
      <c r="AZ191" t="s" s="0">
        <v>136</v>
      </c>
      <c r="BA191" t="s" s="0">
        <v>564</v>
      </c>
      <c r="BB191" t="s" s="0">
        <v>81</v>
      </c>
      <c r="BC191" t="s" s="0">
        <v>81</v>
      </c>
      <c r="BD191" t="s" s="0">
        <v>81</v>
      </c>
      <c r="BE191" t="s" s="0">
        <v>81</v>
      </c>
      <c r="BF191" t="s" s="0">
        <v>81</v>
      </c>
      <c r="BG191" t="s" s="0">
        <v>81</v>
      </c>
      <c r="BH191" t="s" s="0">
        <v>81</v>
      </c>
      <c r="BI191" t="s" s="0">
        <v>4762</v>
      </c>
      <c r="BJ191" t="s" s="0">
        <v>4763</v>
      </c>
      <c r="BK191" t="s" s="378">
        <f>HYPERLINK("http://dx.doi.org/10.3389/fnins.2025.1658776","http://dx.doi.org/10.3389/fnins.2025.1658776")</f>
        <v>4764</v>
      </c>
      <c r="BL191" t="s" s="0">
        <v>81</v>
      </c>
      <c r="BM191" t="s" s="0">
        <v>81</v>
      </c>
      <c r="BN191" t="s" s="0">
        <v>137</v>
      </c>
      <c r="BO191" t="s" s="0">
        <v>110</v>
      </c>
      <c r="BP191" t="s" s="0">
        <v>111</v>
      </c>
      <c r="BQ191" t="s" s="0">
        <v>4765</v>
      </c>
      <c r="BR191" t="s" s="0">
        <v>4766</v>
      </c>
      <c r="BS191" t="s" s="0">
        <v>4767</v>
      </c>
      <c r="BT191" t="s" s="379">
        <f>HYPERLINK("https://www.webofscience.com/wos/woscc/full-record/WOS:001594235300001","View Record in Web of Science")</f>
        <v>114</v>
      </c>
      <c r="BU191" t="s" s="0">
        <v>145</v>
      </c>
      <c r="BV191" t="s" s="0">
        <v>81</v>
      </c>
      <c r="BW191" t="s" s="0">
        <v>81</v>
      </c>
      <c r="BX191" t="s" s="0">
        <v>116</v>
      </c>
    </row>
    <row r="192">
      <c r="A192" t="s" s="0">
        <v>77</v>
      </c>
      <c r="B192" t="s" s="0">
        <v>77</v>
      </c>
      <c r="C192" t="s" s="0">
        <v>77</v>
      </c>
      <c r="D192" t="s" s="0">
        <v>77</v>
      </c>
      <c r="E192" t="s" s="0">
        <v>4768</v>
      </c>
      <c r="F192" t="s" s="0">
        <v>4769</v>
      </c>
      <c r="G192" t="s" s="0">
        <v>4770</v>
      </c>
      <c r="H192" t="s" s="0">
        <v>81</v>
      </c>
      <c r="I192" t="s" s="0">
        <v>82</v>
      </c>
      <c r="J192" t="s" s="0">
        <v>4771</v>
      </c>
      <c r="K192" t="s" s="0">
        <v>4772</v>
      </c>
      <c r="L192" t="s" s="0">
        <v>4773</v>
      </c>
      <c r="M192" t="s" s="0">
        <v>4774</v>
      </c>
      <c r="N192" t="s" s="0">
        <v>4775</v>
      </c>
      <c r="O192" t="s" s="0">
        <v>4776</v>
      </c>
      <c r="P192" t="s" s="0">
        <v>4777</v>
      </c>
      <c r="Q192" t="s" s="0">
        <v>90</v>
      </c>
      <c r="R192" t="s" s="0">
        <v>81</v>
      </c>
      <c r="S192" t="s" s="0">
        <v>81</v>
      </c>
      <c r="T192" t="s" s="0">
        <v>81</v>
      </c>
      <c r="U192" t="s" s="0">
        <v>81</v>
      </c>
      <c r="V192" t="s" s="0">
        <v>4778</v>
      </c>
      <c r="W192" t="s" s="0">
        <v>4779</v>
      </c>
      <c r="X192" t="s" s="0">
        <v>81</v>
      </c>
      <c r="Y192" t="s" s="0">
        <v>81</v>
      </c>
      <c r="Z192" t="s" s="0">
        <v>93</v>
      </c>
      <c r="AA192" t="s" s="0">
        <v>94</v>
      </c>
      <c r="AB192" t="s" s="0">
        <v>81</v>
      </c>
      <c r="AC192" t="s" s="0">
        <v>81</v>
      </c>
      <c r="AD192" t="s" s="0">
        <v>81</v>
      </c>
      <c r="AE192" t="s" s="0">
        <v>81</v>
      </c>
      <c r="AF192" t="s" s="0">
        <v>81</v>
      </c>
      <c r="AG192" t="s" s="0">
        <v>4780</v>
      </c>
      <c r="AH192" t="s" s="0">
        <v>4781</v>
      </c>
      <c r="AI192" t="s" s="0">
        <v>4782</v>
      </c>
      <c r="AJ192" t="s" s="0">
        <v>4783</v>
      </c>
      <c r="AK192" t="s" s="0">
        <v>81</v>
      </c>
      <c r="AL192" t="s" s="0">
        <v>3440</v>
      </c>
      <c r="AM192" t="s" s="0">
        <v>160</v>
      </c>
      <c r="AN192" t="s" s="0">
        <v>253</v>
      </c>
      <c r="AO192" t="s" s="0">
        <v>253</v>
      </c>
      <c r="AP192" t="s" s="0">
        <v>345</v>
      </c>
      <c r="AQ192" t="s" s="0">
        <v>406</v>
      </c>
      <c r="AR192" t="s" s="0">
        <v>407</v>
      </c>
      <c r="AS192" t="s" s="0">
        <v>408</v>
      </c>
      <c r="AT192" t="s" s="0">
        <v>4784</v>
      </c>
      <c r="AU192" t="s" s="0">
        <v>4785</v>
      </c>
      <c r="AV192" t="s" s="0">
        <v>81</v>
      </c>
      <c r="AW192" t="s" s="0">
        <v>4786</v>
      </c>
      <c r="AX192" t="s" s="0">
        <v>4787</v>
      </c>
      <c r="AY192" t="s" s="0">
        <v>636</v>
      </c>
      <c r="AZ192" t="s" s="0">
        <v>136</v>
      </c>
      <c r="BA192" t="s" s="0">
        <v>1544</v>
      </c>
      <c r="BB192" t="s" s="0">
        <v>81</v>
      </c>
      <c r="BC192" t="s" s="0">
        <v>81</v>
      </c>
      <c r="BD192" t="s" s="0">
        <v>81</v>
      </c>
      <c r="BE192" t="s" s="0">
        <v>81</v>
      </c>
      <c r="BF192" t="s" s="0">
        <v>81</v>
      </c>
      <c r="BG192" t="s" s="0">
        <v>81</v>
      </c>
      <c r="BH192" t="s" s="0">
        <v>81</v>
      </c>
      <c r="BI192" t="s" s="0">
        <v>4788</v>
      </c>
      <c r="BJ192" t="s" s="0">
        <v>4789</v>
      </c>
      <c r="BK192" t="s" s="380">
        <f>HYPERLINK("http://dx.doi.org/10.1016/j.imavis.2025.105509","http://dx.doi.org/10.1016/j.imavis.2025.105509")</f>
        <v>4790</v>
      </c>
      <c r="BL192" t="s" s="0">
        <v>81</v>
      </c>
      <c r="BM192" t="s" s="0">
        <v>1137</v>
      </c>
      <c r="BN192" t="s" s="0">
        <v>1421</v>
      </c>
      <c r="BO192" t="s" s="0">
        <v>4791</v>
      </c>
      <c r="BP192" t="s" s="0">
        <v>4792</v>
      </c>
      <c r="BQ192" t="s" s="0">
        <v>4793</v>
      </c>
      <c r="BR192" t="s" s="0">
        <v>81</v>
      </c>
      <c r="BS192" t="s" s="0">
        <v>4794</v>
      </c>
      <c r="BT192" t="s" s="381">
        <f>HYPERLINK("https://www.webofscience.com/wos/woscc/full-record/WOS:001461385100001","View Record in Web of Science")</f>
        <v>114</v>
      </c>
      <c r="BU192" t="s" s="0">
        <v>457</v>
      </c>
      <c r="BV192" t="s" s="0">
        <v>81</v>
      </c>
      <c r="BW192" t="s" s="0">
        <v>81</v>
      </c>
      <c r="BX192" t="s" s="0">
        <v>116</v>
      </c>
    </row>
    <row r="193">
      <c r="A193" t="s" s="0">
        <v>77</v>
      </c>
      <c r="B193" t="s" s="0">
        <v>77</v>
      </c>
      <c r="C193" t="s" s="0">
        <v>227</v>
      </c>
      <c r="D193" t="s" s="0">
        <v>77</v>
      </c>
      <c r="E193" t="s" s="0">
        <v>4795</v>
      </c>
      <c r="F193" t="s" s="0">
        <v>4796</v>
      </c>
      <c r="G193" t="s" s="0">
        <v>4797</v>
      </c>
      <c r="H193" t="s" s="0">
        <v>81</v>
      </c>
      <c r="I193" t="s" s="0">
        <v>213</v>
      </c>
      <c r="J193" t="s" s="0">
        <v>4798</v>
      </c>
      <c r="K193" t="s" s="0">
        <v>4799</v>
      </c>
      <c r="L193" t="s" s="0">
        <v>4800</v>
      </c>
      <c r="M193" t="s" s="0">
        <v>4801</v>
      </c>
      <c r="N193" t="s" s="0">
        <v>4802</v>
      </c>
      <c r="O193" t="s" s="0">
        <v>4803</v>
      </c>
      <c r="P193" t="s" s="0">
        <v>4804</v>
      </c>
      <c r="Q193" t="s" s="0">
        <v>90</v>
      </c>
      <c r="R193" t="s" s="0">
        <v>81</v>
      </c>
      <c r="S193" t="s" s="0">
        <v>81</v>
      </c>
      <c r="T193" t="s" s="0">
        <v>81</v>
      </c>
      <c r="U193" t="s" s="0">
        <v>81</v>
      </c>
      <c r="V193" t="s" s="0">
        <v>4805</v>
      </c>
      <c r="W193" t="s" s="0">
        <v>4806</v>
      </c>
      <c r="X193" t="s" s="0">
        <v>81</v>
      </c>
      <c r="Y193" t="s" s="0">
        <v>81</v>
      </c>
      <c r="Z193" t="s" s="0">
        <v>93</v>
      </c>
      <c r="AA193" t="s" s="0">
        <v>94</v>
      </c>
      <c r="AB193" t="s" s="0">
        <v>81</v>
      </c>
      <c r="AC193" t="s" s="0">
        <v>81</v>
      </c>
      <c r="AD193" t="s" s="0">
        <v>81</v>
      </c>
      <c r="AE193" t="s" s="0">
        <v>81</v>
      </c>
      <c r="AF193" t="s" s="0">
        <v>81</v>
      </c>
      <c r="AG193" t="s" s="0">
        <v>81</v>
      </c>
      <c r="AH193" t="s" s="0">
        <v>81</v>
      </c>
      <c r="AI193" t="s" s="0">
        <v>4807</v>
      </c>
      <c r="AJ193" t="s" s="0">
        <v>4808</v>
      </c>
      <c r="AK193" t="s" s="0">
        <v>81</v>
      </c>
      <c r="AL193" t="s" s="0">
        <v>1900</v>
      </c>
      <c r="AM193" t="s" s="0">
        <v>369</v>
      </c>
      <c r="AN193" t="s" s="0">
        <v>562</v>
      </c>
      <c r="AO193" t="s" s="0">
        <v>117</v>
      </c>
      <c r="AP193" t="s" s="0">
        <v>128</v>
      </c>
      <c r="AQ193" t="s" s="0">
        <v>2551</v>
      </c>
      <c r="AR193" t="s" s="0">
        <v>2552</v>
      </c>
      <c r="AS193" t="s" s="0">
        <v>2553</v>
      </c>
      <c r="AT193" t="s" s="0">
        <v>4809</v>
      </c>
      <c r="AU193" t="s" s="0">
        <v>81</v>
      </c>
      <c r="AV193" t="s" s="0">
        <v>81</v>
      </c>
      <c r="AW193" t="s" s="0">
        <v>4810</v>
      </c>
      <c r="AX193" t="s" s="0">
        <v>4811</v>
      </c>
      <c r="AY193" t="s" s="0">
        <v>2974</v>
      </c>
      <c r="AZ193" t="s" s="0">
        <v>482</v>
      </c>
      <c r="BA193" t="s" s="0">
        <v>160</v>
      </c>
      <c r="BB193" t="s" s="0">
        <v>131</v>
      </c>
      <c r="BC193" t="s" s="0">
        <v>773</v>
      </c>
      <c r="BD193" t="s" s="0">
        <v>81</v>
      </c>
      <c r="BE193" t="s" s="0">
        <v>81</v>
      </c>
      <c r="BF193" t="s" s="0">
        <v>81</v>
      </c>
      <c r="BG193" t="s" s="0">
        <v>81</v>
      </c>
      <c r="BH193" t="s" s="0">
        <v>81</v>
      </c>
      <c r="BI193" t="s" s="0">
        <v>4812</v>
      </c>
      <c r="BJ193" t="s" s="0">
        <v>4813</v>
      </c>
      <c r="BK193" t="s" s="382">
        <f>HYPERLINK("http://dx.doi.org/10.1148/ryai.220067","http://dx.doi.org/10.1148/ryai.220067")</f>
        <v>4814</v>
      </c>
      <c r="BL193" t="s" s="0">
        <v>81</v>
      </c>
      <c r="BM193" t="s" s="0">
        <v>81</v>
      </c>
      <c r="BN193" t="s" s="0">
        <v>129</v>
      </c>
      <c r="BO193" t="s" s="0">
        <v>4815</v>
      </c>
      <c r="BP193" t="s" s="0">
        <v>4816</v>
      </c>
      <c r="BQ193" t="s" s="0">
        <v>4817</v>
      </c>
      <c r="BR193" t="s" s="0">
        <v>4818</v>
      </c>
      <c r="BS193" t="s" s="0">
        <v>4819</v>
      </c>
      <c r="BT193" t="s" s="383">
        <f>HYPERLINK("https://www.webofscience.com/wos/woscc/full-record/WOS:001048957200008","View Record in Web of Science")</f>
        <v>114</v>
      </c>
      <c r="BU193" t="s" s="0">
        <v>973</v>
      </c>
      <c r="BV193" t="s" s="0">
        <v>81</v>
      </c>
      <c r="BW193" t="s" s="0">
        <v>81</v>
      </c>
      <c r="BX193" t="s" s="0">
        <v>116</v>
      </c>
    </row>
    <row r="194">
      <c r="A194" t="s" s="0">
        <v>77</v>
      </c>
      <c r="B194" t="s" s="0">
        <v>77</v>
      </c>
      <c r="C194" t="s" s="0">
        <v>77</v>
      </c>
      <c r="D194" t="s" s="0">
        <v>77</v>
      </c>
      <c r="E194" t="s" s="0">
        <v>4820</v>
      </c>
      <c r="F194" t="s" s="0">
        <v>4821</v>
      </c>
      <c r="G194" t="s" s="0">
        <v>4822</v>
      </c>
      <c r="H194" t="s" s="0">
        <v>81</v>
      </c>
      <c r="I194" t="s" s="0">
        <v>213</v>
      </c>
      <c r="J194" t="s" s="0">
        <v>4823</v>
      </c>
      <c r="K194" t="s" s="0">
        <v>4824</v>
      </c>
      <c r="L194" t="s" s="0">
        <v>81</v>
      </c>
      <c r="M194" t="s" s="0">
        <v>81</v>
      </c>
      <c r="N194" t="s" s="0">
        <v>81</v>
      </c>
      <c r="O194" t="s" s="0">
        <v>4825</v>
      </c>
      <c r="P194" t="s" s="0">
        <v>4826</v>
      </c>
      <c r="Q194" t="s" s="0">
        <v>90</v>
      </c>
      <c r="R194" t="s" s="0">
        <v>81</v>
      </c>
      <c r="S194" t="s" s="0">
        <v>81</v>
      </c>
      <c r="T194" t="s" s="0">
        <v>81</v>
      </c>
      <c r="U194" t="s" s="0">
        <v>81</v>
      </c>
      <c r="V194" t="s" s="0">
        <v>4827</v>
      </c>
      <c r="W194" t="s" s="0">
        <v>4828</v>
      </c>
      <c r="X194" t="s" s="0">
        <v>81</v>
      </c>
      <c r="Y194" t="s" s="0">
        <v>81</v>
      </c>
      <c r="Z194" t="s" s="0">
        <v>93</v>
      </c>
      <c r="AA194" t="s" s="0">
        <v>94</v>
      </c>
      <c r="AB194" t="s" s="0">
        <v>81</v>
      </c>
      <c r="AC194" t="s" s="0">
        <v>81</v>
      </c>
      <c r="AD194" t="s" s="0">
        <v>81</v>
      </c>
      <c r="AE194" t="s" s="0">
        <v>81</v>
      </c>
      <c r="AF194" t="s" s="0">
        <v>81</v>
      </c>
      <c r="AG194" t="s" s="0">
        <v>4829</v>
      </c>
      <c r="AH194" t="s" s="0">
        <v>81</v>
      </c>
      <c r="AI194" t="s" s="0">
        <v>4830</v>
      </c>
      <c r="AJ194" t="s" s="0">
        <v>4831</v>
      </c>
      <c r="AK194" t="s" s="0">
        <v>81</v>
      </c>
      <c r="AL194" t="s" s="0">
        <v>706</v>
      </c>
      <c r="AM194" t="s" s="0">
        <v>77</v>
      </c>
      <c r="AN194" t="s" s="0">
        <v>77</v>
      </c>
      <c r="AO194" t="s" s="0">
        <v>117</v>
      </c>
      <c r="AP194" t="s" s="0">
        <v>117</v>
      </c>
      <c r="AQ194" t="s" s="0">
        <v>4832</v>
      </c>
      <c r="AR194" t="s" s="0">
        <v>4833</v>
      </c>
      <c r="AS194" t="s" s="0">
        <v>4834</v>
      </c>
      <c r="AT194" t="s" s="0">
        <v>4835</v>
      </c>
      <c r="AU194" t="s" s="0">
        <v>4836</v>
      </c>
      <c r="AV194" t="s" s="0">
        <v>81</v>
      </c>
      <c r="AW194" t="s" s="0">
        <v>4837</v>
      </c>
      <c r="AX194" t="s" s="0">
        <v>4838</v>
      </c>
      <c r="AY194" t="s" s="0">
        <v>3439</v>
      </c>
      <c r="AZ194" t="s" s="0">
        <v>104</v>
      </c>
      <c r="BA194" t="s" s="0">
        <v>995</v>
      </c>
      <c r="BB194" t="s" s="0">
        <v>117</v>
      </c>
      <c r="BC194" t="s" s="0">
        <v>81</v>
      </c>
      <c r="BD194" t="s" s="0">
        <v>81</v>
      </c>
      <c r="BE194" t="s" s="0">
        <v>81</v>
      </c>
      <c r="BF194" t="s" s="0">
        <v>81</v>
      </c>
      <c r="BG194" t="s" s="0">
        <v>4839</v>
      </c>
      <c r="BH194" t="s" s="0">
        <v>2892</v>
      </c>
      <c r="BI194" t="s" s="0">
        <v>81</v>
      </c>
      <c r="BJ194" t="s" s="0">
        <v>4840</v>
      </c>
      <c r="BK194" t="s" s="384">
        <f>HYPERLINK("http://dx.doi.org/10.22581/muet1982.0571","http://dx.doi.org/10.22581/muet1982.0571")</f>
        <v>4841</v>
      </c>
      <c r="BL194" t="s" s="0">
        <v>81</v>
      </c>
      <c r="BM194" t="s" s="0">
        <v>81</v>
      </c>
      <c r="BN194" t="s" s="0">
        <v>129</v>
      </c>
      <c r="BO194" t="s" s="0">
        <v>3842</v>
      </c>
      <c r="BP194" t="s" s="0">
        <v>239</v>
      </c>
      <c r="BQ194" t="s" s="0">
        <v>4842</v>
      </c>
      <c r="BR194" t="s" s="0">
        <v>81</v>
      </c>
      <c r="BS194" t="s" s="0">
        <v>4843</v>
      </c>
      <c r="BT194" t="s" s="385">
        <f>HYPERLINK("https://www.webofscience.com/wos/woscc/full-record/WOS:001665418500001","View Record in Web of Science")</f>
        <v>114</v>
      </c>
      <c r="BU194" t="s" s="0">
        <v>81</v>
      </c>
      <c r="BV194" t="s" s="0">
        <v>81</v>
      </c>
      <c r="BW194" t="s" s="0">
        <v>81</v>
      </c>
      <c r="BX194" t="s" s="0">
        <v>116</v>
      </c>
    </row>
    <row r="195">
      <c r="A195" t="s" s="0">
        <v>77</v>
      </c>
      <c r="B195" t="s" s="0">
        <v>77</v>
      </c>
      <c r="C195" t="s" s="0">
        <v>117</v>
      </c>
      <c r="D195" t="s" s="0">
        <v>77</v>
      </c>
      <c r="E195" t="s" s="0">
        <v>4844</v>
      </c>
      <c r="F195" t="s" s="0">
        <v>4845</v>
      </c>
      <c r="G195" t="s" s="0">
        <v>4846</v>
      </c>
      <c r="H195" t="s" s="0">
        <v>81</v>
      </c>
      <c r="I195" t="s" s="0">
        <v>82</v>
      </c>
      <c r="J195" t="s" s="0">
        <v>4847</v>
      </c>
      <c r="K195" t="s" s="0">
        <v>4848</v>
      </c>
      <c r="L195" t="s" s="0">
        <v>4849</v>
      </c>
      <c r="M195" t="s" s="0">
        <v>4850</v>
      </c>
      <c r="N195" t="s" s="0">
        <v>4851</v>
      </c>
      <c r="O195" t="s" s="0">
        <v>4852</v>
      </c>
      <c r="P195" t="s" s="0">
        <v>4853</v>
      </c>
      <c r="Q195" t="s" s="0">
        <v>90</v>
      </c>
      <c r="R195" t="s" s="0">
        <v>81</v>
      </c>
      <c r="S195" t="s" s="0">
        <v>81</v>
      </c>
      <c r="T195" t="s" s="0">
        <v>81</v>
      </c>
      <c r="U195" t="s" s="0">
        <v>81</v>
      </c>
      <c r="V195" t="s" s="0">
        <v>4854</v>
      </c>
      <c r="W195" t="s" s="0">
        <v>1868</v>
      </c>
      <c r="X195" t="s" s="0">
        <v>81</v>
      </c>
      <c r="Y195" t="s" s="0">
        <v>81</v>
      </c>
      <c r="Z195" t="s" s="0">
        <v>93</v>
      </c>
      <c r="AA195" t="s" s="0">
        <v>94</v>
      </c>
      <c r="AB195" t="s" s="0">
        <v>81</v>
      </c>
      <c r="AC195" t="s" s="0">
        <v>81</v>
      </c>
      <c r="AD195" t="s" s="0">
        <v>81</v>
      </c>
      <c r="AE195" t="s" s="0">
        <v>81</v>
      </c>
      <c r="AF195" t="s" s="0">
        <v>81</v>
      </c>
      <c r="AG195" t="s" s="0">
        <v>4855</v>
      </c>
      <c r="AH195" t="s" s="0">
        <v>4856</v>
      </c>
      <c r="AI195" t="s" s="0">
        <v>4857</v>
      </c>
      <c r="AJ195" t="s" s="0">
        <v>81</v>
      </c>
      <c r="AK195" t="s" s="0">
        <v>81</v>
      </c>
      <c r="AL195" t="s" s="0">
        <v>252</v>
      </c>
      <c r="AM195" t="s" s="0">
        <v>227</v>
      </c>
      <c r="AN195" t="s" s="0">
        <v>160</v>
      </c>
      <c r="AO195" t="s" s="0">
        <v>130</v>
      </c>
      <c r="AP195" t="s" s="0">
        <v>228</v>
      </c>
      <c r="AQ195" t="s" s="0">
        <v>370</v>
      </c>
      <c r="AR195" t="s" s="0">
        <v>1099</v>
      </c>
      <c r="AS195" t="s" s="0">
        <v>1873</v>
      </c>
      <c r="AT195" t="s" s="0">
        <v>1874</v>
      </c>
      <c r="AU195" t="s" s="0">
        <v>1875</v>
      </c>
      <c r="AV195" t="s" s="0">
        <v>81</v>
      </c>
      <c r="AW195" t="s" s="0">
        <v>1876</v>
      </c>
      <c r="AX195" t="s" s="0">
        <v>1877</v>
      </c>
      <c r="AY195" t="s" s="0">
        <v>349</v>
      </c>
      <c r="AZ195" t="s" s="0">
        <v>104</v>
      </c>
      <c r="BA195" t="s" s="0">
        <v>1067</v>
      </c>
      <c r="BB195" t="s" s="0">
        <v>130</v>
      </c>
      <c r="BC195" t="s" s="0">
        <v>81</v>
      </c>
      <c r="BD195" t="s" s="0">
        <v>81</v>
      </c>
      <c r="BE195" t="s" s="0">
        <v>81</v>
      </c>
      <c r="BF195" t="s" s="0">
        <v>81</v>
      </c>
      <c r="BG195" t="s" s="0">
        <v>4858</v>
      </c>
      <c r="BH195" t="s" s="0">
        <v>4859</v>
      </c>
      <c r="BI195" t="s" s="0">
        <v>81</v>
      </c>
      <c r="BJ195" t="s" s="0">
        <v>4860</v>
      </c>
      <c r="BK195" t="s" s="386">
        <f>HYPERLINK("http://dx.doi.org/10.1007/s10278-025-01566-8","http://dx.doi.org/10.1007/s10278-025-01566-8")</f>
        <v>4861</v>
      </c>
      <c r="BL195" t="s" s="0">
        <v>81</v>
      </c>
      <c r="BM195" t="s" s="0">
        <v>413</v>
      </c>
      <c r="BN195" t="s" s="0">
        <v>167</v>
      </c>
      <c r="BO195" t="s" s="0">
        <v>1881</v>
      </c>
      <c r="BP195" t="s" s="0">
        <v>1881</v>
      </c>
      <c r="BQ195" t="s" s="0">
        <v>4862</v>
      </c>
      <c r="BR195" t="s" s="0">
        <v>4863</v>
      </c>
      <c r="BS195" t="s" s="0">
        <v>4864</v>
      </c>
      <c r="BT195" t="s" s="387">
        <f>HYPERLINK("https://www.webofscience.com/wos/woscc/full-record/WOS:001514292500001","View Record in Web of Science")</f>
        <v>114</v>
      </c>
      <c r="BU195" t="s" s="0">
        <v>1908</v>
      </c>
      <c r="BV195" t="s" s="0">
        <v>81</v>
      </c>
      <c r="BW195" t="s" s="0">
        <v>81</v>
      </c>
      <c r="BX195" t="s" s="0">
        <v>116</v>
      </c>
    </row>
    <row r="196">
      <c r="A196" t="s" s="0">
        <v>77</v>
      </c>
      <c r="B196" t="s" s="0">
        <v>77</v>
      </c>
      <c r="C196" t="s" s="0">
        <v>77</v>
      </c>
      <c r="D196" t="s" s="0">
        <v>77</v>
      </c>
      <c r="E196" t="s" s="0">
        <v>4865</v>
      </c>
      <c r="F196" t="s" s="0">
        <v>4866</v>
      </c>
      <c r="G196" t="s" s="0">
        <v>4867</v>
      </c>
      <c r="H196" t="s" s="0">
        <v>81</v>
      </c>
      <c r="I196" t="s" s="0">
        <v>82</v>
      </c>
      <c r="J196" t="s" s="0">
        <v>4868</v>
      </c>
      <c r="K196" t="s" s="0">
        <v>4869</v>
      </c>
      <c r="L196" t="s" s="0">
        <v>4870</v>
      </c>
      <c r="M196" t="s" s="0">
        <v>4871</v>
      </c>
      <c r="N196" t="s" s="0">
        <v>4872</v>
      </c>
      <c r="O196" t="s" s="0">
        <v>4873</v>
      </c>
      <c r="P196" t="s" s="0">
        <v>4874</v>
      </c>
      <c r="Q196" t="s" s="0">
        <v>90</v>
      </c>
      <c r="R196" t="s" s="0">
        <v>81</v>
      </c>
      <c r="S196" t="s" s="0">
        <v>81</v>
      </c>
      <c r="T196" t="s" s="0">
        <v>81</v>
      </c>
      <c r="U196" t="s" s="0">
        <v>81</v>
      </c>
      <c r="V196" t="s" s="0">
        <v>4875</v>
      </c>
      <c r="W196" t="s" s="0">
        <v>4876</v>
      </c>
      <c r="X196" t="s" s="0">
        <v>81</v>
      </c>
      <c r="Y196" t="s" s="0">
        <v>81</v>
      </c>
      <c r="Z196" t="s" s="0">
        <v>93</v>
      </c>
      <c r="AA196" t="s" s="0">
        <v>94</v>
      </c>
      <c r="AB196" t="s" s="0">
        <v>81</v>
      </c>
      <c r="AC196" t="s" s="0">
        <v>81</v>
      </c>
      <c r="AD196" t="s" s="0">
        <v>81</v>
      </c>
      <c r="AE196" t="s" s="0">
        <v>81</v>
      </c>
      <c r="AF196" t="s" s="0">
        <v>81</v>
      </c>
      <c r="AG196" t="s" s="0">
        <v>4877</v>
      </c>
      <c r="AH196" t="s" s="0">
        <v>4878</v>
      </c>
      <c r="AI196" t="s" s="0">
        <v>4879</v>
      </c>
      <c r="AJ196" t="s" s="0">
        <v>81</v>
      </c>
      <c r="AK196" t="s" s="0">
        <v>81</v>
      </c>
      <c r="AL196" t="s" s="0">
        <v>1487</v>
      </c>
      <c r="AM196" t="s" s="0">
        <v>77</v>
      </c>
      <c r="AN196" t="s" s="0">
        <v>77</v>
      </c>
      <c r="AO196" t="s" s="0">
        <v>227</v>
      </c>
      <c r="AP196" t="s" s="0">
        <v>227</v>
      </c>
      <c r="AQ196" t="s" s="0">
        <v>338</v>
      </c>
      <c r="AR196" t="s" s="0">
        <v>339</v>
      </c>
      <c r="AS196" t="s" s="0">
        <v>340</v>
      </c>
      <c r="AT196" t="s" s="0">
        <v>4880</v>
      </c>
      <c r="AU196" t="s" s="0">
        <v>81</v>
      </c>
      <c r="AV196" t="s" s="0">
        <v>81</v>
      </c>
      <c r="AW196" t="s" s="0">
        <v>4881</v>
      </c>
      <c r="AX196" t="s" s="0">
        <v>4882</v>
      </c>
      <c r="AY196" t="s" s="0">
        <v>4883</v>
      </c>
      <c r="AZ196" t="s" s="0">
        <v>104</v>
      </c>
      <c r="BA196" t="s" s="0">
        <v>564</v>
      </c>
      <c r="BB196" t="s" s="0">
        <v>117</v>
      </c>
      <c r="BC196" t="s" s="0">
        <v>81</v>
      </c>
      <c r="BD196" t="s" s="0">
        <v>81</v>
      </c>
      <c r="BE196" t="s" s="0">
        <v>81</v>
      </c>
      <c r="BF196" t="s" s="0">
        <v>81</v>
      </c>
      <c r="BG196" t="s" s="0">
        <v>81</v>
      </c>
      <c r="BH196" t="s" s="0">
        <v>81</v>
      </c>
      <c r="BI196" t="s" s="0">
        <v>105</v>
      </c>
      <c r="BJ196" t="s" s="0">
        <v>4884</v>
      </c>
      <c r="BK196" t="s" s="388">
        <f>HYPERLINK("http://dx.doi.org/10.1186/s13040-026-00522-8","http://dx.doi.org/10.1186/s13040-026-00522-8")</f>
        <v>4885</v>
      </c>
      <c r="BL196" t="s" s="0">
        <v>81</v>
      </c>
      <c r="BM196" t="s" s="0">
        <v>81</v>
      </c>
      <c r="BN196" t="s" s="0">
        <v>563</v>
      </c>
      <c r="BO196" t="s" s="0">
        <v>4886</v>
      </c>
      <c r="BP196" t="s" s="0">
        <v>4886</v>
      </c>
      <c r="BQ196" t="s" s="0">
        <v>4887</v>
      </c>
      <c r="BR196" t="s" s="0">
        <v>4888</v>
      </c>
      <c r="BS196" t="s" s="0">
        <v>4889</v>
      </c>
      <c r="BT196" t="s" s="389">
        <f>HYPERLINK("https://www.webofscience.com/wos/woscc/full-record/WOS:001723249700001","View Record in Web of Science")</f>
        <v>114</v>
      </c>
      <c r="BU196" t="s" s="0">
        <v>145</v>
      </c>
      <c r="BV196" t="s" s="0">
        <v>81</v>
      </c>
      <c r="BW196" t="s" s="0">
        <v>81</v>
      </c>
      <c r="BX196" t="s" s="0">
        <v>116</v>
      </c>
    </row>
    <row r="197">
      <c r="A197" t="s" s="0">
        <v>77</v>
      </c>
      <c r="B197" t="s" s="0">
        <v>77</v>
      </c>
      <c r="C197" t="s" s="0">
        <v>77</v>
      </c>
      <c r="D197" t="s" s="0">
        <v>77</v>
      </c>
      <c r="E197" t="s" s="0">
        <v>4890</v>
      </c>
      <c r="F197" t="s" s="0">
        <v>4891</v>
      </c>
      <c r="G197" t="s" s="0">
        <v>4892</v>
      </c>
      <c r="H197" t="s" s="0">
        <v>81</v>
      </c>
      <c r="I197" t="s" s="0">
        <v>180</v>
      </c>
      <c r="J197" t="s" s="0">
        <v>4893</v>
      </c>
      <c r="K197" t="s" s="0">
        <v>4894</v>
      </c>
      <c r="L197" t="s" s="0">
        <v>4895</v>
      </c>
      <c r="M197" t="s" s="0">
        <v>4896</v>
      </c>
      <c r="N197" t="s" s="0">
        <v>4897</v>
      </c>
      <c r="O197" t="s" s="0">
        <v>4898</v>
      </c>
      <c r="P197" t="s" s="0">
        <v>4899</v>
      </c>
      <c r="Q197" t="s" s="0">
        <v>90</v>
      </c>
      <c r="R197" t="s" s="0">
        <v>81</v>
      </c>
      <c r="S197" t="s" s="0">
        <v>81</v>
      </c>
      <c r="T197" t="s" s="0">
        <v>81</v>
      </c>
      <c r="U197" t="s" s="0">
        <v>81</v>
      </c>
      <c r="V197" t="s" s="0">
        <v>4900</v>
      </c>
      <c r="W197" t="s" s="0">
        <v>4901</v>
      </c>
      <c r="X197" t="s" s="0">
        <v>81</v>
      </c>
      <c r="Y197" t="s" s="0">
        <v>81</v>
      </c>
      <c r="Z197" t="s" s="0">
        <v>93</v>
      </c>
      <c r="AA197" t="s" s="0">
        <v>94</v>
      </c>
      <c r="AB197" t="s" s="0">
        <v>81</v>
      </c>
      <c r="AC197" t="s" s="0">
        <v>81</v>
      </c>
      <c r="AD197" t="s" s="0">
        <v>81</v>
      </c>
      <c r="AE197" t="s" s="0">
        <v>81</v>
      </c>
      <c r="AF197" t="s" s="0">
        <v>81</v>
      </c>
      <c r="AG197" t="s" s="0">
        <v>4902</v>
      </c>
      <c r="AH197" t="s" s="0">
        <v>4903</v>
      </c>
      <c r="AI197" t="s" s="0">
        <v>4904</v>
      </c>
      <c r="AJ197" t="s" s="0">
        <v>81</v>
      </c>
      <c r="AK197" t="s" s="0">
        <v>81</v>
      </c>
      <c r="AL197" t="s" s="0">
        <v>1097</v>
      </c>
      <c r="AM197" t="s" s="0">
        <v>77</v>
      </c>
      <c r="AN197" t="s" s="0">
        <v>77</v>
      </c>
      <c r="AO197" t="s" s="0">
        <v>227</v>
      </c>
      <c r="AP197" t="s" s="0">
        <v>160</v>
      </c>
      <c r="AQ197" t="s" s="0">
        <v>1818</v>
      </c>
      <c r="AR197" t="s" s="0">
        <v>1819</v>
      </c>
      <c r="AS197" t="s" s="0">
        <v>1820</v>
      </c>
      <c r="AT197" t="s" s="0">
        <v>4905</v>
      </c>
      <c r="AU197" t="s" s="0">
        <v>4906</v>
      </c>
      <c r="AV197" t="s" s="0">
        <v>81</v>
      </c>
      <c r="AW197" t="s" s="0">
        <v>4907</v>
      </c>
      <c r="AX197" t="s" s="0">
        <v>4908</v>
      </c>
      <c r="AY197" t="s" s="0">
        <v>233</v>
      </c>
      <c r="AZ197" t="s" s="0">
        <v>136</v>
      </c>
      <c r="BA197" t="s" s="0">
        <v>228</v>
      </c>
      <c r="BB197" t="s" s="0">
        <v>226</v>
      </c>
      <c r="BC197" t="s" s="0">
        <v>81</v>
      </c>
      <c r="BD197" t="s" s="0">
        <v>81</v>
      </c>
      <c r="BE197" t="s" s="0">
        <v>81</v>
      </c>
      <c r="BF197" t="s" s="0">
        <v>81</v>
      </c>
      <c r="BG197" t="s" s="0">
        <v>81</v>
      </c>
      <c r="BH197" t="s" s="0">
        <v>81</v>
      </c>
      <c r="BI197" t="s" s="0">
        <v>81</v>
      </c>
      <c r="BJ197" t="s" s="0">
        <v>4909</v>
      </c>
      <c r="BK197" t="s" s="390">
        <f>HYPERLINK("http://dx.doi.org/10.21037/tau-2025-539","http://dx.doi.org/10.21037/tau-2025-539")</f>
        <v>4910</v>
      </c>
      <c r="BL197" t="s" s="0">
        <v>81</v>
      </c>
      <c r="BM197" t="s" s="0">
        <v>1880</v>
      </c>
      <c r="BN197" t="s" s="0">
        <v>172</v>
      </c>
      <c r="BO197" t="s" s="0">
        <v>4911</v>
      </c>
      <c r="BP197" t="s" s="0">
        <v>4912</v>
      </c>
      <c r="BQ197" t="s" s="0">
        <v>4913</v>
      </c>
      <c r="BR197" t="s" s="0">
        <v>4914</v>
      </c>
      <c r="BS197" t="s" s="0">
        <v>4915</v>
      </c>
      <c r="BT197" t="s" s="391">
        <f>HYPERLINK("https://www.webofscience.com/wos/woscc/full-record/WOS:001649542200001","View Record in Web of Science")</f>
        <v>114</v>
      </c>
      <c r="BU197" t="s" s="0">
        <v>145</v>
      </c>
      <c r="BV197" t="s" s="0">
        <v>81</v>
      </c>
      <c r="BW197" t="s" s="0">
        <v>81</v>
      </c>
      <c r="BX197" t="s" s="0">
        <v>116</v>
      </c>
    </row>
    <row r="198">
      <c r="A198" t="s" s="0">
        <v>77</v>
      </c>
      <c r="B198" t="s" s="0">
        <v>77</v>
      </c>
      <c r="C198" t="s" s="0">
        <v>77</v>
      </c>
      <c r="D198" t="s" s="0">
        <v>77</v>
      </c>
      <c r="E198" t="s" s="0">
        <v>4916</v>
      </c>
      <c r="F198" t="s" s="0">
        <v>4917</v>
      </c>
      <c r="G198" t="s" s="0">
        <v>4918</v>
      </c>
      <c r="H198" t="s" s="0">
        <v>81</v>
      </c>
      <c r="I198" t="s" s="0">
        <v>82</v>
      </c>
      <c r="J198" t="s" s="0">
        <v>4919</v>
      </c>
      <c r="K198" t="s" s="0">
        <v>4920</v>
      </c>
      <c r="L198" t="s" s="0">
        <v>81</v>
      </c>
      <c r="M198" t="s" s="0">
        <v>81</v>
      </c>
      <c r="N198" t="s" s="0">
        <v>81</v>
      </c>
      <c r="O198" t="s" s="0">
        <v>4921</v>
      </c>
      <c r="P198" t="s" s="0">
        <v>4922</v>
      </c>
      <c r="Q198" t="s" s="0">
        <v>90</v>
      </c>
      <c r="R198" t="s" s="0">
        <v>81</v>
      </c>
      <c r="S198" t="s" s="0">
        <v>81</v>
      </c>
      <c r="T198" t="s" s="0">
        <v>81</v>
      </c>
      <c r="U198" t="s" s="0">
        <v>81</v>
      </c>
      <c r="V198" t="s" s="0">
        <v>4923</v>
      </c>
      <c r="W198" t="s" s="0">
        <v>4924</v>
      </c>
      <c r="X198" t="s" s="0">
        <v>81</v>
      </c>
      <c r="Y198" t="s" s="0">
        <v>81</v>
      </c>
      <c r="Z198" t="s" s="0">
        <v>93</v>
      </c>
      <c r="AA198" t="s" s="0">
        <v>94</v>
      </c>
      <c r="AB198" t="s" s="0">
        <v>81</v>
      </c>
      <c r="AC198" t="s" s="0">
        <v>81</v>
      </c>
      <c r="AD198" t="s" s="0">
        <v>81</v>
      </c>
      <c r="AE198" t="s" s="0">
        <v>81</v>
      </c>
      <c r="AF198" t="s" s="0">
        <v>81</v>
      </c>
      <c r="AG198" t="s" s="0">
        <v>4925</v>
      </c>
      <c r="AH198" t="s" s="0">
        <v>4926</v>
      </c>
      <c r="AI198" t="s" s="0">
        <v>4927</v>
      </c>
      <c r="AJ198" t="s" s="0">
        <v>4928</v>
      </c>
      <c r="AK198" t="s" s="0">
        <v>81</v>
      </c>
      <c r="AL198" t="s" s="0">
        <v>2965</v>
      </c>
      <c r="AM198" t="s" s="0">
        <v>77</v>
      </c>
      <c r="AN198" t="s" s="0">
        <v>77</v>
      </c>
      <c r="AO198" t="s" s="0">
        <v>160</v>
      </c>
      <c r="AP198" t="s" s="0">
        <v>160</v>
      </c>
      <c r="AQ198" t="s" s="0">
        <v>708</v>
      </c>
      <c r="AR198" t="s" s="0">
        <v>709</v>
      </c>
      <c r="AS198" t="s" s="0">
        <v>710</v>
      </c>
      <c r="AT198" t="s" s="0">
        <v>4929</v>
      </c>
      <c r="AU198" t="s" s="0">
        <v>4930</v>
      </c>
      <c r="AV198" t="s" s="0">
        <v>81</v>
      </c>
      <c r="AW198" t="s" s="0">
        <v>4931</v>
      </c>
      <c r="AX198" t="s" s="0">
        <v>4932</v>
      </c>
      <c r="AY198" t="s" s="0">
        <v>1673</v>
      </c>
      <c r="AZ198" t="s" s="0">
        <v>104</v>
      </c>
      <c r="BA198" t="s" s="0">
        <v>2820</v>
      </c>
      <c r="BB198" t="s" s="0">
        <v>130</v>
      </c>
      <c r="BC198" t="s" s="0">
        <v>81</v>
      </c>
      <c r="BD198" t="s" s="0">
        <v>81</v>
      </c>
      <c r="BE198" t="s" s="0">
        <v>81</v>
      </c>
      <c r="BF198" t="s" s="0">
        <v>81</v>
      </c>
      <c r="BG198" t="s" s="0">
        <v>4933</v>
      </c>
      <c r="BH198" t="s" s="0">
        <v>4934</v>
      </c>
      <c r="BI198" t="s" s="0">
        <v>81</v>
      </c>
      <c r="BJ198" t="s" s="0">
        <v>4935</v>
      </c>
      <c r="BK198" t="s" s="392">
        <f>HYPERLINK("http://dx.doi.org/10.1002/ohn.70285","http://dx.doi.org/10.1002/ohn.70285")</f>
        <v>4936</v>
      </c>
      <c r="BL198" t="s" s="0">
        <v>81</v>
      </c>
      <c r="BM198" t="s" s="0">
        <v>203</v>
      </c>
      <c r="BN198" t="s" s="0">
        <v>226</v>
      </c>
      <c r="BO198" t="s" s="0">
        <v>4937</v>
      </c>
      <c r="BP198" t="s" s="0">
        <v>4937</v>
      </c>
      <c r="BQ198" t="s" s="0">
        <v>4938</v>
      </c>
      <c r="BR198" t="s" s="0">
        <v>4939</v>
      </c>
      <c r="BS198" t="s" s="0">
        <v>4940</v>
      </c>
      <c r="BT198" t="s" s="393">
        <f>HYPERLINK("https://www.webofscience.com/wos/woscc/full-record/WOS:001762189400001","View Record in Web of Science")</f>
        <v>114</v>
      </c>
      <c r="BU198" t="s" s="0">
        <v>457</v>
      </c>
      <c r="BV198" t="s" s="0">
        <v>81</v>
      </c>
      <c r="BW198" t="s" s="0">
        <v>81</v>
      </c>
      <c r="BX198" t="s" s="0">
        <v>116</v>
      </c>
    </row>
    <row r="199">
      <c r="A199" t="s" s="0">
        <v>77</v>
      </c>
      <c r="B199" t="s" s="0">
        <v>77</v>
      </c>
      <c r="C199" t="s" s="0">
        <v>77</v>
      </c>
      <c r="D199" t="s" s="0">
        <v>77</v>
      </c>
      <c r="E199" t="s" s="0">
        <v>4941</v>
      </c>
      <c r="F199" t="s" s="0">
        <v>4942</v>
      </c>
      <c r="G199" t="s" s="0">
        <v>4943</v>
      </c>
      <c r="H199" t="s" s="0">
        <v>81</v>
      </c>
      <c r="I199" t="s" s="0">
        <v>2702</v>
      </c>
      <c r="J199" t="s" s="0">
        <v>4944</v>
      </c>
      <c r="K199" t="s" s="0">
        <v>4945</v>
      </c>
      <c r="L199" t="s" s="0">
        <v>4946</v>
      </c>
      <c r="M199" t="s" s="0">
        <v>4947</v>
      </c>
      <c r="N199" t="s" s="0">
        <v>4948</v>
      </c>
      <c r="O199" t="s" s="0">
        <v>4949</v>
      </c>
      <c r="P199" t="s" s="0">
        <v>4950</v>
      </c>
      <c r="Q199" t="s" s="0">
        <v>90</v>
      </c>
      <c r="R199" t="s" s="0">
        <v>81</v>
      </c>
      <c r="S199" t="s" s="0">
        <v>81</v>
      </c>
      <c r="T199" t="s" s="0">
        <v>81</v>
      </c>
      <c r="U199" t="s" s="0">
        <v>81</v>
      </c>
      <c r="V199" t="s" s="0">
        <v>4951</v>
      </c>
      <c r="W199" t="s" s="0">
        <v>4952</v>
      </c>
      <c r="X199" t="s" s="0">
        <v>81</v>
      </c>
      <c r="Y199" t="s" s="0">
        <v>81</v>
      </c>
      <c r="Z199" t="s" s="0">
        <v>93</v>
      </c>
      <c r="AA199" t="s" s="0">
        <v>94</v>
      </c>
      <c r="AB199" t="s" s="0">
        <v>81</v>
      </c>
      <c r="AC199" t="s" s="0">
        <v>81</v>
      </c>
      <c r="AD199" t="s" s="0">
        <v>81</v>
      </c>
      <c r="AE199" t="s" s="0">
        <v>81</v>
      </c>
      <c r="AF199" t="s" s="0">
        <v>81</v>
      </c>
      <c r="AG199" t="s" s="0">
        <v>4953</v>
      </c>
      <c r="AH199" t="s" s="0">
        <v>4954</v>
      </c>
      <c r="AI199" t="s" s="0">
        <v>4955</v>
      </c>
      <c r="AJ199" t="s" s="0">
        <v>4956</v>
      </c>
      <c r="AK199" t="s" s="0">
        <v>81</v>
      </c>
      <c r="AL199" t="s" s="0">
        <v>1421</v>
      </c>
      <c r="AM199" t="s" s="0">
        <v>117</v>
      </c>
      <c r="AN199" t="s" s="0">
        <v>117</v>
      </c>
      <c r="AO199" t="s" s="0">
        <v>253</v>
      </c>
      <c r="AP199" t="s" s="0">
        <v>253</v>
      </c>
      <c r="AQ199" t="s" s="0">
        <v>338</v>
      </c>
      <c r="AR199" t="s" s="0">
        <v>339</v>
      </c>
      <c r="AS199" t="s" s="0">
        <v>340</v>
      </c>
      <c r="AT199" t="s" s="0">
        <v>81</v>
      </c>
      <c r="AU199" t="s" s="0">
        <v>4957</v>
      </c>
      <c r="AV199" t="s" s="0">
        <v>81</v>
      </c>
      <c r="AW199" t="s" s="0">
        <v>4958</v>
      </c>
      <c r="AX199" t="s" s="0">
        <v>4959</v>
      </c>
      <c r="AY199" t="s" s="0">
        <v>4960</v>
      </c>
      <c r="AZ199" t="s" s="0">
        <v>104</v>
      </c>
      <c r="BA199" t="s" s="0">
        <v>345</v>
      </c>
      <c r="BB199" t="s" s="0">
        <v>117</v>
      </c>
      <c r="BC199" t="s" s="0">
        <v>81</v>
      </c>
      <c r="BD199" t="s" s="0">
        <v>81</v>
      </c>
      <c r="BE199" t="s" s="0">
        <v>81</v>
      </c>
      <c r="BF199" t="s" s="0">
        <v>81</v>
      </c>
      <c r="BG199" t="s" s="0">
        <v>81</v>
      </c>
      <c r="BH199" t="s" s="0">
        <v>81</v>
      </c>
      <c r="BI199" t="s" s="0">
        <v>4961</v>
      </c>
      <c r="BJ199" t="s" s="0">
        <v>4962</v>
      </c>
      <c r="BK199" t="s" s="394">
        <f>HYPERLINK("http://dx.doi.org/10.1186/s12877-026-07005-9","http://dx.doi.org/10.1186/s12877-026-07005-9")</f>
        <v>4963</v>
      </c>
      <c r="BL199" t="s" s="0">
        <v>81</v>
      </c>
      <c r="BM199" t="s" s="0">
        <v>81</v>
      </c>
      <c r="BN199" t="s" s="0">
        <v>564</v>
      </c>
      <c r="BO199" t="s" s="0">
        <v>4964</v>
      </c>
      <c r="BP199" t="s" s="0">
        <v>4965</v>
      </c>
      <c r="BQ199" t="s" s="0">
        <v>4966</v>
      </c>
      <c r="BR199" t="s" s="0">
        <v>4967</v>
      </c>
      <c r="BS199" t="s" s="0">
        <v>4968</v>
      </c>
      <c r="BT199" t="s" s="395">
        <f>HYPERLINK("https://www.webofscience.com/wos/woscc/full-record/WOS:001727562400001","View Record in Web of Science")</f>
        <v>114</v>
      </c>
      <c r="BU199" t="s" s="0">
        <v>145</v>
      </c>
      <c r="BV199" t="s" s="0">
        <v>81</v>
      </c>
      <c r="BW199" t="s" s="0">
        <v>81</v>
      </c>
      <c r="BX199" t="s" s="0">
        <v>116</v>
      </c>
    </row>
    <row r="200">
      <c r="A200" t="s" s="0">
        <v>77</v>
      </c>
      <c r="B200" t="s" s="0">
        <v>77</v>
      </c>
      <c r="C200" t="s" s="0">
        <v>117</v>
      </c>
      <c r="D200" t="s" s="0">
        <v>77</v>
      </c>
      <c r="E200" t="s" s="0">
        <v>4969</v>
      </c>
      <c r="F200" t="s" s="0">
        <v>4970</v>
      </c>
      <c r="G200" t="s" s="0">
        <v>4971</v>
      </c>
      <c r="H200" t="s" s="0">
        <v>81</v>
      </c>
      <c r="I200" t="s" s="0">
        <v>82</v>
      </c>
      <c r="J200" t="s" s="0">
        <v>4972</v>
      </c>
      <c r="K200" t="s" s="0">
        <v>4973</v>
      </c>
      <c r="L200" t="s" s="0">
        <v>4974</v>
      </c>
      <c r="M200" t="s" s="0">
        <v>4975</v>
      </c>
      <c r="N200" t="s" s="0">
        <v>4976</v>
      </c>
      <c r="O200" t="s" s="0">
        <v>4977</v>
      </c>
      <c r="P200" t="s" s="0">
        <v>4978</v>
      </c>
      <c r="Q200" t="s" s="0">
        <v>90</v>
      </c>
      <c r="R200" t="s" s="0">
        <v>81</v>
      </c>
      <c r="S200" t="s" s="0">
        <v>81</v>
      </c>
      <c r="T200" t="s" s="0">
        <v>81</v>
      </c>
      <c r="U200" t="s" s="0">
        <v>81</v>
      </c>
      <c r="V200" t="s" s="0">
        <v>4979</v>
      </c>
      <c r="W200" t="s" s="0">
        <v>271</v>
      </c>
      <c r="X200" t="s" s="0">
        <v>81</v>
      </c>
      <c r="Y200" t="s" s="0">
        <v>81</v>
      </c>
      <c r="Z200" t="s" s="0">
        <v>93</v>
      </c>
      <c r="AA200" t="s" s="0">
        <v>94</v>
      </c>
      <c r="AB200" t="s" s="0">
        <v>81</v>
      </c>
      <c r="AC200" t="s" s="0">
        <v>81</v>
      </c>
      <c r="AD200" t="s" s="0">
        <v>81</v>
      </c>
      <c r="AE200" t="s" s="0">
        <v>81</v>
      </c>
      <c r="AF200" t="s" s="0">
        <v>81</v>
      </c>
      <c r="AG200" t="s" s="0">
        <v>4980</v>
      </c>
      <c r="AH200" t="s" s="0">
        <v>81</v>
      </c>
      <c r="AI200" t="s" s="0">
        <v>4981</v>
      </c>
      <c r="AJ200" t="s" s="0">
        <v>81</v>
      </c>
      <c r="AK200" t="s" s="0">
        <v>81</v>
      </c>
      <c r="AL200" t="s" s="0">
        <v>990</v>
      </c>
      <c r="AM200" t="s" s="0">
        <v>160</v>
      </c>
      <c r="AN200" t="s" s="0">
        <v>160</v>
      </c>
      <c r="AO200" t="s" s="0">
        <v>77</v>
      </c>
      <c r="AP200" t="s" s="0">
        <v>117</v>
      </c>
      <c r="AQ200" t="s" s="0">
        <v>274</v>
      </c>
      <c r="AR200" t="s" s="0">
        <v>275</v>
      </c>
      <c r="AS200" t="s" s="0">
        <v>276</v>
      </c>
      <c r="AT200" t="s" s="0">
        <v>277</v>
      </c>
      <c r="AU200" t="s" s="0">
        <v>81</v>
      </c>
      <c r="AV200" t="s" s="0">
        <v>81</v>
      </c>
      <c r="AW200" t="s" s="0">
        <v>278</v>
      </c>
      <c r="AX200" t="s" s="0">
        <v>279</v>
      </c>
      <c r="AY200" t="s" s="0">
        <v>4982</v>
      </c>
      <c r="AZ200" t="s" s="0">
        <v>136</v>
      </c>
      <c r="BA200" t="s" s="0">
        <v>172</v>
      </c>
      <c r="BB200" t="s" s="0">
        <v>117</v>
      </c>
      <c r="BC200" t="s" s="0">
        <v>81</v>
      </c>
      <c r="BD200" t="s" s="0">
        <v>81</v>
      </c>
      <c r="BE200" t="s" s="0">
        <v>81</v>
      </c>
      <c r="BF200" t="s" s="0">
        <v>81</v>
      </c>
      <c r="BG200" t="s" s="0">
        <v>81</v>
      </c>
      <c r="BH200" t="s" s="0">
        <v>81</v>
      </c>
      <c r="BI200" t="s" s="0">
        <v>4983</v>
      </c>
      <c r="BJ200" t="s" s="0">
        <v>4984</v>
      </c>
      <c r="BK200" t="s" s="396">
        <f>HYPERLINK("http://dx.doi.org/10.1038/s41598-025-30534-z","http://dx.doi.org/10.1038/s41598-025-30534-z")</f>
        <v>4985</v>
      </c>
      <c r="BL200" t="s" s="0">
        <v>81</v>
      </c>
      <c r="BM200" t="s" s="0">
        <v>81</v>
      </c>
      <c r="BN200" t="s" s="0">
        <v>1421</v>
      </c>
      <c r="BO200" t="s" s="0">
        <v>285</v>
      </c>
      <c r="BP200" t="s" s="0">
        <v>286</v>
      </c>
      <c r="BQ200" t="s" s="0">
        <v>4986</v>
      </c>
      <c r="BR200" t="s" s="0">
        <v>4987</v>
      </c>
      <c r="BS200" t="s" s="0">
        <v>4988</v>
      </c>
      <c r="BT200" t="s" s="397">
        <f>HYPERLINK("https://www.webofscience.com/wos/woscc/full-record/WOS:001651242300001","View Record in Web of Science")</f>
        <v>114</v>
      </c>
      <c r="BU200" t="s" s="0">
        <v>145</v>
      </c>
      <c r="BV200" t="s" s="0">
        <v>81</v>
      </c>
      <c r="BW200" t="s" s="0">
        <v>81</v>
      </c>
      <c r="BX200" t="s" s="0">
        <v>116</v>
      </c>
    </row>
    <row r="201">
      <c r="A201" t="s" s="0">
        <v>77</v>
      </c>
      <c r="B201" t="s" s="0">
        <v>77</v>
      </c>
      <c r="C201" t="s" s="0">
        <v>77</v>
      </c>
      <c r="D201" t="s" s="0">
        <v>77</v>
      </c>
      <c r="E201" t="s" s="0">
        <v>4989</v>
      </c>
      <c r="F201" t="s" s="0">
        <v>4990</v>
      </c>
      <c r="G201" t="s" s="0">
        <v>4991</v>
      </c>
      <c r="H201" t="s" s="0">
        <v>81</v>
      </c>
      <c r="I201" t="s" s="0">
        <v>213</v>
      </c>
      <c r="J201" t="s" s="0">
        <v>4992</v>
      </c>
      <c r="K201" t="s" s="0">
        <v>4993</v>
      </c>
      <c r="L201" t="s" s="0">
        <v>4994</v>
      </c>
      <c r="M201" t="s" s="0">
        <v>4995</v>
      </c>
      <c r="N201" t="s" s="0">
        <v>4996</v>
      </c>
      <c r="O201" t="s" s="0">
        <v>4997</v>
      </c>
      <c r="P201" t="s" s="0">
        <v>4998</v>
      </c>
      <c r="Q201" t="s" s="0">
        <v>90</v>
      </c>
      <c r="R201" t="s" s="0">
        <v>81</v>
      </c>
      <c r="S201" t="s" s="0">
        <v>81</v>
      </c>
      <c r="T201" t="s" s="0">
        <v>81</v>
      </c>
      <c r="U201" t="s" s="0">
        <v>81</v>
      </c>
      <c r="V201" t="s" s="0">
        <v>4999</v>
      </c>
      <c r="W201" t="s" s="0">
        <v>1981</v>
      </c>
      <c r="X201" t="s" s="0">
        <v>81</v>
      </c>
      <c r="Y201" t="s" s="0">
        <v>81</v>
      </c>
      <c r="Z201" t="s" s="0">
        <v>93</v>
      </c>
      <c r="AA201" t="s" s="0">
        <v>94</v>
      </c>
      <c r="AB201" t="s" s="0">
        <v>81</v>
      </c>
      <c r="AC201" t="s" s="0">
        <v>81</v>
      </c>
      <c r="AD201" t="s" s="0">
        <v>81</v>
      </c>
      <c r="AE201" t="s" s="0">
        <v>81</v>
      </c>
      <c r="AF201" t="s" s="0">
        <v>81</v>
      </c>
      <c r="AG201" t="s" s="0">
        <v>5000</v>
      </c>
      <c r="AH201" t="s" s="0">
        <v>5001</v>
      </c>
      <c r="AI201" t="s" s="0">
        <v>81</v>
      </c>
      <c r="AJ201" t="s" s="0">
        <v>81</v>
      </c>
      <c r="AK201" t="s" s="0">
        <v>81</v>
      </c>
      <c r="AL201" t="s" s="0">
        <v>2623</v>
      </c>
      <c r="AM201" t="s" s="0">
        <v>77</v>
      </c>
      <c r="AN201" t="s" s="0">
        <v>77</v>
      </c>
      <c r="AO201" t="s" s="0">
        <v>77</v>
      </c>
      <c r="AP201" t="s" s="0">
        <v>77</v>
      </c>
      <c r="AQ201" t="s" s="0">
        <v>97</v>
      </c>
      <c r="AR201" t="s" s="0">
        <v>98</v>
      </c>
      <c r="AS201" t="s" s="0">
        <v>99</v>
      </c>
      <c r="AT201" t="s" s="0">
        <v>81</v>
      </c>
      <c r="AU201" t="s" s="0">
        <v>1986</v>
      </c>
      <c r="AV201" t="s" s="0">
        <v>81</v>
      </c>
      <c r="AW201" t="s" s="0">
        <v>1987</v>
      </c>
      <c r="AX201" t="s" s="0">
        <v>1988</v>
      </c>
      <c r="AY201" t="s" s="0">
        <v>5002</v>
      </c>
      <c r="AZ201" t="s" s="0">
        <v>104</v>
      </c>
      <c r="BA201" t="s" s="0">
        <v>225</v>
      </c>
      <c r="BB201" t="s" s="0">
        <v>81</v>
      </c>
      <c r="BC201" t="s" s="0">
        <v>81</v>
      </c>
      <c r="BD201" t="s" s="0">
        <v>81</v>
      </c>
      <c r="BE201" t="s" s="0">
        <v>81</v>
      </c>
      <c r="BF201" t="s" s="0">
        <v>81</v>
      </c>
      <c r="BG201" t="s" s="0">
        <v>81</v>
      </c>
      <c r="BH201" t="s" s="0">
        <v>81</v>
      </c>
      <c r="BI201" t="s" s="0">
        <v>5003</v>
      </c>
      <c r="BJ201" t="s" s="0">
        <v>5004</v>
      </c>
      <c r="BK201" t="s" s="398">
        <f>HYPERLINK("http://dx.doi.org/10.3389/fdgth.2026.1828522","http://dx.doi.org/10.3389/fdgth.2026.1828522")</f>
        <v>5005</v>
      </c>
      <c r="BL201" t="s" s="0">
        <v>81</v>
      </c>
      <c r="BM201" t="s" s="0">
        <v>81</v>
      </c>
      <c r="BN201" t="s" s="0">
        <v>109</v>
      </c>
      <c r="BO201" t="s" s="0">
        <v>1172</v>
      </c>
      <c r="BP201" t="s" s="0">
        <v>1172</v>
      </c>
      <c r="BQ201" t="s" s="0">
        <v>5006</v>
      </c>
      <c r="BR201" t="s" s="0">
        <v>81</v>
      </c>
      <c r="BS201" t="s" s="0">
        <v>5007</v>
      </c>
      <c r="BT201" t="s" s="399">
        <f>HYPERLINK("https://www.webofscience.com/wos/woscc/full-record/WOS:001849659400001","View Record in Web of Science")</f>
        <v>114</v>
      </c>
      <c r="BU201" t="s" s="0">
        <v>115</v>
      </c>
      <c r="BV201" t="s" s="0">
        <v>81</v>
      </c>
      <c r="BW201" t="s" s="0">
        <v>81</v>
      </c>
      <c r="BX201" t="s" s="0">
        <v>116</v>
      </c>
    </row>
    <row r="202">
      <c r="A202" t="s" s="0">
        <v>77</v>
      </c>
      <c r="B202" t="s" s="0">
        <v>77</v>
      </c>
      <c r="C202" t="s" s="0">
        <v>77</v>
      </c>
      <c r="D202" t="s" s="0">
        <v>77</v>
      </c>
      <c r="E202" t="s" s="0">
        <v>5008</v>
      </c>
      <c r="F202" t="s" s="0">
        <v>5009</v>
      </c>
      <c r="G202" t="s" s="0">
        <v>5010</v>
      </c>
      <c r="H202" t="s" s="0">
        <v>81</v>
      </c>
      <c r="I202" t="s" s="0">
        <v>82</v>
      </c>
      <c r="J202" t="s" s="0">
        <v>5011</v>
      </c>
      <c r="K202" t="s" s="0">
        <v>5012</v>
      </c>
      <c r="L202" t="s" s="0">
        <v>81</v>
      </c>
      <c r="M202" t="s" s="0">
        <v>81</v>
      </c>
      <c r="N202" t="s" s="0">
        <v>81</v>
      </c>
      <c r="O202" t="s" s="0">
        <v>5013</v>
      </c>
      <c r="P202" t="s" s="0">
        <v>5014</v>
      </c>
      <c r="Q202" t="s" s="0">
        <v>90</v>
      </c>
      <c r="R202" t="s" s="0">
        <v>81</v>
      </c>
      <c r="S202" t="s" s="0">
        <v>81</v>
      </c>
      <c r="T202" t="s" s="0">
        <v>81</v>
      </c>
      <c r="U202" t="s" s="0">
        <v>81</v>
      </c>
      <c r="V202" t="s" s="0">
        <v>5015</v>
      </c>
      <c r="W202" t="s" s="0">
        <v>2197</v>
      </c>
      <c r="X202" t="s" s="0">
        <v>81</v>
      </c>
      <c r="Y202" t="s" s="0">
        <v>81</v>
      </c>
      <c r="Z202" t="s" s="0">
        <v>93</v>
      </c>
      <c r="AA202" t="s" s="0">
        <v>94</v>
      </c>
      <c r="AB202" t="s" s="0">
        <v>81</v>
      </c>
      <c r="AC202" t="s" s="0">
        <v>81</v>
      </c>
      <c r="AD202" t="s" s="0">
        <v>81</v>
      </c>
      <c r="AE202" t="s" s="0">
        <v>81</v>
      </c>
      <c r="AF202" t="s" s="0">
        <v>81</v>
      </c>
      <c r="AG202" t="s" s="0">
        <v>5016</v>
      </c>
      <c r="AH202" t="s" s="0">
        <v>5017</v>
      </c>
      <c r="AI202" t="s" s="0">
        <v>81</v>
      </c>
      <c r="AJ202" t="s" s="0">
        <v>81</v>
      </c>
      <c r="AK202" t="s" s="0">
        <v>81</v>
      </c>
      <c r="AL202" t="s" s="0">
        <v>252</v>
      </c>
      <c r="AM202" t="s" s="0">
        <v>77</v>
      </c>
      <c r="AN202" t="s" s="0">
        <v>77</v>
      </c>
      <c r="AO202" t="s" s="0">
        <v>130</v>
      </c>
      <c r="AP202" t="s" s="0">
        <v>130</v>
      </c>
      <c r="AQ202" t="s" s="0">
        <v>97</v>
      </c>
      <c r="AR202" t="s" s="0">
        <v>98</v>
      </c>
      <c r="AS202" t="s" s="0">
        <v>99</v>
      </c>
      <c r="AT202" t="s" s="0">
        <v>81</v>
      </c>
      <c r="AU202" t="s" s="0">
        <v>2200</v>
      </c>
      <c r="AV202" t="s" s="0">
        <v>81</v>
      </c>
      <c r="AW202" t="s" s="0">
        <v>2201</v>
      </c>
      <c r="AX202" t="s" s="0">
        <v>2202</v>
      </c>
      <c r="AY202" t="s" s="0">
        <v>5018</v>
      </c>
      <c r="AZ202" t="s" s="0">
        <v>104</v>
      </c>
      <c r="BA202" t="s" s="0">
        <v>167</v>
      </c>
      <c r="BB202" t="s" s="0">
        <v>81</v>
      </c>
      <c r="BC202" t="s" s="0">
        <v>81</v>
      </c>
      <c r="BD202" t="s" s="0">
        <v>81</v>
      </c>
      <c r="BE202" t="s" s="0">
        <v>81</v>
      </c>
      <c r="BF202" t="s" s="0">
        <v>81</v>
      </c>
      <c r="BG202" t="s" s="0">
        <v>81</v>
      </c>
      <c r="BH202" t="s" s="0">
        <v>81</v>
      </c>
      <c r="BI202" t="s" s="0">
        <v>5019</v>
      </c>
      <c r="BJ202" t="s" s="0">
        <v>5020</v>
      </c>
      <c r="BK202" t="s" s="400">
        <f>HYPERLINK("http://dx.doi.org/10.3389/fmed.2026.1758840","http://dx.doi.org/10.3389/fmed.2026.1758840")</f>
        <v>5021</v>
      </c>
      <c r="BL202" t="s" s="0">
        <v>81</v>
      </c>
      <c r="BM202" t="s" s="0">
        <v>203</v>
      </c>
      <c r="BN202" t="s" s="0">
        <v>172</v>
      </c>
      <c r="BO202" t="s" s="0">
        <v>486</v>
      </c>
      <c r="BP202" t="s" s="0">
        <v>487</v>
      </c>
      <c r="BQ202" t="s" s="0">
        <v>5022</v>
      </c>
      <c r="BR202" t="s" s="0">
        <v>5023</v>
      </c>
      <c r="BS202" t="s" s="0">
        <v>5024</v>
      </c>
      <c r="BT202" t="s" s="401">
        <f>HYPERLINK("https://www.webofscience.com/wos/woscc/full-record/WOS:001791186900001","View Record in Web of Science")</f>
        <v>114</v>
      </c>
      <c r="BU202" t="s" s="0">
        <v>145</v>
      </c>
      <c r="BV202" t="s" s="0">
        <v>81</v>
      </c>
      <c r="BW202" t="s" s="0">
        <v>81</v>
      </c>
      <c r="BX202" t="s" s="0">
        <v>116</v>
      </c>
    </row>
    <row r="203">
      <c r="A203" t="s" s="0">
        <v>77</v>
      </c>
      <c r="B203" t="s" s="0">
        <v>77</v>
      </c>
      <c r="C203" t="s" s="0">
        <v>77</v>
      </c>
      <c r="D203" t="s" s="0">
        <v>77</v>
      </c>
      <c r="E203" t="s" s="0">
        <v>5025</v>
      </c>
      <c r="F203" t="s" s="0">
        <v>5026</v>
      </c>
      <c r="G203" t="s" s="0">
        <v>5027</v>
      </c>
      <c r="H203" t="s" s="0">
        <v>81</v>
      </c>
      <c r="I203" t="s" s="0">
        <v>82</v>
      </c>
      <c r="J203" t="s" s="0">
        <v>5028</v>
      </c>
      <c r="K203" t="s" s="0">
        <v>5029</v>
      </c>
      <c r="L203" t="s" s="0">
        <v>81</v>
      </c>
      <c r="M203" t="s" s="0">
        <v>81</v>
      </c>
      <c r="N203" t="s" s="0">
        <v>81</v>
      </c>
      <c r="O203" t="s" s="0">
        <v>5030</v>
      </c>
      <c r="P203" t="s" s="0">
        <v>5031</v>
      </c>
      <c r="Q203" t="s" s="0">
        <v>90</v>
      </c>
      <c r="R203" t="s" s="0">
        <v>81</v>
      </c>
      <c r="S203" t="s" s="0">
        <v>81</v>
      </c>
      <c r="T203" t="s" s="0">
        <v>81</v>
      </c>
      <c r="U203" t="s" s="0">
        <v>81</v>
      </c>
      <c r="V203" t="s" s="0">
        <v>5032</v>
      </c>
      <c r="W203" t="s" s="0">
        <v>5033</v>
      </c>
      <c r="X203" t="s" s="0">
        <v>81</v>
      </c>
      <c r="Y203" t="s" s="0">
        <v>81</v>
      </c>
      <c r="Z203" t="s" s="0">
        <v>93</v>
      </c>
      <c r="AA203" t="s" s="0">
        <v>94</v>
      </c>
      <c r="AB203" t="s" s="0">
        <v>81</v>
      </c>
      <c r="AC203" t="s" s="0">
        <v>81</v>
      </c>
      <c r="AD203" t="s" s="0">
        <v>81</v>
      </c>
      <c r="AE203" t="s" s="0">
        <v>81</v>
      </c>
      <c r="AF203" t="s" s="0">
        <v>81</v>
      </c>
      <c r="AG203" t="s" s="0">
        <v>5034</v>
      </c>
      <c r="AH203" t="s" s="0">
        <v>5035</v>
      </c>
      <c r="AI203" t="s" s="0">
        <v>5036</v>
      </c>
      <c r="AJ203" t="s" s="0">
        <v>5037</v>
      </c>
      <c r="AK203" t="s" s="0">
        <v>81</v>
      </c>
      <c r="AL203" t="s" s="0">
        <v>318</v>
      </c>
      <c r="AM203" t="s" s="0">
        <v>130</v>
      </c>
      <c r="AN203" t="s" s="0">
        <v>130</v>
      </c>
      <c r="AO203" t="s" s="0">
        <v>227</v>
      </c>
      <c r="AP203" t="s" s="0">
        <v>160</v>
      </c>
      <c r="AQ203" t="s" s="0">
        <v>5038</v>
      </c>
      <c r="AR203" t="s" s="0">
        <v>5039</v>
      </c>
      <c r="AS203" t="s" s="0">
        <v>5040</v>
      </c>
      <c r="AT203" t="s" s="0">
        <v>5041</v>
      </c>
      <c r="AU203" t="s" s="0">
        <v>81</v>
      </c>
      <c r="AV203" t="s" s="0">
        <v>81</v>
      </c>
      <c r="AW203" t="s" s="0">
        <v>5042</v>
      </c>
      <c r="AX203" t="s" s="0">
        <v>5043</v>
      </c>
      <c r="AY203" t="s" s="0">
        <v>824</v>
      </c>
      <c r="AZ203" t="s" s="0">
        <v>136</v>
      </c>
      <c r="BA203" t="s" s="0">
        <v>1346</v>
      </c>
      <c r="BB203" t="s" s="0">
        <v>117</v>
      </c>
      <c r="BC203" t="s" s="0">
        <v>81</v>
      </c>
      <c r="BD203" t="s" s="0">
        <v>81</v>
      </c>
      <c r="BE203" t="s" s="0">
        <v>81</v>
      </c>
      <c r="BF203" t="s" s="0">
        <v>81</v>
      </c>
      <c r="BG203" t="s" s="0">
        <v>81</v>
      </c>
      <c r="BH203" t="s" s="0">
        <v>81</v>
      </c>
      <c r="BI203" t="s" s="0">
        <v>5044</v>
      </c>
      <c r="BJ203" t="s" s="0">
        <v>5045</v>
      </c>
      <c r="BK203" t="s" s="402">
        <f>HYPERLINK("http://dx.doi.org/10.3171/2025.4.FOCUS24778","http://dx.doi.org/10.3171/2025.4.FOCUS24778")</f>
        <v>5046</v>
      </c>
      <c r="BL203" t="s" s="0">
        <v>81</v>
      </c>
      <c r="BM203" t="s" s="0">
        <v>81</v>
      </c>
      <c r="BN203" t="s" s="0">
        <v>204</v>
      </c>
      <c r="BO203" t="s" s="0">
        <v>5047</v>
      </c>
      <c r="BP203" t="s" s="0">
        <v>5048</v>
      </c>
      <c r="BQ203" t="s" s="0">
        <v>5049</v>
      </c>
      <c r="BR203" t="s" s="0">
        <v>5050</v>
      </c>
      <c r="BS203" t="s" s="0">
        <v>5051</v>
      </c>
      <c r="BT203" t="s" s="403">
        <f>HYPERLINK("https://www.webofscience.com/wos/woscc/full-record/WOS:001528104900007","View Record in Web of Science")</f>
        <v>114</v>
      </c>
      <c r="BU203" t="s" s="0">
        <v>115</v>
      </c>
      <c r="BV203" t="s" s="0">
        <v>81</v>
      </c>
      <c r="BW203" t="s" s="0">
        <v>81</v>
      </c>
      <c r="BX203" t="s" s="0">
        <v>116</v>
      </c>
    </row>
    <row r="204">
      <c r="A204" t="s" s="0">
        <v>117</v>
      </c>
      <c r="B204" t="s" s="0">
        <v>77</v>
      </c>
      <c r="C204" t="s" s="0">
        <v>337</v>
      </c>
      <c r="D204" t="s" s="0">
        <v>77</v>
      </c>
      <c r="E204" t="s" s="0">
        <v>5052</v>
      </c>
      <c r="F204" t="s" s="0">
        <v>5053</v>
      </c>
      <c r="G204" t="s" s="0">
        <v>5054</v>
      </c>
      <c r="H204" t="s" s="0">
        <v>81</v>
      </c>
      <c r="I204" t="s" s="0">
        <v>213</v>
      </c>
      <c r="J204" t="s" s="0">
        <v>5055</v>
      </c>
      <c r="K204" t="s" s="0">
        <v>5056</v>
      </c>
      <c r="L204" t="s" s="0">
        <v>5057</v>
      </c>
      <c r="M204" t="s" s="0">
        <v>5058</v>
      </c>
      <c r="N204" t="s" s="0">
        <v>5059</v>
      </c>
      <c r="O204" t="s" s="0">
        <v>5060</v>
      </c>
      <c r="P204" t="s" s="0">
        <v>5061</v>
      </c>
      <c r="Q204" t="s" s="0">
        <v>90</v>
      </c>
      <c r="R204" t="s" s="0">
        <v>81</v>
      </c>
      <c r="S204" t="s" s="0">
        <v>81</v>
      </c>
      <c r="T204" t="s" s="0">
        <v>81</v>
      </c>
      <c r="U204" t="s" s="0">
        <v>81</v>
      </c>
      <c r="V204" t="s" s="0">
        <v>5062</v>
      </c>
      <c r="W204" t="s" s="0">
        <v>5063</v>
      </c>
      <c r="X204" t="s" s="0">
        <v>81</v>
      </c>
      <c r="Y204" t="s" s="0">
        <v>81</v>
      </c>
      <c r="Z204" t="s" s="0">
        <v>93</v>
      </c>
      <c r="AA204" t="s" s="0">
        <v>94</v>
      </c>
      <c r="AB204" t="s" s="0">
        <v>81</v>
      </c>
      <c r="AC204" t="s" s="0">
        <v>81</v>
      </c>
      <c r="AD204" t="s" s="0">
        <v>81</v>
      </c>
      <c r="AE204" t="s" s="0">
        <v>81</v>
      </c>
      <c r="AF204" t="s" s="0">
        <v>81</v>
      </c>
      <c r="AG204" t="s" s="0">
        <v>81</v>
      </c>
      <c r="AH204" t="s" s="0">
        <v>5064</v>
      </c>
      <c r="AI204" t="s" s="0">
        <v>5065</v>
      </c>
      <c r="AJ204" t="s" s="0">
        <v>5066</v>
      </c>
      <c r="AK204" t="s" s="0">
        <v>81</v>
      </c>
      <c r="AL204" t="s" s="0">
        <v>1350</v>
      </c>
      <c r="AM204" t="s" s="0">
        <v>5067</v>
      </c>
      <c r="AN204" t="s" s="0">
        <v>5068</v>
      </c>
      <c r="AO204" t="s" s="0">
        <v>227</v>
      </c>
      <c r="AP204" t="s" s="0">
        <v>109</v>
      </c>
      <c r="AQ204" t="s" s="0">
        <v>439</v>
      </c>
      <c r="AR204" t="s" s="0">
        <v>339</v>
      </c>
      <c r="AS204" t="s" s="0">
        <v>440</v>
      </c>
      <c r="AT204" t="s" s="0">
        <v>5069</v>
      </c>
      <c r="AU204" t="s" s="0">
        <v>81</v>
      </c>
      <c r="AV204" t="s" s="0">
        <v>81</v>
      </c>
      <c r="AW204" t="s" s="0">
        <v>5070</v>
      </c>
      <c r="AX204" t="s" s="0">
        <v>5071</v>
      </c>
      <c r="AY204" t="s" s="0">
        <v>5072</v>
      </c>
      <c r="AZ204" t="s" s="0">
        <v>1519</v>
      </c>
      <c r="BA204" t="s" s="0">
        <v>227</v>
      </c>
      <c r="BB204" t="s" s="0">
        <v>117</v>
      </c>
      <c r="BC204" t="s" s="0">
        <v>81</v>
      </c>
      <c r="BD204" t="s" s="0">
        <v>81</v>
      </c>
      <c r="BE204" t="s" s="0">
        <v>81</v>
      </c>
      <c r="BF204" t="s" s="0">
        <v>81</v>
      </c>
      <c r="BG204" t="s" s="0">
        <v>81</v>
      </c>
      <c r="BH204" t="s" s="0">
        <v>81</v>
      </c>
      <c r="BI204" t="s" s="0">
        <v>1487</v>
      </c>
      <c r="BJ204" t="s" s="0">
        <v>5073</v>
      </c>
      <c r="BK204" t="s" s="404">
        <f>HYPERLINK("http://dx.doi.org/10.1038/s43856-023-00276-y","http://dx.doi.org/10.1038/s43856-023-00276-y")</f>
        <v>5074</v>
      </c>
      <c r="BL204" t="s" s="0">
        <v>81</v>
      </c>
      <c r="BM204" t="s" s="0">
        <v>81</v>
      </c>
      <c r="BN204" t="s" s="0">
        <v>172</v>
      </c>
      <c r="BO204" t="s" s="0">
        <v>3398</v>
      </c>
      <c r="BP204" t="s" s="0">
        <v>3399</v>
      </c>
      <c r="BQ204" t="s" s="0">
        <v>5075</v>
      </c>
      <c r="BR204" t="s" s="0">
        <v>5076</v>
      </c>
      <c r="BS204" t="s" s="0">
        <v>5077</v>
      </c>
      <c r="BT204" t="s" s="405">
        <f>HYPERLINK("https://www.webofscience.com/wos/woscc/full-record/WOS:000960577900001","View Record in Web of Science")</f>
        <v>114</v>
      </c>
      <c r="BU204" t="s" s="0">
        <v>145</v>
      </c>
      <c r="BV204" t="s" s="0">
        <v>81</v>
      </c>
      <c r="BW204" t="s" s="0">
        <v>81</v>
      </c>
      <c r="BX204" t="s" s="0">
        <v>116</v>
      </c>
    </row>
    <row r="205">
      <c r="A205" t="s" s="0">
        <v>77</v>
      </c>
      <c r="B205" t="s" s="0">
        <v>77</v>
      </c>
      <c r="C205" t="s" s="0">
        <v>77</v>
      </c>
      <c r="D205" t="s" s="0">
        <v>77</v>
      </c>
      <c r="E205" t="s" s="0">
        <v>5078</v>
      </c>
      <c r="F205" t="s" s="0">
        <v>5079</v>
      </c>
      <c r="G205" t="s" s="0">
        <v>5080</v>
      </c>
      <c r="H205" t="s" s="0">
        <v>81</v>
      </c>
      <c r="I205" t="s" s="0">
        <v>213</v>
      </c>
      <c r="J205" t="s" s="0">
        <v>5081</v>
      </c>
      <c r="K205" t="s" s="0">
        <v>5082</v>
      </c>
      <c r="L205" t="s" s="0">
        <v>5083</v>
      </c>
      <c r="M205" t="s" s="0">
        <v>5084</v>
      </c>
      <c r="N205" t="s" s="0">
        <v>5085</v>
      </c>
      <c r="O205" t="s" s="0">
        <v>5086</v>
      </c>
      <c r="P205" t="s" s="0">
        <v>5087</v>
      </c>
      <c r="Q205" t="s" s="0">
        <v>90</v>
      </c>
      <c r="R205" t="s" s="0">
        <v>81</v>
      </c>
      <c r="S205" t="s" s="0">
        <v>5088</v>
      </c>
      <c r="T205" t="s" s="0">
        <v>81</v>
      </c>
      <c r="U205" t="s" s="0">
        <v>81</v>
      </c>
      <c r="V205" t="s" s="0">
        <v>5089</v>
      </c>
      <c r="W205" t="s" s="0">
        <v>5090</v>
      </c>
      <c r="X205" t="s" s="0">
        <v>81</v>
      </c>
      <c r="Y205" t="s" s="0">
        <v>81</v>
      </c>
      <c r="Z205" t="s" s="0">
        <v>93</v>
      </c>
      <c r="AA205" t="s" s="0">
        <v>94</v>
      </c>
      <c r="AB205" t="s" s="0">
        <v>81</v>
      </c>
      <c r="AC205" t="s" s="0">
        <v>81</v>
      </c>
      <c r="AD205" t="s" s="0">
        <v>81</v>
      </c>
      <c r="AE205" t="s" s="0">
        <v>81</v>
      </c>
      <c r="AF205" t="s" s="0">
        <v>81</v>
      </c>
      <c r="AG205" t="s" s="0">
        <v>81</v>
      </c>
      <c r="AH205" t="s" s="0">
        <v>5091</v>
      </c>
      <c r="AI205" t="s" s="0">
        <v>5092</v>
      </c>
      <c r="AJ205" t="s" s="0">
        <v>5093</v>
      </c>
      <c r="AK205" t="s" s="0">
        <v>81</v>
      </c>
      <c r="AL205" t="s" s="0">
        <v>1515</v>
      </c>
      <c r="AM205" t="s" s="0">
        <v>161</v>
      </c>
      <c r="AN205" t="s" s="0">
        <v>225</v>
      </c>
      <c r="AO205" t="s" s="0">
        <v>160</v>
      </c>
      <c r="AP205" t="s" s="0">
        <v>225</v>
      </c>
      <c r="AQ205" t="s" s="0">
        <v>2551</v>
      </c>
      <c r="AR205" t="s" s="0">
        <v>2552</v>
      </c>
      <c r="AS205" t="s" s="0">
        <v>2553</v>
      </c>
      <c r="AT205" t="s" s="0">
        <v>5094</v>
      </c>
      <c r="AU205" t="s" s="0">
        <v>81</v>
      </c>
      <c r="AV205" t="s" s="0">
        <v>81</v>
      </c>
      <c r="AW205" t="s" s="0">
        <v>5095</v>
      </c>
      <c r="AX205" t="s" s="0">
        <v>5096</v>
      </c>
      <c r="AY205" t="s" s="0">
        <v>1080</v>
      </c>
      <c r="AZ205" t="s" s="0">
        <v>136</v>
      </c>
      <c r="BA205" t="s" s="0">
        <v>161</v>
      </c>
      <c r="BB205" t="s" s="0">
        <v>253</v>
      </c>
      <c r="BC205" t="s" s="0">
        <v>81</v>
      </c>
      <c r="BD205" t="s" s="0">
        <v>81</v>
      </c>
      <c r="BE205" t="s" s="0">
        <v>81</v>
      </c>
      <c r="BF205" t="s" s="0">
        <v>81</v>
      </c>
      <c r="BG205" t="s" s="0">
        <v>81</v>
      </c>
      <c r="BH205" t="s" s="0">
        <v>81</v>
      </c>
      <c r="BI205" t="s" s="0">
        <v>5097</v>
      </c>
      <c r="BJ205" t="s" s="0">
        <v>5098</v>
      </c>
      <c r="BK205" t="s" s="406">
        <f>HYPERLINK("http://dx.doi.org/10.1148/rycan.240507","http://dx.doi.org/10.1148/rycan.240507")</f>
        <v>5099</v>
      </c>
      <c r="BL205" t="s" s="0">
        <v>81</v>
      </c>
      <c r="BM205" t="s" s="0">
        <v>81</v>
      </c>
      <c r="BN205" t="s" s="0">
        <v>204</v>
      </c>
      <c r="BO205" t="s" s="0">
        <v>5100</v>
      </c>
      <c r="BP205" t="s" s="0">
        <v>5100</v>
      </c>
      <c r="BQ205" t="s" s="0">
        <v>5101</v>
      </c>
      <c r="BR205" t="s" s="0">
        <v>5102</v>
      </c>
      <c r="BS205" t="s" s="0">
        <v>5103</v>
      </c>
      <c r="BT205" t="s" s="407">
        <f>HYPERLINK("https://www.webofscience.com/wos/woscc/full-record/WOS:001553642600005","View Record in Web of Science")</f>
        <v>114</v>
      </c>
      <c r="BU205" t="s" s="0">
        <v>145</v>
      </c>
      <c r="BV205" t="s" s="0">
        <v>81</v>
      </c>
      <c r="BW205" t="s" s="0">
        <v>81</v>
      </c>
      <c r="BX205" t="s" s="0">
        <v>116</v>
      </c>
    </row>
    <row r="206">
      <c r="A206" t="s" s="0">
        <v>77</v>
      </c>
      <c r="B206" t="s" s="0">
        <v>77</v>
      </c>
      <c r="C206" t="s" s="0">
        <v>77</v>
      </c>
      <c r="D206" t="s" s="0">
        <v>77</v>
      </c>
      <c r="E206" t="s" s="0">
        <v>5104</v>
      </c>
      <c r="F206" t="s" s="0">
        <v>5105</v>
      </c>
      <c r="G206" t="s" s="0">
        <v>5106</v>
      </c>
      <c r="H206" t="s" s="0">
        <v>81</v>
      </c>
      <c r="I206" t="s" s="0">
        <v>82</v>
      </c>
      <c r="J206" t="s" s="0">
        <v>5107</v>
      </c>
      <c r="K206" t="s" s="0">
        <v>5108</v>
      </c>
      <c r="L206" t="s" s="0">
        <v>5109</v>
      </c>
      <c r="M206" t="s" s="0">
        <v>5110</v>
      </c>
      <c r="N206" t="s" s="0">
        <v>5111</v>
      </c>
      <c r="O206" t="s" s="0">
        <v>5112</v>
      </c>
      <c r="P206" t="s" s="0">
        <v>5113</v>
      </c>
      <c r="Q206" t="s" s="0">
        <v>90</v>
      </c>
      <c r="R206" t="s" s="0">
        <v>81</v>
      </c>
      <c r="S206" t="s" s="0">
        <v>81</v>
      </c>
      <c r="T206" t="s" s="0">
        <v>81</v>
      </c>
      <c r="U206" t="s" s="0">
        <v>81</v>
      </c>
      <c r="V206" t="s" s="0">
        <v>5114</v>
      </c>
      <c r="W206" t="s" s="0">
        <v>5115</v>
      </c>
      <c r="X206" t="s" s="0">
        <v>81</v>
      </c>
      <c r="Y206" t="s" s="0">
        <v>81</v>
      </c>
      <c r="Z206" t="s" s="0">
        <v>93</v>
      </c>
      <c r="AA206" t="s" s="0">
        <v>94</v>
      </c>
      <c r="AB206" t="s" s="0">
        <v>81</v>
      </c>
      <c r="AC206" t="s" s="0">
        <v>81</v>
      </c>
      <c r="AD206" t="s" s="0">
        <v>81</v>
      </c>
      <c r="AE206" t="s" s="0">
        <v>81</v>
      </c>
      <c r="AF206" t="s" s="0">
        <v>81</v>
      </c>
      <c r="AG206" t="s" s="0">
        <v>81</v>
      </c>
      <c r="AH206" t="s" s="0">
        <v>5116</v>
      </c>
      <c r="AI206" t="s" s="0">
        <v>81</v>
      </c>
      <c r="AJ206" t="s" s="0">
        <v>81</v>
      </c>
      <c r="AK206" t="s" s="0">
        <v>81</v>
      </c>
      <c r="AL206" t="s" s="0">
        <v>304</v>
      </c>
      <c r="AM206" t="s" s="0">
        <v>77</v>
      </c>
      <c r="AN206" t="s" s="0">
        <v>77</v>
      </c>
      <c r="AO206" t="s" s="0">
        <v>253</v>
      </c>
      <c r="AP206" t="s" s="0">
        <v>253</v>
      </c>
      <c r="AQ206" t="s" s="0">
        <v>274</v>
      </c>
      <c r="AR206" t="s" s="0">
        <v>275</v>
      </c>
      <c r="AS206" t="s" s="0">
        <v>276</v>
      </c>
      <c r="AT206" t="s" s="0">
        <v>81</v>
      </c>
      <c r="AU206" t="s" s="0">
        <v>5117</v>
      </c>
      <c r="AV206" t="s" s="0">
        <v>81</v>
      </c>
      <c r="AW206" t="s" s="0">
        <v>5118</v>
      </c>
      <c r="AX206" t="s" s="0">
        <v>5119</v>
      </c>
      <c r="AY206" t="s" s="0">
        <v>5120</v>
      </c>
      <c r="AZ206" t="s" s="0">
        <v>104</v>
      </c>
      <c r="BA206" t="s" s="0">
        <v>129</v>
      </c>
      <c r="BB206" t="s" s="0">
        <v>117</v>
      </c>
      <c r="BC206" t="s" s="0">
        <v>81</v>
      </c>
      <c r="BD206" t="s" s="0">
        <v>81</v>
      </c>
      <c r="BE206" t="s" s="0">
        <v>81</v>
      </c>
      <c r="BF206" t="s" s="0">
        <v>81</v>
      </c>
      <c r="BG206" t="s" s="0">
        <v>81</v>
      </c>
      <c r="BH206" t="s" s="0">
        <v>81</v>
      </c>
      <c r="BI206" t="s" s="0">
        <v>5121</v>
      </c>
      <c r="BJ206" t="s" s="0">
        <v>5122</v>
      </c>
      <c r="BK206" t="s" s="408">
        <f>HYPERLINK("http://dx.doi.org/10.1038/s41698-026-01415-z","http://dx.doi.org/10.1038/s41698-026-01415-z")</f>
        <v>5123</v>
      </c>
      <c r="BL206" t="s" s="0">
        <v>81</v>
      </c>
      <c r="BM206" t="s" s="0">
        <v>349</v>
      </c>
      <c r="BN206" t="s" s="0">
        <v>563</v>
      </c>
      <c r="BO206" t="s" s="0">
        <v>939</v>
      </c>
      <c r="BP206" t="s" s="0">
        <v>939</v>
      </c>
      <c r="BQ206" t="s" s="0">
        <v>5124</v>
      </c>
      <c r="BR206" t="s" s="0">
        <v>5125</v>
      </c>
      <c r="BS206" t="s" s="0">
        <v>5126</v>
      </c>
      <c r="BT206" t="s" s="409">
        <f>HYPERLINK("https://www.webofscience.com/wos/woscc/full-record/WOS:001793988900001","View Record in Web of Science")</f>
        <v>114</v>
      </c>
      <c r="BU206" t="s" s="0">
        <v>145</v>
      </c>
      <c r="BV206" t="s" s="0">
        <v>81</v>
      </c>
      <c r="BW206" t="s" s="0">
        <v>81</v>
      </c>
      <c r="BX206" t="s" s="0">
        <v>116</v>
      </c>
    </row>
    <row r="207">
      <c r="A207" t="s" s="0">
        <v>77</v>
      </c>
      <c r="B207" t="s" s="0">
        <v>77</v>
      </c>
      <c r="C207" t="s" s="0">
        <v>130</v>
      </c>
      <c r="D207" t="s" s="0">
        <v>77</v>
      </c>
      <c r="E207" t="s" s="0">
        <v>5127</v>
      </c>
      <c r="F207" t="s" s="0">
        <v>5128</v>
      </c>
      <c r="G207" t="s" s="0">
        <v>5129</v>
      </c>
      <c r="H207" t="s" s="0">
        <v>81</v>
      </c>
      <c r="I207" t="s" s="0">
        <v>213</v>
      </c>
      <c r="J207" t="s" s="0">
        <v>5130</v>
      </c>
      <c r="K207" t="s" s="0">
        <v>5131</v>
      </c>
      <c r="L207" t="s" s="0">
        <v>81</v>
      </c>
      <c r="M207" t="s" s="0">
        <v>81</v>
      </c>
      <c r="N207" t="s" s="0">
        <v>81</v>
      </c>
      <c r="O207" t="s" s="0">
        <v>5132</v>
      </c>
      <c r="P207" t="s" s="0">
        <v>5133</v>
      </c>
      <c r="Q207" t="s" s="0">
        <v>90</v>
      </c>
      <c r="R207" t="s" s="0">
        <v>81</v>
      </c>
      <c r="S207" t="s" s="0">
        <v>81</v>
      </c>
      <c r="T207" t="s" s="0">
        <v>81</v>
      </c>
      <c r="U207" t="s" s="0">
        <v>81</v>
      </c>
      <c r="V207" t="s" s="0">
        <v>5134</v>
      </c>
      <c r="W207" t="s" s="0">
        <v>5135</v>
      </c>
      <c r="X207" t="s" s="0">
        <v>81</v>
      </c>
      <c r="Y207" t="s" s="0">
        <v>81</v>
      </c>
      <c r="Z207" t="s" s="0">
        <v>93</v>
      </c>
      <c r="AA207" t="s" s="0">
        <v>94</v>
      </c>
      <c r="AB207" t="s" s="0">
        <v>81</v>
      </c>
      <c r="AC207" t="s" s="0">
        <v>81</v>
      </c>
      <c r="AD207" t="s" s="0">
        <v>81</v>
      </c>
      <c r="AE207" t="s" s="0">
        <v>81</v>
      </c>
      <c r="AF207" t="s" s="0">
        <v>81</v>
      </c>
      <c r="AG207" t="s" s="0">
        <v>5136</v>
      </c>
      <c r="AH207" t="s" s="0">
        <v>81</v>
      </c>
      <c r="AI207" t="s" s="0">
        <v>5137</v>
      </c>
      <c r="AJ207" t="s" s="0">
        <v>5138</v>
      </c>
      <c r="AK207" t="s" s="0">
        <v>81</v>
      </c>
      <c r="AL207" t="s" s="0">
        <v>5139</v>
      </c>
      <c r="AM207" t="s" s="0">
        <v>228</v>
      </c>
      <c r="AN207" t="s" s="0">
        <v>172</v>
      </c>
      <c r="AO207" t="s" s="0">
        <v>160</v>
      </c>
      <c r="AP207" t="s" s="0">
        <v>204</v>
      </c>
      <c r="AQ207" t="s" s="0">
        <v>476</v>
      </c>
      <c r="AR207" t="s" s="0">
        <v>477</v>
      </c>
      <c r="AS207" t="s" s="0">
        <v>478</v>
      </c>
      <c r="AT207" t="s" s="0">
        <v>81</v>
      </c>
      <c r="AU207" t="s" s="0">
        <v>5140</v>
      </c>
      <c r="AV207" t="s" s="0">
        <v>81</v>
      </c>
      <c r="AW207" t="s" s="0">
        <v>5141</v>
      </c>
      <c r="AX207" t="s" s="0">
        <v>5142</v>
      </c>
      <c r="AY207" t="s" s="0">
        <v>5143</v>
      </c>
      <c r="AZ207" t="s" s="0">
        <v>136</v>
      </c>
      <c r="BA207" t="s" s="0">
        <v>225</v>
      </c>
      <c r="BB207" t="s" s="0">
        <v>130</v>
      </c>
      <c r="BC207" t="s" s="0">
        <v>81</v>
      </c>
      <c r="BD207" t="s" s="0">
        <v>81</v>
      </c>
      <c r="BE207" t="s" s="0">
        <v>81</v>
      </c>
      <c r="BF207" t="s" s="0">
        <v>81</v>
      </c>
      <c r="BG207" t="s" s="0">
        <v>81</v>
      </c>
      <c r="BH207" t="s" s="0">
        <v>81</v>
      </c>
      <c r="BI207" t="s" s="0">
        <v>1067</v>
      </c>
      <c r="BJ207" t="s" s="0">
        <v>5144</v>
      </c>
      <c r="BK207" t="s" s="410">
        <f>HYPERLINK("http://dx.doi.org/10.3390/asi8020039","http://dx.doi.org/10.3390/asi8020039")</f>
        <v>5145</v>
      </c>
      <c r="BL207" t="s" s="0">
        <v>81</v>
      </c>
      <c r="BM207" t="s" s="0">
        <v>81</v>
      </c>
      <c r="BN207" t="s" s="0">
        <v>706</v>
      </c>
      <c r="BO207" t="s" s="0">
        <v>173</v>
      </c>
      <c r="BP207" t="s" s="0">
        <v>174</v>
      </c>
      <c r="BQ207" t="s" s="0">
        <v>5146</v>
      </c>
      <c r="BR207" t="s" s="0">
        <v>81</v>
      </c>
      <c r="BS207" t="s" s="0">
        <v>5147</v>
      </c>
      <c r="BT207" t="s" s="411">
        <f>HYPERLINK("https://www.webofscience.com/wos/woscc/full-record/WOS:001474932400001","View Record in Web of Science")</f>
        <v>114</v>
      </c>
      <c r="BU207" t="s" s="0">
        <v>145</v>
      </c>
      <c r="BV207" t="s" s="0">
        <v>81</v>
      </c>
      <c r="BW207" t="s" s="0">
        <v>81</v>
      </c>
      <c r="BX207" t="s" s="0">
        <v>116</v>
      </c>
    </row>
    <row r="208">
      <c r="A208" t="s" s="0">
        <v>77</v>
      </c>
      <c r="B208" t="s" s="0">
        <v>77</v>
      </c>
      <c r="C208" t="s" s="0">
        <v>227</v>
      </c>
      <c r="D208" t="s" s="0">
        <v>77</v>
      </c>
      <c r="E208" t="s" s="0">
        <v>5148</v>
      </c>
      <c r="F208" t="s" s="0">
        <v>5149</v>
      </c>
      <c r="G208" t="s" s="0">
        <v>5150</v>
      </c>
      <c r="H208" t="s" s="0">
        <v>81</v>
      </c>
      <c r="I208" t="s" s="0">
        <v>213</v>
      </c>
      <c r="J208" t="s" s="0">
        <v>5151</v>
      </c>
      <c r="K208" t="s" s="0">
        <v>5152</v>
      </c>
      <c r="L208" t="s" s="0">
        <v>5153</v>
      </c>
      <c r="M208" t="s" s="0">
        <v>5154</v>
      </c>
      <c r="N208" t="s" s="0">
        <v>5155</v>
      </c>
      <c r="O208" t="s" s="0">
        <v>5156</v>
      </c>
      <c r="P208" t="s" s="0">
        <v>5157</v>
      </c>
      <c r="Q208" t="s" s="0">
        <v>90</v>
      </c>
      <c r="R208" t="s" s="0">
        <v>81</v>
      </c>
      <c r="S208" t="s" s="0">
        <v>81</v>
      </c>
      <c r="T208" t="s" s="0">
        <v>81</v>
      </c>
      <c r="U208" t="s" s="0">
        <v>81</v>
      </c>
      <c r="V208" t="s" s="0">
        <v>5158</v>
      </c>
      <c r="W208" t="s" s="0">
        <v>2413</v>
      </c>
      <c r="X208" t="s" s="0">
        <v>81</v>
      </c>
      <c r="Y208" t="s" s="0">
        <v>81</v>
      </c>
      <c r="Z208" t="s" s="0">
        <v>93</v>
      </c>
      <c r="AA208" t="s" s="0">
        <v>94</v>
      </c>
      <c r="AB208" t="s" s="0">
        <v>81</v>
      </c>
      <c r="AC208" t="s" s="0">
        <v>81</v>
      </c>
      <c r="AD208" t="s" s="0">
        <v>81</v>
      </c>
      <c r="AE208" t="s" s="0">
        <v>81</v>
      </c>
      <c r="AF208" t="s" s="0">
        <v>81</v>
      </c>
      <c r="AG208" t="s" s="0">
        <v>5159</v>
      </c>
      <c r="AH208" t="s" s="0">
        <v>81</v>
      </c>
      <c r="AI208" t="s" s="0">
        <v>5160</v>
      </c>
      <c r="AJ208" t="s" s="0">
        <v>5161</v>
      </c>
      <c r="AK208" t="s" s="0">
        <v>81</v>
      </c>
      <c r="AL208" t="s" s="0">
        <v>304</v>
      </c>
      <c r="AM208" t="s" s="0">
        <v>172</v>
      </c>
      <c r="AN208" t="s" s="0">
        <v>105</v>
      </c>
      <c r="AO208" t="s" s="0">
        <v>77</v>
      </c>
      <c r="AP208" t="s" s="0">
        <v>109</v>
      </c>
      <c r="AQ208" t="s" s="0">
        <v>97</v>
      </c>
      <c r="AR208" t="s" s="0">
        <v>98</v>
      </c>
      <c r="AS208" t="s" s="0">
        <v>99</v>
      </c>
      <c r="AT208" t="s" s="0">
        <v>81</v>
      </c>
      <c r="AU208" t="s" s="0">
        <v>2416</v>
      </c>
      <c r="AV208" t="s" s="0">
        <v>81</v>
      </c>
      <c r="AW208" t="s" s="0">
        <v>2417</v>
      </c>
      <c r="AX208" t="s" s="0">
        <v>2418</v>
      </c>
      <c r="AY208" t="s" s="0">
        <v>5162</v>
      </c>
      <c r="AZ208" t="s" s="0">
        <v>1519</v>
      </c>
      <c r="BA208" t="s" s="0">
        <v>131</v>
      </c>
      <c r="BB208" t="s" s="0">
        <v>81</v>
      </c>
      <c r="BC208" t="s" s="0">
        <v>81</v>
      </c>
      <c r="BD208" t="s" s="0">
        <v>81</v>
      </c>
      <c r="BE208" t="s" s="0">
        <v>81</v>
      </c>
      <c r="BF208" t="s" s="0">
        <v>81</v>
      </c>
      <c r="BG208" t="s" s="0">
        <v>81</v>
      </c>
      <c r="BH208" t="s" s="0">
        <v>81</v>
      </c>
      <c r="BI208" t="s" s="0">
        <v>5163</v>
      </c>
      <c r="BJ208" t="s" s="0">
        <v>5164</v>
      </c>
      <c r="BK208" t="s" s="412">
        <f>HYPERLINK("http://dx.doi.org/10.3389/frai.2023.1323924","http://dx.doi.org/10.3389/frai.2023.1323924")</f>
        <v>5165</v>
      </c>
      <c r="BL208" t="s" s="0">
        <v>81</v>
      </c>
      <c r="BM208" t="s" s="0">
        <v>81</v>
      </c>
      <c r="BN208" t="s" s="0">
        <v>226</v>
      </c>
      <c r="BO208" t="s" s="0">
        <v>2422</v>
      </c>
      <c r="BP208" t="s" s="0">
        <v>420</v>
      </c>
      <c r="BQ208" t="s" s="0">
        <v>5166</v>
      </c>
      <c r="BR208" t="s" s="0">
        <v>5167</v>
      </c>
      <c r="BS208" t="s" s="0">
        <v>5168</v>
      </c>
      <c r="BT208" t="s" s="413">
        <f>HYPERLINK("https://www.webofscience.com/wos/woscc/full-record/WOS:001128769800001","View Record in Web of Science")</f>
        <v>114</v>
      </c>
      <c r="BU208" t="s" s="0">
        <v>145</v>
      </c>
      <c r="BV208" t="s" s="0">
        <v>81</v>
      </c>
      <c r="BW208" t="s" s="0">
        <v>81</v>
      </c>
      <c r="BX208" t="s" s="0">
        <v>116</v>
      </c>
    </row>
    <row r="209">
      <c r="A209" t="s" s="0">
        <v>77</v>
      </c>
      <c r="B209" t="s" s="0">
        <v>77</v>
      </c>
      <c r="C209" t="s" s="0">
        <v>77</v>
      </c>
      <c r="D209" t="s" s="0">
        <v>77</v>
      </c>
      <c r="E209" t="s" s="0">
        <v>5169</v>
      </c>
      <c r="F209" t="s" s="0">
        <v>5170</v>
      </c>
      <c r="G209" t="s" s="0">
        <v>5171</v>
      </c>
      <c r="H209" t="s" s="0">
        <v>81</v>
      </c>
      <c r="I209" t="s" s="0">
        <v>82</v>
      </c>
      <c r="J209" t="s" s="0">
        <v>5172</v>
      </c>
      <c r="K209" t="s" s="0">
        <v>5173</v>
      </c>
      <c r="L209" t="s" s="0">
        <v>5174</v>
      </c>
      <c r="M209" t="s" s="0">
        <v>5175</v>
      </c>
      <c r="N209" t="s" s="0">
        <v>5176</v>
      </c>
      <c r="O209" t="s" s="0">
        <v>5177</v>
      </c>
      <c r="P209" t="s" s="0">
        <v>5178</v>
      </c>
      <c r="Q209" t="s" s="0">
        <v>90</v>
      </c>
      <c r="R209" t="s" s="0">
        <v>81</v>
      </c>
      <c r="S209" t="s" s="0">
        <v>81</v>
      </c>
      <c r="T209" t="s" s="0">
        <v>81</v>
      </c>
      <c r="U209" t="s" s="0">
        <v>81</v>
      </c>
      <c r="V209" t="s" s="0">
        <v>5179</v>
      </c>
      <c r="W209" t="s" s="0">
        <v>1391</v>
      </c>
      <c r="X209" t="s" s="0">
        <v>81</v>
      </c>
      <c r="Y209" t="s" s="0">
        <v>81</v>
      </c>
      <c r="Z209" t="s" s="0">
        <v>93</v>
      </c>
      <c r="AA209" t="s" s="0">
        <v>94</v>
      </c>
      <c r="AB209" t="s" s="0">
        <v>81</v>
      </c>
      <c r="AC209" t="s" s="0">
        <v>81</v>
      </c>
      <c r="AD209" t="s" s="0">
        <v>81</v>
      </c>
      <c r="AE209" t="s" s="0">
        <v>81</v>
      </c>
      <c r="AF209" t="s" s="0">
        <v>81</v>
      </c>
      <c r="AG209" t="s" s="0">
        <v>81</v>
      </c>
      <c r="AH209" t="s" s="0">
        <v>5180</v>
      </c>
      <c r="AI209" t="s" s="0">
        <v>5181</v>
      </c>
      <c r="AJ209" t="s" s="0">
        <v>5182</v>
      </c>
      <c r="AK209" t="s" s="0">
        <v>81</v>
      </c>
      <c r="AL209" t="s" s="0">
        <v>562</v>
      </c>
      <c r="AM209" t="s" s="0">
        <v>77</v>
      </c>
      <c r="AN209" t="s" s="0">
        <v>77</v>
      </c>
      <c r="AO209" t="s" s="0">
        <v>172</v>
      </c>
      <c r="AP209" t="s" s="0">
        <v>172</v>
      </c>
      <c r="AQ209" t="s" s="0">
        <v>274</v>
      </c>
      <c r="AR209" t="s" s="0">
        <v>275</v>
      </c>
      <c r="AS209" t="s" s="0">
        <v>276</v>
      </c>
      <c r="AT209" t="s" s="0">
        <v>1395</v>
      </c>
      <c r="AU209" t="s" s="0">
        <v>81</v>
      </c>
      <c r="AV209" t="s" s="0">
        <v>81</v>
      </c>
      <c r="AW209" t="s" s="0">
        <v>1396</v>
      </c>
      <c r="AX209" t="s" s="0">
        <v>1397</v>
      </c>
      <c r="AY209" t="s" s="0">
        <v>5183</v>
      </c>
      <c r="AZ209" t="s" s="0">
        <v>104</v>
      </c>
      <c r="BA209" t="s" s="0">
        <v>128</v>
      </c>
      <c r="BB209" t="s" s="0">
        <v>117</v>
      </c>
      <c r="BC209" t="s" s="0">
        <v>81</v>
      </c>
      <c r="BD209" t="s" s="0">
        <v>81</v>
      </c>
      <c r="BE209" t="s" s="0">
        <v>81</v>
      </c>
      <c r="BF209" t="s" s="0">
        <v>81</v>
      </c>
      <c r="BG209" t="s" s="0">
        <v>81</v>
      </c>
      <c r="BH209" t="s" s="0">
        <v>81</v>
      </c>
      <c r="BI209" t="s" s="0">
        <v>5184</v>
      </c>
      <c r="BJ209" t="s" s="0">
        <v>5185</v>
      </c>
      <c r="BK209" t="s" s="414">
        <f>HYPERLINK("http://dx.doi.org/10.1038/s41746-026-02378-y","http://dx.doi.org/10.1038/s41746-026-02378-y")</f>
        <v>5186</v>
      </c>
      <c r="BL209" t="s" s="0">
        <v>81</v>
      </c>
      <c r="BM209" t="s" s="0">
        <v>81</v>
      </c>
      <c r="BN209" t="s" s="0">
        <v>128</v>
      </c>
      <c r="BO209" t="s" s="0">
        <v>1172</v>
      </c>
      <c r="BP209" t="s" s="0">
        <v>1172</v>
      </c>
      <c r="BQ209" t="s" s="0">
        <v>5187</v>
      </c>
      <c r="BR209" t="s" s="0">
        <v>5188</v>
      </c>
      <c r="BS209" t="s" s="0">
        <v>5189</v>
      </c>
      <c r="BT209" t="s" s="415">
        <f>HYPERLINK("https://www.webofscience.com/wos/woscc/full-record/WOS:001698260500001","View Record in Web of Science")</f>
        <v>114</v>
      </c>
      <c r="BU209" t="s" s="0">
        <v>145</v>
      </c>
      <c r="BV209" t="s" s="0">
        <v>81</v>
      </c>
      <c r="BW209" t="s" s="0">
        <v>81</v>
      </c>
      <c r="BX209" t="s" s="0">
        <v>116</v>
      </c>
    </row>
    <row r="210">
      <c r="A210" t="s" s="0">
        <v>77</v>
      </c>
      <c r="B210" t="s" s="0">
        <v>77</v>
      </c>
      <c r="C210" t="s" s="0">
        <v>77</v>
      </c>
      <c r="D210" t="s" s="0">
        <v>77</v>
      </c>
      <c r="E210" t="s" s="0">
        <v>5190</v>
      </c>
      <c r="F210" t="s" s="0">
        <v>5191</v>
      </c>
      <c r="G210" t="s" s="0">
        <v>5192</v>
      </c>
      <c r="H210" t="s" s="0">
        <v>81</v>
      </c>
      <c r="I210" t="s" s="0">
        <v>82</v>
      </c>
      <c r="J210" t="s" s="0">
        <v>5193</v>
      </c>
      <c r="K210" t="s" s="0">
        <v>5194</v>
      </c>
      <c r="L210" t="s" s="0">
        <v>5195</v>
      </c>
      <c r="M210" t="s" s="0">
        <v>5196</v>
      </c>
      <c r="N210" t="s" s="0">
        <v>5197</v>
      </c>
      <c r="O210" t="s" s="0">
        <v>5198</v>
      </c>
      <c r="P210" t="s" s="0">
        <v>5199</v>
      </c>
      <c r="Q210" t="s" s="0">
        <v>90</v>
      </c>
      <c r="R210" t="s" s="0">
        <v>81</v>
      </c>
      <c r="S210" t="s" s="0">
        <v>81</v>
      </c>
      <c r="T210" t="s" s="0">
        <v>81</v>
      </c>
      <c r="U210" t="s" s="0">
        <v>81</v>
      </c>
      <c r="V210" t="s" s="0">
        <v>5200</v>
      </c>
      <c r="W210" t="s" s="0">
        <v>1391</v>
      </c>
      <c r="X210" t="s" s="0">
        <v>81</v>
      </c>
      <c r="Y210" t="s" s="0">
        <v>81</v>
      </c>
      <c r="Z210" t="s" s="0">
        <v>93</v>
      </c>
      <c r="AA210" t="s" s="0">
        <v>94</v>
      </c>
      <c r="AB210" t="s" s="0">
        <v>81</v>
      </c>
      <c r="AC210" t="s" s="0">
        <v>81</v>
      </c>
      <c r="AD210" t="s" s="0">
        <v>81</v>
      </c>
      <c r="AE210" t="s" s="0">
        <v>81</v>
      </c>
      <c r="AF210" t="s" s="0">
        <v>81</v>
      </c>
      <c r="AG210" t="s" s="0">
        <v>81</v>
      </c>
      <c r="AH210" t="s" s="0">
        <v>81</v>
      </c>
      <c r="AI210" t="s" s="0">
        <v>5201</v>
      </c>
      <c r="AJ210" t="s" s="0">
        <v>5202</v>
      </c>
      <c r="AK210" t="s" s="0">
        <v>81</v>
      </c>
      <c r="AL210" t="s" s="0">
        <v>405</v>
      </c>
      <c r="AM210" t="s" s="0">
        <v>160</v>
      </c>
      <c r="AN210" t="s" s="0">
        <v>253</v>
      </c>
      <c r="AO210" t="s" s="0">
        <v>253</v>
      </c>
      <c r="AP210" t="s" s="0">
        <v>131</v>
      </c>
      <c r="AQ210" t="s" s="0">
        <v>274</v>
      </c>
      <c r="AR210" t="s" s="0">
        <v>275</v>
      </c>
      <c r="AS210" t="s" s="0">
        <v>276</v>
      </c>
      <c r="AT210" t="s" s="0">
        <v>1395</v>
      </c>
      <c r="AU210" t="s" s="0">
        <v>81</v>
      </c>
      <c r="AV210" t="s" s="0">
        <v>81</v>
      </c>
      <c r="AW210" t="s" s="0">
        <v>1396</v>
      </c>
      <c r="AX210" t="s" s="0">
        <v>1397</v>
      </c>
      <c r="AY210" t="s" s="0">
        <v>5203</v>
      </c>
      <c r="AZ210" t="s" s="0">
        <v>136</v>
      </c>
      <c r="BA210" t="s" s="0">
        <v>225</v>
      </c>
      <c r="BB210" t="s" s="0">
        <v>117</v>
      </c>
      <c r="BC210" t="s" s="0">
        <v>81</v>
      </c>
      <c r="BD210" t="s" s="0">
        <v>81</v>
      </c>
      <c r="BE210" t="s" s="0">
        <v>81</v>
      </c>
      <c r="BF210" t="s" s="0">
        <v>81</v>
      </c>
      <c r="BG210" t="s" s="0">
        <v>81</v>
      </c>
      <c r="BH210" t="s" s="0">
        <v>81</v>
      </c>
      <c r="BI210" t="s" s="0">
        <v>5204</v>
      </c>
      <c r="BJ210" t="s" s="0">
        <v>5205</v>
      </c>
      <c r="BK210" t="s" s="416">
        <f>HYPERLINK("http://dx.doi.org/10.1038/s41746-025-02144-6","http://dx.doi.org/10.1038/s41746-025-02144-6")</f>
        <v>5206</v>
      </c>
      <c r="BL210" t="s" s="0">
        <v>81</v>
      </c>
      <c r="BM210" t="s" s="0">
        <v>81</v>
      </c>
      <c r="BN210" t="s" s="0">
        <v>128</v>
      </c>
      <c r="BO210" t="s" s="0">
        <v>1172</v>
      </c>
      <c r="BP210" t="s" s="0">
        <v>1172</v>
      </c>
      <c r="BQ210" t="s" s="0">
        <v>5207</v>
      </c>
      <c r="BR210" t="s" s="0">
        <v>5208</v>
      </c>
      <c r="BS210" t="s" s="0">
        <v>5209</v>
      </c>
      <c r="BT210" t="s" s="417">
        <f>HYPERLINK("https://www.webofscience.com/wos/woscc/full-record/WOS:001641099400002","View Record in Web of Science")</f>
        <v>114</v>
      </c>
      <c r="BU210" t="s" s="0">
        <v>145</v>
      </c>
      <c r="BV210" t="s" s="0">
        <v>81</v>
      </c>
      <c r="BW210" t="s" s="0">
        <v>81</v>
      </c>
      <c r="BX210" t="s" s="0">
        <v>116</v>
      </c>
    </row>
    <row r="211">
      <c r="A211" t="s" s="0">
        <v>77</v>
      </c>
      <c r="B211" t="s" s="0">
        <v>77</v>
      </c>
      <c r="C211" t="s" s="0">
        <v>77</v>
      </c>
      <c r="D211" t="s" s="0">
        <v>77</v>
      </c>
      <c r="E211" t="s" s="0">
        <v>5210</v>
      </c>
      <c r="F211" t="s" s="0">
        <v>5211</v>
      </c>
      <c r="G211" t="s" s="0">
        <v>5212</v>
      </c>
      <c r="H211" t="s" s="0">
        <v>81</v>
      </c>
      <c r="I211" t="s" s="0">
        <v>82</v>
      </c>
      <c r="J211" t="s" s="0">
        <v>5213</v>
      </c>
      <c r="K211" t="s" s="0">
        <v>5214</v>
      </c>
      <c r="L211" t="s" s="0">
        <v>5215</v>
      </c>
      <c r="M211" t="s" s="0">
        <v>184</v>
      </c>
      <c r="N211" t="s" s="0">
        <v>5216</v>
      </c>
      <c r="O211" t="s" s="0">
        <v>5217</v>
      </c>
      <c r="P211" t="s" s="0">
        <v>5218</v>
      </c>
      <c r="Q211" t="s" s="0">
        <v>90</v>
      </c>
      <c r="R211" t="s" s="0">
        <v>81</v>
      </c>
      <c r="S211" t="s" s="0">
        <v>81</v>
      </c>
      <c r="T211" t="s" s="0">
        <v>81</v>
      </c>
      <c r="U211" t="s" s="0">
        <v>81</v>
      </c>
      <c r="V211" t="s" s="0">
        <v>5219</v>
      </c>
      <c r="W211" t="s" s="0">
        <v>620</v>
      </c>
      <c r="X211" t="s" s="0">
        <v>81</v>
      </c>
      <c r="Y211" t="s" s="0">
        <v>81</v>
      </c>
      <c r="Z211" t="s" s="0">
        <v>93</v>
      </c>
      <c r="AA211" t="s" s="0">
        <v>94</v>
      </c>
      <c r="AB211" t="s" s="0">
        <v>81</v>
      </c>
      <c r="AC211" t="s" s="0">
        <v>81</v>
      </c>
      <c r="AD211" t="s" s="0">
        <v>81</v>
      </c>
      <c r="AE211" t="s" s="0">
        <v>81</v>
      </c>
      <c r="AF211" t="s" s="0">
        <v>81</v>
      </c>
      <c r="AG211" t="s" s="0">
        <v>5220</v>
      </c>
      <c r="AH211" t="s" s="0">
        <v>5221</v>
      </c>
      <c r="AI211" t="s" s="0">
        <v>5222</v>
      </c>
      <c r="AJ211" t="s" s="0">
        <v>81</v>
      </c>
      <c r="AK211" t="s" s="0">
        <v>81</v>
      </c>
      <c r="AL211" t="s" s="0">
        <v>507</v>
      </c>
      <c r="AM211" t="s" s="0">
        <v>117</v>
      </c>
      <c r="AN211" t="s" s="0">
        <v>117</v>
      </c>
      <c r="AO211" t="s" s="0">
        <v>228</v>
      </c>
      <c r="AP211" t="s" s="0">
        <v>563</v>
      </c>
      <c r="AQ211" t="s" s="0">
        <v>626</v>
      </c>
      <c r="AR211" t="s" s="0">
        <v>627</v>
      </c>
      <c r="AS211" t="s" s="0">
        <v>628</v>
      </c>
      <c r="AT211" t="s" s="0">
        <v>81</v>
      </c>
      <c r="AU211" t="s" s="0">
        <v>629</v>
      </c>
      <c r="AV211" t="s" s="0">
        <v>81</v>
      </c>
      <c r="AW211" t="s" s="0">
        <v>630</v>
      </c>
      <c r="AX211" t="s" s="0">
        <v>631</v>
      </c>
      <c r="AY211" t="s" s="0">
        <v>284</v>
      </c>
      <c r="AZ211" t="s" s="0">
        <v>104</v>
      </c>
      <c r="BA211" t="s" s="0">
        <v>167</v>
      </c>
      <c r="BB211" t="s" s="0">
        <v>563</v>
      </c>
      <c r="BC211" t="s" s="0">
        <v>81</v>
      </c>
      <c r="BD211" t="s" s="0">
        <v>81</v>
      </c>
      <c r="BE211" t="s" s="0">
        <v>81</v>
      </c>
      <c r="BF211" t="s" s="0">
        <v>81</v>
      </c>
      <c r="BG211" t="s" s="0">
        <v>81</v>
      </c>
      <c r="BH211" t="s" s="0">
        <v>81</v>
      </c>
      <c r="BI211" t="s" s="0">
        <v>81</v>
      </c>
      <c r="BJ211" t="s" s="0">
        <v>5223</v>
      </c>
      <c r="BK211" t="s" s="418">
        <f>HYPERLINK("http://dx.doi.org/10.1002/advs.202510931","http://dx.doi.org/10.1002/advs.202510931")</f>
        <v>5224</v>
      </c>
      <c r="BL211" t="s" s="0">
        <v>81</v>
      </c>
      <c r="BM211" t="s" s="0">
        <v>3439</v>
      </c>
      <c r="BN211" t="s" s="0">
        <v>258</v>
      </c>
      <c r="BO211" t="s" s="0">
        <v>637</v>
      </c>
      <c r="BP211" t="s" s="0">
        <v>638</v>
      </c>
      <c r="BQ211" t="s" s="0">
        <v>5225</v>
      </c>
      <c r="BR211" t="s" s="0">
        <v>5226</v>
      </c>
      <c r="BS211" t="s" s="0">
        <v>5227</v>
      </c>
      <c r="BT211" t="s" s="419">
        <f>HYPERLINK("https://www.webofscience.com/wos/woscc/full-record/WOS:001664846200001","View Record in Web of Science")</f>
        <v>114</v>
      </c>
      <c r="BU211" t="s" s="0">
        <v>145</v>
      </c>
      <c r="BV211" t="s" s="0">
        <v>81</v>
      </c>
      <c r="BW211" t="s" s="0">
        <v>81</v>
      </c>
      <c r="BX211" t="s" s="0">
        <v>116</v>
      </c>
    </row>
    <row r="212">
      <c r="A212" t="s" s="0">
        <v>77</v>
      </c>
      <c r="B212" t="s" s="0">
        <v>77</v>
      </c>
      <c r="C212" t="s" s="0">
        <v>117</v>
      </c>
      <c r="D212" t="s" s="0">
        <v>77</v>
      </c>
      <c r="E212" t="s" s="0">
        <v>5228</v>
      </c>
      <c r="F212" t="s" s="0">
        <v>5229</v>
      </c>
      <c r="G212" t="s" s="0">
        <v>5230</v>
      </c>
      <c r="H212" t="s" s="0">
        <v>81</v>
      </c>
      <c r="I212" t="s" s="0">
        <v>82</v>
      </c>
      <c r="J212" t="s" s="0">
        <v>5231</v>
      </c>
      <c r="K212" t="s" s="0">
        <v>5232</v>
      </c>
      <c r="L212" t="s" s="0">
        <v>5233</v>
      </c>
      <c r="M212" t="s" s="0">
        <v>5234</v>
      </c>
      <c r="N212" t="s" s="0">
        <v>5235</v>
      </c>
      <c r="O212" t="s" s="0">
        <v>5236</v>
      </c>
      <c r="P212" t="s" s="0">
        <v>5237</v>
      </c>
      <c r="Q212" t="s" s="0">
        <v>90</v>
      </c>
      <c r="R212" t="s" s="0">
        <v>81</v>
      </c>
      <c r="S212" t="s" s="0">
        <v>81</v>
      </c>
      <c r="T212" t="s" s="0">
        <v>81</v>
      </c>
      <c r="U212" t="s" s="0">
        <v>81</v>
      </c>
      <c r="V212" t="s" s="0">
        <v>5238</v>
      </c>
      <c r="W212" t="s" s="0">
        <v>5239</v>
      </c>
      <c r="X212" t="s" s="0">
        <v>81</v>
      </c>
      <c r="Y212" t="s" s="0">
        <v>81</v>
      </c>
      <c r="Z212" t="s" s="0">
        <v>93</v>
      </c>
      <c r="AA212" t="s" s="0">
        <v>190</v>
      </c>
      <c r="AB212" t="s" s="0">
        <v>81</v>
      </c>
      <c r="AC212" t="s" s="0">
        <v>81</v>
      </c>
      <c r="AD212" t="s" s="0">
        <v>81</v>
      </c>
      <c r="AE212" t="s" s="0">
        <v>81</v>
      </c>
      <c r="AF212" t="s" s="0">
        <v>81</v>
      </c>
      <c r="AG212" t="s" s="0">
        <v>5240</v>
      </c>
      <c r="AH212" t="s" s="0">
        <v>5241</v>
      </c>
      <c r="AI212" t="s" s="0">
        <v>5242</v>
      </c>
      <c r="AJ212" t="s" s="0">
        <v>5243</v>
      </c>
      <c r="AK212" t="s" s="0">
        <v>81</v>
      </c>
      <c r="AL212" t="s" s="0">
        <v>369</v>
      </c>
      <c r="AM212" t="s" s="0">
        <v>128</v>
      </c>
      <c r="AN212" t="s" s="0">
        <v>204</v>
      </c>
      <c r="AO212" t="s" s="0">
        <v>77</v>
      </c>
      <c r="AP212" t="s" s="0">
        <v>227</v>
      </c>
      <c r="AQ212" t="s" s="0">
        <v>2939</v>
      </c>
      <c r="AR212" t="s" s="0">
        <v>2940</v>
      </c>
      <c r="AS212" t="s" s="0">
        <v>2941</v>
      </c>
      <c r="AT212" t="s" s="0">
        <v>5244</v>
      </c>
      <c r="AU212" t="s" s="0">
        <v>5245</v>
      </c>
      <c r="AV212" t="s" s="0">
        <v>81</v>
      </c>
      <c r="AW212" t="s" s="0">
        <v>5246</v>
      </c>
      <c r="AX212" t="s" s="0">
        <v>5247</v>
      </c>
      <c r="AY212" t="s" s="0">
        <v>81</v>
      </c>
      <c r="AZ212" t="s" s="0">
        <v>136</v>
      </c>
      <c r="BA212" t="s" s="0">
        <v>81</v>
      </c>
      <c r="BB212" t="s" s="0">
        <v>81</v>
      </c>
      <c r="BC212" t="s" s="0">
        <v>81</v>
      </c>
      <c r="BD212" t="s" s="0">
        <v>81</v>
      </c>
      <c r="BE212" t="s" s="0">
        <v>81</v>
      </c>
      <c r="BF212" t="s" s="0">
        <v>81</v>
      </c>
      <c r="BG212" t="s" s="0">
        <v>81</v>
      </c>
      <c r="BH212" t="s" s="0">
        <v>81</v>
      </c>
      <c r="BI212" t="s" s="0">
        <v>81</v>
      </c>
      <c r="BJ212" t="s" s="0">
        <v>5248</v>
      </c>
      <c r="BK212" t="s" s="420">
        <f>HYPERLINK("http://dx.doi.org/10.1177/15266028251314359","http://dx.doi.org/10.1177/15266028251314359")</f>
        <v>5249</v>
      </c>
      <c r="BL212" t="s" s="0">
        <v>81</v>
      </c>
      <c r="BM212" t="s" s="0">
        <v>382</v>
      </c>
      <c r="BN212" t="s" s="0">
        <v>131</v>
      </c>
      <c r="BO212" t="s" s="0">
        <v>5250</v>
      </c>
      <c r="BP212" t="s" s="0">
        <v>5251</v>
      </c>
      <c r="BQ212" t="s" s="0">
        <v>5252</v>
      </c>
      <c r="BR212" t="s" s="0">
        <v>5253</v>
      </c>
      <c r="BS212" t="s" s="0">
        <v>5254</v>
      </c>
      <c r="BT212" t="s" s="421">
        <f>HYPERLINK("https://www.webofscience.com/wos/woscc/full-record/WOS:001410976300001","View Record in Web of Science")</f>
        <v>114</v>
      </c>
      <c r="BU212" t="s" s="0">
        <v>457</v>
      </c>
      <c r="BV212" t="s" s="0">
        <v>81</v>
      </c>
      <c r="BW212" t="s" s="0">
        <v>81</v>
      </c>
      <c r="BX212" t="s" s="0">
        <v>116</v>
      </c>
    </row>
    <row r="213">
      <c r="A213" t="s" s="0">
        <v>77</v>
      </c>
      <c r="B213" t="s" s="0">
        <v>77</v>
      </c>
      <c r="C213" t="s" s="0">
        <v>117</v>
      </c>
      <c r="D213" t="s" s="0">
        <v>77</v>
      </c>
      <c r="E213" t="s" s="0">
        <v>5255</v>
      </c>
      <c r="F213" t="s" s="0">
        <v>5256</v>
      </c>
      <c r="G213" t="s" s="0">
        <v>5257</v>
      </c>
      <c r="H213" t="s" s="0">
        <v>81</v>
      </c>
      <c r="I213" t="s" s="0">
        <v>213</v>
      </c>
      <c r="J213" t="s" s="0">
        <v>5258</v>
      </c>
      <c r="K213" t="s" s="0">
        <v>5259</v>
      </c>
      <c r="L213" t="s" s="0">
        <v>5260</v>
      </c>
      <c r="M213" t="s" s="0">
        <v>5261</v>
      </c>
      <c r="N213" t="s" s="0">
        <v>5262</v>
      </c>
      <c r="O213" t="s" s="0">
        <v>5263</v>
      </c>
      <c r="P213" t="s" s="0">
        <v>5264</v>
      </c>
      <c r="Q213" t="s" s="0">
        <v>90</v>
      </c>
      <c r="R213" t="s" s="0">
        <v>81</v>
      </c>
      <c r="S213" t="s" s="0">
        <v>81</v>
      </c>
      <c r="T213" t="s" s="0">
        <v>81</v>
      </c>
      <c r="U213" t="s" s="0">
        <v>81</v>
      </c>
      <c r="V213" t="s" s="0">
        <v>5265</v>
      </c>
      <c r="W213" t="s" s="0">
        <v>5266</v>
      </c>
      <c r="X213" t="s" s="0">
        <v>81</v>
      </c>
      <c r="Y213" t="s" s="0">
        <v>81</v>
      </c>
      <c r="Z213" t="s" s="0">
        <v>93</v>
      </c>
      <c r="AA213" t="s" s="0">
        <v>94</v>
      </c>
      <c r="AB213" t="s" s="0">
        <v>81</v>
      </c>
      <c r="AC213" t="s" s="0">
        <v>81</v>
      </c>
      <c r="AD213" t="s" s="0">
        <v>81</v>
      </c>
      <c r="AE213" t="s" s="0">
        <v>81</v>
      </c>
      <c r="AF213" t="s" s="0">
        <v>81</v>
      </c>
      <c r="AG213" t="s" s="0">
        <v>5267</v>
      </c>
      <c r="AH213" t="s" s="0">
        <v>5268</v>
      </c>
      <c r="AI213" t="s" s="0">
        <v>5269</v>
      </c>
      <c r="AJ213" t="s" s="0">
        <v>81</v>
      </c>
      <c r="AK213" t="s" s="0">
        <v>81</v>
      </c>
      <c r="AL213" t="s" s="0">
        <v>1161</v>
      </c>
      <c r="AM213" t="s" s="0">
        <v>227</v>
      </c>
      <c r="AN213" t="s" s="0">
        <v>227</v>
      </c>
      <c r="AO213" t="s" s="0">
        <v>117</v>
      </c>
      <c r="AP213" t="s" s="0">
        <v>227</v>
      </c>
      <c r="AQ213" t="s" s="0">
        <v>5270</v>
      </c>
      <c r="AR213" t="s" s="0">
        <v>5271</v>
      </c>
      <c r="AS213" t="s" s="0">
        <v>5272</v>
      </c>
      <c r="AT213" t="s" s="0">
        <v>5273</v>
      </c>
      <c r="AU213" t="s" s="0">
        <v>5274</v>
      </c>
      <c r="AV213" t="s" s="0">
        <v>81</v>
      </c>
      <c r="AW213" t="s" s="0">
        <v>5275</v>
      </c>
      <c r="AX213" t="s" s="0">
        <v>5276</v>
      </c>
      <c r="AY213" t="s" s="0">
        <v>5277</v>
      </c>
      <c r="AZ213" t="s" s="0">
        <v>136</v>
      </c>
      <c r="BA213" t="s" s="0">
        <v>226</v>
      </c>
      <c r="BB213" t="s" s="0">
        <v>81</v>
      </c>
      <c r="BC213" t="s" s="0">
        <v>81</v>
      </c>
      <c r="BD213" t="s" s="0">
        <v>81</v>
      </c>
      <c r="BE213" t="s" s="0">
        <v>130</v>
      </c>
      <c r="BF213" t="s" s="0">
        <v>81</v>
      </c>
      <c r="BG213" t="s" s="0">
        <v>81</v>
      </c>
      <c r="BH213" t="s" s="0">
        <v>81</v>
      </c>
      <c r="BI213" t="s" s="0">
        <v>5278</v>
      </c>
      <c r="BJ213" t="s" s="0">
        <v>5279</v>
      </c>
      <c r="BK213" t="s" s="422">
        <f>HYPERLINK("http://dx.doi.org/10.1117/1.JMI.12.S2.S22009","http://dx.doi.org/10.1117/1.JMI.12.S2.S22009")</f>
        <v>5280</v>
      </c>
      <c r="BL213" t="s" s="0">
        <v>81</v>
      </c>
      <c r="BM213" t="s" s="0">
        <v>81</v>
      </c>
      <c r="BN213" t="s" s="0">
        <v>258</v>
      </c>
      <c r="BO213" t="s" s="0">
        <v>1881</v>
      </c>
      <c r="BP213" t="s" s="0">
        <v>1881</v>
      </c>
      <c r="BQ213" t="s" s="0">
        <v>5281</v>
      </c>
      <c r="BR213" t="s" s="0">
        <v>5282</v>
      </c>
      <c r="BS213" t="s" s="0">
        <v>5283</v>
      </c>
      <c r="BT213" t="s" s="423">
        <f>HYPERLINK("https://www.webofscience.com/wos/woscc/full-record/WOS:001569160100010","View Record in Web of Science")</f>
        <v>114</v>
      </c>
      <c r="BU213" t="s" s="0">
        <v>973</v>
      </c>
      <c r="BV213" t="s" s="0">
        <v>81</v>
      </c>
      <c r="BW213" t="s" s="0">
        <v>81</v>
      </c>
      <c r="BX213" t="s" s="0">
        <v>116</v>
      </c>
    </row>
    <row r="214">
      <c r="A214" t="s" s="0">
        <v>77</v>
      </c>
      <c r="B214" t="s" s="0">
        <v>77</v>
      </c>
      <c r="C214" t="s" s="0">
        <v>117</v>
      </c>
      <c r="D214" t="s" s="0">
        <v>77</v>
      </c>
      <c r="E214" t="s" s="0">
        <v>5284</v>
      </c>
      <c r="F214" t="s" s="0">
        <v>5285</v>
      </c>
      <c r="G214" t="s" s="0">
        <v>5286</v>
      </c>
      <c r="H214" t="s" s="0">
        <v>81</v>
      </c>
      <c r="I214" t="s" s="0">
        <v>82</v>
      </c>
      <c r="J214" t="s" s="0">
        <v>5287</v>
      </c>
      <c r="K214" t="s" s="0">
        <v>5288</v>
      </c>
      <c r="L214" t="s" s="0">
        <v>81</v>
      </c>
      <c r="M214" t="s" s="0">
        <v>81</v>
      </c>
      <c r="N214" t="s" s="0">
        <v>81</v>
      </c>
      <c r="O214" t="s" s="0">
        <v>5289</v>
      </c>
      <c r="P214" t="s" s="0">
        <v>5290</v>
      </c>
      <c r="Q214" t="s" s="0">
        <v>90</v>
      </c>
      <c r="R214" t="s" s="0">
        <v>81</v>
      </c>
      <c r="S214" t="s" s="0">
        <v>81</v>
      </c>
      <c r="T214" t="s" s="0">
        <v>81</v>
      </c>
      <c r="U214" t="s" s="0">
        <v>81</v>
      </c>
      <c r="V214" t="s" s="0">
        <v>5291</v>
      </c>
      <c r="W214" t="s" s="0">
        <v>5292</v>
      </c>
      <c r="X214" t="s" s="0">
        <v>81</v>
      </c>
      <c r="Y214" t="s" s="0">
        <v>81</v>
      </c>
      <c r="Z214" t="s" s="0">
        <v>93</v>
      </c>
      <c r="AA214" t="s" s="0">
        <v>94</v>
      </c>
      <c r="AB214" t="s" s="0">
        <v>81</v>
      </c>
      <c r="AC214" t="s" s="0">
        <v>81</v>
      </c>
      <c r="AD214" t="s" s="0">
        <v>81</v>
      </c>
      <c r="AE214" t="s" s="0">
        <v>81</v>
      </c>
      <c r="AF214" t="s" s="0">
        <v>81</v>
      </c>
      <c r="AG214" t="s" s="0">
        <v>5293</v>
      </c>
      <c r="AH214" t="s" s="0">
        <v>5294</v>
      </c>
      <c r="AI214" t="s" s="0">
        <v>5295</v>
      </c>
      <c r="AJ214" t="s" s="0">
        <v>5296</v>
      </c>
      <c r="AK214" t="s" s="0">
        <v>81</v>
      </c>
      <c r="AL214" t="s" s="0">
        <v>541</v>
      </c>
      <c r="AM214" t="s" s="0">
        <v>117</v>
      </c>
      <c r="AN214" t="s" s="0">
        <v>117</v>
      </c>
      <c r="AO214" t="s" s="0">
        <v>77</v>
      </c>
      <c r="AP214" t="s" s="0">
        <v>131</v>
      </c>
      <c r="AQ214" t="s" s="0">
        <v>5297</v>
      </c>
      <c r="AR214" t="s" s="0">
        <v>5298</v>
      </c>
      <c r="AS214" t="s" s="0">
        <v>5299</v>
      </c>
      <c r="AT214" t="s" s="0">
        <v>5300</v>
      </c>
      <c r="AU214" t="s" s="0">
        <v>5301</v>
      </c>
      <c r="AV214" t="s" s="0">
        <v>81</v>
      </c>
      <c r="AW214" t="s" s="0">
        <v>5302</v>
      </c>
      <c r="AX214" t="s" s="0">
        <v>5303</v>
      </c>
      <c r="AY214" t="s" s="0">
        <v>1137</v>
      </c>
      <c r="AZ214" t="s" s="0">
        <v>136</v>
      </c>
      <c r="BA214" t="s" s="0">
        <v>109</v>
      </c>
      <c r="BB214" t="s" s="0">
        <v>130</v>
      </c>
      <c r="BC214" t="s" s="0">
        <v>81</v>
      </c>
      <c r="BD214" t="s" s="0">
        <v>81</v>
      </c>
      <c r="BE214" t="s" s="0">
        <v>81</v>
      </c>
      <c r="BF214" t="s" s="0">
        <v>81</v>
      </c>
      <c r="BG214" t="s" s="0">
        <v>5304</v>
      </c>
      <c r="BH214" t="s" s="0">
        <v>5305</v>
      </c>
      <c r="BI214" t="s" s="0">
        <v>81</v>
      </c>
      <c r="BJ214" t="s" s="0">
        <v>5306</v>
      </c>
      <c r="BK214" t="s" s="424">
        <f>HYPERLINK("http://dx.doi.org/10.1007/s10388-025-01106-x","http://dx.doi.org/10.1007/s10388-025-01106-x")</f>
        <v>5307</v>
      </c>
      <c r="BL214" t="s" s="0">
        <v>81</v>
      </c>
      <c r="BM214" t="s" s="0">
        <v>382</v>
      </c>
      <c r="BN214" t="s" s="0">
        <v>225</v>
      </c>
      <c r="BO214" t="s" s="0">
        <v>2062</v>
      </c>
      <c r="BP214" t="s" s="0">
        <v>2062</v>
      </c>
      <c r="BQ214" t="s" s="0">
        <v>5308</v>
      </c>
      <c r="BR214" t="s" s="0">
        <v>5309</v>
      </c>
      <c r="BS214" t="s" s="0">
        <v>5310</v>
      </c>
      <c r="BT214" t="s" s="425">
        <f>HYPERLINK("https://www.webofscience.com/wos/woscc/full-record/WOS:001394058200001","View Record in Web of Science")</f>
        <v>114</v>
      </c>
      <c r="BU214" t="s" s="0">
        <v>81</v>
      </c>
      <c r="BV214" t="s" s="0">
        <v>81</v>
      </c>
      <c r="BW214" t="s" s="0">
        <v>81</v>
      </c>
      <c r="BX214" t="s" s="0">
        <v>116</v>
      </c>
    </row>
    <row r="215">
      <c r="A215" t="s" s="0">
        <v>77</v>
      </c>
      <c r="B215" t="s" s="0">
        <v>77</v>
      </c>
      <c r="C215" t="s" s="0">
        <v>77</v>
      </c>
      <c r="D215" t="s" s="0">
        <v>77</v>
      </c>
      <c r="E215" t="s" s="0">
        <v>5311</v>
      </c>
      <c r="F215" t="s" s="0">
        <v>5312</v>
      </c>
      <c r="G215" t="s" s="0">
        <v>5313</v>
      </c>
      <c r="H215" t="s" s="0">
        <v>81</v>
      </c>
      <c r="I215" t="s" s="0">
        <v>82</v>
      </c>
      <c r="J215" t="s" s="0">
        <v>5314</v>
      </c>
      <c r="K215" t="s" s="0">
        <v>5315</v>
      </c>
      <c r="L215" t="s" s="0">
        <v>5316</v>
      </c>
      <c r="M215" t="s" s="0">
        <v>5317</v>
      </c>
      <c r="N215" t="s" s="0">
        <v>5318</v>
      </c>
      <c r="O215" t="s" s="0">
        <v>5319</v>
      </c>
      <c r="P215" t="s" s="0">
        <v>5320</v>
      </c>
      <c r="Q215" t="s" s="0">
        <v>90</v>
      </c>
      <c r="R215" t="s" s="0">
        <v>81</v>
      </c>
      <c r="S215" t="s" s="0">
        <v>81</v>
      </c>
      <c r="T215" t="s" s="0">
        <v>81</v>
      </c>
      <c r="U215" t="s" s="0">
        <v>81</v>
      </c>
      <c r="V215" t="s" s="0">
        <v>5321</v>
      </c>
      <c r="W215" t="s" s="0">
        <v>271</v>
      </c>
      <c r="X215" t="s" s="0">
        <v>81</v>
      </c>
      <c r="Y215" t="s" s="0">
        <v>81</v>
      </c>
      <c r="Z215" t="s" s="0">
        <v>93</v>
      </c>
      <c r="AA215" t="s" s="0">
        <v>94</v>
      </c>
      <c r="AB215" t="s" s="0">
        <v>81</v>
      </c>
      <c r="AC215" t="s" s="0">
        <v>81</v>
      </c>
      <c r="AD215" t="s" s="0">
        <v>81</v>
      </c>
      <c r="AE215" t="s" s="0">
        <v>81</v>
      </c>
      <c r="AF215" t="s" s="0">
        <v>81</v>
      </c>
      <c r="AG215" t="s" s="0">
        <v>81</v>
      </c>
      <c r="AH215" t="s" s="0">
        <v>81</v>
      </c>
      <c r="AI215" t="s" s="0">
        <v>5322</v>
      </c>
      <c r="AJ215" t="s" s="0">
        <v>5323</v>
      </c>
      <c r="AK215" t="s" s="0">
        <v>81</v>
      </c>
      <c r="AL215" t="s" s="0">
        <v>193</v>
      </c>
      <c r="AM215" t="s" s="0">
        <v>130</v>
      </c>
      <c r="AN215" t="s" s="0">
        <v>227</v>
      </c>
      <c r="AO215" t="s" s="0">
        <v>117</v>
      </c>
      <c r="AP215" t="s" s="0">
        <v>130</v>
      </c>
      <c r="AQ215" t="s" s="0">
        <v>274</v>
      </c>
      <c r="AR215" t="s" s="0">
        <v>275</v>
      </c>
      <c r="AS215" t="s" s="0">
        <v>276</v>
      </c>
      <c r="AT215" t="s" s="0">
        <v>277</v>
      </c>
      <c r="AU215" t="s" s="0">
        <v>81</v>
      </c>
      <c r="AV215" t="s" s="0">
        <v>81</v>
      </c>
      <c r="AW215" t="s" s="0">
        <v>278</v>
      </c>
      <c r="AX215" t="s" s="0">
        <v>279</v>
      </c>
      <c r="AY215" t="s" s="0">
        <v>5324</v>
      </c>
      <c r="AZ215" t="s" s="0">
        <v>136</v>
      </c>
      <c r="BA215" t="s" s="0">
        <v>137</v>
      </c>
      <c r="BB215" t="s" s="0">
        <v>117</v>
      </c>
      <c r="BC215" t="s" s="0">
        <v>81</v>
      </c>
      <c r="BD215" t="s" s="0">
        <v>81</v>
      </c>
      <c r="BE215" t="s" s="0">
        <v>81</v>
      </c>
      <c r="BF215" t="s" s="0">
        <v>81</v>
      </c>
      <c r="BG215" t="s" s="0">
        <v>81</v>
      </c>
      <c r="BH215" t="s" s="0">
        <v>81</v>
      </c>
      <c r="BI215" t="s" s="0">
        <v>5325</v>
      </c>
      <c r="BJ215" t="s" s="0">
        <v>5326</v>
      </c>
      <c r="BK215" t="s" s="426">
        <f>HYPERLINK("http://dx.doi.org/10.1038/s41598-025-32734-z","http://dx.doi.org/10.1038/s41598-025-32734-z")</f>
        <v>5327</v>
      </c>
      <c r="BL215" t="s" s="0">
        <v>81</v>
      </c>
      <c r="BM215" t="s" s="0">
        <v>81</v>
      </c>
      <c r="BN215" t="s" s="0">
        <v>226</v>
      </c>
      <c r="BO215" t="s" s="0">
        <v>285</v>
      </c>
      <c r="BP215" t="s" s="0">
        <v>286</v>
      </c>
      <c r="BQ215" t="s" s="0">
        <v>5328</v>
      </c>
      <c r="BR215" t="s" s="0">
        <v>5329</v>
      </c>
      <c r="BS215" t="s" s="0">
        <v>5330</v>
      </c>
      <c r="BT215" t="s" s="427">
        <f>HYPERLINK("https://www.webofscience.com/wos/woscc/full-record/WOS:001669102500002","View Record in Web of Science")</f>
        <v>114</v>
      </c>
      <c r="BU215" t="s" s="0">
        <v>145</v>
      </c>
      <c r="BV215" t="s" s="0">
        <v>81</v>
      </c>
      <c r="BW215" t="s" s="0">
        <v>81</v>
      </c>
      <c r="BX215" t="s" s="0">
        <v>116</v>
      </c>
    </row>
    <row r="216">
      <c r="A216" t="s" s="0">
        <v>77</v>
      </c>
      <c r="B216" t="s" s="0">
        <v>77</v>
      </c>
      <c r="C216" t="s" s="0">
        <v>77</v>
      </c>
      <c r="D216" t="s" s="0">
        <v>77</v>
      </c>
      <c r="E216" t="s" s="0">
        <v>5331</v>
      </c>
      <c r="F216" t="s" s="0">
        <v>5332</v>
      </c>
      <c r="G216" t="s" s="0">
        <v>5333</v>
      </c>
      <c r="H216" t="s" s="0">
        <v>81</v>
      </c>
      <c r="I216" t="s" s="0">
        <v>82</v>
      </c>
      <c r="J216" t="s" s="0">
        <v>5334</v>
      </c>
      <c r="K216" t="s" s="0">
        <v>5335</v>
      </c>
      <c r="L216" t="s" s="0">
        <v>5336</v>
      </c>
      <c r="M216" t="s" s="0">
        <v>5337</v>
      </c>
      <c r="N216" t="s" s="0">
        <v>5338</v>
      </c>
      <c r="O216" t="s" s="0">
        <v>5339</v>
      </c>
      <c r="P216" t="s" s="0">
        <v>5340</v>
      </c>
      <c r="Q216" t="s" s="0">
        <v>90</v>
      </c>
      <c r="R216" t="s" s="0">
        <v>81</v>
      </c>
      <c r="S216" t="s" s="0">
        <v>81</v>
      </c>
      <c r="T216" t="s" s="0">
        <v>81</v>
      </c>
      <c r="U216" t="s" s="0">
        <v>81</v>
      </c>
      <c r="V216" t="s" s="0">
        <v>5341</v>
      </c>
      <c r="W216" t="s" s="0">
        <v>3181</v>
      </c>
      <c r="X216" t="s" s="0">
        <v>81</v>
      </c>
      <c r="Y216" t="s" s="0">
        <v>81</v>
      </c>
      <c r="Z216" t="s" s="0">
        <v>93</v>
      </c>
      <c r="AA216" t="s" s="0">
        <v>94</v>
      </c>
      <c r="AB216" t="s" s="0">
        <v>81</v>
      </c>
      <c r="AC216" t="s" s="0">
        <v>81</v>
      </c>
      <c r="AD216" t="s" s="0">
        <v>81</v>
      </c>
      <c r="AE216" t="s" s="0">
        <v>81</v>
      </c>
      <c r="AF216" t="s" s="0">
        <v>81</v>
      </c>
      <c r="AG216" t="s" s="0">
        <v>5342</v>
      </c>
      <c r="AH216" t="s" s="0">
        <v>5343</v>
      </c>
      <c r="AI216" t="s" s="0">
        <v>81</v>
      </c>
      <c r="AJ216" t="s" s="0">
        <v>81</v>
      </c>
      <c r="AK216" t="s" s="0">
        <v>81</v>
      </c>
      <c r="AL216" t="s" s="0">
        <v>878</v>
      </c>
      <c r="AM216" t="s" s="0">
        <v>77</v>
      </c>
      <c r="AN216" t="s" s="0">
        <v>77</v>
      </c>
      <c r="AO216" t="s" s="0">
        <v>77</v>
      </c>
      <c r="AP216" t="s" s="0">
        <v>77</v>
      </c>
      <c r="AQ216" t="s" s="0">
        <v>1068</v>
      </c>
      <c r="AR216" t="s" s="0">
        <v>1069</v>
      </c>
      <c r="AS216" t="s" s="0">
        <v>1070</v>
      </c>
      <c r="AT216" t="s" s="0">
        <v>3187</v>
      </c>
      <c r="AU216" t="s" s="0">
        <v>3188</v>
      </c>
      <c r="AV216" t="s" s="0">
        <v>81</v>
      </c>
      <c r="AW216" t="s" s="0">
        <v>3189</v>
      </c>
      <c r="AX216" t="s" s="0">
        <v>3190</v>
      </c>
      <c r="AY216" t="s" s="0">
        <v>5344</v>
      </c>
      <c r="AZ216" t="s" s="0">
        <v>104</v>
      </c>
      <c r="BA216" t="s" s="0">
        <v>4068</v>
      </c>
      <c r="BB216" t="s" s="0">
        <v>81</v>
      </c>
      <c r="BC216" t="s" s="0">
        <v>81</v>
      </c>
      <c r="BD216" t="s" s="0">
        <v>5345</v>
      </c>
      <c r="BE216" t="s" s="0">
        <v>81</v>
      </c>
      <c r="BF216" t="s" s="0">
        <v>81</v>
      </c>
      <c r="BG216" t="s" s="0">
        <v>81</v>
      </c>
      <c r="BH216" t="s" s="0">
        <v>81</v>
      </c>
      <c r="BI216" t="s" s="0">
        <v>5346</v>
      </c>
      <c r="BJ216" t="s" s="0">
        <v>5347</v>
      </c>
      <c r="BK216" t="s" s="428">
        <f>HYPERLINK("http://dx.doi.org/10.1016/j.bspc.2026.110917","http://dx.doi.org/10.1016/j.bspc.2026.110917")</f>
        <v>5348</v>
      </c>
      <c r="BL216" t="s" s="0">
        <v>81</v>
      </c>
      <c r="BM216" t="s" s="0">
        <v>317</v>
      </c>
      <c r="BN216" t="s" s="0">
        <v>128</v>
      </c>
      <c r="BO216" t="s" s="0">
        <v>238</v>
      </c>
      <c r="BP216" t="s" s="0">
        <v>239</v>
      </c>
      <c r="BQ216" t="s" s="0">
        <v>5349</v>
      </c>
      <c r="BR216" t="s" s="0">
        <v>81</v>
      </c>
      <c r="BS216" t="s" s="0">
        <v>5350</v>
      </c>
      <c r="BT216" t="s" s="429">
        <f>HYPERLINK("https://www.webofscience.com/wos/woscc/full-record/WOS:001818156500001","View Record in Web of Science")</f>
        <v>114</v>
      </c>
      <c r="BU216" t="s" s="0">
        <v>81</v>
      </c>
      <c r="BV216" t="s" s="0">
        <v>81</v>
      </c>
      <c r="BW216" t="s" s="0">
        <v>81</v>
      </c>
      <c r="BX216" t="s" s="0">
        <v>116</v>
      </c>
    </row>
    <row r="217">
      <c r="A217" t="s" s="0">
        <v>77</v>
      </c>
      <c r="B217" t="s" s="0">
        <v>77</v>
      </c>
      <c r="C217" t="s" s="0">
        <v>130</v>
      </c>
      <c r="D217" t="s" s="0">
        <v>77</v>
      </c>
      <c r="E217" t="s" s="0">
        <v>5351</v>
      </c>
      <c r="F217" t="s" s="0">
        <v>5352</v>
      </c>
      <c r="G217" t="s" s="0">
        <v>5353</v>
      </c>
      <c r="H217" t="s" s="0">
        <v>81</v>
      </c>
      <c r="I217" t="s" s="0">
        <v>213</v>
      </c>
      <c r="J217" t="s" s="0">
        <v>5354</v>
      </c>
      <c r="K217" t="s" s="0">
        <v>5355</v>
      </c>
      <c r="L217" t="s" s="0">
        <v>81</v>
      </c>
      <c r="M217" t="s" s="0">
        <v>81</v>
      </c>
      <c r="N217" t="s" s="0">
        <v>81</v>
      </c>
      <c r="O217" t="s" s="0">
        <v>5356</v>
      </c>
      <c r="P217" t="s" s="0">
        <v>5357</v>
      </c>
      <c r="Q217" t="s" s="0">
        <v>90</v>
      </c>
      <c r="R217" t="s" s="0">
        <v>81</v>
      </c>
      <c r="S217" t="s" s="0">
        <v>81</v>
      </c>
      <c r="T217" t="s" s="0">
        <v>81</v>
      </c>
      <c r="U217" t="s" s="0">
        <v>81</v>
      </c>
      <c r="V217" t="s" s="0">
        <v>5358</v>
      </c>
      <c r="W217" t="s" s="0">
        <v>5359</v>
      </c>
      <c r="X217" t="s" s="0">
        <v>81</v>
      </c>
      <c r="Y217" t="s" s="0">
        <v>81</v>
      </c>
      <c r="Z217" t="s" s="0">
        <v>93</v>
      </c>
      <c r="AA217" t="s" s="0">
        <v>94</v>
      </c>
      <c r="AB217" t="s" s="0">
        <v>81</v>
      </c>
      <c r="AC217" t="s" s="0">
        <v>81</v>
      </c>
      <c r="AD217" t="s" s="0">
        <v>81</v>
      </c>
      <c r="AE217" t="s" s="0">
        <v>81</v>
      </c>
      <c r="AF217" t="s" s="0">
        <v>81</v>
      </c>
      <c r="AG217" t="s" s="0">
        <v>5360</v>
      </c>
      <c r="AH217" t="s" s="0">
        <v>5361</v>
      </c>
      <c r="AI217" t="s" s="0">
        <v>5362</v>
      </c>
      <c r="AJ217" t="s" s="0">
        <v>5363</v>
      </c>
      <c r="AK217" t="s" s="0">
        <v>81</v>
      </c>
      <c r="AL217" t="s" s="0">
        <v>625</v>
      </c>
      <c r="AM217" t="s" s="0">
        <v>131</v>
      </c>
      <c r="AN217" t="s" s="0">
        <v>131</v>
      </c>
      <c r="AO217" t="s" s="0">
        <v>130</v>
      </c>
      <c r="AP217" t="s" s="0">
        <v>225</v>
      </c>
      <c r="AQ217" t="s" s="0">
        <v>439</v>
      </c>
      <c r="AR217" t="s" s="0">
        <v>339</v>
      </c>
      <c r="AS217" t="s" s="0">
        <v>440</v>
      </c>
      <c r="AT217" t="s" s="0">
        <v>5364</v>
      </c>
      <c r="AU217" t="s" s="0">
        <v>5365</v>
      </c>
      <c r="AV217" t="s" s="0">
        <v>81</v>
      </c>
      <c r="AW217" t="s" s="0">
        <v>5366</v>
      </c>
      <c r="AX217" t="s" s="0">
        <v>5367</v>
      </c>
      <c r="AY217" t="s" s="0">
        <v>3082</v>
      </c>
      <c r="AZ217" t="s" s="0">
        <v>136</v>
      </c>
      <c r="BA217" t="s" s="0">
        <v>109</v>
      </c>
      <c r="BB217" t="s" s="0">
        <v>253</v>
      </c>
      <c r="BC217" t="s" s="0">
        <v>81</v>
      </c>
      <c r="BD217" t="s" s="0">
        <v>81</v>
      </c>
      <c r="BE217" t="s" s="0">
        <v>81</v>
      </c>
      <c r="BF217" t="s" s="0">
        <v>81</v>
      </c>
      <c r="BG217" t="s" s="0">
        <v>5368</v>
      </c>
      <c r="BH217" t="s" s="0">
        <v>5369</v>
      </c>
      <c r="BI217" t="s" s="0">
        <v>81</v>
      </c>
      <c r="BJ217" t="s" s="0">
        <v>5370</v>
      </c>
      <c r="BK217" t="s" s="430">
        <f>HYPERLINK("http://dx.doi.org/10.1007/s11633-024-1506-4","http://dx.doi.org/10.1007/s11633-024-1506-4")</f>
        <v>5371</v>
      </c>
      <c r="BL217" t="s" s="0">
        <v>81</v>
      </c>
      <c r="BM217" t="s" s="0">
        <v>377</v>
      </c>
      <c r="BN217" t="s" s="0">
        <v>563</v>
      </c>
      <c r="BO217" t="s" s="0">
        <v>5372</v>
      </c>
      <c r="BP217" t="s" s="0">
        <v>5373</v>
      </c>
      <c r="BQ217" t="s" s="0">
        <v>5374</v>
      </c>
      <c r="BR217" t="s" s="0">
        <v>81</v>
      </c>
      <c r="BS217" t="s" s="0">
        <v>5375</v>
      </c>
      <c r="BT217" t="s" s="431">
        <f>HYPERLINK("https://www.webofscience.com/wos/woscc/full-record/WOS:001448442000001","View Record in Web of Science")</f>
        <v>114</v>
      </c>
      <c r="BU217" t="s" s="0">
        <v>81</v>
      </c>
      <c r="BV217" t="s" s="0">
        <v>81</v>
      </c>
      <c r="BW217" t="s" s="0">
        <v>81</v>
      </c>
      <c r="BX217" t="s" s="0">
        <v>116</v>
      </c>
    </row>
    <row r="218">
      <c r="A218" t="s" s="0">
        <v>77</v>
      </c>
      <c r="B218" t="s" s="0">
        <v>77</v>
      </c>
      <c r="C218" t="s" s="0">
        <v>172</v>
      </c>
      <c r="D218" t="s" s="0">
        <v>77</v>
      </c>
      <c r="E218" t="s" s="0">
        <v>5376</v>
      </c>
      <c r="F218" t="s" s="0">
        <v>5377</v>
      </c>
      <c r="G218" t="s" s="0">
        <v>5378</v>
      </c>
      <c r="H218" t="s" s="0">
        <v>81</v>
      </c>
      <c r="I218" t="s" s="0">
        <v>82</v>
      </c>
      <c r="J218" t="s" s="0">
        <v>5379</v>
      </c>
      <c r="K218" t="s" s="0">
        <v>5380</v>
      </c>
      <c r="L218" t="s" s="0">
        <v>5381</v>
      </c>
      <c r="M218" t="s" s="0">
        <v>5382</v>
      </c>
      <c r="N218" t="s" s="0">
        <v>5383</v>
      </c>
      <c r="O218" t="s" s="0">
        <v>5384</v>
      </c>
      <c r="P218" t="s" s="0">
        <v>5385</v>
      </c>
      <c r="Q218" t="s" s="0">
        <v>90</v>
      </c>
      <c r="R218" t="s" s="0">
        <v>81</v>
      </c>
      <c r="S218" t="s" s="0">
        <v>81</v>
      </c>
      <c r="T218" t="s" s="0">
        <v>81</v>
      </c>
      <c r="U218" t="s" s="0">
        <v>81</v>
      </c>
      <c r="V218" t="s" s="0">
        <v>5386</v>
      </c>
      <c r="W218" t="s" s="0">
        <v>5387</v>
      </c>
      <c r="X218" t="s" s="0">
        <v>81</v>
      </c>
      <c r="Y218" t="s" s="0">
        <v>81</v>
      </c>
      <c r="Z218" t="s" s="0">
        <v>93</v>
      </c>
      <c r="AA218" t="s" s="0">
        <v>94</v>
      </c>
      <c r="AB218" t="s" s="0">
        <v>81</v>
      </c>
      <c r="AC218" t="s" s="0">
        <v>81</v>
      </c>
      <c r="AD218" t="s" s="0">
        <v>81</v>
      </c>
      <c r="AE218" t="s" s="0">
        <v>81</v>
      </c>
      <c r="AF218" t="s" s="0">
        <v>81</v>
      </c>
      <c r="AG218" t="s" s="0">
        <v>5388</v>
      </c>
      <c r="AH218" t="s" s="0">
        <v>5389</v>
      </c>
      <c r="AI218" t="s" s="0">
        <v>5390</v>
      </c>
      <c r="AJ218" t="s" s="0">
        <v>5391</v>
      </c>
      <c r="AK218" t="s" s="0">
        <v>81</v>
      </c>
      <c r="AL218" t="s" s="0">
        <v>1538</v>
      </c>
      <c r="AM218" t="s" s="0">
        <v>474</v>
      </c>
      <c r="AN218" t="s" s="0">
        <v>1515</v>
      </c>
      <c r="AO218" t="s" s="0">
        <v>227</v>
      </c>
      <c r="AP218" t="s" s="0">
        <v>4548</v>
      </c>
      <c r="AQ218" t="s" s="0">
        <v>708</v>
      </c>
      <c r="AR218" t="s" s="0">
        <v>709</v>
      </c>
      <c r="AS218" t="s" s="0">
        <v>710</v>
      </c>
      <c r="AT218" t="s" s="0">
        <v>81</v>
      </c>
      <c r="AU218" t="s" s="0">
        <v>5392</v>
      </c>
      <c r="AV218" t="s" s="0">
        <v>81</v>
      </c>
      <c r="AW218" t="s" s="0">
        <v>5393</v>
      </c>
      <c r="AX218" t="s" s="0">
        <v>5394</v>
      </c>
      <c r="AY218" t="s" s="0">
        <v>2281</v>
      </c>
      <c r="AZ218" t="s" s="0">
        <v>482</v>
      </c>
      <c r="BA218" t="s" s="0">
        <v>160</v>
      </c>
      <c r="BB218" t="s" s="0">
        <v>129</v>
      </c>
      <c r="BC218" t="s" s="0">
        <v>81</v>
      </c>
      <c r="BD218" t="s" s="0">
        <v>81</v>
      </c>
      <c r="BE218" t="s" s="0">
        <v>81</v>
      </c>
      <c r="BF218" t="s" s="0">
        <v>81</v>
      </c>
      <c r="BG218" t="s" s="0">
        <v>81</v>
      </c>
      <c r="BH218" t="s" s="0">
        <v>81</v>
      </c>
      <c r="BI218" t="s" s="0">
        <v>5395</v>
      </c>
      <c r="BJ218" t="s" s="0">
        <v>5396</v>
      </c>
      <c r="BK218" t="s" s="432">
        <f>HYPERLINK("http://dx.doi.org/10.1002/aisy.202200100","http://dx.doi.org/10.1002/aisy.202200100")</f>
        <v>5397</v>
      </c>
      <c r="BL218" t="s" s="0">
        <v>81</v>
      </c>
      <c r="BM218" t="s" s="0">
        <v>4563</v>
      </c>
      <c r="BN218" t="s" s="0">
        <v>204</v>
      </c>
      <c r="BO218" t="s" s="0">
        <v>5398</v>
      </c>
      <c r="BP218" t="s" s="0">
        <v>5399</v>
      </c>
      <c r="BQ218" t="s" s="0">
        <v>5400</v>
      </c>
      <c r="BR218" t="s" s="0">
        <v>81</v>
      </c>
      <c r="BS218" t="s" s="0">
        <v>5401</v>
      </c>
      <c r="BT218" t="s" s="433">
        <f>HYPERLINK("https://www.webofscience.com/wos/woscc/full-record/WOS:000838271700001","View Record in Web of Science")</f>
        <v>114</v>
      </c>
      <c r="BU218" t="s" s="0">
        <v>145</v>
      </c>
      <c r="BV218" t="s" s="0">
        <v>81</v>
      </c>
      <c r="BW218" t="s" s="0">
        <v>81</v>
      </c>
      <c r="BX218" t="s" s="0">
        <v>116</v>
      </c>
    </row>
    <row r="219">
      <c r="A219" t="s" s="0">
        <v>227</v>
      </c>
      <c r="B219" t="s" s="0">
        <v>77</v>
      </c>
      <c r="C219" t="s" s="0">
        <v>160</v>
      </c>
      <c r="D219" t="s" s="0">
        <v>77</v>
      </c>
      <c r="E219" t="s" s="0">
        <v>5402</v>
      </c>
      <c r="F219" t="s" s="0">
        <v>5403</v>
      </c>
      <c r="G219" t="s" s="0">
        <v>5404</v>
      </c>
      <c r="H219" t="s" s="0">
        <v>81</v>
      </c>
      <c r="I219" t="s" s="0">
        <v>82</v>
      </c>
      <c r="J219" t="s" s="0">
        <v>5405</v>
      </c>
      <c r="K219" t="s" s="0">
        <v>5406</v>
      </c>
      <c r="L219" t="s" s="0">
        <v>5407</v>
      </c>
      <c r="M219" t="s" s="0">
        <v>5408</v>
      </c>
      <c r="N219" t="s" s="0">
        <v>5409</v>
      </c>
      <c r="O219" t="s" s="0">
        <v>5410</v>
      </c>
      <c r="P219" t="s" s="0">
        <v>5411</v>
      </c>
      <c r="Q219" t="s" s="0">
        <v>90</v>
      </c>
      <c r="R219" t="s" s="0">
        <v>81</v>
      </c>
      <c r="S219" t="s" s="0">
        <v>81</v>
      </c>
      <c r="T219" t="s" s="0">
        <v>81</v>
      </c>
      <c r="U219" t="s" s="0">
        <v>81</v>
      </c>
      <c r="V219" t="s" s="0">
        <v>5412</v>
      </c>
      <c r="W219" t="s" s="0">
        <v>5413</v>
      </c>
      <c r="X219" t="s" s="0">
        <v>81</v>
      </c>
      <c r="Y219" t="s" s="0">
        <v>81</v>
      </c>
      <c r="Z219" t="s" s="0">
        <v>93</v>
      </c>
      <c r="AA219" t="s" s="0">
        <v>94</v>
      </c>
      <c r="AB219" t="s" s="0">
        <v>81</v>
      </c>
      <c r="AC219" t="s" s="0">
        <v>81</v>
      </c>
      <c r="AD219" t="s" s="0">
        <v>81</v>
      </c>
      <c r="AE219" t="s" s="0">
        <v>81</v>
      </c>
      <c r="AF219" t="s" s="0">
        <v>81</v>
      </c>
      <c r="AG219" t="s" s="0">
        <v>81</v>
      </c>
      <c r="AH219" t="s" s="0">
        <v>5414</v>
      </c>
      <c r="AI219" t="s" s="0">
        <v>5415</v>
      </c>
      <c r="AJ219" t="s" s="0">
        <v>5416</v>
      </c>
      <c r="AK219" t="s" s="0">
        <v>81</v>
      </c>
      <c r="AL219" t="s" s="0">
        <v>536</v>
      </c>
      <c r="AM219" t="s" s="0">
        <v>204</v>
      </c>
      <c r="AN219" t="s" s="0">
        <v>226</v>
      </c>
      <c r="AO219" t="s" s="0">
        <v>77</v>
      </c>
      <c r="AP219" t="s" s="0">
        <v>318</v>
      </c>
      <c r="AQ219" t="s" s="0">
        <v>4552</v>
      </c>
      <c r="AR219" t="s" s="0">
        <v>4553</v>
      </c>
      <c r="AS219" t="s" s="0">
        <v>4554</v>
      </c>
      <c r="AT219" t="s" s="0">
        <v>81</v>
      </c>
      <c r="AU219" t="s" s="0">
        <v>5417</v>
      </c>
      <c r="AV219" t="s" s="0">
        <v>81</v>
      </c>
      <c r="AW219" t="s" s="0">
        <v>5413</v>
      </c>
      <c r="AX219" t="s" s="0">
        <v>5418</v>
      </c>
      <c r="AY219" t="s" s="0">
        <v>5419</v>
      </c>
      <c r="AZ219" t="s" s="0">
        <v>573</v>
      </c>
      <c r="BA219" t="s" s="0">
        <v>237</v>
      </c>
      <c r="BB219" t="s" s="0">
        <v>129</v>
      </c>
      <c r="BC219" t="s" s="0">
        <v>81</v>
      </c>
      <c r="BD219" t="s" s="0">
        <v>81</v>
      </c>
      <c r="BE219" t="s" s="0">
        <v>81</v>
      </c>
      <c r="BF219" t="s" s="0">
        <v>81</v>
      </c>
      <c r="BG219" t="s" s="0">
        <v>81</v>
      </c>
      <c r="BH219" t="s" s="0">
        <v>81</v>
      </c>
      <c r="BI219" t="s" s="0">
        <v>5420</v>
      </c>
      <c r="BJ219" t="s" s="0">
        <v>5421</v>
      </c>
      <c r="BK219" t="s" s="434">
        <f>HYPERLINK("http://dx.doi.org/10.1016/j.isci.2024.110945","http://dx.doi.org/10.1016/j.isci.2024.110945")</f>
        <v>5422</v>
      </c>
      <c r="BL219" t="s" s="0">
        <v>81</v>
      </c>
      <c r="BM219" t="s" s="0">
        <v>715</v>
      </c>
      <c r="BN219" t="s" s="0">
        <v>563</v>
      </c>
      <c r="BO219" t="s" s="0">
        <v>285</v>
      </c>
      <c r="BP219" t="s" s="0">
        <v>286</v>
      </c>
      <c r="BQ219" t="s" s="0">
        <v>5423</v>
      </c>
      <c r="BR219" t="s" s="0">
        <v>5424</v>
      </c>
      <c r="BS219" t="s" s="0">
        <v>5425</v>
      </c>
      <c r="BT219" t="s" s="435">
        <f>HYPERLINK("https://www.webofscience.com/wos/woscc/full-record/WOS:001322443900001","View Record in Web of Science")</f>
        <v>114</v>
      </c>
      <c r="BU219" t="s" s="0">
        <v>145</v>
      </c>
      <c r="BV219" t="s" s="0">
        <v>81</v>
      </c>
      <c r="BW219" t="s" s="0">
        <v>81</v>
      </c>
      <c r="BX219" t="s" s="0">
        <v>116</v>
      </c>
    </row>
    <row r="220">
      <c r="A220" t="s" s="0">
        <v>77</v>
      </c>
      <c r="B220" t="s" s="0">
        <v>77</v>
      </c>
      <c r="C220" t="s" s="0">
        <v>77</v>
      </c>
      <c r="D220" t="s" s="0">
        <v>77</v>
      </c>
      <c r="E220" t="s" s="0">
        <v>5426</v>
      </c>
      <c r="F220" t="s" s="0">
        <v>5427</v>
      </c>
      <c r="G220" t="s" s="0">
        <v>5428</v>
      </c>
      <c r="H220" t="s" s="0">
        <v>81</v>
      </c>
      <c r="I220" t="s" s="0">
        <v>82</v>
      </c>
      <c r="J220" t="s" s="0">
        <v>5429</v>
      </c>
      <c r="K220" t="s" s="0">
        <v>5430</v>
      </c>
      <c r="L220" t="s" s="0">
        <v>5431</v>
      </c>
      <c r="M220" t="s" s="0">
        <v>5432</v>
      </c>
      <c r="N220" t="s" s="0">
        <v>5433</v>
      </c>
      <c r="O220" t="s" s="0">
        <v>5434</v>
      </c>
      <c r="P220" t="s" s="0">
        <v>5435</v>
      </c>
      <c r="Q220" t="s" s="0">
        <v>90</v>
      </c>
      <c r="R220" t="s" s="0">
        <v>81</v>
      </c>
      <c r="S220" t="s" s="0">
        <v>81</v>
      </c>
      <c r="T220" t="s" s="0">
        <v>81</v>
      </c>
      <c r="U220" t="s" s="0">
        <v>81</v>
      </c>
      <c r="V220" t="s" s="0">
        <v>5436</v>
      </c>
      <c r="W220" t="s" s="0">
        <v>3333</v>
      </c>
      <c r="X220" t="s" s="0">
        <v>81</v>
      </c>
      <c r="Y220" t="s" s="0">
        <v>81</v>
      </c>
      <c r="Z220" t="s" s="0">
        <v>93</v>
      </c>
      <c r="AA220" t="s" s="0">
        <v>94</v>
      </c>
      <c r="AB220" t="s" s="0">
        <v>81</v>
      </c>
      <c r="AC220" t="s" s="0">
        <v>81</v>
      </c>
      <c r="AD220" t="s" s="0">
        <v>81</v>
      </c>
      <c r="AE220" t="s" s="0">
        <v>81</v>
      </c>
      <c r="AF220" t="s" s="0">
        <v>81</v>
      </c>
      <c r="AG220" t="s" s="0">
        <v>5437</v>
      </c>
      <c r="AH220" t="s" s="0">
        <v>5438</v>
      </c>
      <c r="AI220" t="s" s="0">
        <v>81</v>
      </c>
      <c r="AJ220" t="s" s="0">
        <v>81</v>
      </c>
      <c r="AK220" t="s" s="0">
        <v>81</v>
      </c>
      <c r="AL220" t="s" s="0">
        <v>304</v>
      </c>
      <c r="AM220" t="s" s="0">
        <v>253</v>
      </c>
      <c r="AN220" t="s" s="0">
        <v>253</v>
      </c>
      <c r="AO220" t="s" s="0">
        <v>227</v>
      </c>
      <c r="AP220" t="s" s="0">
        <v>129</v>
      </c>
      <c r="AQ220" t="s" s="0">
        <v>1098</v>
      </c>
      <c r="AR220" t="s" s="0">
        <v>1099</v>
      </c>
      <c r="AS220" t="s" s="0">
        <v>1100</v>
      </c>
      <c r="AT220" t="s" s="0">
        <v>3335</v>
      </c>
      <c r="AU220" t="s" s="0">
        <v>3336</v>
      </c>
      <c r="AV220" t="s" s="0">
        <v>81</v>
      </c>
      <c r="AW220" t="s" s="0">
        <v>3337</v>
      </c>
      <c r="AX220" t="s" s="0">
        <v>3338</v>
      </c>
      <c r="AY220" t="s" s="0">
        <v>636</v>
      </c>
      <c r="AZ220" t="s" s="0">
        <v>136</v>
      </c>
      <c r="BA220" t="s" s="0">
        <v>1421</v>
      </c>
      <c r="BB220" t="s" s="0">
        <v>253</v>
      </c>
      <c r="BC220" t="s" s="0">
        <v>81</v>
      </c>
      <c r="BD220" t="s" s="0">
        <v>81</v>
      </c>
      <c r="BE220" t="s" s="0">
        <v>81</v>
      </c>
      <c r="BF220" t="s" s="0">
        <v>81</v>
      </c>
      <c r="BG220" t="s" s="0">
        <v>5439</v>
      </c>
      <c r="BH220" t="s" s="0">
        <v>5440</v>
      </c>
      <c r="BI220" t="s" s="0">
        <v>81</v>
      </c>
      <c r="BJ220" t="s" s="0">
        <v>5441</v>
      </c>
      <c r="BK220" t="s" s="436">
        <f>HYPERLINK("http://dx.doi.org/10.1016/j.acra.2024.12.018","http://dx.doi.org/10.1016/j.acra.2024.12.018")</f>
        <v>5442</v>
      </c>
      <c r="BL220" t="s" s="0">
        <v>81</v>
      </c>
      <c r="BM220" t="s" s="0">
        <v>382</v>
      </c>
      <c r="BN220" t="s" s="0">
        <v>167</v>
      </c>
      <c r="BO220" t="s" s="0">
        <v>1881</v>
      </c>
      <c r="BP220" t="s" s="0">
        <v>1881</v>
      </c>
      <c r="BQ220" t="s" s="0">
        <v>5443</v>
      </c>
      <c r="BR220" t="s" s="0">
        <v>5444</v>
      </c>
      <c r="BS220" t="s" s="0">
        <v>5445</v>
      </c>
      <c r="BT220" t="s" s="437">
        <f>HYPERLINK("https://www.webofscience.com/wos/woscc/full-record/WOS:001477411000001","View Record in Web of Science")</f>
        <v>114</v>
      </c>
      <c r="BU220" t="s" s="0">
        <v>81</v>
      </c>
      <c r="BV220" t="s" s="0">
        <v>81</v>
      </c>
      <c r="BW220" t="s" s="0">
        <v>81</v>
      </c>
      <c r="BX220" t="s" s="0">
        <v>116</v>
      </c>
    </row>
    <row r="221">
      <c r="A221" t="s" s="0">
        <v>117</v>
      </c>
      <c r="B221" t="s" s="0">
        <v>77</v>
      </c>
      <c r="C221" t="s" s="0">
        <v>131</v>
      </c>
      <c r="D221" t="s" s="0">
        <v>77</v>
      </c>
      <c r="E221" t="s" s="0">
        <v>5446</v>
      </c>
      <c r="F221" t="s" s="0">
        <v>5447</v>
      </c>
      <c r="G221" t="s" s="0">
        <v>5448</v>
      </c>
      <c r="H221" t="s" s="0">
        <v>81</v>
      </c>
      <c r="I221" t="s" s="0">
        <v>82</v>
      </c>
      <c r="J221" t="s" s="0">
        <v>5449</v>
      </c>
      <c r="K221" t="s" s="0">
        <v>5450</v>
      </c>
      <c r="L221" t="s" s="0">
        <v>5451</v>
      </c>
      <c r="M221" t="s" s="0">
        <v>5452</v>
      </c>
      <c r="N221" t="s" s="0">
        <v>5453</v>
      </c>
      <c r="O221" t="s" s="0">
        <v>5454</v>
      </c>
      <c r="P221" t="s" s="0">
        <v>5455</v>
      </c>
      <c r="Q221" t="s" s="0">
        <v>90</v>
      </c>
      <c r="R221" t="s" s="0">
        <v>81</v>
      </c>
      <c r="S221" t="s" s="0">
        <v>81</v>
      </c>
      <c r="T221" t="s" s="0">
        <v>81</v>
      </c>
      <c r="U221" t="s" s="0">
        <v>81</v>
      </c>
      <c r="V221" t="s" s="0">
        <v>5456</v>
      </c>
      <c r="W221" t="s" s="0">
        <v>5457</v>
      </c>
      <c r="X221" t="s" s="0">
        <v>81</v>
      </c>
      <c r="Y221" t="s" s="0">
        <v>81</v>
      </c>
      <c r="Z221" t="s" s="0">
        <v>93</v>
      </c>
      <c r="AA221" t="s" s="0">
        <v>94</v>
      </c>
      <c r="AB221" t="s" s="0">
        <v>81</v>
      </c>
      <c r="AC221" t="s" s="0">
        <v>81</v>
      </c>
      <c r="AD221" t="s" s="0">
        <v>81</v>
      </c>
      <c r="AE221" t="s" s="0">
        <v>81</v>
      </c>
      <c r="AF221" t="s" s="0">
        <v>81</v>
      </c>
      <c r="AG221" t="s" s="0">
        <v>5458</v>
      </c>
      <c r="AH221" t="s" s="0">
        <v>81</v>
      </c>
      <c r="AI221" t="s" s="0">
        <v>5459</v>
      </c>
      <c r="AJ221" t="s" s="0">
        <v>5460</v>
      </c>
      <c r="AK221" t="s" s="0">
        <v>81</v>
      </c>
      <c r="AL221" t="s" s="0">
        <v>304</v>
      </c>
      <c r="AM221" t="s" s="0">
        <v>475</v>
      </c>
      <c r="AN221" t="s" s="0">
        <v>337</v>
      </c>
      <c r="AO221" t="s" s="0">
        <v>117</v>
      </c>
      <c r="AP221" t="s" s="0">
        <v>105</v>
      </c>
      <c r="AQ221" t="s" s="0">
        <v>1098</v>
      </c>
      <c r="AR221" t="s" s="0">
        <v>1099</v>
      </c>
      <c r="AS221" t="s" s="0">
        <v>2052</v>
      </c>
      <c r="AT221" t="s" s="0">
        <v>5461</v>
      </c>
      <c r="AU221" t="s" s="0">
        <v>5462</v>
      </c>
      <c r="AV221" t="s" s="0">
        <v>81</v>
      </c>
      <c r="AW221" t="s" s="0">
        <v>5463</v>
      </c>
      <c r="AX221" t="s" s="0">
        <v>5464</v>
      </c>
      <c r="AY221" t="s" s="0">
        <v>851</v>
      </c>
      <c r="AZ221" t="s" s="0">
        <v>573</v>
      </c>
      <c r="BA221" t="s" s="0">
        <v>5465</v>
      </c>
      <c r="BB221" t="s" s="0">
        <v>81</v>
      </c>
      <c r="BC221" t="s" s="0">
        <v>81</v>
      </c>
      <c r="BD221" t="s" s="0">
        <v>81</v>
      </c>
      <c r="BE221" t="s" s="0">
        <v>81</v>
      </c>
      <c r="BF221" t="s" s="0">
        <v>81</v>
      </c>
      <c r="BG221" t="s" s="0">
        <v>81</v>
      </c>
      <c r="BH221" t="s" s="0">
        <v>81</v>
      </c>
      <c r="BI221" t="s" s="0">
        <v>5466</v>
      </c>
      <c r="BJ221" t="s" s="0">
        <v>5467</v>
      </c>
      <c r="BK221" t="s" s="438">
        <f>HYPERLINK("http://dx.doi.org/10.1016/j.ins.2023.119854","http://dx.doi.org/10.1016/j.ins.2023.119854")</f>
        <v>5468</v>
      </c>
      <c r="BL221" t="s" s="0">
        <v>81</v>
      </c>
      <c r="BM221" t="s" s="0">
        <v>856</v>
      </c>
      <c r="BN221" t="s" s="0">
        <v>129</v>
      </c>
      <c r="BO221" t="s" s="0">
        <v>2605</v>
      </c>
      <c r="BP221" t="s" s="0">
        <v>420</v>
      </c>
      <c r="BQ221" t="s" s="0">
        <v>5469</v>
      </c>
      <c r="BR221" t="s" s="0">
        <v>81</v>
      </c>
      <c r="BS221" t="s" s="0">
        <v>5470</v>
      </c>
      <c r="BT221" t="s" s="439">
        <f>HYPERLINK("https://www.webofscience.com/wos/woscc/full-record/WOS:001108716500001","View Record in Web of Science")</f>
        <v>114</v>
      </c>
      <c r="BU221" t="s" s="0">
        <v>81</v>
      </c>
      <c r="BV221" t="s" s="0">
        <v>81</v>
      </c>
      <c r="BW221" t="s" s="0">
        <v>81</v>
      </c>
      <c r="BX221" t="s" s="0">
        <v>116</v>
      </c>
    </row>
    <row r="222">
      <c r="A222" t="s" s="0">
        <v>77</v>
      </c>
      <c r="B222" t="s" s="0">
        <v>77</v>
      </c>
      <c r="C222" t="s" s="0">
        <v>77</v>
      </c>
      <c r="D222" t="s" s="0">
        <v>77</v>
      </c>
      <c r="E222" t="s" s="0">
        <v>5471</v>
      </c>
      <c r="F222" t="s" s="0">
        <v>5472</v>
      </c>
      <c r="G222" t="s" s="0">
        <v>5473</v>
      </c>
      <c r="H222" t="s" s="0">
        <v>81</v>
      </c>
      <c r="I222" t="s" s="0">
        <v>213</v>
      </c>
      <c r="J222" t="s" s="0">
        <v>5474</v>
      </c>
      <c r="K222" t="s" s="0">
        <v>5475</v>
      </c>
      <c r="L222" t="s" s="0">
        <v>5476</v>
      </c>
      <c r="M222" t="s" s="0">
        <v>5477</v>
      </c>
      <c r="N222" t="s" s="0">
        <v>5478</v>
      </c>
      <c r="O222" t="s" s="0">
        <v>5479</v>
      </c>
      <c r="P222" t="s" s="0">
        <v>5480</v>
      </c>
      <c r="Q222" t="s" s="0">
        <v>90</v>
      </c>
      <c r="R222" t="s" s="0">
        <v>81</v>
      </c>
      <c r="S222" t="s" s="0">
        <v>81</v>
      </c>
      <c r="T222" t="s" s="0">
        <v>81</v>
      </c>
      <c r="U222" t="s" s="0">
        <v>81</v>
      </c>
      <c r="V222" t="s" s="0">
        <v>5481</v>
      </c>
      <c r="W222" t="s" s="0">
        <v>5482</v>
      </c>
      <c r="X222" t="s" s="0">
        <v>81</v>
      </c>
      <c r="Y222" t="s" s="0">
        <v>81</v>
      </c>
      <c r="Z222" t="s" s="0">
        <v>93</v>
      </c>
      <c r="AA222" t="s" s="0">
        <v>94</v>
      </c>
      <c r="AB222" t="s" s="0">
        <v>81</v>
      </c>
      <c r="AC222" t="s" s="0">
        <v>81</v>
      </c>
      <c r="AD222" t="s" s="0">
        <v>81</v>
      </c>
      <c r="AE222" t="s" s="0">
        <v>81</v>
      </c>
      <c r="AF222" t="s" s="0">
        <v>81</v>
      </c>
      <c r="AG222" t="s" s="0">
        <v>5483</v>
      </c>
      <c r="AH222" t="s" s="0">
        <v>81</v>
      </c>
      <c r="AI222" t="s" s="0">
        <v>5484</v>
      </c>
      <c r="AJ222" t="s" s="0">
        <v>81</v>
      </c>
      <c r="AK222" t="s" s="0">
        <v>81</v>
      </c>
      <c r="AL222" t="s" s="0">
        <v>127</v>
      </c>
      <c r="AM222" t="s" s="0">
        <v>77</v>
      </c>
      <c r="AN222" t="s" s="0">
        <v>77</v>
      </c>
      <c r="AO222" t="s" s="0">
        <v>77</v>
      </c>
      <c r="AP222" t="s" s="0">
        <v>77</v>
      </c>
      <c r="AQ222" t="s" s="0">
        <v>476</v>
      </c>
      <c r="AR222" t="s" s="0">
        <v>477</v>
      </c>
      <c r="AS222" t="s" s="0">
        <v>478</v>
      </c>
      <c r="AT222" t="s" s="0">
        <v>81</v>
      </c>
      <c r="AU222" t="s" s="0">
        <v>5485</v>
      </c>
      <c r="AV222" t="s" s="0">
        <v>81</v>
      </c>
      <c r="AW222" t="s" s="0">
        <v>5482</v>
      </c>
      <c r="AX222" t="s" s="0">
        <v>5486</v>
      </c>
      <c r="AY222" t="s" s="0">
        <v>5487</v>
      </c>
      <c r="AZ222" t="s" s="0">
        <v>104</v>
      </c>
      <c r="BA222" t="s" s="0">
        <v>228</v>
      </c>
      <c r="BB222" t="s" s="0">
        <v>253</v>
      </c>
      <c r="BC222" t="s" s="0">
        <v>81</v>
      </c>
      <c r="BD222" t="s" s="0">
        <v>81</v>
      </c>
      <c r="BE222" t="s" s="0">
        <v>81</v>
      </c>
      <c r="BF222" t="s" s="0">
        <v>81</v>
      </c>
      <c r="BG222" t="s" s="0">
        <v>81</v>
      </c>
      <c r="BH222" t="s" s="0">
        <v>81</v>
      </c>
      <c r="BI222" t="s" s="0">
        <v>3369</v>
      </c>
      <c r="BJ222" t="s" s="0">
        <v>5488</v>
      </c>
      <c r="BK222" t="s" s="440">
        <f>HYPERLINK("http://dx.doi.org/10.3390/technologies14050277","http://dx.doi.org/10.3390/technologies14050277")</f>
        <v>5489</v>
      </c>
      <c r="BL222" t="s" s="0">
        <v>81</v>
      </c>
      <c r="BM222" t="s" s="0">
        <v>203</v>
      </c>
      <c r="BN222" t="s" s="0">
        <v>258</v>
      </c>
      <c r="BO222" t="s" s="0">
        <v>3842</v>
      </c>
      <c r="BP222" t="s" s="0">
        <v>239</v>
      </c>
      <c r="BQ222" t="s" s="0">
        <v>5490</v>
      </c>
      <c r="BR222" t="s" s="0">
        <v>81</v>
      </c>
      <c r="BS222" t="s" s="0">
        <v>5491</v>
      </c>
      <c r="BT222" t="s" s="441">
        <f>HYPERLINK("https://www.webofscience.com/wos/woscc/full-record/WOS:001774323600001","View Record in Web of Science")</f>
        <v>114</v>
      </c>
      <c r="BU222" t="s" s="0">
        <v>145</v>
      </c>
      <c r="BV222" t="s" s="0">
        <v>81</v>
      </c>
      <c r="BW222" t="s" s="0">
        <v>81</v>
      </c>
      <c r="BX222" t="s" s="0">
        <v>116</v>
      </c>
    </row>
    <row r="223">
      <c r="A223" t="s" s="0">
        <v>77</v>
      </c>
      <c r="B223" t="s" s="0">
        <v>77</v>
      </c>
      <c r="C223" t="s" s="0">
        <v>225</v>
      </c>
      <c r="D223" t="s" s="0">
        <v>77</v>
      </c>
      <c r="E223" t="s" s="0">
        <v>5492</v>
      </c>
      <c r="F223" t="s" s="0">
        <v>5493</v>
      </c>
      <c r="G223" t="s" s="0">
        <v>5494</v>
      </c>
      <c r="H223" t="s" s="0">
        <v>81</v>
      </c>
      <c r="I223" t="s" s="0">
        <v>82</v>
      </c>
      <c r="J223" t="s" s="0">
        <v>5495</v>
      </c>
      <c r="K223" t="s" s="0">
        <v>5496</v>
      </c>
      <c r="L223" t="s" s="0">
        <v>81</v>
      </c>
      <c r="M223" t="s" s="0">
        <v>81</v>
      </c>
      <c r="N223" t="s" s="0">
        <v>81</v>
      </c>
      <c r="O223" t="s" s="0">
        <v>5497</v>
      </c>
      <c r="P223" t="s" s="0">
        <v>5498</v>
      </c>
      <c r="Q223" t="s" s="0">
        <v>90</v>
      </c>
      <c r="R223" t="s" s="0">
        <v>81</v>
      </c>
      <c r="S223" t="s" s="0">
        <v>81</v>
      </c>
      <c r="T223" t="s" s="0">
        <v>81</v>
      </c>
      <c r="U223" t="s" s="0">
        <v>81</v>
      </c>
      <c r="V223" t="s" s="0">
        <v>5499</v>
      </c>
      <c r="W223" t="s" s="0">
        <v>5500</v>
      </c>
      <c r="X223" t="s" s="0">
        <v>81</v>
      </c>
      <c r="Y223" t="s" s="0">
        <v>81</v>
      </c>
      <c r="Z223" t="s" s="0">
        <v>93</v>
      </c>
      <c r="AA223" t="s" s="0">
        <v>94</v>
      </c>
      <c r="AB223" t="s" s="0">
        <v>81</v>
      </c>
      <c r="AC223" t="s" s="0">
        <v>81</v>
      </c>
      <c r="AD223" t="s" s="0">
        <v>81</v>
      </c>
      <c r="AE223" t="s" s="0">
        <v>81</v>
      </c>
      <c r="AF223" t="s" s="0">
        <v>81</v>
      </c>
      <c r="AG223" t="s" s="0">
        <v>5501</v>
      </c>
      <c r="AH223" t="s" s="0">
        <v>2294</v>
      </c>
      <c r="AI223" t="s" s="0">
        <v>5502</v>
      </c>
      <c r="AJ223" t="s" s="0">
        <v>5503</v>
      </c>
      <c r="AK223" t="s" s="0">
        <v>81</v>
      </c>
      <c r="AL223" t="s" s="0">
        <v>318</v>
      </c>
      <c r="AM223" t="s" s="0">
        <v>1067</v>
      </c>
      <c r="AN223" t="s" s="0">
        <v>451</v>
      </c>
      <c r="AO223" t="s" s="0">
        <v>77</v>
      </c>
      <c r="AP223" t="s" s="0">
        <v>369</v>
      </c>
      <c r="AQ223" t="s" s="0">
        <v>439</v>
      </c>
      <c r="AR223" t="s" s="0">
        <v>339</v>
      </c>
      <c r="AS223" t="s" s="0">
        <v>440</v>
      </c>
      <c r="AT223" t="s" s="0">
        <v>81</v>
      </c>
      <c r="AU223" t="s" s="0">
        <v>5504</v>
      </c>
      <c r="AV223" t="s" s="0">
        <v>81</v>
      </c>
      <c r="AW223" t="s" s="0">
        <v>5505</v>
      </c>
      <c r="AX223" t="s" s="0">
        <v>5506</v>
      </c>
      <c r="AY223" t="s" s="0">
        <v>5507</v>
      </c>
      <c r="AZ223" t="s" s="0">
        <v>1519</v>
      </c>
      <c r="BA223" t="s" s="0">
        <v>129</v>
      </c>
      <c r="BB223" t="s" s="0">
        <v>117</v>
      </c>
      <c r="BC223" t="s" s="0">
        <v>81</v>
      </c>
      <c r="BD223" t="s" s="0">
        <v>81</v>
      </c>
      <c r="BE223" t="s" s="0">
        <v>81</v>
      </c>
      <c r="BF223" t="s" s="0">
        <v>81</v>
      </c>
      <c r="BG223" t="s" s="0">
        <v>81</v>
      </c>
      <c r="BH223" t="s" s="0">
        <v>81</v>
      </c>
      <c r="BI223" t="s" s="0">
        <v>507</v>
      </c>
      <c r="BJ223" t="s" s="0">
        <v>5508</v>
      </c>
      <c r="BK223" t="s" s="442">
        <f>HYPERLINK("http://dx.doi.org/10.1186/s40537-023-00749-w","http://dx.doi.org/10.1186/s40537-023-00749-w")</f>
        <v>5509</v>
      </c>
      <c r="BL223" t="s" s="0">
        <v>81</v>
      </c>
      <c r="BM223" t="s" s="0">
        <v>81</v>
      </c>
      <c r="BN223" t="s" s="0">
        <v>204</v>
      </c>
      <c r="BO223" t="s" s="0">
        <v>1854</v>
      </c>
      <c r="BP223" t="s" s="0">
        <v>420</v>
      </c>
      <c r="BQ223" t="s" s="0">
        <v>5510</v>
      </c>
      <c r="BR223" t="s" s="0">
        <v>81</v>
      </c>
      <c r="BS223" t="s" s="0">
        <v>5511</v>
      </c>
      <c r="BT223" t="s" s="443">
        <f>HYPERLINK("https://www.webofscience.com/wos/woscc/full-record/WOS:000985788300001","View Record in Web of Science")</f>
        <v>114</v>
      </c>
      <c r="BU223" t="s" s="0">
        <v>145</v>
      </c>
      <c r="BV223" t="s" s="0">
        <v>81</v>
      </c>
      <c r="BW223" t="s" s="0">
        <v>81</v>
      </c>
      <c r="BX223" t="s" s="0">
        <v>116</v>
      </c>
    </row>
    <row r="224">
      <c r="A224" t="s" s="0">
        <v>117</v>
      </c>
      <c r="B224" t="s" s="0">
        <v>77</v>
      </c>
      <c r="C224" t="s" s="0">
        <v>130</v>
      </c>
      <c r="D224" t="s" s="0">
        <v>77</v>
      </c>
      <c r="E224" t="s" s="0">
        <v>5512</v>
      </c>
      <c r="F224" t="s" s="0">
        <v>5513</v>
      </c>
      <c r="G224" t="s" s="0">
        <v>5514</v>
      </c>
      <c r="H224" t="s" s="0">
        <v>81</v>
      </c>
      <c r="I224" t="s" s="0">
        <v>82</v>
      </c>
      <c r="J224" t="s" s="0">
        <v>5515</v>
      </c>
      <c r="K224" t="s" s="0">
        <v>5516</v>
      </c>
      <c r="L224" t="s" s="0">
        <v>5517</v>
      </c>
      <c r="M224" t="s" s="0">
        <v>5518</v>
      </c>
      <c r="N224" t="s" s="0">
        <v>5519</v>
      </c>
      <c r="O224" t="s" s="0">
        <v>5520</v>
      </c>
      <c r="P224" t="s" s="0">
        <v>5521</v>
      </c>
      <c r="Q224" t="s" s="0">
        <v>90</v>
      </c>
      <c r="R224" t="s" s="0">
        <v>81</v>
      </c>
      <c r="S224" t="s" s="0">
        <v>81</v>
      </c>
      <c r="T224" t="s" s="0">
        <v>81</v>
      </c>
      <c r="U224" t="s" s="0">
        <v>81</v>
      </c>
      <c r="V224" t="s" s="0">
        <v>5522</v>
      </c>
      <c r="W224" t="s" s="0">
        <v>4737</v>
      </c>
      <c r="X224" t="s" s="0">
        <v>81</v>
      </c>
      <c r="Y224" t="s" s="0">
        <v>81</v>
      </c>
      <c r="Z224" t="s" s="0">
        <v>93</v>
      </c>
      <c r="AA224" t="s" s="0">
        <v>94</v>
      </c>
      <c r="AB224" t="s" s="0">
        <v>81</v>
      </c>
      <c r="AC224" t="s" s="0">
        <v>81</v>
      </c>
      <c r="AD224" t="s" s="0">
        <v>81</v>
      </c>
      <c r="AE224" t="s" s="0">
        <v>81</v>
      </c>
      <c r="AF224" t="s" s="0">
        <v>81</v>
      </c>
      <c r="AG224" t="s" s="0">
        <v>5523</v>
      </c>
      <c r="AH224" t="s" s="0">
        <v>5524</v>
      </c>
      <c r="AI224" t="s" s="0">
        <v>5525</v>
      </c>
      <c r="AJ224" t="s" s="0">
        <v>5526</v>
      </c>
      <c r="AK224" t="s" s="0">
        <v>81</v>
      </c>
      <c r="AL224" t="s" s="0">
        <v>1350</v>
      </c>
      <c r="AM224" t="s" s="0">
        <v>563</v>
      </c>
      <c r="AN224" t="s" s="0">
        <v>258</v>
      </c>
      <c r="AO224" t="s" s="0">
        <v>77</v>
      </c>
      <c r="AP224" t="s" s="0">
        <v>475</v>
      </c>
      <c r="AQ224" t="s" s="0">
        <v>338</v>
      </c>
      <c r="AR224" t="s" s="0">
        <v>339</v>
      </c>
      <c r="AS224" t="s" s="0">
        <v>340</v>
      </c>
      <c r="AT224" t="s" s="0">
        <v>81</v>
      </c>
      <c r="AU224" t="s" s="0">
        <v>4739</v>
      </c>
      <c r="AV224" t="s" s="0">
        <v>81</v>
      </c>
      <c r="AW224" t="s" s="0">
        <v>4740</v>
      </c>
      <c r="AX224" t="s" s="0">
        <v>4741</v>
      </c>
      <c r="AY224" t="s" s="0">
        <v>5527</v>
      </c>
      <c r="AZ224" t="s" s="0">
        <v>1519</v>
      </c>
      <c r="BA224" t="s" s="0">
        <v>541</v>
      </c>
      <c r="BB224" t="s" s="0">
        <v>117</v>
      </c>
      <c r="BC224" t="s" s="0">
        <v>81</v>
      </c>
      <c r="BD224" t="s" s="0">
        <v>81</v>
      </c>
      <c r="BE224" t="s" s="0">
        <v>81</v>
      </c>
      <c r="BF224" t="s" s="0">
        <v>81</v>
      </c>
      <c r="BG224" t="s" s="0">
        <v>81</v>
      </c>
      <c r="BH224" t="s" s="0">
        <v>81</v>
      </c>
      <c r="BI224" t="s" s="0">
        <v>130</v>
      </c>
      <c r="BJ224" t="s" s="0">
        <v>5528</v>
      </c>
      <c r="BK224" t="s" s="444">
        <f>HYPERLINK("http://dx.doi.org/10.1186/s12911-022-02096-x","http://dx.doi.org/10.1186/s12911-022-02096-x")</f>
        <v>5529</v>
      </c>
      <c r="BL224" t="s" s="0">
        <v>81</v>
      </c>
      <c r="BM224" t="s" s="0">
        <v>81</v>
      </c>
      <c r="BN224" t="s" s="0">
        <v>228</v>
      </c>
      <c r="BO224" t="s" s="0">
        <v>1925</v>
      </c>
      <c r="BP224" t="s" s="0">
        <v>1925</v>
      </c>
      <c r="BQ224" t="s" s="0">
        <v>5530</v>
      </c>
      <c r="BR224" t="s" s="0">
        <v>5531</v>
      </c>
      <c r="BS224" t="s" s="0">
        <v>5532</v>
      </c>
      <c r="BT224" t="s" s="445">
        <f>HYPERLINK("https://www.webofscience.com/wos/woscc/full-record/WOS:000910171300003","View Record in Web of Science")</f>
        <v>114</v>
      </c>
      <c r="BU224" t="s" s="0">
        <v>145</v>
      </c>
      <c r="BV224" t="s" s="0">
        <v>81</v>
      </c>
      <c r="BW224" t="s" s="0">
        <v>81</v>
      </c>
      <c r="BX224" t="s" s="0">
        <v>116</v>
      </c>
    </row>
    <row r="225">
      <c r="A225" t="s" s="0">
        <v>117</v>
      </c>
      <c r="B225" t="s" s="0">
        <v>77</v>
      </c>
      <c r="C225" t="s" s="0">
        <v>253</v>
      </c>
      <c r="D225" t="s" s="0">
        <v>77</v>
      </c>
      <c r="E225" t="s" s="0">
        <v>5533</v>
      </c>
      <c r="F225" t="s" s="0">
        <v>5534</v>
      </c>
      <c r="G225" t="s" s="0">
        <v>5535</v>
      </c>
      <c r="H225" t="s" s="0">
        <v>81</v>
      </c>
      <c r="I225" t="s" s="0">
        <v>82</v>
      </c>
      <c r="J225" t="s" s="0">
        <v>5536</v>
      </c>
      <c r="K225" t="s" s="0">
        <v>5537</v>
      </c>
      <c r="L225" t="s" s="0">
        <v>81</v>
      </c>
      <c r="M225" t="s" s="0">
        <v>81</v>
      </c>
      <c r="N225" t="s" s="0">
        <v>81</v>
      </c>
      <c r="O225" t="s" s="0">
        <v>5538</v>
      </c>
      <c r="P225" t="s" s="0">
        <v>5539</v>
      </c>
      <c r="Q225" t="s" s="0">
        <v>90</v>
      </c>
      <c r="R225" t="s" s="0">
        <v>81</v>
      </c>
      <c r="S225" t="s" s="0">
        <v>81</v>
      </c>
      <c r="T225" t="s" s="0">
        <v>81</v>
      </c>
      <c r="U225" t="s" s="0">
        <v>81</v>
      </c>
      <c r="V225" t="s" s="0">
        <v>5540</v>
      </c>
      <c r="W225" t="s" s="0">
        <v>271</v>
      </c>
      <c r="X225" t="s" s="0">
        <v>81</v>
      </c>
      <c r="Y225" t="s" s="0">
        <v>81</v>
      </c>
      <c r="Z225" t="s" s="0">
        <v>93</v>
      </c>
      <c r="AA225" t="s" s="0">
        <v>94</v>
      </c>
      <c r="AB225" t="s" s="0">
        <v>81</v>
      </c>
      <c r="AC225" t="s" s="0">
        <v>81</v>
      </c>
      <c r="AD225" t="s" s="0">
        <v>81</v>
      </c>
      <c r="AE225" t="s" s="0">
        <v>81</v>
      </c>
      <c r="AF225" t="s" s="0">
        <v>81</v>
      </c>
      <c r="AG225" t="s" s="0">
        <v>81</v>
      </c>
      <c r="AH225" t="s" s="0">
        <v>5541</v>
      </c>
      <c r="AI225" t="s" s="0">
        <v>5542</v>
      </c>
      <c r="AJ225" t="s" s="0">
        <v>5543</v>
      </c>
      <c r="AK225" t="s" s="0">
        <v>81</v>
      </c>
      <c r="AL225" t="s" s="0">
        <v>5139</v>
      </c>
      <c r="AM225" t="s" s="0">
        <v>563</v>
      </c>
      <c r="AN225" t="s" s="0">
        <v>105</v>
      </c>
      <c r="AO225" t="s" s="0">
        <v>117</v>
      </c>
      <c r="AP225" t="s" s="0">
        <v>160</v>
      </c>
      <c r="AQ225" t="s" s="0">
        <v>274</v>
      </c>
      <c r="AR225" t="s" s="0">
        <v>275</v>
      </c>
      <c r="AS225" t="s" s="0">
        <v>276</v>
      </c>
      <c r="AT225" t="s" s="0">
        <v>277</v>
      </c>
      <c r="AU225" t="s" s="0">
        <v>81</v>
      </c>
      <c r="AV225" t="s" s="0">
        <v>81</v>
      </c>
      <c r="AW225" t="s" s="0">
        <v>278</v>
      </c>
      <c r="AX225" t="s" s="0">
        <v>279</v>
      </c>
      <c r="AY225" t="s" s="0">
        <v>5544</v>
      </c>
      <c r="AZ225" t="s" s="0">
        <v>1519</v>
      </c>
      <c r="BA225" t="s" s="0">
        <v>167</v>
      </c>
      <c r="BB225" t="s" s="0">
        <v>117</v>
      </c>
      <c r="BC225" t="s" s="0">
        <v>81</v>
      </c>
      <c r="BD225" t="s" s="0">
        <v>81</v>
      </c>
      <c r="BE225" t="s" s="0">
        <v>81</v>
      </c>
      <c r="BF225" t="s" s="0">
        <v>81</v>
      </c>
      <c r="BG225" t="s" s="0">
        <v>81</v>
      </c>
      <c r="BH225" t="s" s="0">
        <v>81</v>
      </c>
      <c r="BI225" t="s" s="0">
        <v>5545</v>
      </c>
      <c r="BJ225" t="s" s="0">
        <v>5546</v>
      </c>
      <c r="BK225" t="s" s="446">
        <f>HYPERLINK("http://dx.doi.org/10.1038/s41598-023-37512-3","http://dx.doi.org/10.1038/s41598-023-37512-3")</f>
        <v>5547</v>
      </c>
      <c r="BL225" t="s" s="0">
        <v>81</v>
      </c>
      <c r="BM225" t="s" s="0">
        <v>81</v>
      </c>
      <c r="BN225" t="s" s="0">
        <v>129</v>
      </c>
      <c r="BO225" t="s" s="0">
        <v>285</v>
      </c>
      <c r="BP225" t="s" s="0">
        <v>286</v>
      </c>
      <c r="BQ225" t="s" s="0">
        <v>5548</v>
      </c>
      <c r="BR225" t="s" s="0">
        <v>5549</v>
      </c>
      <c r="BS225" t="s" s="0">
        <v>5550</v>
      </c>
      <c r="BT225" t="s" s="447">
        <f>HYPERLINK("https://www.webofscience.com/wos/woscc/full-record/WOS:001024600400076","View Record in Web of Science")</f>
        <v>114</v>
      </c>
      <c r="BU225" t="s" s="0">
        <v>145</v>
      </c>
      <c r="BV225" t="s" s="0">
        <v>81</v>
      </c>
      <c r="BW225" t="s" s="0">
        <v>81</v>
      </c>
      <c r="BX225" t="s" s="0">
        <v>116</v>
      </c>
    </row>
    <row r="226">
      <c r="A226" t="s" s="0">
        <v>77</v>
      </c>
      <c r="B226" t="s" s="0">
        <v>77</v>
      </c>
      <c r="C226" t="s" s="0">
        <v>77</v>
      </c>
      <c r="D226" t="s" s="0">
        <v>77</v>
      </c>
      <c r="E226" t="s" s="0">
        <v>5551</v>
      </c>
      <c r="F226" t="s" s="0">
        <v>5552</v>
      </c>
      <c r="G226" t="s" s="0">
        <v>5553</v>
      </c>
      <c r="H226" t="s" s="0">
        <v>81</v>
      </c>
      <c r="I226" t="s" s="0">
        <v>82</v>
      </c>
      <c r="J226" t="s" s="0">
        <v>5554</v>
      </c>
      <c r="K226" t="s" s="0">
        <v>5555</v>
      </c>
      <c r="L226" t="s" s="0">
        <v>5556</v>
      </c>
      <c r="M226" t="s" s="0">
        <v>5557</v>
      </c>
      <c r="N226" t="s" s="0">
        <v>5558</v>
      </c>
      <c r="O226" t="s" s="0">
        <v>5559</v>
      </c>
      <c r="P226" t="s" s="0">
        <v>5560</v>
      </c>
      <c r="Q226" t="s" s="0">
        <v>90</v>
      </c>
      <c r="R226" t="s" s="0">
        <v>81</v>
      </c>
      <c r="S226" t="s" s="0">
        <v>81</v>
      </c>
      <c r="T226" t="s" s="0">
        <v>81</v>
      </c>
      <c r="U226" t="s" s="0">
        <v>81</v>
      </c>
      <c r="V226" t="s" s="0">
        <v>5561</v>
      </c>
      <c r="W226" t="s" s="0">
        <v>1510</v>
      </c>
      <c r="X226" t="s" s="0">
        <v>81</v>
      </c>
      <c r="Y226" t="s" s="0">
        <v>81</v>
      </c>
      <c r="Z226" t="s" s="0">
        <v>93</v>
      </c>
      <c r="AA226" t="s" s="0">
        <v>94</v>
      </c>
      <c r="AB226" t="s" s="0">
        <v>81</v>
      </c>
      <c r="AC226" t="s" s="0">
        <v>81</v>
      </c>
      <c r="AD226" t="s" s="0">
        <v>81</v>
      </c>
      <c r="AE226" t="s" s="0">
        <v>81</v>
      </c>
      <c r="AF226" t="s" s="0">
        <v>81</v>
      </c>
      <c r="AG226" t="s" s="0">
        <v>5562</v>
      </c>
      <c r="AH226" t="s" s="0">
        <v>81</v>
      </c>
      <c r="AI226" t="s" s="0">
        <v>5563</v>
      </c>
      <c r="AJ226" t="s" s="0">
        <v>5564</v>
      </c>
      <c r="AK226" t="s" s="0">
        <v>81</v>
      </c>
      <c r="AL226" t="s" s="0">
        <v>562</v>
      </c>
      <c r="AM226" t="s" s="0">
        <v>77</v>
      </c>
      <c r="AN226" t="s" s="0">
        <v>77</v>
      </c>
      <c r="AO226" t="s" s="0">
        <v>77</v>
      </c>
      <c r="AP226" t="s" s="0">
        <v>77</v>
      </c>
      <c r="AQ226" t="s" s="0">
        <v>476</v>
      </c>
      <c r="AR226" t="s" s="0">
        <v>477</v>
      </c>
      <c r="AS226" t="s" s="0">
        <v>478</v>
      </c>
      <c r="AT226" t="s" s="0">
        <v>81</v>
      </c>
      <c r="AU226" t="s" s="0">
        <v>1516</v>
      </c>
      <c r="AV226" t="s" s="0">
        <v>81</v>
      </c>
      <c r="AW226" t="s" s="0">
        <v>1510</v>
      </c>
      <c r="AX226" t="s" s="0">
        <v>1517</v>
      </c>
      <c r="AY226" t="s" s="0">
        <v>5565</v>
      </c>
      <c r="AZ226" t="s" s="0">
        <v>104</v>
      </c>
      <c r="BA226" t="s" s="0">
        <v>258</v>
      </c>
      <c r="BB226" t="s" s="0">
        <v>225</v>
      </c>
      <c r="BC226" t="s" s="0">
        <v>81</v>
      </c>
      <c r="BD226" t="s" s="0">
        <v>81</v>
      </c>
      <c r="BE226" t="s" s="0">
        <v>81</v>
      </c>
      <c r="BF226" t="s" s="0">
        <v>81</v>
      </c>
      <c r="BG226" t="s" s="0">
        <v>81</v>
      </c>
      <c r="BH226" t="s" s="0">
        <v>81</v>
      </c>
      <c r="BI226" t="s" s="0">
        <v>5566</v>
      </c>
      <c r="BJ226" t="s" s="0">
        <v>5567</v>
      </c>
      <c r="BK226" t="s" s="448">
        <f>HYPERLINK("http://dx.doi.org/10.3390/cancers18081194","http://dx.doi.org/10.3390/cancers18081194")</f>
        <v>5568</v>
      </c>
      <c r="BL226" t="s" s="0">
        <v>81</v>
      </c>
      <c r="BM226" t="s" s="0">
        <v>349</v>
      </c>
      <c r="BN226" t="s" s="0">
        <v>564</v>
      </c>
      <c r="BO226" t="s" s="0">
        <v>939</v>
      </c>
      <c r="BP226" t="s" s="0">
        <v>939</v>
      </c>
      <c r="BQ226" t="s" s="0">
        <v>5569</v>
      </c>
      <c r="BR226" t="s" s="0">
        <v>5570</v>
      </c>
      <c r="BS226" t="s" s="0">
        <v>5571</v>
      </c>
      <c r="BT226" t="s" s="449">
        <f>HYPERLINK("https://www.webofscience.com/wos/woscc/full-record/WOS:001750885400001","View Record in Web of Science")</f>
        <v>114</v>
      </c>
      <c r="BU226" t="s" s="0">
        <v>145</v>
      </c>
      <c r="BV226" t="s" s="0">
        <v>81</v>
      </c>
      <c r="BW226" t="s" s="0">
        <v>81</v>
      </c>
      <c r="BX226" t="s" s="0">
        <v>116</v>
      </c>
    </row>
    <row r="227">
      <c r="A227" t="s" s="0">
        <v>77</v>
      </c>
      <c r="B227" t="s" s="0">
        <v>77</v>
      </c>
      <c r="C227" t="s" s="0">
        <v>77</v>
      </c>
      <c r="D227" t="s" s="0">
        <v>77</v>
      </c>
      <c r="E227" t="s" s="0">
        <v>5572</v>
      </c>
      <c r="F227" t="s" s="0">
        <v>5573</v>
      </c>
      <c r="G227" t="s" s="0">
        <v>5574</v>
      </c>
      <c r="H227" t="s" s="0">
        <v>81</v>
      </c>
      <c r="I227" t="s" s="0">
        <v>82</v>
      </c>
      <c r="J227" t="s" s="0">
        <v>5575</v>
      </c>
      <c r="K227" t="s" s="0">
        <v>5576</v>
      </c>
      <c r="L227" t="s" s="0">
        <v>5577</v>
      </c>
      <c r="M227" t="s" s="0">
        <v>5578</v>
      </c>
      <c r="N227" t="s" s="0">
        <v>5579</v>
      </c>
      <c r="O227" t="s" s="0">
        <v>5580</v>
      </c>
      <c r="P227" t="s" s="0">
        <v>5581</v>
      </c>
      <c r="Q227" t="s" s="0">
        <v>90</v>
      </c>
      <c r="R227" t="s" s="0">
        <v>81</v>
      </c>
      <c r="S227" t="s" s="0">
        <v>81</v>
      </c>
      <c r="T227" t="s" s="0">
        <v>81</v>
      </c>
      <c r="U227" t="s" s="0">
        <v>81</v>
      </c>
      <c r="V227" t="s" s="0">
        <v>5582</v>
      </c>
      <c r="W227" t="s" s="0">
        <v>5115</v>
      </c>
      <c r="X227" t="s" s="0">
        <v>81</v>
      </c>
      <c r="Y227" t="s" s="0">
        <v>81</v>
      </c>
      <c r="Z227" t="s" s="0">
        <v>93</v>
      </c>
      <c r="AA227" t="s" s="0">
        <v>94</v>
      </c>
      <c r="AB227" t="s" s="0">
        <v>81</v>
      </c>
      <c r="AC227" t="s" s="0">
        <v>81</v>
      </c>
      <c r="AD227" t="s" s="0">
        <v>81</v>
      </c>
      <c r="AE227" t="s" s="0">
        <v>81</v>
      </c>
      <c r="AF227" t="s" s="0">
        <v>81</v>
      </c>
      <c r="AG227" t="s" s="0">
        <v>81</v>
      </c>
      <c r="AH227" t="s" s="0">
        <v>5583</v>
      </c>
      <c r="AI227" t="s" s="0">
        <v>5584</v>
      </c>
      <c r="AJ227" t="s" s="0">
        <v>81</v>
      </c>
      <c r="AK227" t="s" s="0">
        <v>81</v>
      </c>
      <c r="AL227" t="s" s="0">
        <v>1538</v>
      </c>
      <c r="AM227" t="s" s="0">
        <v>77</v>
      </c>
      <c r="AN227" t="s" s="0">
        <v>77</v>
      </c>
      <c r="AO227" t="s" s="0">
        <v>77</v>
      </c>
      <c r="AP227" t="s" s="0">
        <v>77</v>
      </c>
      <c r="AQ227" t="s" s="0">
        <v>274</v>
      </c>
      <c r="AR227" t="s" s="0">
        <v>275</v>
      </c>
      <c r="AS227" t="s" s="0">
        <v>276</v>
      </c>
      <c r="AT227" t="s" s="0">
        <v>81</v>
      </c>
      <c r="AU227" t="s" s="0">
        <v>5117</v>
      </c>
      <c r="AV227" t="s" s="0">
        <v>81</v>
      </c>
      <c r="AW227" t="s" s="0">
        <v>5118</v>
      </c>
      <c r="AX227" t="s" s="0">
        <v>5119</v>
      </c>
      <c r="AY227" t="s" s="0">
        <v>344</v>
      </c>
      <c r="AZ227" t="s" s="0">
        <v>104</v>
      </c>
      <c r="BA227" t="s" s="0">
        <v>129</v>
      </c>
      <c r="BB227" t="s" s="0">
        <v>117</v>
      </c>
      <c r="BC227" t="s" s="0">
        <v>81</v>
      </c>
      <c r="BD227" t="s" s="0">
        <v>81</v>
      </c>
      <c r="BE227" t="s" s="0">
        <v>81</v>
      </c>
      <c r="BF227" t="s" s="0">
        <v>81</v>
      </c>
      <c r="BG227" t="s" s="0">
        <v>81</v>
      </c>
      <c r="BH227" t="s" s="0">
        <v>81</v>
      </c>
      <c r="BI227" t="s" s="0">
        <v>3505</v>
      </c>
      <c r="BJ227" t="s" s="0">
        <v>5585</v>
      </c>
      <c r="BK227" t="s" s="450">
        <f>HYPERLINK("http://dx.doi.org/10.1038/s41698-026-01393-2","http://dx.doi.org/10.1038/s41698-026-01393-2")</f>
        <v>5586</v>
      </c>
      <c r="BL227" t="s" s="0">
        <v>81</v>
      </c>
      <c r="BM227" t="s" s="0">
        <v>349</v>
      </c>
      <c r="BN227" t="s" s="0">
        <v>228</v>
      </c>
      <c r="BO227" t="s" s="0">
        <v>939</v>
      </c>
      <c r="BP227" t="s" s="0">
        <v>939</v>
      </c>
      <c r="BQ227" t="s" s="0">
        <v>5587</v>
      </c>
      <c r="BR227" t="s" s="0">
        <v>5588</v>
      </c>
      <c r="BS227" t="s" s="0">
        <v>5589</v>
      </c>
      <c r="BT227" t="s" s="451">
        <f>HYPERLINK("https://www.webofscience.com/wos/woscc/full-record/WOS:001776694600001","View Record in Web of Science")</f>
        <v>114</v>
      </c>
      <c r="BU227" t="s" s="0">
        <v>145</v>
      </c>
      <c r="BV227" t="s" s="0">
        <v>81</v>
      </c>
      <c r="BW227" t="s" s="0">
        <v>81</v>
      </c>
      <c r="BX227" t="s" s="0">
        <v>116</v>
      </c>
    </row>
    <row r="228">
      <c r="A228" t="s" s="0">
        <v>77</v>
      </c>
      <c r="B228" t="s" s="0">
        <v>77</v>
      </c>
      <c r="C228" t="s" s="0">
        <v>117</v>
      </c>
      <c r="D228" t="s" s="0">
        <v>77</v>
      </c>
      <c r="E228" t="s" s="0">
        <v>5590</v>
      </c>
      <c r="F228" t="s" s="0">
        <v>5591</v>
      </c>
      <c r="G228" t="s" s="0">
        <v>5592</v>
      </c>
      <c r="H228" t="s" s="0">
        <v>81</v>
      </c>
      <c r="I228" t="s" s="0">
        <v>82</v>
      </c>
      <c r="J228" t="s" s="0">
        <v>5593</v>
      </c>
      <c r="K228" t="s" s="0">
        <v>5594</v>
      </c>
      <c r="L228" t="s" s="0">
        <v>5595</v>
      </c>
      <c r="M228" t="s" s="0">
        <v>5595</v>
      </c>
      <c r="N228" t="s" s="0">
        <v>5596</v>
      </c>
      <c r="O228" t="s" s="0">
        <v>5597</v>
      </c>
      <c r="P228" t="s" s="0">
        <v>5598</v>
      </c>
      <c r="Q228" t="s" s="0">
        <v>90</v>
      </c>
      <c r="R228" t="s" s="0">
        <v>81</v>
      </c>
      <c r="S228" t="s" s="0">
        <v>81</v>
      </c>
      <c r="T228" t="s" s="0">
        <v>81</v>
      </c>
      <c r="U228" t="s" s="0">
        <v>81</v>
      </c>
      <c r="V228" t="s" s="0">
        <v>5599</v>
      </c>
      <c r="W228" t="s" s="0">
        <v>5600</v>
      </c>
      <c r="X228" t="s" s="0">
        <v>81</v>
      </c>
      <c r="Y228" t="s" s="0">
        <v>81</v>
      </c>
      <c r="Z228" t="s" s="0">
        <v>93</v>
      </c>
      <c r="AA228" t="s" s="0">
        <v>94</v>
      </c>
      <c r="AB228" t="s" s="0">
        <v>81</v>
      </c>
      <c r="AC228" t="s" s="0">
        <v>81</v>
      </c>
      <c r="AD228" t="s" s="0">
        <v>81</v>
      </c>
      <c r="AE228" t="s" s="0">
        <v>81</v>
      </c>
      <c r="AF228" t="s" s="0">
        <v>81</v>
      </c>
      <c r="AG228" t="s" s="0">
        <v>5601</v>
      </c>
      <c r="AH228" t="s" s="0">
        <v>5602</v>
      </c>
      <c r="AI228" t="s" s="0">
        <v>81</v>
      </c>
      <c r="AJ228" t="s" s="0">
        <v>5603</v>
      </c>
      <c r="AK228" t="s" s="0">
        <v>81</v>
      </c>
      <c r="AL228" t="s" s="0">
        <v>1067</v>
      </c>
      <c r="AM228" t="s" s="0">
        <v>253</v>
      </c>
      <c r="AN228" t="s" s="0">
        <v>253</v>
      </c>
      <c r="AO228" t="s" s="0">
        <v>117</v>
      </c>
      <c r="AP228" t="s" s="0">
        <v>253</v>
      </c>
      <c r="AQ228" t="s" s="0">
        <v>162</v>
      </c>
      <c r="AR228" t="s" s="0">
        <v>163</v>
      </c>
      <c r="AS228" t="s" s="0">
        <v>164</v>
      </c>
      <c r="AT228" t="s" s="0">
        <v>5604</v>
      </c>
      <c r="AU228" t="s" s="0">
        <v>81</v>
      </c>
      <c r="AV228" t="s" s="0">
        <v>81</v>
      </c>
      <c r="AW228" t="s" s="0">
        <v>5605</v>
      </c>
      <c r="AX228" t="s" s="0">
        <v>5606</v>
      </c>
      <c r="AY228" t="s" s="0">
        <v>136</v>
      </c>
      <c r="AZ228" t="s" s="0">
        <v>136</v>
      </c>
      <c r="BA228" t="s" s="0">
        <v>167</v>
      </c>
      <c r="BB228" t="s" s="0">
        <v>81</v>
      </c>
      <c r="BC228" t="s" s="0">
        <v>81</v>
      </c>
      <c r="BD228" t="s" s="0">
        <v>81</v>
      </c>
      <c r="BE228" t="s" s="0">
        <v>81</v>
      </c>
      <c r="BF228" t="s" s="0">
        <v>81</v>
      </c>
      <c r="BG228" t="s" s="0">
        <v>5607</v>
      </c>
      <c r="BH228" t="s" s="0">
        <v>5608</v>
      </c>
      <c r="BI228" t="s" s="0">
        <v>81</v>
      </c>
      <c r="BJ228" t="s" s="0">
        <v>5609</v>
      </c>
      <c r="BK228" t="s" s="452">
        <f>HYPERLINK("http://dx.doi.org/10.1109/JTEHM.2025.3588427","http://dx.doi.org/10.1109/JTEHM.2025.3588427")</f>
        <v>5610</v>
      </c>
      <c r="BL228" t="s" s="0">
        <v>81</v>
      </c>
      <c r="BM228" t="s" s="0">
        <v>81</v>
      </c>
      <c r="BN228" t="s" s="0">
        <v>167</v>
      </c>
      <c r="BO228" t="s" s="0">
        <v>238</v>
      </c>
      <c r="BP228" t="s" s="0">
        <v>239</v>
      </c>
      <c r="BQ228" t="s" s="0">
        <v>5611</v>
      </c>
      <c r="BR228" t="s" s="0">
        <v>5612</v>
      </c>
      <c r="BS228" t="s" s="0">
        <v>5613</v>
      </c>
      <c r="BT228" t="s" s="453">
        <f>HYPERLINK("https://www.webofscience.com/wos/woscc/full-record/WOS:001718370200001","View Record in Web of Science")</f>
        <v>114</v>
      </c>
      <c r="BU228" t="s" s="0">
        <v>145</v>
      </c>
      <c r="BV228" t="s" s="0">
        <v>81</v>
      </c>
      <c r="BW228" t="s" s="0">
        <v>81</v>
      </c>
      <c r="BX228" t="s" s="0">
        <v>116</v>
      </c>
    </row>
    <row r="229">
      <c r="A229" t="s" s="0">
        <v>77</v>
      </c>
      <c r="B229" t="s" s="0">
        <v>77</v>
      </c>
      <c r="C229" t="s" s="0">
        <v>131</v>
      </c>
      <c r="D229" t="s" s="0">
        <v>77</v>
      </c>
      <c r="E229" t="s" s="0">
        <v>5614</v>
      </c>
      <c r="F229" t="s" s="0">
        <v>5615</v>
      </c>
      <c r="G229" t="s" s="0">
        <v>5616</v>
      </c>
      <c r="H229" t="s" s="0">
        <v>81</v>
      </c>
      <c r="I229" t="s" s="0">
        <v>213</v>
      </c>
      <c r="J229" t="s" s="0">
        <v>5617</v>
      </c>
      <c r="K229" t="s" s="0">
        <v>5618</v>
      </c>
      <c r="L229" t="s" s="0">
        <v>5619</v>
      </c>
      <c r="M229" t="s" s="0">
        <v>5619</v>
      </c>
      <c r="N229" t="s" s="0">
        <v>5619</v>
      </c>
      <c r="O229" t="s" s="0">
        <v>5620</v>
      </c>
      <c r="P229" t="s" s="0">
        <v>5621</v>
      </c>
      <c r="Q229" t="s" s="0">
        <v>90</v>
      </c>
      <c r="R229" t="s" s="0">
        <v>81</v>
      </c>
      <c r="S229" t="s" s="0">
        <v>81</v>
      </c>
      <c r="T229" t="s" s="0">
        <v>81</v>
      </c>
      <c r="U229" t="s" s="0">
        <v>81</v>
      </c>
      <c r="V229" t="s" s="0">
        <v>5622</v>
      </c>
      <c r="W229" t="s" s="0">
        <v>5623</v>
      </c>
      <c r="X229" t="s" s="0">
        <v>81</v>
      </c>
      <c r="Y229" t="s" s="0">
        <v>81</v>
      </c>
      <c r="Z229" t="s" s="0">
        <v>93</v>
      </c>
      <c r="AA229" t="s" s="0">
        <v>94</v>
      </c>
      <c r="AB229" t="s" s="0">
        <v>81</v>
      </c>
      <c r="AC229" t="s" s="0">
        <v>81</v>
      </c>
      <c r="AD229" t="s" s="0">
        <v>81</v>
      </c>
      <c r="AE229" t="s" s="0">
        <v>81</v>
      </c>
      <c r="AF229" t="s" s="0">
        <v>81</v>
      </c>
      <c r="AG229" t="s" s="0">
        <v>5624</v>
      </c>
      <c r="AH229" t="s" s="0">
        <v>5625</v>
      </c>
      <c r="AI229" t="s" s="0">
        <v>5626</v>
      </c>
      <c r="AJ229" t="s" s="0">
        <v>81</v>
      </c>
      <c r="AK229" t="s" s="0">
        <v>81</v>
      </c>
      <c r="AL229" t="s" s="0">
        <v>3643</v>
      </c>
      <c r="AM229" t="s" s="0">
        <v>129</v>
      </c>
      <c r="AN229" t="s" s="0">
        <v>226</v>
      </c>
      <c r="AO229" t="s" s="0">
        <v>117</v>
      </c>
      <c r="AP229" t="s" s="0">
        <v>129</v>
      </c>
      <c r="AQ229" t="s" s="0">
        <v>97</v>
      </c>
      <c r="AR229" t="s" s="0">
        <v>98</v>
      </c>
      <c r="AS229" t="s" s="0">
        <v>99</v>
      </c>
      <c r="AT229" t="s" s="0">
        <v>81</v>
      </c>
      <c r="AU229" t="s" s="0">
        <v>5627</v>
      </c>
      <c r="AV229" t="s" s="0">
        <v>81</v>
      </c>
      <c r="AW229" t="s" s="0">
        <v>5628</v>
      </c>
      <c r="AX229" t="s" s="0">
        <v>5629</v>
      </c>
      <c r="AY229" t="s" s="0">
        <v>5630</v>
      </c>
      <c r="AZ229" t="s" s="0">
        <v>1519</v>
      </c>
      <c r="BA229" t="s" s="0">
        <v>227</v>
      </c>
      <c r="BB229" t="s" s="0">
        <v>81</v>
      </c>
      <c r="BC229" t="s" s="0">
        <v>81</v>
      </c>
      <c r="BD229" t="s" s="0">
        <v>81</v>
      </c>
      <c r="BE229" t="s" s="0">
        <v>81</v>
      </c>
      <c r="BF229" t="s" s="0">
        <v>81</v>
      </c>
      <c r="BG229" t="s" s="0">
        <v>81</v>
      </c>
      <c r="BH229" t="s" s="0">
        <v>81</v>
      </c>
      <c r="BI229" t="s" s="0">
        <v>5631</v>
      </c>
      <c r="BJ229" t="s" s="0">
        <v>5632</v>
      </c>
      <c r="BK229" t="s" s="454">
        <f>HYPERLINK("http://dx.doi.org/10.3389/fbinf.2023.1131021","http://dx.doi.org/10.3389/fbinf.2023.1131021")</f>
        <v>5633</v>
      </c>
      <c r="BL229" t="s" s="0">
        <v>81</v>
      </c>
      <c r="BM229" t="s" s="0">
        <v>81</v>
      </c>
      <c r="BN229" t="s" s="0">
        <v>172</v>
      </c>
      <c r="BO229" t="s" s="0">
        <v>4886</v>
      </c>
      <c r="BP229" t="s" s="0">
        <v>4886</v>
      </c>
      <c r="BQ229" t="s" s="0">
        <v>5634</v>
      </c>
      <c r="BR229" t="s" s="0">
        <v>5635</v>
      </c>
      <c r="BS229" t="s" s="0">
        <v>5636</v>
      </c>
      <c r="BT229" t="s" s="455">
        <f>HYPERLINK("https://www.webofscience.com/wos/woscc/full-record/WOS:001086914600001","View Record in Web of Science")</f>
        <v>114</v>
      </c>
      <c r="BU229" t="s" s="0">
        <v>145</v>
      </c>
      <c r="BV229" t="s" s="0">
        <v>81</v>
      </c>
      <c r="BW229" t="s" s="0">
        <v>81</v>
      </c>
      <c r="BX229" t="s" s="0">
        <v>116</v>
      </c>
    </row>
    <row r="230">
      <c r="A230" t="s" s="0">
        <v>77</v>
      </c>
      <c r="B230" t="s" s="0">
        <v>77</v>
      </c>
      <c r="C230" t="s" s="0">
        <v>77</v>
      </c>
      <c r="D230" t="s" s="0">
        <v>77</v>
      </c>
      <c r="E230" t="s" s="0">
        <v>5637</v>
      </c>
      <c r="F230" t="s" s="0">
        <v>5638</v>
      </c>
      <c r="G230" t="s" s="0">
        <v>5639</v>
      </c>
      <c r="H230" t="s" s="0">
        <v>81</v>
      </c>
      <c r="I230" t="s" s="0">
        <v>82</v>
      </c>
      <c r="J230" t="s" s="0">
        <v>5640</v>
      </c>
      <c r="K230" t="s" s="0">
        <v>5641</v>
      </c>
      <c r="L230" t="s" s="0">
        <v>5642</v>
      </c>
      <c r="M230" t="s" s="0">
        <v>5643</v>
      </c>
      <c r="N230" t="s" s="0">
        <v>5644</v>
      </c>
      <c r="O230" t="s" s="0">
        <v>5645</v>
      </c>
      <c r="P230" t="s" s="0">
        <v>5646</v>
      </c>
      <c r="Q230" t="s" s="0">
        <v>90</v>
      </c>
      <c r="R230" t="s" s="0">
        <v>81</v>
      </c>
      <c r="S230" t="s" s="0">
        <v>81</v>
      </c>
      <c r="T230" t="s" s="0">
        <v>81</v>
      </c>
      <c r="U230" t="s" s="0">
        <v>81</v>
      </c>
      <c r="V230" t="s" s="0">
        <v>5647</v>
      </c>
      <c r="W230" t="s" s="0">
        <v>1868</v>
      </c>
      <c r="X230" t="s" s="0">
        <v>81</v>
      </c>
      <c r="Y230" t="s" s="0">
        <v>81</v>
      </c>
      <c r="Z230" t="s" s="0">
        <v>93</v>
      </c>
      <c r="AA230" t="s" s="0">
        <v>190</v>
      </c>
      <c r="AB230" t="s" s="0">
        <v>81</v>
      </c>
      <c r="AC230" t="s" s="0">
        <v>81</v>
      </c>
      <c r="AD230" t="s" s="0">
        <v>81</v>
      </c>
      <c r="AE230" t="s" s="0">
        <v>81</v>
      </c>
      <c r="AF230" t="s" s="0">
        <v>81</v>
      </c>
      <c r="AG230" t="s" s="0">
        <v>5648</v>
      </c>
      <c r="AH230" t="s" s="0">
        <v>5649</v>
      </c>
      <c r="AI230" t="s" s="0">
        <v>81</v>
      </c>
      <c r="AJ230" t="s" s="0">
        <v>81</v>
      </c>
      <c r="AK230" t="s" s="0">
        <v>81</v>
      </c>
      <c r="AL230" t="s" s="0">
        <v>1421</v>
      </c>
      <c r="AM230" t="s" s="0">
        <v>130</v>
      </c>
      <c r="AN230" t="s" s="0">
        <v>130</v>
      </c>
      <c r="AO230" t="s" s="0">
        <v>77</v>
      </c>
      <c r="AP230" t="s" s="0">
        <v>77</v>
      </c>
      <c r="AQ230" t="s" s="0">
        <v>370</v>
      </c>
      <c r="AR230" t="s" s="0">
        <v>1099</v>
      </c>
      <c r="AS230" t="s" s="0">
        <v>1873</v>
      </c>
      <c r="AT230" t="s" s="0">
        <v>1874</v>
      </c>
      <c r="AU230" t="s" s="0">
        <v>1875</v>
      </c>
      <c r="AV230" t="s" s="0">
        <v>81</v>
      </c>
      <c r="AW230" t="s" s="0">
        <v>1876</v>
      </c>
      <c r="AX230" t="s" s="0">
        <v>1877</v>
      </c>
      <c r="AY230" t="s" s="0">
        <v>81</v>
      </c>
      <c r="AZ230" t="s" s="0">
        <v>104</v>
      </c>
      <c r="BA230" t="s" s="0">
        <v>81</v>
      </c>
      <c r="BB230" t="s" s="0">
        <v>81</v>
      </c>
      <c r="BC230" t="s" s="0">
        <v>81</v>
      </c>
      <c r="BD230" t="s" s="0">
        <v>81</v>
      </c>
      <c r="BE230" t="s" s="0">
        <v>81</v>
      </c>
      <c r="BF230" t="s" s="0">
        <v>81</v>
      </c>
      <c r="BG230" t="s" s="0">
        <v>81</v>
      </c>
      <c r="BH230" t="s" s="0">
        <v>81</v>
      </c>
      <c r="BI230" t="s" s="0">
        <v>81</v>
      </c>
      <c r="BJ230" t="s" s="0">
        <v>5650</v>
      </c>
      <c r="BK230" t="s" s="456">
        <f>HYPERLINK("http://dx.doi.org/10.1007/s10278-026-01980-6","http://dx.doi.org/10.1007/s10278-026-01980-6")</f>
        <v>5651</v>
      </c>
      <c r="BL230" t="s" s="0">
        <v>81</v>
      </c>
      <c r="BM230" t="s" s="0">
        <v>349</v>
      </c>
      <c r="BN230" t="s" s="0">
        <v>204</v>
      </c>
      <c r="BO230" t="s" s="0">
        <v>1881</v>
      </c>
      <c r="BP230" t="s" s="0">
        <v>1881</v>
      </c>
      <c r="BQ230" t="s" s="0">
        <v>5652</v>
      </c>
      <c r="BR230" t="s" s="0">
        <v>5653</v>
      </c>
      <c r="BS230" t="s" s="0">
        <v>5654</v>
      </c>
      <c r="BT230" t="s" s="457">
        <f>HYPERLINK("https://www.webofscience.com/wos/woscc/full-record/WOS:001752952700001","View Record in Web of Science")</f>
        <v>114</v>
      </c>
      <c r="BU230" t="s" s="0">
        <v>5655</v>
      </c>
      <c r="BV230" t="s" s="0">
        <v>81</v>
      </c>
      <c r="BW230" t="s" s="0">
        <v>81</v>
      </c>
      <c r="BX230" t="s" s="0">
        <v>116</v>
      </c>
    </row>
    <row r="231">
      <c r="A231" t="s" s="0">
        <v>77</v>
      </c>
      <c r="B231" t="s" s="0">
        <v>77</v>
      </c>
      <c r="C231" t="s" s="0">
        <v>117</v>
      </c>
      <c r="D231" t="s" s="0">
        <v>77</v>
      </c>
      <c r="E231" t="s" s="0">
        <v>5656</v>
      </c>
      <c r="F231" t="s" s="0">
        <v>5657</v>
      </c>
      <c r="G231" t="s" s="0">
        <v>5658</v>
      </c>
      <c r="H231" t="s" s="0">
        <v>81</v>
      </c>
      <c r="I231" t="s" s="0">
        <v>82</v>
      </c>
      <c r="J231" t="s" s="0">
        <v>5659</v>
      </c>
      <c r="K231" t="s" s="0">
        <v>5660</v>
      </c>
      <c r="L231" t="s" s="0">
        <v>5661</v>
      </c>
      <c r="M231" t="s" s="0">
        <v>5662</v>
      </c>
      <c r="N231" t="s" s="0">
        <v>5663</v>
      </c>
      <c r="O231" t="s" s="0">
        <v>5664</v>
      </c>
      <c r="P231" t="s" s="0">
        <v>5665</v>
      </c>
      <c r="Q231" t="s" s="0">
        <v>90</v>
      </c>
      <c r="R231" t="s" s="0">
        <v>81</v>
      </c>
      <c r="S231" t="s" s="0">
        <v>81</v>
      </c>
      <c r="T231" t="s" s="0">
        <v>81</v>
      </c>
      <c r="U231" t="s" s="0">
        <v>81</v>
      </c>
      <c r="V231" t="s" s="0">
        <v>5666</v>
      </c>
      <c r="W231" t="s" s="0">
        <v>5667</v>
      </c>
      <c r="X231" t="s" s="0">
        <v>81</v>
      </c>
      <c r="Y231" t="s" s="0">
        <v>81</v>
      </c>
      <c r="Z231" t="s" s="0">
        <v>93</v>
      </c>
      <c r="AA231" t="s" s="0">
        <v>94</v>
      </c>
      <c r="AB231" t="s" s="0">
        <v>81</v>
      </c>
      <c r="AC231" t="s" s="0">
        <v>81</v>
      </c>
      <c r="AD231" t="s" s="0">
        <v>81</v>
      </c>
      <c r="AE231" t="s" s="0">
        <v>81</v>
      </c>
      <c r="AF231" t="s" s="0">
        <v>81</v>
      </c>
      <c r="AG231" t="s" s="0">
        <v>81</v>
      </c>
      <c r="AH231" t="s" s="0">
        <v>5668</v>
      </c>
      <c r="AI231" t="s" s="0">
        <v>5669</v>
      </c>
      <c r="AJ231" t="s" s="0">
        <v>81</v>
      </c>
      <c r="AK231" t="s" s="0">
        <v>81</v>
      </c>
      <c r="AL231" t="s" s="0">
        <v>625</v>
      </c>
      <c r="AM231" t="s" s="0">
        <v>160</v>
      </c>
      <c r="AN231" t="s" s="0">
        <v>253</v>
      </c>
      <c r="AO231" t="s" s="0">
        <v>130</v>
      </c>
      <c r="AP231" t="s" s="0">
        <v>161</v>
      </c>
      <c r="AQ231" t="s" s="0">
        <v>1264</v>
      </c>
      <c r="AR231" t="s" s="0">
        <v>1265</v>
      </c>
      <c r="AS231" t="s" s="0">
        <v>1266</v>
      </c>
      <c r="AT231" t="s" s="0">
        <v>81</v>
      </c>
      <c r="AU231" t="s" s="0">
        <v>5670</v>
      </c>
      <c r="AV231" t="s" s="0">
        <v>81</v>
      </c>
      <c r="AW231" t="s" s="0">
        <v>5667</v>
      </c>
      <c r="AX231" t="s" s="0">
        <v>5671</v>
      </c>
      <c r="AY231" t="s" s="0">
        <v>5672</v>
      </c>
      <c r="AZ231" t="s" s="0">
        <v>136</v>
      </c>
      <c r="BA231" t="s" s="0">
        <v>105</v>
      </c>
      <c r="BB231" t="s" s="0">
        <v>225</v>
      </c>
      <c r="BC231" t="s" s="0">
        <v>81</v>
      </c>
      <c r="BD231" t="s" s="0">
        <v>81</v>
      </c>
      <c r="BE231" t="s" s="0">
        <v>81</v>
      </c>
      <c r="BF231" t="s" s="0">
        <v>81</v>
      </c>
      <c r="BG231" t="s" s="0">
        <v>81</v>
      </c>
      <c r="BH231" t="s" s="0">
        <v>81</v>
      </c>
      <c r="BI231" t="s" s="0">
        <v>5673</v>
      </c>
      <c r="BJ231" t="s" s="0">
        <v>5674</v>
      </c>
      <c r="BK231" t="s" s="458">
        <f>HYPERLINK("http://dx.doi.org/10.1371/journal.pone.0328299","http://dx.doi.org/10.1371/journal.pone.0328299")</f>
        <v>5675</v>
      </c>
      <c r="BL231" t="s" s="0">
        <v>81</v>
      </c>
      <c r="BM231" t="s" s="0">
        <v>81</v>
      </c>
      <c r="BN231" t="s" s="0">
        <v>258</v>
      </c>
      <c r="BO231" t="s" s="0">
        <v>285</v>
      </c>
      <c r="BP231" t="s" s="0">
        <v>286</v>
      </c>
      <c r="BQ231" t="s" s="0">
        <v>5676</v>
      </c>
      <c r="BR231" t="s" s="0">
        <v>5677</v>
      </c>
      <c r="BS231" t="s" s="0">
        <v>5678</v>
      </c>
      <c r="BT231" t="s" s="459">
        <f>HYPERLINK("https://www.webofscience.com/wos/woscc/full-record/WOS:001550991300044","View Record in Web of Science")</f>
        <v>114</v>
      </c>
      <c r="BU231" t="s" s="0">
        <v>145</v>
      </c>
      <c r="BV231" t="s" s="0">
        <v>81</v>
      </c>
      <c r="BW231" t="s" s="0">
        <v>81</v>
      </c>
      <c r="BX231" t="s" s="0">
        <v>116</v>
      </c>
    </row>
    <row r="232">
      <c r="A232" t="s" s="0">
        <v>77</v>
      </c>
      <c r="B232" t="s" s="0">
        <v>77</v>
      </c>
      <c r="C232" t="s" s="0">
        <v>77</v>
      </c>
      <c r="D232" t="s" s="0">
        <v>77</v>
      </c>
      <c r="E232" t="s" s="0">
        <v>5679</v>
      </c>
      <c r="F232" t="s" s="0">
        <v>5680</v>
      </c>
      <c r="G232" t="s" s="0">
        <v>5681</v>
      </c>
      <c r="H232" t="s" s="0">
        <v>81</v>
      </c>
      <c r="I232" t="s" s="0">
        <v>82</v>
      </c>
      <c r="J232" t="s" s="0">
        <v>5682</v>
      </c>
      <c r="K232" t="s" s="0">
        <v>5683</v>
      </c>
      <c r="L232" t="s" s="0">
        <v>81</v>
      </c>
      <c r="M232" t="s" s="0">
        <v>81</v>
      </c>
      <c r="N232" t="s" s="0">
        <v>81</v>
      </c>
      <c r="O232" t="s" s="0">
        <v>5684</v>
      </c>
      <c r="P232" t="s" s="0">
        <v>5685</v>
      </c>
      <c r="Q232" t="s" s="0">
        <v>90</v>
      </c>
      <c r="R232" t="s" s="0">
        <v>81</v>
      </c>
      <c r="S232" t="s" s="0">
        <v>81</v>
      </c>
      <c r="T232" t="s" s="0">
        <v>81</v>
      </c>
      <c r="U232" t="s" s="0">
        <v>81</v>
      </c>
      <c r="V232" t="s" s="0">
        <v>5686</v>
      </c>
      <c r="W232" t="s" s="0">
        <v>5687</v>
      </c>
      <c r="X232" t="s" s="0">
        <v>81</v>
      </c>
      <c r="Y232" t="s" s="0">
        <v>81</v>
      </c>
      <c r="Z232" t="s" s="0">
        <v>93</v>
      </c>
      <c r="AA232" t="s" s="0">
        <v>190</v>
      </c>
      <c r="AB232" t="s" s="0">
        <v>81</v>
      </c>
      <c r="AC232" t="s" s="0">
        <v>81</v>
      </c>
      <c r="AD232" t="s" s="0">
        <v>81</v>
      </c>
      <c r="AE232" t="s" s="0">
        <v>81</v>
      </c>
      <c r="AF232" t="s" s="0">
        <v>81</v>
      </c>
      <c r="AG232" t="s" s="0">
        <v>5688</v>
      </c>
      <c r="AH232" t="s" s="0">
        <v>5689</v>
      </c>
      <c r="AI232" t="s" s="0">
        <v>5690</v>
      </c>
      <c r="AJ232" t="s" s="0">
        <v>81</v>
      </c>
      <c r="AK232" t="s" s="0">
        <v>81</v>
      </c>
      <c r="AL232" t="s" s="0">
        <v>172</v>
      </c>
      <c r="AM232" t="s" s="0">
        <v>117</v>
      </c>
      <c r="AN232" t="s" s="0">
        <v>117</v>
      </c>
      <c r="AO232" t="s" s="0">
        <v>227</v>
      </c>
      <c r="AP232" t="s" s="0">
        <v>227</v>
      </c>
      <c r="AQ232" t="s" s="0">
        <v>5691</v>
      </c>
      <c r="AR232" t="s" s="0">
        <v>5692</v>
      </c>
      <c r="AS232" t="s" s="0">
        <v>5693</v>
      </c>
      <c r="AT232" t="s" s="0">
        <v>5694</v>
      </c>
      <c r="AU232" t="s" s="0">
        <v>5695</v>
      </c>
      <c r="AV232" t="s" s="0">
        <v>81</v>
      </c>
      <c r="AW232" t="s" s="0">
        <v>5696</v>
      </c>
      <c r="AX232" t="s" s="0">
        <v>5697</v>
      </c>
      <c r="AY232" t="s" s="0">
        <v>81</v>
      </c>
      <c r="AZ232" t="s" s="0">
        <v>104</v>
      </c>
      <c r="BA232" t="s" s="0">
        <v>81</v>
      </c>
      <c r="BB232" t="s" s="0">
        <v>81</v>
      </c>
      <c r="BC232" t="s" s="0">
        <v>81</v>
      </c>
      <c r="BD232" t="s" s="0">
        <v>81</v>
      </c>
      <c r="BE232" t="s" s="0">
        <v>81</v>
      </c>
      <c r="BF232" t="s" s="0">
        <v>81</v>
      </c>
      <c r="BG232" t="s" s="0">
        <v>81</v>
      </c>
      <c r="BH232" t="s" s="0">
        <v>81</v>
      </c>
      <c r="BI232" t="s" s="0">
        <v>81</v>
      </c>
      <c r="BJ232" t="s" s="0">
        <v>5698</v>
      </c>
      <c r="BK232" t="s" s="460">
        <f>HYPERLINK("http://dx.doi.org/10.1007/s13304-026-02650-6","http://dx.doi.org/10.1007/s13304-026-02650-6")</f>
        <v>5699</v>
      </c>
      <c r="BL232" t="s" s="0">
        <v>81</v>
      </c>
      <c r="BM232" t="s" s="0">
        <v>349</v>
      </c>
      <c r="BN232" t="s" s="0">
        <v>128</v>
      </c>
      <c r="BO232" t="s" s="0">
        <v>2819</v>
      </c>
      <c r="BP232" t="s" s="0">
        <v>2819</v>
      </c>
      <c r="BQ232" t="s" s="0">
        <v>5700</v>
      </c>
      <c r="BR232" t="s" s="0">
        <v>5701</v>
      </c>
      <c r="BS232" t="s" s="0">
        <v>5702</v>
      </c>
      <c r="BT232" t="s" s="461">
        <f>HYPERLINK("https://www.webofscience.com/wos/woscc/full-record/WOS:001752929800001","View Record in Web of Science")</f>
        <v>114</v>
      </c>
      <c r="BU232" t="s" s="0">
        <v>81</v>
      </c>
      <c r="BV232" t="s" s="0">
        <v>81</v>
      </c>
      <c r="BW232" t="s" s="0">
        <v>81</v>
      </c>
      <c r="BX232" t="s" s="0">
        <v>116</v>
      </c>
    </row>
    <row r="233">
      <c r="A233" t="s" s="0">
        <v>77</v>
      </c>
      <c r="B233" t="s" s="0">
        <v>77</v>
      </c>
      <c r="C233" t="s" s="0">
        <v>77</v>
      </c>
      <c r="D233" t="s" s="0">
        <v>77</v>
      </c>
      <c r="E233" t="s" s="0">
        <v>5703</v>
      </c>
      <c r="F233" t="s" s="0">
        <v>5704</v>
      </c>
      <c r="G233" t="s" s="0">
        <v>5705</v>
      </c>
      <c r="H233" t="s" s="0">
        <v>81</v>
      </c>
      <c r="I233" t="s" s="0">
        <v>82</v>
      </c>
      <c r="J233" t="s" s="0">
        <v>5706</v>
      </c>
      <c r="K233" t="s" s="0">
        <v>5707</v>
      </c>
      <c r="L233" t="s" s="0">
        <v>5708</v>
      </c>
      <c r="M233" t="s" s="0">
        <v>5709</v>
      </c>
      <c r="N233" t="s" s="0">
        <v>5710</v>
      </c>
      <c r="O233" t="s" s="0">
        <v>5711</v>
      </c>
      <c r="P233" t="s" s="0">
        <v>5712</v>
      </c>
      <c r="Q233" t="s" s="0">
        <v>90</v>
      </c>
      <c r="R233" t="s" s="0">
        <v>81</v>
      </c>
      <c r="S233" t="s" s="0">
        <v>81</v>
      </c>
      <c r="T233" t="s" s="0">
        <v>81</v>
      </c>
      <c r="U233" t="s" s="0">
        <v>81</v>
      </c>
      <c r="V233" t="s" s="0">
        <v>5713</v>
      </c>
      <c r="W233" t="s" s="0">
        <v>1510</v>
      </c>
      <c r="X233" t="s" s="0">
        <v>81</v>
      </c>
      <c r="Y233" t="s" s="0">
        <v>81</v>
      </c>
      <c r="Z233" t="s" s="0">
        <v>93</v>
      </c>
      <c r="AA233" t="s" s="0">
        <v>94</v>
      </c>
      <c r="AB233" t="s" s="0">
        <v>81</v>
      </c>
      <c r="AC233" t="s" s="0">
        <v>81</v>
      </c>
      <c r="AD233" t="s" s="0">
        <v>81</v>
      </c>
      <c r="AE233" t="s" s="0">
        <v>81</v>
      </c>
      <c r="AF233" t="s" s="0">
        <v>81</v>
      </c>
      <c r="AG233" t="s" s="0">
        <v>5714</v>
      </c>
      <c r="AH233" t="s" s="0">
        <v>5715</v>
      </c>
      <c r="AI233" t="s" s="0">
        <v>5716</v>
      </c>
      <c r="AJ233" t="s" s="0">
        <v>81</v>
      </c>
      <c r="AK233" t="s" s="0">
        <v>81</v>
      </c>
      <c r="AL233" t="s" s="0">
        <v>117</v>
      </c>
      <c r="AM233" t="s" s="0">
        <v>117</v>
      </c>
      <c r="AN233" t="s" s="0">
        <v>117</v>
      </c>
      <c r="AO233" t="s" s="0">
        <v>130</v>
      </c>
      <c r="AP233" t="s" s="0">
        <v>253</v>
      </c>
      <c r="AQ233" t="s" s="0">
        <v>476</v>
      </c>
      <c r="AR233" t="s" s="0">
        <v>477</v>
      </c>
      <c r="AS233" t="s" s="0">
        <v>478</v>
      </c>
      <c r="AT233" t="s" s="0">
        <v>81</v>
      </c>
      <c r="AU233" t="s" s="0">
        <v>1516</v>
      </c>
      <c r="AV233" t="s" s="0">
        <v>81</v>
      </c>
      <c r="AW233" t="s" s="0">
        <v>1510</v>
      </c>
      <c r="AX233" t="s" s="0">
        <v>1517</v>
      </c>
      <c r="AY233" t="s" s="0">
        <v>4476</v>
      </c>
      <c r="AZ233" t="s" s="0">
        <v>104</v>
      </c>
      <c r="BA233" t="s" s="0">
        <v>258</v>
      </c>
      <c r="BB233" t="s" s="0">
        <v>130</v>
      </c>
      <c r="BC233" t="s" s="0">
        <v>81</v>
      </c>
      <c r="BD233" t="s" s="0">
        <v>81</v>
      </c>
      <c r="BE233" t="s" s="0">
        <v>81</v>
      </c>
      <c r="BF233" t="s" s="0">
        <v>81</v>
      </c>
      <c r="BG233" t="s" s="0">
        <v>81</v>
      </c>
      <c r="BH233" t="s" s="0">
        <v>81</v>
      </c>
      <c r="BI233" t="s" s="0">
        <v>5717</v>
      </c>
      <c r="BJ233" t="s" s="0">
        <v>5718</v>
      </c>
      <c r="BK233" t="s" s="462">
        <f>HYPERLINK("http://dx.doi.org/10.3390/cancers18020210","http://dx.doi.org/10.3390/cancers18020210")</f>
        <v>5719</v>
      </c>
      <c r="BL233" t="s" s="0">
        <v>81</v>
      </c>
      <c r="BM233" t="s" s="0">
        <v>81</v>
      </c>
      <c r="BN233" t="s" s="0">
        <v>564</v>
      </c>
      <c r="BO233" t="s" s="0">
        <v>939</v>
      </c>
      <c r="BP233" t="s" s="0">
        <v>939</v>
      </c>
      <c r="BQ233" t="s" s="0">
        <v>5720</v>
      </c>
      <c r="BR233" t="s" s="0">
        <v>5721</v>
      </c>
      <c r="BS233" t="s" s="0">
        <v>5722</v>
      </c>
      <c r="BT233" t="s" s="463">
        <f>HYPERLINK("https://www.webofscience.com/wos/woscc/full-record/WOS:001671995700001","View Record in Web of Science")</f>
        <v>114</v>
      </c>
      <c r="BU233" t="s" s="0">
        <v>145</v>
      </c>
      <c r="BV233" t="s" s="0">
        <v>81</v>
      </c>
      <c r="BW233" t="s" s="0">
        <v>81</v>
      </c>
      <c r="BX233" t="s" s="0">
        <v>116</v>
      </c>
    </row>
    <row r="234">
      <c r="A234" t="s" s="0">
        <v>117</v>
      </c>
      <c r="B234" t="s" s="0">
        <v>77</v>
      </c>
      <c r="C234" t="s" s="0">
        <v>117</v>
      </c>
      <c r="D234" t="s" s="0">
        <v>77</v>
      </c>
      <c r="E234" t="s" s="0">
        <v>5723</v>
      </c>
      <c r="F234" t="s" s="0">
        <v>5724</v>
      </c>
      <c r="G234" t="s" s="0">
        <v>5725</v>
      </c>
      <c r="H234" t="s" s="0">
        <v>81</v>
      </c>
      <c r="I234" t="s" s="0">
        <v>82</v>
      </c>
      <c r="J234" t="s" s="0">
        <v>5726</v>
      </c>
      <c r="K234" t="s" s="0">
        <v>5727</v>
      </c>
      <c r="L234" t="s" s="0">
        <v>5728</v>
      </c>
      <c r="M234" t="s" s="0">
        <v>5729</v>
      </c>
      <c r="N234" t="s" s="0">
        <v>5730</v>
      </c>
      <c r="O234" t="s" s="0">
        <v>5731</v>
      </c>
      <c r="P234" t="s" s="0">
        <v>5732</v>
      </c>
      <c r="Q234" t="s" s="0">
        <v>90</v>
      </c>
      <c r="R234" t="s" s="0">
        <v>81</v>
      </c>
      <c r="S234" t="s" s="0">
        <v>81</v>
      </c>
      <c r="T234" t="s" s="0">
        <v>81</v>
      </c>
      <c r="U234" t="s" s="0">
        <v>81</v>
      </c>
      <c r="V234" t="s" s="0">
        <v>5733</v>
      </c>
      <c r="W234" t="s" s="0">
        <v>5734</v>
      </c>
      <c r="X234" t="s" s="0">
        <v>81</v>
      </c>
      <c r="Y234" t="s" s="0">
        <v>81</v>
      </c>
      <c r="Z234" t="s" s="0">
        <v>93</v>
      </c>
      <c r="AA234" t="s" s="0">
        <v>94</v>
      </c>
      <c r="AB234" t="s" s="0">
        <v>81</v>
      </c>
      <c r="AC234" t="s" s="0">
        <v>81</v>
      </c>
      <c r="AD234" t="s" s="0">
        <v>81</v>
      </c>
      <c r="AE234" t="s" s="0">
        <v>81</v>
      </c>
      <c r="AF234" t="s" s="0">
        <v>81</v>
      </c>
      <c r="AG234" t="s" s="0">
        <v>5735</v>
      </c>
      <c r="AH234" t="s" s="0">
        <v>5736</v>
      </c>
      <c r="AI234" t="s" s="0">
        <v>81</v>
      </c>
      <c r="AJ234" t="s" s="0">
        <v>5737</v>
      </c>
      <c r="AK234" t="s" s="0">
        <v>81</v>
      </c>
      <c r="AL234" t="s" s="0">
        <v>1346</v>
      </c>
      <c r="AM234" t="s" s="0">
        <v>225</v>
      </c>
      <c r="AN234" t="s" s="0">
        <v>128</v>
      </c>
      <c r="AO234" t="s" s="0">
        <v>117</v>
      </c>
      <c r="AP234" t="s" s="0">
        <v>253</v>
      </c>
      <c r="AQ234" t="s" s="0">
        <v>406</v>
      </c>
      <c r="AR234" t="s" s="0">
        <v>407</v>
      </c>
      <c r="AS234" t="s" s="0">
        <v>408</v>
      </c>
      <c r="AT234" t="s" s="0">
        <v>81</v>
      </c>
      <c r="AU234" t="s" s="0">
        <v>5738</v>
      </c>
      <c r="AV234" t="s" s="0">
        <v>81</v>
      </c>
      <c r="AW234" t="s" s="0">
        <v>5734</v>
      </c>
      <c r="AX234" t="s" s="0">
        <v>5739</v>
      </c>
      <c r="AY234" t="s" s="0">
        <v>413</v>
      </c>
      <c r="AZ234" t="s" s="0">
        <v>136</v>
      </c>
      <c r="BA234" t="s" s="0">
        <v>5740</v>
      </c>
      <c r="BB234" t="s" s="0">
        <v>81</v>
      </c>
      <c r="BC234" t="s" s="0">
        <v>81</v>
      </c>
      <c r="BD234" t="s" s="0">
        <v>81</v>
      </c>
      <c r="BE234" t="s" s="0">
        <v>81</v>
      </c>
      <c r="BF234" t="s" s="0">
        <v>81</v>
      </c>
      <c r="BG234" t="s" s="0">
        <v>81</v>
      </c>
      <c r="BH234" t="s" s="0">
        <v>81</v>
      </c>
      <c r="BI234" t="s" s="0">
        <v>5741</v>
      </c>
      <c r="BJ234" t="s" s="0">
        <v>5742</v>
      </c>
      <c r="BK234" t="s" s="464">
        <f>HYPERLINK("http://dx.doi.org/10.1016/j.eclinm.2025.103252","http://dx.doi.org/10.1016/j.eclinm.2025.103252")</f>
        <v>5743</v>
      </c>
      <c r="BL234" t="s" s="0">
        <v>81</v>
      </c>
      <c r="BM234" t="s" s="0">
        <v>636</v>
      </c>
      <c r="BN234" t="s" s="0">
        <v>204</v>
      </c>
      <c r="BO234" t="s" s="0">
        <v>486</v>
      </c>
      <c r="BP234" t="s" s="0">
        <v>487</v>
      </c>
      <c r="BQ234" t="s" s="0">
        <v>5744</v>
      </c>
      <c r="BR234" t="s" s="0">
        <v>5745</v>
      </c>
      <c r="BS234" t="s" s="0">
        <v>5746</v>
      </c>
      <c r="BT234" t="s" s="465">
        <f>HYPERLINK("https://www.webofscience.com/wos/woscc/full-record/WOS:001499528000002","View Record in Web of Science")</f>
        <v>114</v>
      </c>
      <c r="BU234" t="s" s="0">
        <v>145</v>
      </c>
      <c r="BV234" t="s" s="0">
        <v>81</v>
      </c>
      <c r="BW234" t="s" s="0">
        <v>81</v>
      </c>
      <c r="BX234" t="s" s="0">
        <v>116</v>
      </c>
    </row>
    <row r="235">
      <c r="A235" t="s" s="0">
        <v>130</v>
      </c>
      <c r="B235" t="s" s="0">
        <v>77</v>
      </c>
      <c r="C235" t="s" s="0">
        <v>161</v>
      </c>
      <c r="D235" t="s" s="0">
        <v>77</v>
      </c>
      <c r="E235" t="s" s="0">
        <v>5747</v>
      </c>
      <c r="F235" t="s" s="0">
        <v>5748</v>
      </c>
      <c r="G235" t="s" s="0">
        <v>5749</v>
      </c>
      <c r="H235" t="s" s="0">
        <v>81</v>
      </c>
      <c r="I235" t="s" s="0">
        <v>82</v>
      </c>
      <c r="J235" t="s" s="0">
        <v>5750</v>
      </c>
      <c r="K235" t="s" s="0">
        <v>5751</v>
      </c>
      <c r="L235" t="s" s="0">
        <v>5752</v>
      </c>
      <c r="M235" t="s" s="0">
        <v>5753</v>
      </c>
      <c r="N235" t="s" s="0">
        <v>5754</v>
      </c>
      <c r="O235" t="s" s="0">
        <v>5755</v>
      </c>
      <c r="P235" t="s" s="0">
        <v>5756</v>
      </c>
      <c r="Q235" t="s" s="0">
        <v>90</v>
      </c>
      <c r="R235" t="s" s="0">
        <v>81</v>
      </c>
      <c r="S235" t="s" s="0">
        <v>81</v>
      </c>
      <c r="T235" t="s" s="0">
        <v>81</v>
      </c>
      <c r="U235" t="s" s="0">
        <v>81</v>
      </c>
      <c r="V235" t="s" s="0">
        <v>5757</v>
      </c>
      <c r="W235" t="s" s="0">
        <v>5758</v>
      </c>
      <c r="X235" t="s" s="0">
        <v>81</v>
      </c>
      <c r="Y235" t="s" s="0">
        <v>81</v>
      </c>
      <c r="Z235" t="s" s="0">
        <v>93</v>
      </c>
      <c r="AA235" t="s" s="0">
        <v>94</v>
      </c>
      <c r="AB235" t="s" s="0">
        <v>81</v>
      </c>
      <c r="AC235" t="s" s="0">
        <v>81</v>
      </c>
      <c r="AD235" t="s" s="0">
        <v>81</v>
      </c>
      <c r="AE235" t="s" s="0">
        <v>81</v>
      </c>
      <c r="AF235" t="s" s="0">
        <v>81</v>
      </c>
      <c r="AG235" t="s" s="0">
        <v>81</v>
      </c>
      <c r="AH235" t="s" s="0">
        <v>5759</v>
      </c>
      <c r="AI235" t="s" s="0">
        <v>5760</v>
      </c>
      <c r="AJ235" t="s" s="0">
        <v>5761</v>
      </c>
      <c r="AK235" t="s" s="0">
        <v>81</v>
      </c>
      <c r="AL235" t="s" s="0">
        <v>405</v>
      </c>
      <c r="AM235" t="s" s="0">
        <v>109</v>
      </c>
      <c r="AN235" t="s" s="0">
        <v>318</v>
      </c>
      <c r="AO235" t="s" s="0">
        <v>131</v>
      </c>
      <c r="AP235" t="s" s="0">
        <v>1515</v>
      </c>
      <c r="AQ235" t="s" s="0">
        <v>708</v>
      </c>
      <c r="AR235" t="s" s="0">
        <v>709</v>
      </c>
      <c r="AS235" t="s" s="0">
        <v>710</v>
      </c>
      <c r="AT235" t="s" s="0">
        <v>5762</v>
      </c>
      <c r="AU235" t="s" s="0">
        <v>5763</v>
      </c>
      <c r="AV235" t="s" s="0">
        <v>81</v>
      </c>
      <c r="AW235" t="s" s="0">
        <v>5764</v>
      </c>
      <c r="AX235" t="s" s="0">
        <v>5765</v>
      </c>
      <c r="AY235" t="s" s="0">
        <v>2231</v>
      </c>
      <c r="AZ235" t="s" s="0">
        <v>573</v>
      </c>
      <c r="BA235" t="s" s="0">
        <v>1900</v>
      </c>
      <c r="BB235" t="s" s="0">
        <v>226</v>
      </c>
      <c r="BC235" t="s" s="0">
        <v>773</v>
      </c>
      <c r="BD235" t="s" s="0">
        <v>81</v>
      </c>
      <c r="BE235" t="s" s="0">
        <v>81</v>
      </c>
      <c r="BF235" t="s" s="0">
        <v>81</v>
      </c>
      <c r="BG235" t="s" s="0">
        <v>5766</v>
      </c>
      <c r="BH235" t="s" s="0">
        <v>5767</v>
      </c>
      <c r="BI235" t="s" s="0">
        <v>81</v>
      </c>
      <c r="BJ235" t="s" s="0">
        <v>5768</v>
      </c>
      <c r="BK235" t="s" s="466">
        <f>HYPERLINK("http://dx.doi.org/10.1111/jdv.20031","http://dx.doi.org/10.1111/jdv.20031")</f>
        <v>5769</v>
      </c>
      <c r="BL235" t="s" s="0">
        <v>81</v>
      </c>
      <c r="BM235" t="s" s="0">
        <v>1651</v>
      </c>
      <c r="BN235" t="s" s="0">
        <v>226</v>
      </c>
      <c r="BO235" t="s" s="0">
        <v>5770</v>
      </c>
      <c r="BP235" t="s" s="0">
        <v>5770</v>
      </c>
      <c r="BQ235" t="s" s="0">
        <v>5771</v>
      </c>
      <c r="BR235" t="s" s="0">
        <v>5772</v>
      </c>
      <c r="BS235" t="s" s="0">
        <v>5773</v>
      </c>
      <c r="BT235" t="s" s="467">
        <f>HYPERLINK("https://www.webofscience.com/wos/woscc/full-record/WOS:001202572100001","View Record in Web of Science")</f>
        <v>114</v>
      </c>
      <c r="BU235" t="s" s="0">
        <v>5774</v>
      </c>
      <c r="BV235" t="s" s="0">
        <v>81</v>
      </c>
      <c r="BW235" t="s" s="0">
        <v>81</v>
      </c>
      <c r="BX235" t="s" s="0">
        <v>116</v>
      </c>
    </row>
    <row r="236">
      <c r="A236" t="s" s="0">
        <v>77</v>
      </c>
      <c r="B236" t="s" s="0">
        <v>77</v>
      </c>
      <c r="C236" t="s" s="0">
        <v>77</v>
      </c>
      <c r="D236" t="s" s="0">
        <v>77</v>
      </c>
      <c r="E236" t="s" s="0">
        <v>5775</v>
      </c>
      <c r="F236" t="s" s="0">
        <v>5776</v>
      </c>
      <c r="G236" t="s" s="0">
        <v>5777</v>
      </c>
      <c r="H236" t="s" s="0">
        <v>81</v>
      </c>
      <c r="I236" t="s" s="0">
        <v>82</v>
      </c>
      <c r="J236" t="s" s="0">
        <v>5778</v>
      </c>
      <c r="K236" t="s" s="0">
        <v>5779</v>
      </c>
      <c r="L236" t="s" s="0">
        <v>5780</v>
      </c>
      <c r="M236" t="s" s="0">
        <v>5781</v>
      </c>
      <c r="N236" t="s" s="0">
        <v>5782</v>
      </c>
      <c r="O236" t="s" s="0">
        <v>5783</v>
      </c>
      <c r="P236" t="s" s="0">
        <v>5784</v>
      </c>
      <c r="Q236" t="s" s="0">
        <v>90</v>
      </c>
      <c r="R236" t="s" s="0">
        <v>81</v>
      </c>
      <c r="S236" t="s" s="0">
        <v>81</v>
      </c>
      <c r="T236" t="s" s="0">
        <v>81</v>
      </c>
      <c r="U236" t="s" s="0">
        <v>81</v>
      </c>
      <c r="V236" t="s" s="0">
        <v>5785</v>
      </c>
      <c r="W236" t="s" s="0">
        <v>2142</v>
      </c>
      <c r="X236" t="s" s="0">
        <v>81</v>
      </c>
      <c r="Y236" t="s" s="0">
        <v>81</v>
      </c>
      <c r="Z236" t="s" s="0">
        <v>93</v>
      </c>
      <c r="AA236" t="s" s="0">
        <v>190</v>
      </c>
      <c r="AB236" t="s" s="0">
        <v>81</v>
      </c>
      <c r="AC236" t="s" s="0">
        <v>81</v>
      </c>
      <c r="AD236" t="s" s="0">
        <v>81</v>
      </c>
      <c r="AE236" t="s" s="0">
        <v>81</v>
      </c>
      <c r="AF236" t="s" s="0">
        <v>81</v>
      </c>
      <c r="AG236" t="s" s="0">
        <v>5786</v>
      </c>
      <c r="AH236" t="s" s="0">
        <v>5787</v>
      </c>
      <c r="AI236" t="s" s="0">
        <v>81</v>
      </c>
      <c r="AJ236" t="s" s="0">
        <v>81</v>
      </c>
      <c r="AK236" t="s" s="0">
        <v>81</v>
      </c>
      <c r="AL236" t="s" s="0">
        <v>1487</v>
      </c>
      <c r="AM236" t="s" s="0">
        <v>77</v>
      </c>
      <c r="AN236" t="s" s="0">
        <v>77</v>
      </c>
      <c r="AO236" t="s" s="0">
        <v>117</v>
      </c>
      <c r="AP236" t="s" s="0">
        <v>117</v>
      </c>
      <c r="AQ236" t="s" s="0">
        <v>370</v>
      </c>
      <c r="AR236" t="s" s="0">
        <v>1099</v>
      </c>
      <c r="AS236" t="s" s="0">
        <v>1873</v>
      </c>
      <c r="AT236" t="s" s="0">
        <v>2147</v>
      </c>
      <c r="AU236" t="s" s="0">
        <v>2148</v>
      </c>
      <c r="AV236" t="s" s="0">
        <v>81</v>
      </c>
      <c r="AW236" t="s" s="0">
        <v>2149</v>
      </c>
      <c r="AX236" t="s" s="0">
        <v>2150</v>
      </c>
      <c r="AY236" t="s" s="0">
        <v>81</v>
      </c>
      <c r="AZ236" t="s" s="0">
        <v>104</v>
      </c>
      <c r="BA236" t="s" s="0">
        <v>81</v>
      </c>
      <c r="BB236" t="s" s="0">
        <v>81</v>
      </c>
      <c r="BC236" t="s" s="0">
        <v>81</v>
      </c>
      <c r="BD236" t="s" s="0">
        <v>81</v>
      </c>
      <c r="BE236" t="s" s="0">
        <v>81</v>
      </c>
      <c r="BF236" t="s" s="0">
        <v>81</v>
      </c>
      <c r="BG236" t="s" s="0">
        <v>81</v>
      </c>
      <c r="BH236" t="s" s="0">
        <v>81</v>
      </c>
      <c r="BI236" t="s" s="0">
        <v>81</v>
      </c>
      <c r="BJ236" t="s" s="0">
        <v>5788</v>
      </c>
      <c r="BK236" t="s" s="468">
        <f>HYPERLINK("http://dx.doi.org/10.1007/s00261-026-05672-1","http://dx.doi.org/10.1007/s00261-026-05672-1")</f>
        <v>5789</v>
      </c>
      <c r="BL236" t="s" s="0">
        <v>81</v>
      </c>
      <c r="BM236" t="s" s="0">
        <v>317</v>
      </c>
      <c r="BN236" t="s" s="0">
        <v>228</v>
      </c>
      <c r="BO236" t="s" s="0">
        <v>1881</v>
      </c>
      <c r="BP236" t="s" s="0">
        <v>1881</v>
      </c>
      <c r="BQ236" t="s" s="0">
        <v>5790</v>
      </c>
      <c r="BR236" t="s" s="0">
        <v>5791</v>
      </c>
      <c r="BS236" t="s" s="0">
        <v>5792</v>
      </c>
      <c r="BT236" t="s" s="469">
        <f>HYPERLINK("https://www.webofscience.com/wos/woscc/full-record/WOS:001830929800001","View Record in Web of Science")</f>
        <v>114</v>
      </c>
      <c r="BU236" t="s" s="0">
        <v>81</v>
      </c>
      <c r="BV236" t="s" s="0">
        <v>81</v>
      </c>
      <c r="BW236" t="s" s="0">
        <v>81</v>
      </c>
      <c r="BX236" t="s" s="0">
        <v>116</v>
      </c>
    </row>
    <row r="237">
      <c r="A237" t="s" s="0">
        <v>77</v>
      </c>
      <c r="B237" t="s" s="0">
        <v>77</v>
      </c>
      <c r="C237" t="s" s="0">
        <v>77</v>
      </c>
      <c r="D237" t="s" s="0">
        <v>77</v>
      </c>
      <c r="E237" t="s" s="0">
        <v>5793</v>
      </c>
      <c r="F237" t="s" s="0">
        <v>5794</v>
      </c>
      <c r="G237" t="s" s="0">
        <v>5795</v>
      </c>
      <c r="H237" t="s" s="0">
        <v>81</v>
      </c>
      <c r="I237" t="s" s="0">
        <v>82</v>
      </c>
      <c r="J237" t="s" s="0">
        <v>5796</v>
      </c>
      <c r="K237" t="s" s="0">
        <v>5797</v>
      </c>
      <c r="L237" t="s" s="0">
        <v>81</v>
      </c>
      <c r="M237" t="s" s="0">
        <v>81</v>
      </c>
      <c r="N237" t="s" s="0">
        <v>81</v>
      </c>
      <c r="O237" t="s" s="0">
        <v>5798</v>
      </c>
      <c r="P237" t="s" s="0">
        <v>5799</v>
      </c>
      <c r="Q237" t="s" s="0">
        <v>90</v>
      </c>
      <c r="R237" t="s" s="0">
        <v>81</v>
      </c>
      <c r="S237" t="s" s="0">
        <v>81</v>
      </c>
      <c r="T237" t="s" s="0">
        <v>81</v>
      </c>
      <c r="U237" t="s" s="0">
        <v>81</v>
      </c>
      <c r="V237" t="s" s="0">
        <v>5800</v>
      </c>
      <c r="W237" t="s" s="0">
        <v>5801</v>
      </c>
      <c r="X237" t="s" s="0">
        <v>81</v>
      </c>
      <c r="Y237" t="s" s="0">
        <v>81</v>
      </c>
      <c r="Z237" t="s" s="0">
        <v>93</v>
      </c>
      <c r="AA237" t="s" s="0">
        <v>94</v>
      </c>
      <c r="AB237" t="s" s="0">
        <v>81</v>
      </c>
      <c r="AC237" t="s" s="0">
        <v>81</v>
      </c>
      <c r="AD237" t="s" s="0">
        <v>81</v>
      </c>
      <c r="AE237" t="s" s="0">
        <v>81</v>
      </c>
      <c r="AF237" t="s" s="0">
        <v>81</v>
      </c>
      <c r="AG237" t="s" s="0">
        <v>5802</v>
      </c>
      <c r="AH237" t="s" s="0">
        <v>5803</v>
      </c>
      <c r="AI237" t="s" s="0">
        <v>81</v>
      </c>
      <c r="AJ237" t="s" s="0">
        <v>81</v>
      </c>
      <c r="AK237" t="s" s="0">
        <v>81</v>
      </c>
      <c r="AL237" t="s" s="0">
        <v>798</v>
      </c>
      <c r="AM237" t="s" s="0">
        <v>77</v>
      </c>
      <c r="AN237" t="s" s="0">
        <v>77</v>
      </c>
      <c r="AO237" t="s" s="0">
        <v>130</v>
      </c>
      <c r="AP237" t="s" s="0">
        <v>130</v>
      </c>
      <c r="AQ237" t="s" s="0">
        <v>338</v>
      </c>
      <c r="AR237" t="s" s="0">
        <v>339</v>
      </c>
      <c r="AS237" t="s" s="0">
        <v>340</v>
      </c>
      <c r="AT237" t="s" s="0">
        <v>5804</v>
      </c>
      <c r="AU237" t="s" s="0">
        <v>81</v>
      </c>
      <c r="AV237" t="s" s="0">
        <v>81</v>
      </c>
      <c r="AW237" t="s" s="0">
        <v>5805</v>
      </c>
      <c r="AX237" t="s" s="0">
        <v>5806</v>
      </c>
      <c r="AY237" t="s" s="0">
        <v>5807</v>
      </c>
      <c r="AZ237" t="s" s="0">
        <v>104</v>
      </c>
      <c r="BA237" t="s" s="0">
        <v>345</v>
      </c>
      <c r="BB237" t="s" s="0">
        <v>117</v>
      </c>
      <c r="BC237" t="s" s="0">
        <v>81</v>
      </c>
      <c r="BD237" t="s" s="0">
        <v>81</v>
      </c>
      <c r="BE237" t="s" s="0">
        <v>81</v>
      </c>
      <c r="BF237" t="s" s="0">
        <v>81</v>
      </c>
      <c r="BG237" t="s" s="0">
        <v>81</v>
      </c>
      <c r="BH237" t="s" s="0">
        <v>81</v>
      </c>
      <c r="BI237" t="s" s="0">
        <v>5808</v>
      </c>
      <c r="BJ237" t="s" s="0">
        <v>5809</v>
      </c>
      <c r="BK237" t="s" s="470">
        <f>HYPERLINK("http://dx.doi.org/10.1186/s12880-026-02192-8","http://dx.doi.org/10.1186/s12880-026-02192-8")</f>
        <v>5810</v>
      </c>
      <c r="BL237" t="s" s="0">
        <v>81</v>
      </c>
      <c r="BM237" t="s" s="0">
        <v>81</v>
      </c>
      <c r="BN237" t="s" s="0">
        <v>563</v>
      </c>
      <c r="BO237" t="s" s="0">
        <v>1881</v>
      </c>
      <c r="BP237" t="s" s="0">
        <v>1881</v>
      </c>
      <c r="BQ237" t="s" s="0">
        <v>5811</v>
      </c>
      <c r="BR237" t="s" s="0">
        <v>5812</v>
      </c>
      <c r="BS237" t="s" s="0">
        <v>5813</v>
      </c>
      <c r="BT237" t="s" s="471">
        <f>HYPERLINK("https://www.webofscience.com/wos/woscc/full-record/WOS:001696987900001","View Record in Web of Science")</f>
        <v>114</v>
      </c>
      <c r="BU237" t="s" s="0">
        <v>145</v>
      </c>
      <c r="BV237" t="s" s="0">
        <v>81</v>
      </c>
      <c r="BW237" t="s" s="0">
        <v>81</v>
      </c>
      <c r="BX237" t="s" s="0">
        <v>116</v>
      </c>
    </row>
    <row r="238">
      <c r="A238" t="s" s="0">
        <v>77</v>
      </c>
      <c r="B238" t="s" s="0">
        <v>77</v>
      </c>
      <c r="C238" t="s" s="0">
        <v>227</v>
      </c>
      <c r="D238" t="s" s="0">
        <v>77</v>
      </c>
      <c r="E238" t="s" s="0">
        <v>5814</v>
      </c>
      <c r="F238" t="s" s="0">
        <v>5815</v>
      </c>
      <c r="G238" t="s" s="0">
        <v>5816</v>
      </c>
      <c r="H238" t="s" s="0">
        <v>81</v>
      </c>
      <c r="I238" t="s" s="0">
        <v>82</v>
      </c>
      <c r="J238" t="s" s="0">
        <v>5817</v>
      </c>
      <c r="K238" t="s" s="0">
        <v>5818</v>
      </c>
      <c r="L238" t="s" s="0">
        <v>5819</v>
      </c>
      <c r="M238" t="s" s="0">
        <v>5820</v>
      </c>
      <c r="N238" t="s" s="0">
        <v>5821</v>
      </c>
      <c r="O238" t="s" s="0">
        <v>5822</v>
      </c>
      <c r="P238" t="s" s="0">
        <v>5823</v>
      </c>
      <c r="Q238" t="s" s="0">
        <v>90</v>
      </c>
      <c r="R238" t="s" s="0">
        <v>81</v>
      </c>
      <c r="S238" t="s" s="0">
        <v>81</v>
      </c>
      <c r="T238" t="s" s="0">
        <v>81</v>
      </c>
      <c r="U238" t="s" s="0">
        <v>81</v>
      </c>
      <c r="V238" t="s" s="0">
        <v>5824</v>
      </c>
      <c r="W238" t="s" s="0">
        <v>154</v>
      </c>
      <c r="X238" t="s" s="0">
        <v>81</v>
      </c>
      <c r="Y238" t="s" s="0">
        <v>81</v>
      </c>
      <c r="Z238" t="s" s="0">
        <v>93</v>
      </c>
      <c r="AA238" t="s" s="0">
        <v>94</v>
      </c>
      <c r="AB238" t="s" s="0">
        <v>81</v>
      </c>
      <c r="AC238" t="s" s="0">
        <v>81</v>
      </c>
      <c r="AD238" t="s" s="0">
        <v>81</v>
      </c>
      <c r="AE238" t="s" s="0">
        <v>81</v>
      </c>
      <c r="AF238" t="s" s="0">
        <v>81</v>
      </c>
      <c r="AG238" t="s" s="0">
        <v>5825</v>
      </c>
      <c r="AH238" t="s" s="0">
        <v>5826</v>
      </c>
      <c r="AI238" t="s" s="0">
        <v>5827</v>
      </c>
      <c r="AJ238" t="s" s="0">
        <v>5828</v>
      </c>
      <c r="AK238" t="s" s="0">
        <v>81</v>
      </c>
      <c r="AL238" t="s" s="0">
        <v>706</v>
      </c>
      <c r="AM238" t="s" s="0">
        <v>129</v>
      </c>
      <c r="AN238" t="s" s="0">
        <v>228</v>
      </c>
      <c r="AO238" t="s" s="0">
        <v>77</v>
      </c>
      <c r="AP238" t="s" s="0">
        <v>204</v>
      </c>
      <c r="AQ238" t="s" s="0">
        <v>162</v>
      </c>
      <c r="AR238" t="s" s="0">
        <v>163</v>
      </c>
      <c r="AS238" t="s" s="0">
        <v>164</v>
      </c>
      <c r="AT238" t="s" s="0">
        <v>165</v>
      </c>
      <c r="AU238" t="s" s="0">
        <v>81</v>
      </c>
      <c r="AV238" t="s" s="0">
        <v>81</v>
      </c>
      <c r="AW238" t="s" s="0">
        <v>154</v>
      </c>
      <c r="AX238" t="s" s="0">
        <v>166</v>
      </c>
      <c r="AY238" t="s" s="0">
        <v>1519</v>
      </c>
      <c r="AZ238" t="s" s="0">
        <v>1519</v>
      </c>
      <c r="BA238" t="s" s="0">
        <v>204</v>
      </c>
      <c r="BB238" t="s" s="0">
        <v>81</v>
      </c>
      <c r="BC238" t="s" s="0">
        <v>81</v>
      </c>
      <c r="BD238" t="s" s="0">
        <v>81</v>
      </c>
      <c r="BE238" t="s" s="0">
        <v>81</v>
      </c>
      <c r="BF238" t="s" s="0">
        <v>81</v>
      </c>
      <c r="BG238" t="s" s="0">
        <v>5829</v>
      </c>
      <c r="BH238" t="s" s="0">
        <v>5830</v>
      </c>
      <c r="BI238" t="s" s="0">
        <v>81</v>
      </c>
      <c r="BJ238" t="s" s="0">
        <v>5831</v>
      </c>
      <c r="BK238" t="s" s="472">
        <f>HYPERLINK("http://dx.doi.org/10.1109/ACCESS.2023.3248065","http://dx.doi.org/10.1109/ACCESS.2023.3248065")</f>
        <v>5832</v>
      </c>
      <c r="BL238" t="s" s="0">
        <v>81</v>
      </c>
      <c r="BM238" t="s" s="0">
        <v>81</v>
      </c>
      <c r="BN238" t="s" s="0">
        <v>129</v>
      </c>
      <c r="BO238" t="s" s="0">
        <v>173</v>
      </c>
      <c r="BP238" t="s" s="0">
        <v>174</v>
      </c>
      <c r="BQ238" t="s" s="0">
        <v>5833</v>
      </c>
      <c r="BR238" t="s" s="0">
        <v>81</v>
      </c>
      <c r="BS238" t="s" s="0">
        <v>5834</v>
      </c>
      <c r="BT238" t="s" s="473">
        <f>HYPERLINK("https://www.webofscience.com/wos/woscc/full-record/WOS:000942231000001","View Record in Web of Science")</f>
        <v>114</v>
      </c>
      <c r="BU238" t="s" s="0">
        <v>145</v>
      </c>
      <c r="BV238" t="s" s="0">
        <v>81</v>
      </c>
      <c r="BW238" t="s" s="0">
        <v>81</v>
      </c>
      <c r="BX238" t="s" s="0">
        <v>116</v>
      </c>
    </row>
    <row r="239">
      <c r="A239" t="s" s="0">
        <v>77</v>
      </c>
      <c r="B239" t="s" s="0">
        <v>77</v>
      </c>
      <c r="C239" t="s" s="0">
        <v>117</v>
      </c>
      <c r="D239" t="s" s="0">
        <v>77</v>
      </c>
      <c r="E239" t="s" s="0">
        <v>5835</v>
      </c>
      <c r="F239" t="s" s="0">
        <v>5836</v>
      </c>
      <c r="G239" t="s" s="0">
        <v>5837</v>
      </c>
      <c r="H239" t="s" s="0">
        <v>81</v>
      </c>
      <c r="I239" t="s" s="0">
        <v>213</v>
      </c>
      <c r="J239" t="s" s="0">
        <v>5838</v>
      </c>
      <c r="K239" t="s" s="0">
        <v>5839</v>
      </c>
      <c r="L239" t="s" s="0">
        <v>5840</v>
      </c>
      <c r="M239" t="s" s="0">
        <v>5841</v>
      </c>
      <c r="N239" t="s" s="0">
        <v>5842</v>
      </c>
      <c r="O239" t="s" s="0">
        <v>5843</v>
      </c>
      <c r="P239" t="s" s="0">
        <v>5844</v>
      </c>
      <c r="Q239" t="s" s="0">
        <v>90</v>
      </c>
      <c r="R239" t="s" s="0">
        <v>81</v>
      </c>
      <c r="S239" t="s" s="0">
        <v>81</v>
      </c>
      <c r="T239" t="s" s="0">
        <v>81</v>
      </c>
      <c r="U239" t="s" s="0">
        <v>81</v>
      </c>
      <c r="V239" t="s" s="0">
        <v>5845</v>
      </c>
      <c r="W239" t="s" s="0">
        <v>2740</v>
      </c>
      <c r="X239" t="s" s="0">
        <v>81</v>
      </c>
      <c r="Y239" t="s" s="0">
        <v>81</v>
      </c>
      <c r="Z239" t="s" s="0">
        <v>93</v>
      </c>
      <c r="AA239" t="s" s="0">
        <v>94</v>
      </c>
      <c r="AB239" t="s" s="0">
        <v>81</v>
      </c>
      <c r="AC239" t="s" s="0">
        <v>81</v>
      </c>
      <c r="AD239" t="s" s="0">
        <v>81</v>
      </c>
      <c r="AE239" t="s" s="0">
        <v>81</v>
      </c>
      <c r="AF239" t="s" s="0">
        <v>81</v>
      </c>
      <c r="AG239" t="s" s="0">
        <v>5846</v>
      </c>
      <c r="AH239" t="s" s="0">
        <v>5847</v>
      </c>
      <c r="AI239" t="s" s="0">
        <v>5848</v>
      </c>
      <c r="AJ239" t="s" s="0">
        <v>5849</v>
      </c>
      <c r="AK239" t="s" s="0">
        <v>81</v>
      </c>
      <c r="AL239" t="s" s="0">
        <v>252</v>
      </c>
      <c r="AM239" t="s" s="0">
        <v>160</v>
      </c>
      <c r="AN239" t="s" s="0">
        <v>160</v>
      </c>
      <c r="AO239" t="s" s="0">
        <v>117</v>
      </c>
      <c r="AP239" t="s" s="0">
        <v>130</v>
      </c>
      <c r="AQ239" t="s" s="0">
        <v>708</v>
      </c>
      <c r="AR239" t="s" s="0">
        <v>709</v>
      </c>
      <c r="AS239" t="s" s="0">
        <v>710</v>
      </c>
      <c r="AT239" t="s" s="0">
        <v>2743</v>
      </c>
      <c r="AU239" t="s" s="0">
        <v>2744</v>
      </c>
      <c r="AV239" t="s" s="0">
        <v>81</v>
      </c>
      <c r="AW239" t="s" s="0">
        <v>2745</v>
      </c>
      <c r="AX239" t="s" s="0">
        <v>2746</v>
      </c>
      <c r="AY239" t="s" s="0">
        <v>2583</v>
      </c>
      <c r="AZ239" t="s" s="0">
        <v>104</v>
      </c>
      <c r="BA239" t="s" s="0">
        <v>161</v>
      </c>
      <c r="BB239" t="s" s="0">
        <v>117</v>
      </c>
      <c r="BC239" t="s" s="0">
        <v>81</v>
      </c>
      <c r="BD239" t="s" s="0">
        <v>81</v>
      </c>
      <c r="BE239" t="s" s="0">
        <v>81</v>
      </c>
      <c r="BF239" t="s" s="0">
        <v>81</v>
      </c>
      <c r="BG239" t="s" s="0">
        <v>81</v>
      </c>
      <c r="BH239" t="s" s="0">
        <v>81</v>
      </c>
      <c r="BI239" t="s" s="0">
        <v>5850</v>
      </c>
      <c r="BJ239" t="s" s="0">
        <v>5851</v>
      </c>
      <c r="BK239" t="s" s="474">
        <f>HYPERLINK("http://dx.doi.org/10.1002/VIW.20250157","http://dx.doi.org/10.1002/VIW.20250157")</f>
        <v>5852</v>
      </c>
      <c r="BL239" t="s" s="0">
        <v>81</v>
      </c>
      <c r="BM239" t="s" s="0">
        <v>450</v>
      </c>
      <c r="BN239" t="s" s="0">
        <v>172</v>
      </c>
      <c r="BO239" t="s" s="0">
        <v>2749</v>
      </c>
      <c r="BP239" t="s" s="0">
        <v>2750</v>
      </c>
      <c r="BQ239" t="s" s="0">
        <v>5853</v>
      </c>
      <c r="BR239" t="s" s="0">
        <v>81</v>
      </c>
      <c r="BS239" t="s" s="0">
        <v>5854</v>
      </c>
      <c r="BT239" t="s" s="475">
        <f>HYPERLINK("https://www.webofscience.com/wos/woscc/full-record/WOS:001625246800001","View Record in Web of Science")</f>
        <v>114</v>
      </c>
      <c r="BU239" t="s" s="0">
        <v>145</v>
      </c>
      <c r="BV239" t="s" s="0">
        <v>81</v>
      </c>
      <c r="BW239" t="s" s="0">
        <v>81</v>
      </c>
      <c r="BX239" t="s" s="0">
        <v>116</v>
      </c>
    </row>
    <row r="240">
      <c r="A240" t="s" s="0">
        <v>77</v>
      </c>
      <c r="B240" t="s" s="0">
        <v>77</v>
      </c>
      <c r="C240" t="s" s="0">
        <v>227</v>
      </c>
      <c r="D240" t="s" s="0">
        <v>77</v>
      </c>
      <c r="E240" t="s" s="0">
        <v>5855</v>
      </c>
      <c r="F240" t="s" s="0">
        <v>5856</v>
      </c>
      <c r="G240" t="s" s="0">
        <v>5857</v>
      </c>
      <c r="H240" t="s" s="0">
        <v>81</v>
      </c>
      <c r="I240" t="s" s="0">
        <v>82</v>
      </c>
      <c r="J240" t="s" s="0">
        <v>5858</v>
      </c>
      <c r="K240" t="s" s="0">
        <v>5859</v>
      </c>
      <c r="L240" t="s" s="0">
        <v>5860</v>
      </c>
      <c r="M240" t="s" s="0">
        <v>5861</v>
      </c>
      <c r="N240" t="s" s="0">
        <v>5862</v>
      </c>
      <c r="O240" t="s" s="0">
        <v>5863</v>
      </c>
      <c r="P240" t="s" s="0">
        <v>5864</v>
      </c>
      <c r="Q240" t="s" s="0">
        <v>90</v>
      </c>
      <c r="R240" t="s" s="0">
        <v>81</v>
      </c>
      <c r="S240" t="s" s="0">
        <v>81</v>
      </c>
      <c r="T240" t="s" s="0">
        <v>81</v>
      </c>
      <c r="U240" t="s" s="0">
        <v>81</v>
      </c>
      <c r="V240" t="s" s="0">
        <v>5865</v>
      </c>
      <c r="W240" t="s" s="0">
        <v>271</v>
      </c>
      <c r="X240" t="s" s="0">
        <v>81</v>
      </c>
      <c r="Y240" t="s" s="0">
        <v>81</v>
      </c>
      <c r="Z240" t="s" s="0">
        <v>93</v>
      </c>
      <c r="AA240" t="s" s="0">
        <v>94</v>
      </c>
      <c r="AB240" t="s" s="0">
        <v>81</v>
      </c>
      <c r="AC240" t="s" s="0">
        <v>81</v>
      </c>
      <c r="AD240" t="s" s="0">
        <v>81</v>
      </c>
      <c r="AE240" t="s" s="0">
        <v>81</v>
      </c>
      <c r="AF240" t="s" s="0">
        <v>81</v>
      </c>
      <c r="AG240" t="s" s="0">
        <v>5866</v>
      </c>
      <c r="AH240" t="s" s="0">
        <v>5867</v>
      </c>
      <c r="AI240" t="s" s="0">
        <v>5868</v>
      </c>
      <c r="AJ240" t="s" s="0">
        <v>5869</v>
      </c>
      <c r="AK240" t="s" s="0">
        <v>81</v>
      </c>
      <c r="AL240" t="s" s="0">
        <v>1067</v>
      </c>
      <c r="AM240" t="s" s="0">
        <v>128</v>
      </c>
      <c r="AN240" t="s" s="0">
        <v>128</v>
      </c>
      <c r="AO240" t="s" s="0">
        <v>227</v>
      </c>
      <c r="AP240" t="s" s="0">
        <v>128</v>
      </c>
      <c r="AQ240" t="s" s="0">
        <v>274</v>
      </c>
      <c r="AR240" t="s" s="0">
        <v>275</v>
      </c>
      <c r="AS240" t="s" s="0">
        <v>276</v>
      </c>
      <c r="AT240" t="s" s="0">
        <v>277</v>
      </c>
      <c r="AU240" t="s" s="0">
        <v>81</v>
      </c>
      <c r="AV240" t="s" s="0">
        <v>81</v>
      </c>
      <c r="AW240" t="s" s="0">
        <v>278</v>
      </c>
      <c r="AX240" t="s" s="0">
        <v>279</v>
      </c>
      <c r="AY240" t="s" s="0">
        <v>5870</v>
      </c>
      <c r="AZ240" t="s" s="0">
        <v>136</v>
      </c>
      <c r="BA240" t="s" s="0">
        <v>172</v>
      </c>
      <c r="BB240" t="s" s="0">
        <v>117</v>
      </c>
      <c r="BC240" t="s" s="0">
        <v>81</v>
      </c>
      <c r="BD240" t="s" s="0">
        <v>81</v>
      </c>
      <c r="BE240" t="s" s="0">
        <v>81</v>
      </c>
      <c r="BF240" t="s" s="0">
        <v>81</v>
      </c>
      <c r="BG240" t="s" s="0">
        <v>81</v>
      </c>
      <c r="BH240" t="s" s="0">
        <v>81</v>
      </c>
      <c r="BI240" t="s" s="0">
        <v>5871</v>
      </c>
      <c r="BJ240" t="s" s="0">
        <v>5872</v>
      </c>
      <c r="BK240" t="s" s="476">
        <f>HYPERLINK("http://dx.doi.org/10.1038/s41598-025-85777-7","http://dx.doi.org/10.1038/s41598-025-85777-7")</f>
        <v>5873</v>
      </c>
      <c r="BL240" t="s" s="0">
        <v>81</v>
      </c>
      <c r="BM240" t="s" s="0">
        <v>81</v>
      </c>
      <c r="BN240" t="s" s="0">
        <v>226</v>
      </c>
      <c r="BO240" t="s" s="0">
        <v>285</v>
      </c>
      <c r="BP240" t="s" s="0">
        <v>286</v>
      </c>
      <c r="BQ240" t="s" s="0">
        <v>5874</v>
      </c>
      <c r="BR240" t="s" s="0">
        <v>5875</v>
      </c>
      <c r="BS240" t="s" s="0">
        <v>5876</v>
      </c>
      <c r="BT240" t="s" s="477">
        <f>HYPERLINK("https://www.webofscience.com/wos/woscc/full-record/WOS:001403090300040","View Record in Web of Science")</f>
        <v>114</v>
      </c>
      <c r="BU240" t="s" s="0">
        <v>145</v>
      </c>
      <c r="BV240" t="s" s="0">
        <v>81</v>
      </c>
      <c r="BW240" t="s" s="0">
        <v>81</v>
      </c>
      <c r="BX240" t="s" s="0">
        <v>116</v>
      </c>
    </row>
    <row r="241">
      <c r="A241" t="s" s="0">
        <v>117</v>
      </c>
      <c r="B241" t="s" s="0">
        <v>77</v>
      </c>
      <c r="C241" t="s" s="0">
        <v>117</v>
      </c>
      <c r="D241" t="s" s="0">
        <v>77</v>
      </c>
      <c r="E241" t="s" s="0">
        <v>5877</v>
      </c>
      <c r="F241" t="s" s="0">
        <v>5878</v>
      </c>
      <c r="G241" t="s" s="0">
        <v>5879</v>
      </c>
      <c r="H241" t="s" s="0">
        <v>81</v>
      </c>
      <c r="I241" t="s" s="0">
        <v>82</v>
      </c>
      <c r="J241" t="s" s="0">
        <v>5880</v>
      </c>
      <c r="K241" t="s" s="0">
        <v>5881</v>
      </c>
      <c r="L241" t="s" s="0">
        <v>5882</v>
      </c>
      <c r="M241" t="s" s="0">
        <v>5883</v>
      </c>
      <c r="N241" t="s" s="0">
        <v>1935</v>
      </c>
      <c r="O241" t="s" s="0">
        <v>5884</v>
      </c>
      <c r="P241" t="s" s="0">
        <v>5885</v>
      </c>
      <c r="Q241" t="s" s="0">
        <v>90</v>
      </c>
      <c r="R241" t="s" s="0">
        <v>81</v>
      </c>
      <c r="S241" t="s" s="0">
        <v>81</v>
      </c>
      <c r="T241" t="s" s="0">
        <v>81</v>
      </c>
      <c r="U241" t="s" s="0">
        <v>81</v>
      </c>
      <c r="V241" t="s" s="0">
        <v>5886</v>
      </c>
      <c r="W241" t="s" s="0">
        <v>271</v>
      </c>
      <c r="X241" t="s" s="0">
        <v>81</v>
      </c>
      <c r="Y241" t="s" s="0">
        <v>81</v>
      </c>
      <c r="Z241" t="s" s="0">
        <v>93</v>
      </c>
      <c r="AA241" t="s" s="0">
        <v>94</v>
      </c>
      <c r="AB241" t="s" s="0">
        <v>81</v>
      </c>
      <c r="AC241" t="s" s="0">
        <v>81</v>
      </c>
      <c r="AD241" t="s" s="0">
        <v>81</v>
      </c>
      <c r="AE241" t="s" s="0">
        <v>81</v>
      </c>
      <c r="AF241" t="s" s="0">
        <v>81</v>
      </c>
      <c r="AG241" t="s" s="0">
        <v>81</v>
      </c>
      <c r="AH241" t="s" s="0">
        <v>5887</v>
      </c>
      <c r="AI241" t="s" s="0">
        <v>5888</v>
      </c>
      <c r="AJ241" t="s" s="0">
        <v>5889</v>
      </c>
      <c r="AK241" t="s" s="0">
        <v>81</v>
      </c>
      <c r="AL241" t="s" s="0">
        <v>705</v>
      </c>
      <c r="AM241" t="s" s="0">
        <v>129</v>
      </c>
      <c r="AN241" t="s" s="0">
        <v>226</v>
      </c>
      <c r="AO241" t="s" s="0">
        <v>130</v>
      </c>
      <c r="AP241" t="s" s="0">
        <v>253</v>
      </c>
      <c r="AQ241" t="s" s="0">
        <v>274</v>
      </c>
      <c r="AR241" t="s" s="0">
        <v>275</v>
      </c>
      <c r="AS241" t="s" s="0">
        <v>276</v>
      </c>
      <c r="AT241" t="s" s="0">
        <v>277</v>
      </c>
      <c r="AU241" t="s" s="0">
        <v>81</v>
      </c>
      <c r="AV241" t="s" s="0">
        <v>81</v>
      </c>
      <c r="AW241" t="s" s="0">
        <v>278</v>
      </c>
      <c r="AX241" t="s" s="0">
        <v>279</v>
      </c>
      <c r="AY241" t="s" s="0">
        <v>5890</v>
      </c>
      <c r="AZ241" t="s" s="0">
        <v>136</v>
      </c>
      <c r="BA241" t="s" s="0">
        <v>172</v>
      </c>
      <c r="BB241" t="s" s="0">
        <v>117</v>
      </c>
      <c r="BC241" t="s" s="0">
        <v>81</v>
      </c>
      <c r="BD241" t="s" s="0">
        <v>81</v>
      </c>
      <c r="BE241" t="s" s="0">
        <v>81</v>
      </c>
      <c r="BF241" t="s" s="0">
        <v>81</v>
      </c>
      <c r="BG241" t="s" s="0">
        <v>81</v>
      </c>
      <c r="BH241" t="s" s="0">
        <v>81</v>
      </c>
      <c r="BI241" t="s" s="0">
        <v>5891</v>
      </c>
      <c r="BJ241" t="s" s="0">
        <v>5892</v>
      </c>
      <c r="BK241" t="s" s="478">
        <f>HYPERLINK("http://dx.doi.org/10.1038/s41598-025-02026-7","http://dx.doi.org/10.1038/s41598-025-02026-7")</f>
        <v>5893</v>
      </c>
      <c r="BL241" t="s" s="0">
        <v>81</v>
      </c>
      <c r="BM241" t="s" s="0">
        <v>81</v>
      </c>
      <c r="BN241" t="s" s="0">
        <v>129</v>
      </c>
      <c r="BO241" t="s" s="0">
        <v>285</v>
      </c>
      <c r="BP241" t="s" s="0">
        <v>286</v>
      </c>
      <c r="BQ241" t="s" s="0">
        <v>5894</v>
      </c>
      <c r="BR241" t="s" s="0">
        <v>5895</v>
      </c>
      <c r="BS241" t="s" s="0">
        <v>5896</v>
      </c>
      <c r="BT241" t="s" s="479">
        <f>HYPERLINK("https://www.webofscience.com/wos/woscc/full-record/WOS:001489971100004","View Record in Web of Science")</f>
        <v>114</v>
      </c>
      <c r="BU241" t="s" s="0">
        <v>145</v>
      </c>
      <c r="BV241" t="s" s="0">
        <v>81</v>
      </c>
      <c r="BW241" t="s" s="0">
        <v>81</v>
      </c>
      <c r="BX241" t="s" s="0">
        <v>116</v>
      </c>
    </row>
    <row r="242">
      <c r="A242" t="s" s="0">
        <v>117</v>
      </c>
      <c r="B242" t="s" s="0">
        <v>77</v>
      </c>
      <c r="C242" t="s" s="0">
        <v>117</v>
      </c>
      <c r="D242" t="s" s="0">
        <v>77</v>
      </c>
      <c r="E242" t="s" s="0">
        <v>5897</v>
      </c>
      <c r="F242" t="s" s="0">
        <v>5898</v>
      </c>
      <c r="G242" t="s" s="0">
        <v>5899</v>
      </c>
      <c r="H242" t="s" s="0">
        <v>81</v>
      </c>
      <c r="I242" t="s" s="0">
        <v>82</v>
      </c>
      <c r="J242" t="s" s="0">
        <v>5900</v>
      </c>
      <c r="K242" t="s" s="0">
        <v>5901</v>
      </c>
      <c r="L242" t="s" s="0">
        <v>5902</v>
      </c>
      <c r="M242" t="s" s="0">
        <v>5903</v>
      </c>
      <c r="N242" t="s" s="0">
        <v>5904</v>
      </c>
      <c r="O242" t="s" s="0">
        <v>5905</v>
      </c>
      <c r="P242" t="s" s="0">
        <v>5906</v>
      </c>
      <c r="Q242" t="s" s="0">
        <v>90</v>
      </c>
      <c r="R242" t="s" s="0">
        <v>81</v>
      </c>
      <c r="S242" t="s" s="0">
        <v>81</v>
      </c>
      <c r="T242" t="s" s="0">
        <v>81</v>
      </c>
      <c r="U242" t="s" s="0">
        <v>81</v>
      </c>
      <c r="V242" t="s" s="0">
        <v>5907</v>
      </c>
      <c r="W242" t="s" s="0">
        <v>1391</v>
      </c>
      <c r="X242" t="s" s="0">
        <v>81</v>
      </c>
      <c r="Y242" t="s" s="0">
        <v>81</v>
      </c>
      <c r="Z242" t="s" s="0">
        <v>93</v>
      </c>
      <c r="AA242" t="s" s="0">
        <v>94</v>
      </c>
      <c r="AB242" t="s" s="0">
        <v>81</v>
      </c>
      <c r="AC242" t="s" s="0">
        <v>81</v>
      </c>
      <c r="AD242" t="s" s="0">
        <v>81</v>
      </c>
      <c r="AE242" t="s" s="0">
        <v>81</v>
      </c>
      <c r="AF242" t="s" s="0">
        <v>81</v>
      </c>
      <c r="AG242" t="s" s="0">
        <v>81</v>
      </c>
      <c r="AH242" t="s" s="0">
        <v>81</v>
      </c>
      <c r="AI242" t="s" s="0">
        <v>5908</v>
      </c>
      <c r="AJ242" t="s" s="0">
        <v>5909</v>
      </c>
      <c r="AK242" t="s" s="0">
        <v>81</v>
      </c>
      <c r="AL242" t="s" s="0">
        <v>706</v>
      </c>
      <c r="AM242" t="s" s="0">
        <v>172</v>
      </c>
      <c r="AN242" t="s" s="0">
        <v>563</v>
      </c>
      <c r="AO242" t="s" s="0">
        <v>167</v>
      </c>
      <c r="AP242" t="s" s="0">
        <v>1421</v>
      </c>
      <c r="AQ242" t="s" s="0">
        <v>274</v>
      </c>
      <c r="AR242" t="s" s="0">
        <v>275</v>
      </c>
      <c r="AS242" t="s" s="0">
        <v>276</v>
      </c>
      <c r="AT242" t="s" s="0">
        <v>1395</v>
      </c>
      <c r="AU242" t="s" s="0">
        <v>81</v>
      </c>
      <c r="AV242" t="s" s="0">
        <v>81</v>
      </c>
      <c r="AW242" t="s" s="0">
        <v>1396</v>
      </c>
      <c r="AX242" t="s" s="0">
        <v>1397</v>
      </c>
      <c r="AY242" t="s" s="0">
        <v>5910</v>
      </c>
      <c r="AZ242" t="s" s="0">
        <v>136</v>
      </c>
      <c r="BA242" t="s" s="0">
        <v>225</v>
      </c>
      <c r="BB242" t="s" s="0">
        <v>117</v>
      </c>
      <c r="BC242" t="s" s="0">
        <v>81</v>
      </c>
      <c r="BD242" t="s" s="0">
        <v>81</v>
      </c>
      <c r="BE242" t="s" s="0">
        <v>81</v>
      </c>
      <c r="BF242" t="s" s="0">
        <v>81</v>
      </c>
      <c r="BG242" t="s" s="0">
        <v>81</v>
      </c>
      <c r="BH242" t="s" s="0">
        <v>81</v>
      </c>
      <c r="BI242" t="s" s="0">
        <v>5911</v>
      </c>
      <c r="BJ242" t="s" s="0">
        <v>5912</v>
      </c>
      <c r="BK242" t="s" s="480">
        <f>HYPERLINK("http://dx.doi.org/10.1038/s41746-025-01903-9","http://dx.doi.org/10.1038/s41746-025-01903-9")</f>
        <v>5913</v>
      </c>
      <c r="BL242" t="s" s="0">
        <v>81</v>
      </c>
      <c r="BM242" t="s" s="0">
        <v>81</v>
      </c>
      <c r="BN242" t="s" s="0">
        <v>129</v>
      </c>
      <c r="BO242" t="s" s="0">
        <v>1172</v>
      </c>
      <c r="BP242" t="s" s="0">
        <v>1172</v>
      </c>
      <c r="BQ242" t="s" s="0">
        <v>5914</v>
      </c>
      <c r="BR242" t="s" s="0">
        <v>5915</v>
      </c>
      <c r="BS242" t="s" s="0">
        <v>5916</v>
      </c>
      <c r="BT242" t="s" s="481">
        <f>HYPERLINK("https://www.webofscience.com/wos/woscc/full-record/WOS:001544479500003","View Record in Web of Science")</f>
        <v>114</v>
      </c>
      <c r="BU242" t="s" s="0">
        <v>145</v>
      </c>
      <c r="BV242" t="s" s="0">
        <v>81</v>
      </c>
      <c r="BW242" t="s" s="0">
        <v>81</v>
      </c>
      <c r="BX242" t="s" s="0">
        <v>116</v>
      </c>
    </row>
    <row r="243">
      <c r="A243" t="s" s="0">
        <v>77</v>
      </c>
      <c r="B243" t="s" s="0">
        <v>77</v>
      </c>
      <c r="C243" t="s" s="0">
        <v>77</v>
      </c>
      <c r="D243" t="s" s="0">
        <v>77</v>
      </c>
      <c r="E243" t="s" s="0">
        <v>5917</v>
      </c>
      <c r="F243" t="s" s="0">
        <v>5918</v>
      </c>
      <c r="G243" t="s" s="0">
        <v>5919</v>
      </c>
      <c r="H243" t="s" s="0">
        <v>81</v>
      </c>
      <c r="I243" t="s" s="0">
        <v>213</v>
      </c>
      <c r="J243" t="s" s="0">
        <v>5920</v>
      </c>
      <c r="K243" t="s" s="0">
        <v>5921</v>
      </c>
      <c r="L243" t="s" s="0">
        <v>5922</v>
      </c>
      <c r="M243" t="s" s="0">
        <v>5923</v>
      </c>
      <c r="N243" t="s" s="0">
        <v>5924</v>
      </c>
      <c r="O243" t="s" s="0">
        <v>5925</v>
      </c>
      <c r="P243" t="s" s="0">
        <v>5926</v>
      </c>
      <c r="Q243" t="s" s="0">
        <v>90</v>
      </c>
      <c r="R243" t="s" s="0">
        <v>81</v>
      </c>
      <c r="S243" t="s" s="0">
        <v>81</v>
      </c>
      <c r="T243" t="s" s="0">
        <v>81</v>
      </c>
      <c r="U243" t="s" s="0">
        <v>81</v>
      </c>
      <c r="V243" t="s" s="0">
        <v>5927</v>
      </c>
      <c r="W243" t="s" s="0">
        <v>5928</v>
      </c>
      <c r="X243" t="s" s="0">
        <v>81</v>
      </c>
      <c r="Y243" t="s" s="0">
        <v>81</v>
      </c>
      <c r="Z243" t="s" s="0">
        <v>93</v>
      </c>
      <c r="AA243" t="s" s="0">
        <v>94</v>
      </c>
      <c r="AB243" t="s" s="0">
        <v>81</v>
      </c>
      <c r="AC243" t="s" s="0">
        <v>81</v>
      </c>
      <c r="AD243" t="s" s="0">
        <v>81</v>
      </c>
      <c r="AE243" t="s" s="0">
        <v>81</v>
      </c>
      <c r="AF243" t="s" s="0">
        <v>81</v>
      </c>
      <c r="AG243" t="s" s="0">
        <v>5929</v>
      </c>
      <c r="AH243" t="s" s="0">
        <v>5930</v>
      </c>
      <c r="AI243" t="s" s="0">
        <v>5931</v>
      </c>
      <c r="AJ243" t="s" s="0">
        <v>81</v>
      </c>
      <c r="AK243" t="s" s="0">
        <v>81</v>
      </c>
      <c r="AL243" t="s" s="0">
        <v>1487</v>
      </c>
      <c r="AM243" t="s" s="0">
        <v>77</v>
      </c>
      <c r="AN243" t="s" s="0">
        <v>77</v>
      </c>
      <c r="AO243" t="s" s="0">
        <v>77</v>
      </c>
      <c r="AP243" t="s" s="0">
        <v>77</v>
      </c>
      <c r="AQ243" t="s" s="0">
        <v>5932</v>
      </c>
      <c r="AR243" t="s" s="0">
        <v>958</v>
      </c>
      <c r="AS243" t="s" s="0">
        <v>5933</v>
      </c>
      <c r="AT243" t="s" s="0">
        <v>5934</v>
      </c>
      <c r="AU243" t="s" s="0">
        <v>81</v>
      </c>
      <c r="AV243" t="s" s="0">
        <v>81</v>
      </c>
      <c r="AW243" t="s" s="0">
        <v>5935</v>
      </c>
      <c r="AX243" t="s" s="0">
        <v>5936</v>
      </c>
      <c r="AY243" t="s" s="0">
        <v>445</v>
      </c>
      <c r="AZ243" t="s" s="0">
        <v>104</v>
      </c>
      <c r="BA243" t="s" s="0">
        <v>129</v>
      </c>
      <c r="BB243" t="s" s="0">
        <v>131</v>
      </c>
      <c r="BC243" t="s" s="0">
        <v>81</v>
      </c>
      <c r="BD243" t="s" s="0">
        <v>81</v>
      </c>
      <c r="BE243" t="s" s="0">
        <v>81</v>
      </c>
      <c r="BF243" t="s" s="0">
        <v>81</v>
      </c>
      <c r="BG243" t="s" s="0">
        <v>5937</v>
      </c>
      <c r="BH243" t="s" s="0">
        <v>5938</v>
      </c>
      <c r="BI243" t="s" s="0">
        <v>81</v>
      </c>
      <c r="BJ243" t="s" s="0">
        <v>5939</v>
      </c>
      <c r="BK243" t="s" s="482">
        <f>HYPERLINK("http://dx.doi.org/10.1016/j.oret.2026.02.003","http://dx.doi.org/10.1016/j.oret.2026.02.003")</f>
        <v>5940</v>
      </c>
      <c r="BL243" t="s" s="0">
        <v>81</v>
      </c>
      <c r="BM243" t="s" s="0">
        <v>445</v>
      </c>
      <c r="BN243" t="s" s="0">
        <v>129</v>
      </c>
      <c r="BO243" t="s" s="0">
        <v>606</v>
      </c>
      <c r="BP243" t="s" s="0">
        <v>606</v>
      </c>
      <c r="BQ243" t="s" s="0">
        <v>5941</v>
      </c>
      <c r="BR243" t="s" s="0">
        <v>5942</v>
      </c>
      <c r="BS243" t="s" s="0">
        <v>5943</v>
      </c>
      <c r="BT243" t="s" s="483">
        <f>HYPERLINK("https://www.webofscience.com/wos/woscc/full-record/WOS:001789430900002","View Record in Web of Science")</f>
        <v>114</v>
      </c>
      <c r="BU243" t="s" s="0">
        <v>81</v>
      </c>
      <c r="BV243" t="s" s="0">
        <v>81</v>
      </c>
      <c r="BW243" t="s" s="0">
        <v>81</v>
      </c>
      <c r="BX243" t="s" s="0">
        <v>116</v>
      </c>
    </row>
    <row r="244">
      <c r="A244" t="s" s="0">
        <v>77</v>
      </c>
      <c r="B244" t="s" s="0">
        <v>77</v>
      </c>
      <c r="C244" t="s" s="0">
        <v>77</v>
      </c>
      <c r="D244" t="s" s="0">
        <v>77</v>
      </c>
      <c r="E244" t="s" s="0">
        <v>5944</v>
      </c>
      <c r="F244" t="s" s="0">
        <v>5945</v>
      </c>
      <c r="G244" t="s" s="0">
        <v>5946</v>
      </c>
      <c r="H244" t="s" s="0">
        <v>81</v>
      </c>
      <c r="I244" t="s" s="0">
        <v>82</v>
      </c>
      <c r="J244" t="s" s="0">
        <v>5947</v>
      </c>
      <c r="K244" t="s" s="0">
        <v>5948</v>
      </c>
      <c r="L244" t="s" s="0">
        <v>5949</v>
      </c>
      <c r="M244" t="s" s="0">
        <v>5949</v>
      </c>
      <c r="N244" t="s" s="0">
        <v>5950</v>
      </c>
      <c r="O244" t="s" s="0">
        <v>5951</v>
      </c>
      <c r="P244" t="s" s="0">
        <v>5952</v>
      </c>
      <c r="Q244" t="s" s="0">
        <v>90</v>
      </c>
      <c r="R244" t="s" s="0">
        <v>81</v>
      </c>
      <c r="S244" t="s" s="0">
        <v>81</v>
      </c>
      <c r="T244" t="s" s="0">
        <v>81</v>
      </c>
      <c r="U244" t="s" s="0">
        <v>81</v>
      </c>
      <c r="V244" t="s" s="0">
        <v>5953</v>
      </c>
      <c r="W244" t="s" s="0">
        <v>5954</v>
      </c>
      <c r="X244" t="s" s="0">
        <v>81</v>
      </c>
      <c r="Y244" t="s" s="0">
        <v>81</v>
      </c>
      <c r="Z244" t="s" s="0">
        <v>93</v>
      </c>
      <c r="AA244" t="s" s="0">
        <v>94</v>
      </c>
      <c r="AB244" t="s" s="0">
        <v>81</v>
      </c>
      <c r="AC244" t="s" s="0">
        <v>81</v>
      </c>
      <c r="AD244" t="s" s="0">
        <v>81</v>
      </c>
      <c r="AE244" t="s" s="0">
        <v>81</v>
      </c>
      <c r="AF244" t="s" s="0">
        <v>81</v>
      </c>
      <c r="AG244" t="s" s="0">
        <v>5955</v>
      </c>
      <c r="AH244" t="s" s="0">
        <v>5956</v>
      </c>
      <c r="AI244" t="s" s="0">
        <v>5957</v>
      </c>
      <c r="AJ244" t="s" s="0">
        <v>81</v>
      </c>
      <c r="AK244" t="s" s="0">
        <v>81</v>
      </c>
      <c r="AL244" t="s" s="0">
        <v>5958</v>
      </c>
      <c r="AM244" t="s" s="0">
        <v>77</v>
      </c>
      <c r="AN244" t="s" s="0">
        <v>77</v>
      </c>
      <c r="AO244" t="s" s="0">
        <v>160</v>
      </c>
      <c r="AP244" t="s" s="0">
        <v>160</v>
      </c>
      <c r="AQ244" t="s" s="0">
        <v>476</v>
      </c>
      <c r="AR244" t="s" s="0">
        <v>477</v>
      </c>
      <c r="AS244" t="s" s="0">
        <v>478</v>
      </c>
      <c r="AT244" t="s" s="0">
        <v>81</v>
      </c>
      <c r="AU244" t="s" s="0">
        <v>5959</v>
      </c>
      <c r="AV244" t="s" s="0">
        <v>81</v>
      </c>
      <c r="AW244" t="s" s="0">
        <v>5960</v>
      </c>
      <c r="AX244" t="s" s="0">
        <v>5961</v>
      </c>
      <c r="AY244" t="s" s="0">
        <v>5962</v>
      </c>
      <c r="AZ244" t="s" s="0">
        <v>104</v>
      </c>
      <c r="BA244" t="s" s="0">
        <v>172</v>
      </c>
      <c r="BB244" t="s" s="0">
        <v>131</v>
      </c>
      <c r="BC244" t="s" s="0">
        <v>81</v>
      </c>
      <c r="BD244" t="s" s="0">
        <v>81</v>
      </c>
      <c r="BE244" t="s" s="0">
        <v>81</v>
      </c>
      <c r="BF244" t="s" s="0">
        <v>81</v>
      </c>
      <c r="BG244" t="s" s="0">
        <v>81</v>
      </c>
      <c r="BH244" t="s" s="0">
        <v>81</v>
      </c>
      <c r="BI244" t="s" s="0">
        <v>5963</v>
      </c>
      <c r="BJ244" t="s" s="0">
        <v>5964</v>
      </c>
      <c r="BK244" t="s" s="484">
        <f>HYPERLINK("http://dx.doi.org/10.3390/jcm15062250","http://dx.doi.org/10.3390/jcm15062250")</f>
        <v>5965</v>
      </c>
      <c r="BL244" t="s" s="0">
        <v>81</v>
      </c>
      <c r="BM244" t="s" s="0">
        <v>81</v>
      </c>
      <c r="BN244" t="s" s="0">
        <v>563</v>
      </c>
      <c r="BO244" t="s" s="0">
        <v>486</v>
      </c>
      <c r="BP244" t="s" s="0">
        <v>487</v>
      </c>
      <c r="BQ244" t="s" s="0">
        <v>5966</v>
      </c>
      <c r="BR244" t="s" s="0">
        <v>5967</v>
      </c>
      <c r="BS244" t="s" s="0">
        <v>5968</v>
      </c>
      <c r="BT244" t="s" s="485">
        <f>HYPERLINK("https://www.webofscience.com/wos/woscc/full-record/WOS:001725781100001","View Record in Web of Science")</f>
        <v>114</v>
      </c>
      <c r="BU244" t="s" s="0">
        <v>145</v>
      </c>
      <c r="BV244" t="s" s="0">
        <v>81</v>
      </c>
      <c r="BW244" t="s" s="0">
        <v>81</v>
      </c>
      <c r="BX244" t="s" s="0">
        <v>116</v>
      </c>
    </row>
    <row r="245">
      <c r="A245" t="s" s="0">
        <v>77</v>
      </c>
      <c r="B245" t="s" s="0">
        <v>77</v>
      </c>
      <c r="C245" t="s" s="0">
        <v>117</v>
      </c>
      <c r="D245" t="s" s="0">
        <v>77</v>
      </c>
      <c r="E245" t="s" s="0">
        <v>5969</v>
      </c>
      <c r="F245" t="s" s="0">
        <v>5970</v>
      </c>
      <c r="G245" t="s" s="0">
        <v>5971</v>
      </c>
      <c r="H245" t="s" s="0">
        <v>81</v>
      </c>
      <c r="I245" t="s" s="0">
        <v>82</v>
      </c>
      <c r="J245" t="s" s="0">
        <v>5972</v>
      </c>
      <c r="K245" t="s" s="0">
        <v>5973</v>
      </c>
      <c r="L245" t="s" s="0">
        <v>5974</v>
      </c>
      <c r="M245" t="s" s="0">
        <v>5975</v>
      </c>
      <c r="N245" t="s" s="0">
        <v>5976</v>
      </c>
      <c r="O245" t="s" s="0">
        <v>5977</v>
      </c>
      <c r="P245" t="s" s="0">
        <v>5978</v>
      </c>
      <c r="Q245" t="s" s="0">
        <v>90</v>
      </c>
      <c r="R245" t="s" s="0">
        <v>81</v>
      </c>
      <c r="S245" t="s" s="0">
        <v>81</v>
      </c>
      <c r="T245" t="s" s="0">
        <v>81</v>
      </c>
      <c r="U245" t="s" s="0">
        <v>81</v>
      </c>
      <c r="V245" t="s" s="0">
        <v>5979</v>
      </c>
      <c r="W245" t="s" s="0">
        <v>3853</v>
      </c>
      <c r="X245" t="s" s="0">
        <v>81</v>
      </c>
      <c r="Y245" t="s" s="0">
        <v>81</v>
      </c>
      <c r="Z245" t="s" s="0">
        <v>93</v>
      </c>
      <c r="AA245" t="s" s="0">
        <v>94</v>
      </c>
      <c r="AB245" t="s" s="0">
        <v>81</v>
      </c>
      <c r="AC245" t="s" s="0">
        <v>81</v>
      </c>
      <c r="AD245" t="s" s="0">
        <v>81</v>
      </c>
      <c r="AE245" t="s" s="0">
        <v>81</v>
      </c>
      <c r="AF245" t="s" s="0">
        <v>81</v>
      </c>
      <c r="AG245" t="s" s="0">
        <v>5980</v>
      </c>
      <c r="AH245" t="s" s="0">
        <v>81</v>
      </c>
      <c r="AI245" t="s" s="0">
        <v>5981</v>
      </c>
      <c r="AJ245" t="s" s="0">
        <v>5982</v>
      </c>
      <c r="AK245" t="s" s="0">
        <v>81</v>
      </c>
      <c r="AL245" t="s" s="0">
        <v>1217</v>
      </c>
      <c r="AM245" t="s" s="0">
        <v>253</v>
      </c>
      <c r="AN245" t="s" s="0">
        <v>161</v>
      </c>
      <c r="AO245" t="s" s="0">
        <v>227</v>
      </c>
      <c r="AP245" t="s" s="0">
        <v>129</v>
      </c>
      <c r="AQ245" t="s" s="0">
        <v>476</v>
      </c>
      <c r="AR245" t="s" s="0">
        <v>477</v>
      </c>
      <c r="AS245" t="s" s="0">
        <v>478</v>
      </c>
      <c r="AT245" t="s" s="0">
        <v>81</v>
      </c>
      <c r="AU245" t="s" s="0">
        <v>3858</v>
      </c>
      <c r="AV245" t="s" s="0">
        <v>81</v>
      </c>
      <c r="AW245" t="s" s="0">
        <v>3853</v>
      </c>
      <c r="AX245" t="s" s="0">
        <v>3859</v>
      </c>
      <c r="AY245" t="s" s="0">
        <v>1798</v>
      </c>
      <c r="AZ245" t="s" s="0">
        <v>573</v>
      </c>
      <c r="BA245" t="s" s="0">
        <v>204</v>
      </c>
      <c r="BB245" t="s" s="0">
        <v>204</v>
      </c>
      <c r="BC245" t="s" s="0">
        <v>81</v>
      </c>
      <c r="BD245" t="s" s="0">
        <v>81</v>
      </c>
      <c r="BE245" t="s" s="0">
        <v>81</v>
      </c>
      <c r="BF245" t="s" s="0">
        <v>81</v>
      </c>
      <c r="BG245" t="s" s="0">
        <v>81</v>
      </c>
      <c r="BH245" t="s" s="0">
        <v>81</v>
      </c>
      <c r="BI245" t="s" s="0">
        <v>5983</v>
      </c>
      <c r="BJ245" t="s" s="0">
        <v>5984</v>
      </c>
      <c r="BK245" t="s" s="486">
        <f>HYPERLINK("http://dx.doi.org/10.3390/bioengineering11111080","http://dx.doi.org/10.3390/bioengineering11111080")</f>
        <v>5985</v>
      </c>
      <c r="BL245" t="s" s="0">
        <v>81</v>
      </c>
      <c r="BM245" t="s" s="0">
        <v>81</v>
      </c>
      <c r="BN245" t="s" s="0">
        <v>228</v>
      </c>
      <c r="BO245" t="s" s="0">
        <v>3862</v>
      </c>
      <c r="BP245" t="s" s="0">
        <v>3863</v>
      </c>
      <c r="BQ245" t="s" s="0">
        <v>5986</v>
      </c>
      <c r="BR245" t="s" s="0">
        <v>5987</v>
      </c>
      <c r="BS245" t="s" s="0">
        <v>5988</v>
      </c>
      <c r="BT245" t="s" s="487">
        <f>HYPERLINK("https://www.webofscience.com/wos/woscc/full-record/WOS:001366845700001","View Record in Web of Science")</f>
        <v>114</v>
      </c>
      <c r="BU245" t="s" s="0">
        <v>145</v>
      </c>
      <c r="BV245" t="s" s="0">
        <v>81</v>
      </c>
      <c r="BW245" t="s" s="0">
        <v>81</v>
      </c>
      <c r="BX245" t="s" s="0">
        <v>116</v>
      </c>
    </row>
    <row r="246">
      <c r="A246" t="s" s="0">
        <v>117</v>
      </c>
      <c r="B246" t="s" s="0">
        <v>77</v>
      </c>
      <c r="C246" t="s" s="0">
        <v>130</v>
      </c>
      <c r="D246" t="s" s="0">
        <v>77</v>
      </c>
      <c r="E246" t="s" s="0">
        <v>5989</v>
      </c>
      <c r="F246" t="s" s="0">
        <v>5990</v>
      </c>
      <c r="G246" t="s" s="0">
        <v>5991</v>
      </c>
      <c r="H246" t="s" s="0">
        <v>81</v>
      </c>
      <c r="I246" t="s" s="0">
        <v>82</v>
      </c>
      <c r="J246" t="s" s="0">
        <v>5992</v>
      </c>
      <c r="K246" t="s" s="0">
        <v>5993</v>
      </c>
      <c r="L246" t="s" s="0">
        <v>5994</v>
      </c>
      <c r="M246" t="s" s="0">
        <v>5995</v>
      </c>
      <c r="N246" t="s" s="0">
        <v>5996</v>
      </c>
      <c r="O246" t="s" s="0">
        <v>5997</v>
      </c>
      <c r="P246" t="s" s="0">
        <v>5998</v>
      </c>
      <c r="Q246" t="s" s="0">
        <v>90</v>
      </c>
      <c r="R246" t="s" s="0">
        <v>81</v>
      </c>
      <c r="S246" t="s" s="0">
        <v>81</v>
      </c>
      <c r="T246" t="s" s="0">
        <v>81</v>
      </c>
      <c r="U246" t="s" s="0">
        <v>81</v>
      </c>
      <c r="V246" t="s" s="0">
        <v>5999</v>
      </c>
      <c r="W246" t="s" s="0">
        <v>3853</v>
      </c>
      <c r="X246" t="s" s="0">
        <v>81</v>
      </c>
      <c r="Y246" t="s" s="0">
        <v>81</v>
      </c>
      <c r="Z246" t="s" s="0">
        <v>93</v>
      </c>
      <c r="AA246" t="s" s="0">
        <v>94</v>
      </c>
      <c r="AB246" t="s" s="0">
        <v>81</v>
      </c>
      <c r="AC246" t="s" s="0">
        <v>81</v>
      </c>
      <c r="AD246" t="s" s="0">
        <v>81</v>
      </c>
      <c r="AE246" t="s" s="0">
        <v>81</v>
      </c>
      <c r="AF246" t="s" s="0">
        <v>81</v>
      </c>
      <c r="AG246" t="s" s="0">
        <v>6000</v>
      </c>
      <c r="AH246" t="s" s="0">
        <v>81</v>
      </c>
      <c r="AI246" t="s" s="0">
        <v>81</v>
      </c>
      <c r="AJ246" t="s" s="0">
        <v>6001</v>
      </c>
      <c r="AK246" t="s" s="0">
        <v>81</v>
      </c>
      <c r="AL246" t="s" s="0">
        <v>1641</v>
      </c>
      <c r="AM246" t="s" s="0">
        <v>129</v>
      </c>
      <c r="AN246" t="s" s="0">
        <v>167</v>
      </c>
      <c r="AO246" t="s" s="0">
        <v>77</v>
      </c>
      <c r="AP246" t="s" s="0">
        <v>564</v>
      </c>
      <c r="AQ246" t="s" s="0">
        <v>476</v>
      </c>
      <c r="AR246" t="s" s="0">
        <v>477</v>
      </c>
      <c r="AS246" t="s" s="0">
        <v>3857</v>
      </c>
      <c r="AT246" t="s" s="0">
        <v>81</v>
      </c>
      <c r="AU246" t="s" s="0">
        <v>3858</v>
      </c>
      <c r="AV246" t="s" s="0">
        <v>81</v>
      </c>
      <c r="AW246" t="s" s="0">
        <v>3853</v>
      </c>
      <c r="AX246" t="s" s="0">
        <v>3859</v>
      </c>
      <c r="AY246" t="s" s="0">
        <v>6002</v>
      </c>
      <c r="AZ246" t="s" s="0">
        <v>1519</v>
      </c>
      <c r="BA246" t="s" s="0">
        <v>129</v>
      </c>
      <c r="BB246" t="s" s="0">
        <v>131</v>
      </c>
      <c r="BC246" t="s" s="0">
        <v>81</v>
      </c>
      <c r="BD246" t="s" s="0">
        <v>81</v>
      </c>
      <c r="BE246" t="s" s="0">
        <v>81</v>
      </c>
      <c r="BF246" t="s" s="0">
        <v>81</v>
      </c>
      <c r="BG246" t="s" s="0">
        <v>81</v>
      </c>
      <c r="BH246" t="s" s="0">
        <v>81</v>
      </c>
      <c r="BI246" t="s" s="0">
        <v>6003</v>
      </c>
      <c r="BJ246" t="s" s="0">
        <v>6004</v>
      </c>
      <c r="BK246" t="s" s="488">
        <f>HYPERLINK("http://dx.doi.org/10.3390/bioengineering10060730","http://dx.doi.org/10.3390/bioengineering10060730")</f>
        <v>6005</v>
      </c>
      <c r="BL246" t="s" s="0">
        <v>81</v>
      </c>
      <c r="BM246" t="s" s="0">
        <v>81</v>
      </c>
      <c r="BN246" t="s" s="0">
        <v>563</v>
      </c>
      <c r="BO246" t="s" s="0">
        <v>3862</v>
      </c>
      <c r="BP246" t="s" s="0">
        <v>3863</v>
      </c>
      <c r="BQ246" t="s" s="0">
        <v>6006</v>
      </c>
      <c r="BR246" t="s" s="0">
        <v>6007</v>
      </c>
      <c r="BS246" t="s" s="0">
        <v>6008</v>
      </c>
      <c r="BT246" t="s" s="489">
        <f>HYPERLINK("https://www.webofscience.com/wos/woscc/full-record/WOS:001016904800001","View Record in Web of Science")</f>
        <v>114</v>
      </c>
      <c r="BU246" t="s" s="0">
        <v>145</v>
      </c>
      <c r="BV246" t="s" s="0">
        <v>81</v>
      </c>
      <c r="BW246" t="s" s="0">
        <v>81</v>
      </c>
      <c r="BX246" t="s" s="0">
        <v>116</v>
      </c>
    </row>
    <row r="247">
      <c r="A247" t="s" s="0">
        <v>77</v>
      </c>
      <c r="B247" t="s" s="0">
        <v>77</v>
      </c>
      <c r="C247" t="s" s="0">
        <v>77</v>
      </c>
      <c r="D247" t="s" s="0">
        <v>77</v>
      </c>
      <c r="E247" t="s" s="0">
        <v>6009</v>
      </c>
      <c r="F247" t="s" s="0">
        <v>6010</v>
      </c>
      <c r="G247" t="s" s="0">
        <v>6011</v>
      </c>
      <c r="H247" t="s" s="0">
        <v>81</v>
      </c>
      <c r="I247" t="s" s="0">
        <v>82</v>
      </c>
      <c r="J247" t="s" s="0">
        <v>6012</v>
      </c>
      <c r="K247" t="s" s="0">
        <v>6013</v>
      </c>
      <c r="L247" t="s" s="0">
        <v>6014</v>
      </c>
      <c r="M247" t="s" s="0">
        <v>184</v>
      </c>
      <c r="N247" t="s" s="0">
        <v>6015</v>
      </c>
      <c r="O247" t="s" s="0">
        <v>6016</v>
      </c>
      <c r="P247" t="s" s="0">
        <v>6017</v>
      </c>
      <c r="Q247" t="s" s="0">
        <v>90</v>
      </c>
      <c r="R247" t="s" s="0">
        <v>81</v>
      </c>
      <c r="S247" t="s" s="0">
        <v>81</v>
      </c>
      <c r="T247" t="s" s="0">
        <v>81</v>
      </c>
      <c r="U247" t="s" s="0">
        <v>81</v>
      </c>
      <c r="V247" t="s" s="0">
        <v>6018</v>
      </c>
      <c r="W247" t="s" s="0">
        <v>5115</v>
      </c>
      <c r="X247" t="s" s="0">
        <v>81</v>
      </c>
      <c r="Y247" t="s" s="0">
        <v>81</v>
      </c>
      <c r="Z247" t="s" s="0">
        <v>93</v>
      </c>
      <c r="AA247" t="s" s="0">
        <v>94</v>
      </c>
      <c r="AB247" t="s" s="0">
        <v>81</v>
      </c>
      <c r="AC247" t="s" s="0">
        <v>81</v>
      </c>
      <c r="AD247" t="s" s="0">
        <v>81</v>
      </c>
      <c r="AE247" t="s" s="0">
        <v>81</v>
      </c>
      <c r="AF247" t="s" s="0">
        <v>81</v>
      </c>
      <c r="AG247" t="s" s="0">
        <v>81</v>
      </c>
      <c r="AH247" t="s" s="0">
        <v>6019</v>
      </c>
      <c r="AI247" t="s" s="0">
        <v>81</v>
      </c>
      <c r="AJ247" t="s" s="0">
        <v>81</v>
      </c>
      <c r="AK247" t="s" s="0">
        <v>81</v>
      </c>
      <c r="AL247" t="s" s="0">
        <v>1067</v>
      </c>
      <c r="AM247" t="s" s="0">
        <v>77</v>
      </c>
      <c r="AN247" t="s" s="0">
        <v>77</v>
      </c>
      <c r="AO247" t="s" s="0">
        <v>117</v>
      </c>
      <c r="AP247" t="s" s="0">
        <v>117</v>
      </c>
      <c r="AQ247" t="s" s="0">
        <v>274</v>
      </c>
      <c r="AR247" t="s" s="0">
        <v>275</v>
      </c>
      <c r="AS247" t="s" s="0">
        <v>276</v>
      </c>
      <c r="AT247" t="s" s="0">
        <v>81</v>
      </c>
      <c r="AU247" t="s" s="0">
        <v>5117</v>
      </c>
      <c r="AV247" t="s" s="0">
        <v>81</v>
      </c>
      <c r="AW247" t="s" s="0">
        <v>5118</v>
      </c>
      <c r="AX247" t="s" s="0">
        <v>5119</v>
      </c>
      <c r="AY247" t="s" s="0">
        <v>2868</v>
      </c>
      <c r="AZ247" t="s" s="0">
        <v>104</v>
      </c>
      <c r="BA247" t="s" s="0">
        <v>129</v>
      </c>
      <c r="BB247" t="s" s="0">
        <v>117</v>
      </c>
      <c r="BC247" t="s" s="0">
        <v>81</v>
      </c>
      <c r="BD247" t="s" s="0">
        <v>81</v>
      </c>
      <c r="BE247" t="s" s="0">
        <v>81</v>
      </c>
      <c r="BF247" t="s" s="0">
        <v>81</v>
      </c>
      <c r="BG247" t="s" s="0">
        <v>81</v>
      </c>
      <c r="BH247" t="s" s="0">
        <v>81</v>
      </c>
      <c r="BI247" t="s" s="0">
        <v>6020</v>
      </c>
      <c r="BJ247" t="s" s="0">
        <v>6021</v>
      </c>
      <c r="BK247" t="s" s="490">
        <f>HYPERLINK("http://dx.doi.org/10.1038/s41698-026-01472-4","http://dx.doi.org/10.1038/s41698-026-01472-4")</f>
        <v>6022</v>
      </c>
      <c r="BL247" t="s" s="0">
        <v>81</v>
      </c>
      <c r="BM247" t="s" s="0">
        <v>81</v>
      </c>
      <c r="BN247" t="s" s="0">
        <v>129</v>
      </c>
      <c r="BO247" t="s" s="0">
        <v>939</v>
      </c>
      <c r="BP247" t="s" s="0">
        <v>939</v>
      </c>
      <c r="BQ247" t="s" s="0">
        <v>6023</v>
      </c>
      <c r="BR247" t="s" s="0">
        <v>6024</v>
      </c>
      <c r="BS247" t="s" s="0">
        <v>6025</v>
      </c>
      <c r="BT247" t="s" s="491">
        <f>HYPERLINK("https://www.webofscience.com/wos/woscc/full-record/WOS:001826483700002","View Record in Web of Science")</f>
        <v>114</v>
      </c>
      <c r="BU247" t="s" s="0">
        <v>145</v>
      </c>
      <c r="BV247" t="s" s="0">
        <v>81</v>
      </c>
      <c r="BW247" t="s" s="0">
        <v>81</v>
      </c>
      <c r="BX247" t="s" s="0">
        <v>116</v>
      </c>
    </row>
    <row r="248">
      <c r="A248" t="s" s="0">
        <v>77</v>
      </c>
      <c r="B248" t="s" s="0">
        <v>77</v>
      </c>
      <c r="C248" t="s" s="0">
        <v>77</v>
      </c>
      <c r="D248" t="s" s="0">
        <v>77</v>
      </c>
      <c r="E248" t="s" s="0">
        <v>6026</v>
      </c>
      <c r="F248" t="s" s="0">
        <v>6027</v>
      </c>
      <c r="G248" t="s" s="0">
        <v>6028</v>
      </c>
      <c r="H248" t="s" s="0">
        <v>81</v>
      </c>
      <c r="I248" t="s" s="0">
        <v>82</v>
      </c>
      <c r="J248" t="s" s="0">
        <v>6029</v>
      </c>
      <c r="K248" t="s" s="0">
        <v>6030</v>
      </c>
      <c r="L248" t="s" s="0">
        <v>6031</v>
      </c>
      <c r="M248" t="s" s="0">
        <v>6031</v>
      </c>
      <c r="N248" t="s" s="0">
        <v>6032</v>
      </c>
      <c r="O248" t="s" s="0">
        <v>6033</v>
      </c>
      <c r="P248" t="s" s="0">
        <v>248</v>
      </c>
      <c r="Q248" t="s" s="0">
        <v>90</v>
      </c>
      <c r="R248" t="s" s="0">
        <v>81</v>
      </c>
      <c r="S248" t="s" s="0">
        <v>81</v>
      </c>
      <c r="T248" t="s" s="0">
        <v>81</v>
      </c>
      <c r="U248" t="s" s="0">
        <v>81</v>
      </c>
      <c r="V248" t="s" s="0">
        <v>6034</v>
      </c>
      <c r="W248" t="s" s="0">
        <v>271</v>
      </c>
      <c r="X248" t="s" s="0">
        <v>81</v>
      </c>
      <c r="Y248" t="s" s="0">
        <v>81</v>
      </c>
      <c r="Z248" t="s" s="0">
        <v>93</v>
      </c>
      <c r="AA248" t="s" s="0">
        <v>94</v>
      </c>
      <c r="AB248" t="s" s="0">
        <v>81</v>
      </c>
      <c r="AC248" t="s" s="0">
        <v>81</v>
      </c>
      <c r="AD248" t="s" s="0">
        <v>81</v>
      </c>
      <c r="AE248" t="s" s="0">
        <v>81</v>
      </c>
      <c r="AF248" t="s" s="0">
        <v>81</v>
      </c>
      <c r="AG248" t="s" s="0">
        <v>6035</v>
      </c>
      <c r="AH248" t="s" s="0">
        <v>81</v>
      </c>
      <c r="AI248" t="s" s="0">
        <v>81</v>
      </c>
      <c r="AJ248" t="s" s="0">
        <v>81</v>
      </c>
      <c r="AK248" t="s" s="0">
        <v>81</v>
      </c>
      <c r="AL248" t="s" s="0">
        <v>193</v>
      </c>
      <c r="AM248" t="s" s="0">
        <v>77</v>
      </c>
      <c r="AN248" t="s" s="0">
        <v>77</v>
      </c>
      <c r="AO248" t="s" s="0">
        <v>130</v>
      </c>
      <c r="AP248" t="s" s="0">
        <v>130</v>
      </c>
      <c r="AQ248" t="s" s="0">
        <v>274</v>
      </c>
      <c r="AR248" t="s" s="0">
        <v>275</v>
      </c>
      <c r="AS248" t="s" s="0">
        <v>276</v>
      </c>
      <c r="AT248" t="s" s="0">
        <v>277</v>
      </c>
      <c r="AU248" t="s" s="0">
        <v>81</v>
      </c>
      <c r="AV248" t="s" s="0">
        <v>81</v>
      </c>
      <c r="AW248" t="s" s="0">
        <v>278</v>
      </c>
      <c r="AX248" t="s" s="0">
        <v>279</v>
      </c>
      <c r="AY248" t="s" s="0">
        <v>6036</v>
      </c>
      <c r="AZ248" t="s" s="0">
        <v>104</v>
      </c>
      <c r="BA248" t="s" s="0">
        <v>137</v>
      </c>
      <c r="BB248" t="s" s="0">
        <v>117</v>
      </c>
      <c r="BC248" t="s" s="0">
        <v>81</v>
      </c>
      <c r="BD248" t="s" s="0">
        <v>81</v>
      </c>
      <c r="BE248" t="s" s="0">
        <v>81</v>
      </c>
      <c r="BF248" t="s" s="0">
        <v>81</v>
      </c>
      <c r="BG248" t="s" s="0">
        <v>81</v>
      </c>
      <c r="BH248" t="s" s="0">
        <v>81</v>
      </c>
      <c r="BI248" t="s" s="0">
        <v>6037</v>
      </c>
      <c r="BJ248" t="s" s="0">
        <v>6038</v>
      </c>
      <c r="BK248" t="s" s="492">
        <f>HYPERLINK("http://dx.doi.org/10.1038/s41598-026-47271-6","http://dx.doi.org/10.1038/s41598-026-47271-6")</f>
        <v>6039</v>
      </c>
      <c r="BL248" t="s" s="0">
        <v>81</v>
      </c>
      <c r="BM248" t="s" s="0">
        <v>349</v>
      </c>
      <c r="BN248" t="s" s="0">
        <v>706</v>
      </c>
      <c r="BO248" t="s" s="0">
        <v>285</v>
      </c>
      <c r="BP248" t="s" s="0">
        <v>286</v>
      </c>
      <c r="BQ248" t="s" s="0">
        <v>6040</v>
      </c>
      <c r="BR248" t="s" s="0">
        <v>6041</v>
      </c>
      <c r="BS248" t="s" s="0">
        <v>6042</v>
      </c>
      <c r="BT248" t="s" s="493">
        <f>HYPERLINK("https://www.webofscience.com/wos/woscc/full-record/WOS:001778819800011","View Record in Web of Science")</f>
        <v>114</v>
      </c>
      <c r="BU248" t="s" s="0">
        <v>145</v>
      </c>
      <c r="BV248" t="s" s="0">
        <v>81</v>
      </c>
      <c r="BW248" t="s" s="0">
        <v>81</v>
      </c>
      <c r="BX248" t="s" s="0">
        <v>116</v>
      </c>
    </row>
    <row r="249">
      <c r="A249" t="s" s="0">
        <v>77</v>
      </c>
      <c r="B249" t="s" s="0">
        <v>77</v>
      </c>
      <c r="C249" t="s" s="0">
        <v>77</v>
      </c>
      <c r="D249" t="s" s="0">
        <v>77</v>
      </c>
      <c r="E249" t="s" s="0">
        <v>6043</v>
      </c>
      <c r="F249" t="s" s="0">
        <v>6044</v>
      </c>
      <c r="G249" t="s" s="0">
        <v>6045</v>
      </c>
      <c r="H249" t="s" s="0">
        <v>81</v>
      </c>
      <c r="I249" t="s" s="0">
        <v>82</v>
      </c>
      <c r="J249" t="s" s="0">
        <v>6046</v>
      </c>
      <c r="K249" t="s" s="0">
        <v>6047</v>
      </c>
      <c r="L249" t="s" s="0">
        <v>266</v>
      </c>
      <c r="M249" t="s" s="0">
        <v>266</v>
      </c>
      <c r="N249" t="s" s="0">
        <v>267</v>
      </c>
      <c r="O249" t="s" s="0">
        <v>6048</v>
      </c>
      <c r="P249" t="s" s="0">
        <v>6049</v>
      </c>
      <c r="Q249" t="s" s="0">
        <v>90</v>
      </c>
      <c r="R249" t="s" s="0">
        <v>81</v>
      </c>
      <c r="S249" t="s" s="0">
        <v>81</v>
      </c>
      <c r="T249" t="s" s="0">
        <v>81</v>
      </c>
      <c r="U249" t="s" s="0">
        <v>81</v>
      </c>
      <c r="V249" t="s" s="0">
        <v>6050</v>
      </c>
      <c r="W249" t="s" s="0">
        <v>271</v>
      </c>
      <c r="X249" t="s" s="0">
        <v>81</v>
      </c>
      <c r="Y249" t="s" s="0">
        <v>81</v>
      </c>
      <c r="Z249" t="s" s="0">
        <v>93</v>
      </c>
      <c r="AA249" t="s" s="0">
        <v>94</v>
      </c>
      <c r="AB249" t="s" s="0">
        <v>81</v>
      </c>
      <c r="AC249" t="s" s="0">
        <v>81</v>
      </c>
      <c r="AD249" t="s" s="0">
        <v>81</v>
      </c>
      <c r="AE249" t="s" s="0">
        <v>81</v>
      </c>
      <c r="AF249" t="s" s="0">
        <v>81</v>
      </c>
      <c r="AG249" t="s" s="0">
        <v>6051</v>
      </c>
      <c r="AH249" t="s" s="0">
        <v>6052</v>
      </c>
      <c r="AI249" t="s" s="0">
        <v>6053</v>
      </c>
      <c r="AJ249" t="s" s="0">
        <v>81</v>
      </c>
      <c r="AK249" t="s" s="0">
        <v>81</v>
      </c>
      <c r="AL249" t="s" s="0">
        <v>1421</v>
      </c>
      <c r="AM249" t="s" s="0">
        <v>117</v>
      </c>
      <c r="AN249" t="s" s="0">
        <v>117</v>
      </c>
      <c r="AO249" t="s" s="0">
        <v>117</v>
      </c>
      <c r="AP249" t="s" s="0">
        <v>117</v>
      </c>
      <c r="AQ249" t="s" s="0">
        <v>274</v>
      </c>
      <c r="AR249" t="s" s="0">
        <v>275</v>
      </c>
      <c r="AS249" t="s" s="0">
        <v>276</v>
      </c>
      <c r="AT249" t="s" s="0">
        <v>277</v>
      </c>
      <c r="AU249" t="s" s="0">
        <v>81</v>
      </c>
      <c r="AV249" t="s" s="0">
        <v>81</v>
      </c>
      <c r="AW249" t="s" s="0">
        <v>278</v>
      </c>
      <c r="AX249" t="s" s="0">
        <v>279</v>
      </c>
      <c r="AY249" t="s" s="0">
        <v>6054</v>
      </c>
      <c r="AZ249" t="s" s="0">
        <v>104</v>
      </c>
      <c r="BA249" t="s" s="0">
        <v>137</v>
      </c>
      <c r="BB249" t="s" s="0">
        <v>117</v>
      </c>
      <c r="BC249" t="s" s="0">
        <v>81</v>
      </c>
      <c r="BD249" t="s" s="0">
        <v>81</v>
      </c>
      <c r="BE249" t="s" s="0">
        <v>81</v>
      </c>
      <c r="BF249" t="s" s="0">
        <v>81</v>
      </c>
      <c r="BG249" t="s" s="0">
        <v>81</v>
      </c>
      <c r="BH249" t="s" s="0">
        <v>81</v>
      </c>
      <c r="BI249" t="s" s="0">
        <v>6055</v>
      </c>
      <c r="BJ249" t="s" s="0">
        <v>6056</v>
      </c>
      <c r="BK249" t="s" s="494">
        <f>HYPERLINK("http://dx.doi.org/10.1038/s41598-026-42207-6","http://dx.doi.org/10.1038/s41598-026-42207-6")</f>
        <v>6057</v>
      </c>
      <c r="BL249" t="s" s="0">
        <v>81</v>
      </c>
      <c r="BM249" t="s" s="0">
        <v>349</v>
      </c>
      <c r="BN249" t="s" s="0">
        <v>172</v>
      </c>
      <c r="BO249" t="s" s="0">
        <v>285</v>
      </c>
      <c r="BP249" t="s" s="0">
        <v>286</v>
      </c>
      <c r="BQ249" t="s" s="0">
        <v>6058</v>
      </c>
      <c r="BR249" t="s" s="0">
        <v>6059</v>
      </c>
      <c r="BS249" t="s" s="0">
        <v>6060</v>
      </c>
      <c r="BT249" t="s" s="495">
        <f>HYPERLINK("https://www.webofscience.com/wos/woscc/full-record/WOS:001772754500001","View Record in Web of Science")</f>
        <v>114</v>
      </c>
      <c r="BU249" t="s" s="0">
        <v>145</v>
      </c>
      <c r="BV249" t="s" s="0">
        <v>81</v>
      </c>
      <c r="BW249" t="s" s="0">
        <v>81</v>
      </c>
      <c r="BX249" t="s" s="0">
        <v>116</v>
      </c>
    </row>
    <row r="250">
      <c r="A250" t="s" s="0">
        <v>77</v>
      </c>
      <c r="B250" t="s" s="0">
        <v>77</v>
      </c>
      <c r="C250" t="s" s="0">
        <v>77</v>
      </c>
      <c r="D250" t="s" s="0">
        <v>77</v>
      </c>
      <c r="E250" t="s" s="0">
        <v>6061</v>
      </c>
      <c r="F250" t="s" s="0">
        <v>6062</v>
      </c>
      <c r="G250" t="s" s="0">
        <v>6063</v>
      </c>
      <c r="H250" t="s" s="0">
        <v>81</v>
      </c>
      <c r="I250" t="s" s="0">
        <v>213</v>
      </c>
      <c r="J250" t="s" s="0">
        <v>6064</v>
      </c>
      <c r="K250" t="s" s="0">
        <v>6065</v>
      </c>
      <c r="L250" t="s" s="0">
        <v>6066</v>
      </c>
      <c r="M250" t="s" s="0">
        <v>6067</v>
      </c>
      <c r="N250" t="s" s="0">
        <v>6068</v>
      </c>
      <c r="O250" t="s" s="0">
        <v>6069</v>
      </c>
      <c r="P250" t="s" s="0">
        <v>6070</v>
      </c>
      <c r="Q250" t="s" s="0">
        <v>90</v>
      </c>
      <c r="R250" t="s" s="0">
        <v>81</v>
      </c>
      <c r="S250" t="s" s="0">
        <v>81</v>
      </c>
      <c r="T250" t="s" s="0">
        <v>81</v>
      </c>
      <c r="U250" t="s" s="0">
        <v>81</v>
      </c>
      <c r="V250" t="s" s="0">
        <v>6071</v>
      </c>
      <c r="W250" t="s" s="0">
        <v>1365</v>
      </c>
      <c r="X250" t="s" s="0">
        <v>81</v>
      </c>
      <c r="Y250" t="s" s="0">
        <v>81</v>
      </c>
      <c r="Z250" t="s" s="0">
        <v>93</v>
      </c>
      <c r="AA250" t="s" s="0">
        <v>94</v>
      </c>
      <c r="AB250" t="s" s="0">
        <v>81</v>
      </c>
      <c r="AC250" t="s" s="0">
        <v>81</v>
      </c>
      <c r="AD250" t="s" s="0">
        <v>81</v>
      </c>
      <c r="AE250" t="s" s="0">
        <v>81</v>
      </c>
      <c r="AF250" t="s" s="0">
        <v>81</v>
      </c>
      <c r="AG250" t="s" s="0">
        <v>6072</v>
      </c>
      <c r="AH250" t="s" s="0">
        <v>6073</v>
      </c>
      <c r="AI250" t="s" s="0">
        <v>6074</v>
      </c>
      <c r="AJ250" t="s" s="0">
        <v>81</v>
      </c>
      <c r="AK250" t="s" s="0">
        <v>81</v>
      </c>
      <c r="AL250" t="s" s="0">
        <v>990</v>
      </c>
      <c r="AM250" t="s" s="0">
        <v>77</v>
      </c>
      <c r="AN250" t="s" s="0">
        <v>77</v>
      </c>
      <c r="AO250" t="s" s="0">
        <v>77</v>
      </c>
      <c r="AP250" t="s" s="0">
        <v>77</v>
      </c>
      <c r="AQ250" t="s" s="0">
        <v>406</v>
      </c>
      <c r="AR250" t="s" s="0">
        <v>407</v>
      </c>
      <c r="AS250" t="s" s="0">
        <v>408</v>
      </c>
      <c r="AT250" t="s" s="0">
        <v>1370</v>
      </c>
      <c r="AU250" t="s" s="0">
        <v>81</v>
      </c>
      <c r="AV250" t="s" s="0">
        <v>81</v>
      </c>
      <c r="AW250" t="s" s="0">
        <v>1371</v>
      </c>
      <c r="AX250" t="s" s="0">
        <v>1372</v>
      </c>
      <c r="AY250" t="s" s="0">
        <v>317</v>
      </c>
      <c r="AZ250" t="s" s="0">
        <v>104</v>
      </c>
      <c r="BA250" t="s" s="0">
        <v>131</v>
      </c>
      <c r="BB250" t="s" s="0">
        <v>161</v>
      </c>
      <c r="BC250" t="s" s="0">
        <v>81</v>
      </c>
      <c r="BD250" t="s" s="0">
        <v>81</v>
      </c>
      <c r="BE250" t="s" s="0">
        <v>81</v>
      </c>
      <c r="BF250" t="s" s="0">
        <v>81</v>
      </c>
      <c r="BG250" t="s" s="0">
        <v>81</v>
      </c>
      <c r="BH250" t="s" s="0">
        <v>81</v>
      </c>
      <c r="BI250" t="s" s="0">
        <v>6075</v>
      </c>
      <c r="BJ250" t="s" s="0">
        <v>6076</v>
      </c>
      <c r="BK250" t="s" s="496">
        <f>HYPERLINK("http://dx.doi.org/10.1016/j.xops.2026.101208","http://dx.doi.org/10.1016/j.xops.2026.101208")</f>
        <v>6077</v>
      </c>
      <c r="BL250" t="s" s="0">
        <v>81</v>
      </c>
      <c r="BM250" t="s" s="0">
        <v>203</v>
      </c>
      <c r="BN250" t="s" s="0">
        <v>226</v>
      </c>
      <c r="BO250" t="s" s="0">
        <v>606</v>
      </c>
      <c r="BP250" t="s" s="0">
        <v>606</v>
      </c>
      <c r="BQ250" t="s" s="0">
        <v>6078</v>
      </c>
      <c r="BR250" t="s" s="0">
        <v>6079</v>
      </c>
      <c r="BS250" t="s" s="0">
        <v>6080</v>
      </c>
      <c r="BT250" t="s" s="497">
        <f>HYPERLINK("https://www.webofscience.com/wos/woscc/full-record/WOS:001784072300001","View Record in Web of Science")</f>
        <v>114</v>
      </c>
      <c r="BU250" t="s" s="0">
        <v>145</v>
      </c>
      <c r="BV250" t="s" s="0">
        <v>81</v>
      </c>
      <c r="BW250" t="s" s="0">
        <v>81</v>
      </c>
      <c r="BX250" t="s" s="0">
        <v>116</v>
      </c>
    </row>
    <row r="251">
      <c r="A251" t="s" s="0">
        <v>77</v>
      </c>
      <c r="B251" t="s" s="0">
        <v>77</v>
      </c>
      <c r="C251" t="s" s="0">
        <v>77</v>
      </c>
      <c r="D251" t="s" s="0">
        <v>77</v>
      </c>
      <c r="E251" t="s" s="0">
        <v>6081</v>
      </c>
      <c r="F251" t="s" s="0">
        <v>6082</v>
      </c>
      <c r="G251" t="s" s="0">
        <v>6083</v>
      </c>
      <c r="H251" t="s" s="0">
        <v>81</v>
      </c>
      <c r="I251" t="s" s="0">
        <v>82</v>
      </c>
      <c r="J251" t="s" s="0">
        <v>6084</v>
      </c>
      <c r="K251" t="s" s="0">
        <v>6085</v>
      </c>
      <c r="L251" t="s" s="0">
        <v>81</v>
      </c>
      <c r="M251" t="s" s="0">
        <v>81</v>
      </c>
      <c r="N251" t="s" s="0">
        <v>81</v>
      </c>
      <c r="O251" t="s" s="0">
        <v>6086</v>
      </c>
      <c r="P251" t="s" s="0">
        <v>6087</v>
      </c>
      <c r="Q251" t="s" s="0">
        <v>90</v>
      </c>
      <c r="R251" t="s" s="0">
        <v>81</v>
      </c>
      <c r="S251" t="s" s="0">
        <v>81</v>
      </c>
      <c r="T251" t="s" s="0">
        <v>81</v>
      </c>
      <c r="U251" t="s" s="0">
        <v>81</v>
      </c>
      <c r="V251" t="s" s="0">
        <v>6088</v>
      </c>
      <c r="W251" t="s" s="0">
        <v>6089</v>
      </c>
      <c r="X251" t="s" s="0">
        <v>81</v>
      </c>
      <c r="Y251" t="s" s="0">
        <v>81</v>
      </c>
      <c r="Z251" t="s" s="0">
        <v>93</v>
      </c>
      <c r="AA251" t="s" s="0">
        <v>94</v>
      </c>
      <c r="AB251" t="s" s="0">
        <v>81</v>
      </c>
      <c r="AC251" t="s" s="0">
        <v>81</v>
      </c>
      <c r="AD251" t="s" s="0">
        <v>81</v>
      </c>
      <c r="AE251" t="s" s="0">
        <v>81</v>
      </c>
      <c r="AF251" t="s" s="0">
        <v>81</v>
      </c>
      <c r="AG251" t="s" s="0">
        <v>6090</v>
      </c>
      <c r="AH251" t="s" s="0">
        <v>81</v>
      </c>
      <c r="AI251" t="s" s="0">
        <v>6091</v>
      </c>
      <c r="AJ251" t="s" s="0">
        <v>81</v>
      </c>
      <c r="AK251" t="s" s="0">
        <v>81</v>
      </c>
      <c r="AL251" t="s" s="0">
        <v>337</v>
      </c>
      <c r="AM251" t="s" s="0">
        <v>77</v>
      </c>
      <c r="AN251" t="s" s="0">
        <v>77</v>
      </c>
      <c r="AO251" t="s" s="0">
        <v>130</v>
      </c>
      <c r="AP251" t="s" s="0">
        <v>227</v>
      </c>
      <c r="AQ251" t="s" s="0">
        <v>6092</v>
      </c>
      <c r="AR251" t="s" s="0">
        <v>2172</v>
      </c>
      <c r="AS251" t="s" s="0">
        <v>6093</v>
      </c>
      <c r="AT251" t="s" s="0">
        <v>6094</v>
      </c>
      <c r="AU251" t="s" s="0">
        <v>6095</v>
      </c>
      <c r="AV251" t="s" s="0">
        <v>81</v>
      </c>
      <c r="AW251" t="s" s="0">
        <v>6096</v>
      </c>
      <c r="AX251" t="s" s="0">
        <v>6097</v>
      </c>
      <c r="AY251" t="s" s="0">
        <v>636</v>
      </c>
      <c r="AZ251" t="s" s="0">
        <v>136</v>
      </c>
      <c r="BA251" t="s" s="0">
        <v>1097</v>
      </c>
      <c r="BB251" t="s" s="0">
        <v>6098</v>
      </c>
      <c r="BC251" t="s" s="0">
        <v>81</v>
      </c>
      <c r="BD251" t="s" s="0">
        <v>81</v>
      </c>
      <c r="BE251" t="s" s="0">
        <v>81</v>
      </c>
      <c r="BF251" t="s" s="0">
        <v>81</v>
      </c>
      <c r="BG251" t="s" s="0">
        <v>81</v>
      </c>
      <c r="BH251" t="s" s="0">
        <v>81</v>
      </c>
      <c r="BI251" t="s" s="0">
        <v>81</v>
      </c>
      <c r="BJ251" t="s" s="0">
        <v>6099</v>
      </c>
      <c r="BK251" t="s" s="498">
        <f>HYPERLINK("http://dx.doi.org/10.1142/S0218213025500095","http://dx.doi.org/10.1142/S0218213025500095")</f>
        <v>6100</v>
      </c>
      <c r="BL251" t="s" s="0">
        <v>81</v>
      </c>
      <c r="BM251" t="s" s="0">
        <v>824</v>
      </c>
      <c r="BN251" t="s" s="0">
        <v>318</v>
      </c>
      <c r="BO251" t="s" s="0">
        <v>2850</v>
      </c>
      <c r="BP251" t="s" s="0">
        <v>420</v>
      </c>
      <c r="BQ251" t="s" s="0">
        <v>6101</v>
      </c>
      <c r="BR251" t="s" s="0">
        <v>81</v>
      </c>
      <c r="BS251" t="s" s="0">
        <v>6102</v>
      </c>
      <c r="BT251" t="s" s="499">
        <f>HYPERLINK("https://www.webofscience.com/wos/woscc/full-record/WOS:001530892600001","View Record in Web of Science")</f>
        <v>114</v>
      </c>
      <c r="BU251" t="s" s="0">
        <v>81</v>
      </c>
      <c r="BV251" t="s" s="0">
        <v>81</v>
      </c>
      <c r="BW251" t="s" s="0">
        <v>81</v>
      </c>
      <c r="BX251" t="s" s="0">
        <v>116</v>
      </c>
    </row>
    <row r="252">
      <c r="A252" t="s" s="0">
        <v>130</v>
      </c>
      <c r="B252" t="s" s="0">
        <v>77</v>
      </c>
      <c r="C252" t="s" s="0">
        <v>160</v>
      </c>
      <c r="D252" t="s" s="0">
        <v>77</v>
      </c>
      <c r="E252" t="s" s="0">
        <v>6103</v>
      </c>
      <c r="F252" t="s" s="0">
        <v>6104</v>
      </c>
      <c r="G252" t="s" s="0">
        <v>6105</v>
      </c>
      <c r="H252" t="s" s="0">
        <v>81</v>
      </c>
      <c r="I252" t="s" s="0">
        <v>82</v>
      </c>
      <c r="J252" t="s" s="0">
        <v>6106</v>
      </c>
      <c r="K252" t="s" s="0">
        <v>6107</v>
      </c>
      <c r="L252" t="s" s="0">
        <v>6108</v>
      </c>
      <c r="M252" t="s" s="0">
        <v>6109</v>
      </c>
      <c r="N252" t="s" s="0">
        <v>6110</v>
      </c>
      <c r="O252" t="s" s="0">
        <v>6111</v>
      </c>
      <c r="P252" t="s" s="0">
        <v>6112</v>
      </c>
      <c r="Q252" t="s" s="0">
        <v>90</v>
      </c>
      <c r="R252" t="s" s="0">
        <v>81</v>
      </c>
      <c r="S252" t="s" s="0">
        <v>6113</v>
      </c>
      <c r="T252" t="s" s="0">
        <v>81</v>
      </c>
      <c r="U252" t="s" s="0">
        <v>81</v>
      </c>
      <c r="V252" t="s" s="0">
        <v>6114</v>
      </c>
      <c r="W252" t="s" s="0">
        <v>6115</v>
      </c>
      <c r="X252" t="s" s="0">
        <v>81</v>
      </c>
      <c r="Y252" t="s" s="0">
        <v>81</v>
      </c>
      <c r="Z252" t="s" s="0">
        <v>93</v>
      </c>
      <c r="AA252" t="s" s="0">
        <v>94</v>
      </c>
      <c r="AB252" t="s" s="0">
        <v>81</v>
      </c>
      <c r="AC252" t="s" s="0">
        <v>81</v>
      </c>
      <c r="AD252" t="s" s="0">
        <v>81</v>
      </c>
      <c r="AE252" t="s" s="0">
        <v>81</v>
      </c>
      <c r="AF252" t="s" s="0">
        <v>81</v>
      </c>
      <c r="AG252" t="s" s="0">
        <v>6116</v>
      </c>
      <c r="AH252" t="s" s="0">
        <v>6117</v>
      </c>
      <c r="AI252" t="s" s="0">
        <v>6118</v>
      </c>
      <c r="AJ252" t="s" s="0">
        <v>6119</v>
      </c>
      <c r="AK252" t="s" s="0">
        <v>81</v>
      </c>
      <c r="AL252" t="s" s="0">
        <v>405</v>
      </c>
      <c r="AM252" t="s" s="0">
        <v>128</v>
      </c>
      <c r="AN252" t="s" s="0">
        <v>129</v>
      </c>
      <c r="AO252" t="s" s="0">
        <v>117</v>
      </c>
      <c r="AP252" t="s" s="0">
        <v>129</v>
      </c>
      <c r="AQ252" t="s" s="0">
        <v>2939</v>
      </c>
      <c r="AR252" t="s" s="0">
        <v>2940</v>
      </c>
      <c r="AS252" t="s" s="0">
        <v>2941</v>
      </c>
      <c r="AT252" t="s" s="0">
        <v>6120</v>
      </c>
      <c r="AU252" t="s" s="0">
        <v>6121</v>
      </c>
      <c r="AV252" t="s" s="0">
        <v>81</v>
      </c>
      <c r="AW252" t="s" s="0">
        <v>6122</v>
      </c>
      <c r="AX252" t="s" s="0">
        <v>6123</v>
      </c>
      <c r="AY252" t="s" s="0">
        <v>6124</v>
      </c>
      <c r="AZ252" t="s" s="0">
        <v>573</v>
      </c>
      <c r="BA252" t="s" s="0">
        <v>304</v>
      </c>
      <c r="BB252" t="s" s="0">
        <v>6125</v>
      </c>
      <c r="BC252" t="s" s="0">
        <v>81</v>
      </c>
      <c r="BD252" t="s" s="0">
        <v>81</v>
      </c>
      <c r="BE252" t="s" s="0">
        <v>81</v>
      </c>
      <c r="BF252" t="s" s="0">
        <v>81</v>
      </c>
      <c r="BG252" t="s" s="0">
        <v>6126</v>
      </c>
      <c r="BH252" t="s" s="0">
        <v>6127</v>
      </c>
      <c r="BI252" t="s" s="0">
        <v>81</v>
      </c>
      <c r="BJ252" t="s" s="0">
        <v>6128</v>
      </c>
      <c r="BK252" t="s" s="500">
        <f>HYPERLINK("http://dx.doi.org/10.1089/neu.2023.0446","http://dx.doi.org/10.1089/neu.2023.0446")</f>
        <v>6129</v>
      </c>
      <c r="BL252" t="s" s="0">
        <v>81</v>
      </c>
      <c r="BM252" t="s" s="0">
        <v>658</v>
      </c>
      <c r="BN252" t="s" s="0">
        <v>228</v>
      </c>
      <c r="BO252" t="s" s="0">
        <v>6130</v>
      </c>
      <c r="BP252" t="s" s="0">
        <v>6131</v>
      </c>
      <c r="BQ252" t="s" s="0">
        <v>6132</v>
      </c>
      <c r="BR252" t="s" s="0">
        <v>6133</v>
      </c>
      <c r="BS252" t="s" s="0">
        <v>6134</v>
      </c>
      <c r="BT252" t="s" s="501">
        <f>HYPERLINK("https://www.webofscience.com/wos/woscc/full-record/WOS:001162748600001","View Record in Web of Science")</f>
        <v>114</v>
      </c>
      <c r="BU252" t="s" s="0">
        <v>804</v>
      </c>
      <c r="BV252" t="s" s="0">
        <v>81</v>
      </c>
      <c r="BW252" t="s" s="0">
        <v>81</v>
      </c>
      <c r="BX252" t="s" s="0">
        <v>116</v>
      </c>
    </row>
    <row r="253">
      <c r="A253" t="s" s="0">
        <v>77</v>
      </c>
      <c r="B253" t="s" s="0">
        <v>77</v>
      </c>
      <c r="C253" t="s" s="0">
        <v>117</v>
      </c>
      <c r="D253" t="s" s="0">
        <v>77</v>
      </c>
      <c r="E253" t="s" s="0">
        <v>6135</v>
      </c>
      <c r="F253" t="s" s="0">
        <v>6136</v>
      </c>
      <c r="G253" t="s" s="0">
        <v>6137</v>
      </c>
      <c r="H253" t="s" s="0">
        <v>81</v>
      </c>
      <c r="I253" t="s" s="0">
        <v>82</v>
      </c>
      <c r="J253" t="s" s="0">
        <v>6138</v>
      </c>
      <c r="K253" t="s" s="0">
        <v>6139</v>
      </c>
      <c r="L253" t="s" s="0">
        <v>6140</v>
      </c>
      <c r="M253" t="s" s="0">
        <v>6141</v>
      </c>
      <c r="N253" t="s" s="0">
        <v>6142</v>
      </c>
      <c r="O253" t="s" s="0">
        <v>6143</v>
      </c>
      <c r="P253" t="s" s="0">
        <v>6144</v>
      </c>
      <c r="Q253" t="s" s="0">
        <v>90</v>
      </c>
      <c r="R253" t="s" s="0">
        <v>81</v>
      </c>
      <c r="S253" t="s" s="0">
        <v>81</v>
      </c>
      <c r="T253" t="s" s="0">
        <v>81</v>
      </c>
      <c r="U253" t="s" s="0">
        <v>81</v>
      </c>
      <c r="V253" t="s" s="0">
        <v>6145</v>
      </c>
      <c r="W253" t="s" s="0">
        <v>6146</v>
      </c>
      <c r="X253" t="s" s="0">
        <v>81</v>
      </c>
      <c r="Y253" t="s" s="0">
        <v>81</v>
      </c>
      <c r="Z253" t="s" s="0">
        <v>93</v>
      </c>
      <c r="AA253" t="s" s="0">
        <v>94</v>
      </c>
      <c r="AB253" t="s" s="0">
        <v>81</v>
      </c>
      <c r="AC253" t="s" s="0">
        <v>81</v>
      </c>
      <c r="AD253" t="s" s="0">
        <v>81</v>
      </c>
      <c r="AE253" t="s" s="0">
        <v>81</v>
      </c>
      <c r="AF253" t="s" s="0">
        <v>81</v>
      </c>
      <c r="AG253" t="s" s="0">
        <v>6147</v>
      </c>
      <c r="AH253" t="s" s="0">
        <v>6148</v>
      </c>
      <c r="AI253" t="s" s="0">
        <v>6149</v>
      </c>
      <c r="AJ253" t="s" s="0">
        <v>81</v>
      </c>
      <c r="AK253" t="s" s="0">
        <v>81</v>
      </c>
      <c r="AL253" t="s" s="0">
        <v>2965</v>
      </c>
      <c r="AM253" t="s" s="0">
        <v>227</v>
      </c>
      <c r="AN253" t="s" s="0">
        <v>227</v>
      </c>
      <c r="AO253" t="s" s="0">
        <v>160</v>
      </c>
      <c r="AP253" t="s" s="0">
        <v>160</v>
      </c>
      <c r="AQ253" t="s" s="0">
        <v>6150</v>
      </c>
      <c r="AR253" t="s" s="0">
        <v>6151</v>
      </c>
      <c r="AS253" t="s" s="0">
        <v>6152</v>
      </c>
      <c r="AT253" t="s" s="0">
        <v>6153</v>
      </c>
      <c r="AU253" t="s" s="0">
        <v>81</v>
      </c>
      <c r="AV253" t="s" s="0">
        <v>81</v>
      </c>
      <c r="AW253" t="s" s="0">
        <v>6154</v>
      </c>
      <c r="AX253" t="s" s="0">
        <v>6155</v>
      </c>
      <c r="AY253" t="s" s="0">
        <v>284</v>
      </c>
      <c r="AZ253" t="s" s="0">
        <v>104</v>
      </c>
      <c r="BA253" t="s" s="0">
        <v>990</v>
      </c>
      <c r="BB253" t="s" s="0">
        <v>81</v>
      </c>
      <c r="BC253" t="s" s="0">
        <v>81</v>
      </c>
      <c r="BD253" t="s" s="0">
        <v>81</v>
      </c>
      <c r="BE253" t="s" s="0">
        <v>81</v>
      </c>
      <c r="BF253" t="s" s="0">
        <v>81</v>
      </c>
      <c r="BG253" t="s" s="0">
        <v>81</v>
      </c>
      <c r="BH253" t="s" s="0">
        <v>81</v>
      </c>
      <c r="BI253" t="s" s="0">
        <v>6156</v>
      </c>
      <c r="BJ253" t="s" s="0">
        <v>6157</v>
      </c>
      <c r="BK253" t="s" s="502">
        <f>HYPERLINK("http://dx.doi.org/10.1016/j.jot.2026.101062","http://dx.doi.org/10.1016/j.jot.2026.101062")</f>
        <v>6158</v>
      </c>
      <c r="BL253" t="s" s="0">
        <v>81</v>
      </c>
      <c r="BM253" t="s" s="0">
        <v>2583</v>
      </c>
      <c r="BN253" t="s" s="0">
        <v>228</v>
      </c>
      <c r="BO253" t="s" s="0">
        <v>6159</v>
      </c>
      <c r="BP253" t="s" s="0">
        <v>6159</v>
      </c>
      <c r="BQ253" t="s" s="0">
        <v>6160</v>
      </c>
      <c r="BR253" t="s" s="0">
        <v>6161</v>
      </c>
      <c r="BS253" t="s" s="0">
        <v>6162</v>
      </c>
      <c r="BT253" t="s" s="503">
        <f>HYPERLINK("https://www.webofscience.com/wos/woscc/full-record/WOS:001705855800001","View Record in Web of Science")</f>
        <v>114</v>
      </c>
      <c r="BU253" t="s" s="0">
        <v>145</v>
      </c>
      <c r="BV253" t="s" s="0">
        <v>81</v>
      </c>
      <c r="BW253" t="s" s="0">
        <v>81</v>
      </c>
      <c r="BX253" t="s" s="0">
        <v>116</v>
      </c>
    </row>
    <row r="254">
      <c r="A254" t="s" s="0">
        <v>129</v>
      </c>
      <c r="B254" t="s" s="0">
        <v>77</v>
      </c>
      <c r="C254" t="s" s="0">
        <v>846</v>
      </c>
      <c r="D254" t="s" s="0">
        <v>77</v>
      </c>
      <c r="E254" t="s" s="0">
        <v>6163</v>
      </c>
      <c r="F254" t="s" s="0">
        <v>6164</v>
      </c>
      <c r="G254" t="s" s="0">
        <v>6165</v>
      </c>
      <c r="H254" t="s" s="0">
        <v>81</v>
      </c>
      <c r="I254" t="s" s="0">
        <v>82</v>
      </c>
      <c r="J254" t="s" s="0">
        <v>6166</v>
      </c>
      <c r="K254" t="s" s="0">
        <v>6167</v>
      </c>
      <c r="L254" t="s" s="0">
        <v>6168</v>
      </c>
      <c r="M254" t="s" s="0">
        <v>6169</v>
      </c>
      <c r="N254" t="s" s="0">
        <v>6170</v>
      </c>
      <c r="O254" t="s" s="0">
        <v>6171</v>
      </c>
      <c r="P254" t="s" s="0">
        <v>6172</v>
      </c>
      <c r="Q254" t="s" s="0">
        <v>90</v>
      </c>
      <c r="R254" t="s" s="0">
        <v>81</v>
      </c>
      <c r="S254" t="s" s="0">
        <v>81</v>
      </c>
      <c r="T254" t="s" s="0">
        <v>81</v>
      </c>
      <c r="U254" t="s" s="0">
        <v>81</v>
      </c>
      <c r="V254" t="s" s="0">
        <v>6173</v>
      </c>
      <c r="W254" t="s" s="0">
        <v>6174</v>
      </c>
      <c r="X254" t="s" s="0">
        <v>81</v>
      </c>
      <c r="Y254" t="s" s="0">
        <v>81</v>
      </c>
      <c r="Z254" t="s" s="0">
        <v>93</v>
      </c>
      <c r="AA254" t="s" s="0">
        <v>94</v>
      </c>
      <c r="AB254" t="s" s="0">
        <v>81</v>
      </c>
      <c r="AC254" t="s" s="0">
        <v>81</v>
      </c>
      <c r="AD254" t="s" s="0">
        <v>81</v>
      </c>
      <c r="AE254" t="s" s="0">
        <v>81</v>
      </c>
      <c r="AF254" t="s" s="0">
        <v>81</v>
      </c>
      <c r="AG254" t="s" s="0">
        <v>81</v>
      </c>
      <c r="AH254" t="s" s="0">
        <v>6175</v>
      </c>
      <c r="AI254" t="s" s="0">
        <v>6176</v>
      </c>
      <c r="AJ254" t="s" s="0">
        <v>6177</v>
      </c>
      <c r="AK254" t="s" s="0">
        <v>81</v>
      </c>
      <c r="AL254" t="s" s="0">
        <v>3163</v>
      </c>
      <c r="AM254" t="s" s="0">
        <v>96</v>
      </c>
      <c r="AN254" t="s" s="0">
        <v>1967</v>
      </c>
      <c r="AO254" t="s" s="0">
        <v>227</v>
      </c>
      <c r="AP254" t="s" s="0">
        <v>6178</v>
      </c>
      <c r="AQ254" t="s" s="0">
        <v>274</v>
      </c>
      <c r="AR254" t="s" s="0">
        <v>275</v>
      </c>
      <c r="AS254" t="s" s="0">
        <v>276</v>
      </c>
      <c r="AT254" t="s" s="0">
        <v>6179</v>
      </c>
      <c r="AU254" t="s" s="0">
        <v>6180</v>
      </c>
      <c r="AV254" t="s" s="0">
        <v>81</v>
      </c>
      <c r="AW254" t="s" s="0">
        <v>6181</v>
      </c>
      <c r="AX254" t="s" s="0">
        <v>6182</v>
      </c>
      <c r="AY254" t="s" s="0">
        <v>6183</v>
      </c>
      <c r="AZ254" t="s" s="0">
        <v>573</v>
      </c>
      <c r="BA254" t="s" s="0">
        <v>846</v>
      </c>
      <c r="BB254" t="s" s="0">
        <v>161</v>
      </c>
      <c r="BC254" t="s" s="0">
        <v>81</v>
      </c>
      <c r="BD254" t="s" s="0">
        <v>81</v>
      </c>
      <c r="BE254" t="s" s="0">
        <v>81</v>
      </c>
      <c r="BF254" t="s" s="0">
        <v>81</v>
      </c>
      <c r="BG254" t="s" s="0">
        <v>6184</v>
      </c>
      <c r="BH254" t="s" s="0">
        <v>6185</v>
      </c>
      <c r="BI254" t="s" s="0">
        <v>81</v>
      </c>
      <c r="BJ254" t="s" s="0">
        <v>6186</v>
      </c>
      <c r="BK254" t="s" s="504">
        <f>HYPERLINK("http://dx.doi.org/10.1038/s41591-024-02993-w","http://dx.doi.org/10.1038/s41591-024-02993-w")</f>
        <v>6187</v>
      </c>
      <c r="BL254" t="s" s="0">
        <v>81</v>
      </c>
      <c r="BM254" t="s" s="0">
        <v>3191</v>
      </c>
      <c r="BN254" t="s" s="0">
        <v>226</v>
      </c>
      <c r="BO254" t="s" s="0">
        <v>6188</v>
      </c>
      <c r="BP254" t="s" s="0">
        <v>6189</v>
      </c>
      <c r="BQ254" t="s" s="0">
        <v>6190</v>
      </c>
      <c r="BR254" t="s" s="0">
        <v>6191</v>
      </c>
      <c r="BS254" t="s" s="0">
        <v>6192</v>
      </c>
      <c r="BT254" t="s" s="505">
        <f>HYPERLINK("https://www.webofscience.com/wos/woscc/full-record/WOS:001236311700003","View Record in Web of Science")</f>
        <v>114</v>
      </c>
      <c r="BU254" t="s" s="0">
        <v>3378</v>
      </c>
      <c r="BV254" t="s" s="0">
        <v>81</v>
      </c>
      <c r="BW254" t="s" s="0">
        <v>81</v>
      </c>
      <c r="BX254" t="s" s="0">
        <v>116</v>
      </c>
    </row>
    <row r="255">
      <c r="A255" t="s" s="0">
        <v>130</v>
      </c>
      <c r="B255" t="s" s="0">
        <v>77</v>
      </c>
      <c r="C255" t="s" s="0">
        <v>253</v>
      </c>
      <c r="D255" t="s" s="0">
        <v>77</v>
      </c>
      <c r="E255" t="s" s="0">
        <v>6193</v>
      </c>
      <c r="F255" t="s" s="0">
        <v>6194</v>
      </c>
      <c r="G255" t="s" s="0">
        <v>6195</v>
      </c>
      <c r="H255" t="s" s="0">
        <v>81</v>
      </c>
      <c r="I255" t="s" s="0">
        <v>82</v>
      </c>
      <c r="J255" t="s" s="0">
        <v>6196</v>
      </c>
      <c r="K255" t="s" s="0">
        <v>6197</v>
      </c>
      <c r="L255" t="s" s="0">
        <v>6198</v>
      </c>
      <c r="M255" t="s" s="0">
        <v>6199</v>
      </c>
      <c r="N255" t="s" s="0">
        <v>6200</v>
      </c>
      <c r="O255" t="s" s="0">
        <v>6201</v>
      </c>
      <c r="P255" t="s" s="0">
        <v>6202</v>
      </c>
      <c r="Q255" t="s" s="0">
        <v>90</v>
      </c>
      <c r="R255" t="s" s="0">
        <v>81</v>
      </c>
      <c r="S255" t="s" s="0">
        <v>81</v>
      </c>
      <c r="T255" t="s" s="0">
        <v>81</v>
      </c>
      <c r="U255" t="s" s="0">
        <v>81</v>
      </c>
      <c r="V255" t="s" s="0">
        <v>6203</v>
      </c>
      <c r="W255" t="s" s="0">
        <v>6204</v>
      </c>
      <c r="X255" t="s" s="0">
        <v>81</v>
      </c>
      <c r="Y255" t="s" s="0">
        <v>81</v>
      </c>
      <c r="Z255" t="s" s="0">
        <v>93</v>
      </c>
      <c r="AA255" t="s" s="0">
        <v>94</v>
      </c>
      <c r="AB255" t="s" s="0">
        <v>81</v>
      </c>
      <c r="AC255" t="s" s="0">
        <v>81</v>
      </c>
      <c r="AD255" t="s" s="0">
        <v>81</v>
      </c>
      <c r="AE255" t="s" s="0">
        <v>81</v>
      </c>
      <c r="AF255" t="s" s="0">
        <v>81</v>
      </c>
      <c r="AG255" t="s" s="0">
        <v>6205</v>
      </c>
      <c r="AH255" t="s" s="0">
        <v>6206</v>
      </c>
      <c r="AI255" t="s" s="0">
        <v>6207</v>
      </c>
      <c r="AJ255" t="s" s="0">
        <v>81</v>
      </c>
      <c r="AK255" t="s" s="0">
        <v>81</v>
      </c>
      <c r="AL255" t="s" s="0">
        <v>1097</v>
      </c>
      <c r="AM255" t="s" s="0">
        <v>337</v>
      </c>
      <c r="AN255" t="s" s="0">
        <v>706</v>
      </c>
      <c r="AO255" t="s" s="0">
        <v>253</v>
      </c>
      <c r="AP255" t="s" s="0">
        <v>798</v>
      </c>
      <c r="AQ255" t="s" s="0">
        <v>1098</v>
      </c>
      <c r="AR255" t="s" s="0">
        <v>1099</v>
      </c>
      <c r="AS255" t="s" s="0">
        <v>1100</v>
      </c>
      <c r="AT255" t="s" s="0">
        <v>6208</v>
      </c>
      <c r="AU255" t="s" s="0">
        <v>6209</v>
      </c>
      <c r="AV255" t="s" s="0">
        <v>81</v>
      </c>
      <c r="AW255" t="s" s="0">
        <v>6204</v>
      </c>
      <c r="AX255" t="s" s="0">
        <v>6210</v>
      </c>
      <c r="AY255" t="s" s="0">
        <v>572</v>
      </c>
      <c r="AZ255" t="s" s="0">
        <v>573</v>
      </c>
      <c r="BA255" t="s" s="0">
        <v>475</v>
      </c>
      <c r="BB255" t="s" s="0">
        <v>131</v>
      </c>
      <c r="BC255" t="s" s="0">
        <v>81</v>
      </c>
      <c r="BD255" t="s" s="0">
        <v>81</v>
      </c>
      <c r="BE255" t="s" s="0">
        <v>81</v>
      </c>
      <c r="BF255" t="s" s="0">
        <v>81</v>
      </c>
      <c r="BG255" t="s" s="0">
        <v>81</v>
      </c>
      <c r="BH255" t="s" s="0">
        <v>81</v>
      </c>
      <c r="BI255" t="s" s="0">
        <v>6211</v>
      </c>
      <c r="BJ255" t="s" s="0">
        <v>6212</v>
      </c>
      <c r="BK255" t="s" s="506">
        <f>HYPERLINK("http://dx.doi.org/10.1016/j.neurot.2024.e00471","http://dx.doi.org/10.1016/j.neurot.2024.e00471")</f>
        <v>6213</v>
      </c>
      <c r="BL255" t="s" s="0">
        <v>81</v>
      </c>
      <c r="BM255" t="s" s="0">
        <v>1798</v>
      </c>
      <c r="BN255" t="s" s="0">
        <v>128</v>
      </c>
      <c r="BO255" t="s" s="0">
        <v>6214</v>
      </c>
      <c r="BP255" t="s" s="0">
        <v>6215</v>
      </c>
      <c r="BQ255" t="s" s="0">
        <v>6216</v>
      </c>
      <c r="BR255" t="s" s="0">
        <v>6217</v>
      </c>
      <c r="BS255" t="s" s="0">
        <v>6218</v>
      </c>
      <c r="BT255" t="s" s="507">
        <f>HYPERLINK("https://www.webofscience.com/wos/woscc/full-record/WOS:001390663200001","View Record in Web of Science")</f>
        <v>114</v>
      </c>
      <c r="BU255" t="s" s="0">
        <v>145</v>
      </c>
      <c r="BV255" t="s" s="0">
        <v>81</v>
      </c>
      <c r="BW255" t="s" s="0">
        <v>81</v>
      </c>
      <c r="BX255" t="s" s="0">
        <v>116</v>
      </c>
    </row>
    <row r="256">
      <c r="A256" t="s" s="0">
        <v>77</v>
      </c>
      <c r="B256" t="s" s="0">
        <v>77</v>
      </c>
      <c r="C256" t="s" s="0">
        <v>77</v>
      </c>
      <c r="D256" t="s" s="0">
        <v>77</v>
      </c>
      <c r="E256" t="s" s="0">
        <v>6219</v>
      </c>
      <c r="F256" t="s" s="0">
        <v>6220</v>
      </c>
      <c r="G256" t="s" s="0">
        <v>6221</v>
      </c>
      <c r="H256" t="s" s="0">
        <v>81</v>
      </c>
      <c r="I256" t="s" s="0">
        <v>82</v>
      </c>
      <c r="J256" t="s" s="0">
        <v>6222</v>
      </c>
      <c r="K256" t="s" s="0">
        <v>6223</v>
      </c>
      <c r="L256" t="s" s="0">
        <v>81</v>
      </c>
      <c r="M256" t="s" s="0">
        <v>81</v>
      </c>
      <c r="N256" t="s" s="0">
        <v>81</v>
      </c>
      <c r="O256" t="s" s="0">
        <v>6224</v>
      </c>
      <c r="P256" t="s" s="0">
        <v>6225</v>
      </c>
      <c r="Q256" t="s" s="0">
        <v>90</v>
      </c>
      <c r="R256" t="s" s="0">
        <v>81</v>
      </c>
      <c r="S256" t="s" s="0">
        <v>81</v>
      </c>
      <c r="T256" t="s" s="0">
        <v>81</v>
      </c>
      <c r="U256" t="s" s="0">
        <v>81</v>
      </c>
      <c r="V256" t="s" s="0">
        <v>6226</v>
      </c>
      <c r="W256" t="s" s="0">
        <v>6227</v>
      </c>
      <c r="X256" t="s" s="0">
        <v>81</v>
      </c>
      <c r="Y256" t="s" s="0">
        <v>81</v>
      </c>
      <c r="Z256" t="s" s="0">
        <v>93</v>
      </c>
      <c r="AA256" t="s" s="0">
        <v>94</v>
      </c>
      <c r="AB256" t="s" s="0">
        <v>81</v>
      </c>
      <c r="AC256" t="s" s="0">
        <v>81</v>
      </c>
      <c r="AD256" t="s" s="0">
        <v>81</v>
      </c>
      <c r="AE256" t="s" s="0">
        <v>81</v>
      </c>
      <c r="AF256" t="s" s="0">
        <v>81</v>
      </c>
      <c r="AG256" t="s" s="0">
        <v>6228</v>
      </c>
      <c r="AH256" t="s" s="0">
        <v>81</v>
      </c>
      <c r="AI256" t="s" s="0">
        <v>6229</v>
      </c>
      <c r="AJ256" t="s" s="0">
        <v>6230</v>
      </c>
      <c r="AK256" t="s" s="0">
        <v>81</v>
      </c>
      <c r="AL256" t="s" s="0">
        <v>127</v>
      </c>
      <c r="AM256" t="s" s="0">
        <v>77</v>
      </c>
      <c r="AN256" t="s" s="0">
        <v>77</v>
      </c>
      <c r="AO256" t="s" s="0">
        <v>160</v>
      </c>
      <c r="AP256" t="s" s="0">
        <v>160</v>
      </c>
      <c r="AQ256" t="s" s="0">
        <v>370</v>
      </c>
      <c r="AR256" t="s" s="0">
        <v>371</v>
      </c>
      <c r="AS256" t="s" s="0">
        <v>372</v>
      </c>
      <c r="AT256" t="s" s="0">
        <v>6231</v>
      </c>
      <c r="AU256" t="s" s="0">
        <v>6232</v>
      </c>
      <c r="AV256" t="s" s="0">
        <v>81</v>
      </c>
      <c r="AW256" t="s" s="0">
        <v>6233</v>
      </c>
      <c r="AX256" t="s" s="0">
        <v>6234</v>
      </c>
      <c r="AY256" t="s" s="0">
        <v>6235</v>
      </c>
      <c r="AZ256" t="s" s="0">
        <v>136</v>
      </c>
      <c r="BA256" t="s" s="0">
        <v>564</v>
      </c>
      <c r="BB256" t="s" s="0">
        <v>117</v>
      </c>
      <c r="BC256" t="s" s="0">
        <v>81</v>
      </c>
      <c r="BD256" t="s" s="0">
        <v>81</v>
      </c>
      <c r="BE256" t="s" s="0">
        <v>81</v>
      </c>
      <c r="BF256" t="s" s="0">
        <v>81</v>
      </c>
      <c r="BG256" t="s" s="0">
        <v>81</v>
      </c>
      <c r="BH256" t="s" s="0">
        <v>81</v>
      </c>
      <c r="BI256" t="s" s="0">
        <v>4839</v>
      </c>
      <c r="BJ256" t="s" s="0">
        <v>6236</v>
      </c>
      <c r="BK256" t="s" s="508">
        <f>HYPERLINK("http://dx.doi.org/10.1007/s11571-025-10369-0","http://dx.doi.org/10.1007/s11571-025-10369-0")</f>
        <v>6237</v>
      </c>
      <c r="BL256" t="s" s="0">
        <v>81</v>
      </c>
      <c r="BM256" t="s" s="0">
        <v>81</v>
      </c>
      <c r="BN256" t="s" s="0">
        <v>167</v>
      </c>
      <c r="BO256" t="s" s="0">
        <v>110</v>
      </c>
      <c r="BP256" t="s" s="0">
        <v>111</v>
      </c>
      <c r="BQ256" t="s" s="0">
        <v>6238</v>
      </c>
      <c r="BR256" t="s" s="0">
        <v>6239</v>
      </c>
      <c r="BS256" t="s" s="0">
        <v>6240</v>
      </c>
      <c r="BT256" t="s" s="509">
        <f>HYPERLINK("https://www.webofscience.com/wos/woscc/full-record/WOS:001609597200002","View Record in Web of Science")</f>
        <v>114</v>
      </c>
      <c r="BU256" t="s" s="0">
        <v>1908</v>
      </c>
      <c r="BV256" t="s" s="0">
        <v>81</v>
      </c>
      <c r="BW256" t="s" s="0">
        <v>81</v>
      </c>
      <c r="BX256" t="s" s="0">
        <v>116</v>
      </c>
    </row>
    <row r="257">
      <c r="A257" t="s" s="0">
        <v>77</v>
      </c>
      <c r="B257" t="s" s="0">
        <v>77</v>
      </c>
      <c r="C257" t="s" s="0">
        <v>77</v>
      </c>
      <c r="D257" t="s" s="0">
        <v>77</v>
      </c>
      <c r="E257" t="s" s="0">
        <v>6241</v>
      </c>
      <c r="F257" t="s" s="0">
        <v>6242</v>
      </c>
      <c r="G257" t="s" s="0">
        <v>6243</v>
      </c>
      <c r="H257" t="s" s="0">
        <v>81</v>
      </c>
      <c r="I257" t="s" s="0">
        <v>82</v>
      </c>
      <c r="J257" t="s" s="0">
        <v>6244</v>
      </c>
      <c r="K257" t="s" s="0">
        <v>6245</v>
      </c>
      <c r="L257" t="s" s="0">
        <v>6246</v>
      </c>
      <c r="M257" t="s" s="0">
        <v>6247</v>
      </c>
      <c r="N257" t="s" s="0">
        <v>6248</v>
      </c>
      <c r="O257" t="s" s="0">
        <v>6249</v>
      </c>
      <c r="P257" t="s" s="0">
        <v>6250</v>
      </c>
      <c r="Q257" t="s" s="0">
        <v>90</v>
      </c>
      <c r="R257" t="s" s="0">
        <v>81</v>
      </c>
      <c r="S257" t="s" s="0">
        <v>81</v>
      </c>
      <c r="T257" t="s" s="0">
        <v>81</v>
      </c>
      <c r="U257" t="s" s="0">
        <v>81</v>
      </c>
      <c r="V257" t="s" s="0">
        <v>6251</v>
      </c>
      <c r="W257" t="s" s="0">
        <v>6252</v>
      </c>
      <c r="X257" t="s" s="0">
        <v>81</v>
      </c>
      <c r="Y257" t="s" s="0">
        <v>81</v>
      </c>
      <c r="Z257" t="s" s="0">
        <v>93</v>
      </c>
      <c r="AA257" t="s" s="0">
        <v>94</v>
      </c>
      <c r="AB257" t="s" s="0">
        <v>81</v>
      </c>
      <c r="AC257" t="s" s="0">
        <v>81</v>
      </c>
      <c r="AD257" t="s" s="0">
        <v>81</v>
      </c>
      <c r="AE257" t="s" s="0">
        <v>81</v>
      </c>
      <c r="AF257" t="s" s="0">
        <v>81</v>
      </c>
      <c r="AG257" t="s" s="0">
        <v>81</v>
      </c>
      <c r="AH257" t="s" s="0">
        <v>6253</v>
      </c>
      <c r="AI257" t="s" s="0">
        <v>81</v>
      </c>
      <c r="AJ257" t="s" s="0">
        <v>81</v>
      </c>
      <c r="AK257" t="s" s="0">
        <v>81</v>
      </c>
      <c r="AL257" t="s" s="0">
        <v>1487</v>
      </c>
      <c r="AM257" t="s" s="0">
        <v>77</v>
      </c>
      <c r="AN257" t="s" s="0">
        <v>77</v>
      </c>
      <c r="AO257" t="s" s="0">
        <v>77</v>
      </c>
      <c r="AP257" t="s" s="0">
        <v>77</v>
      </c>
      <c r="AQ257" t="s" s="0">
        <v>6254</v>
      </c>
      <c r="AR257" t="s" s="0">
        <v>4553</v>
      </c>
      <c r="AS257" t="s" s="0">
        <v>6255</v>
      </c>
      <c r="AT257" t="s" s="0">
        <v>6256</v>
      </c>
      <c r="AU257" t="s" s="0">
        <v>81</v>
      </c>
      <c r="AV257" t="s" s="0">
        <v>81</v>
      </c>
      <c r="AW257" t="s" s="0">
        <v>6257</v>
      </c>
      <c r="AX257" t="s" s="0">
        <v>6258</v>
      </c>
      <c r="AY257" t="s" s="0">
        <v>203</v>
      </c>
      <c r="AZ257" t="s" s="0">
        <v>104</v>
      </c>
      <c r="BA257" t="s" s="0">
        <v>81</v>
      </c>
      <c r="BB257" t="s" s="0">
        <v>3998</v>
      </c>
      <c r="BC257" t="s" s="0">
        <v>81</v>
      </c>
      <c r="BD257" t="s" s="0">
        <v>81</v>
      </c>
      <c r="BE257" t="s" s="0">
        <v>81</v>
      </c>
      <c r="BF257" t="s" s="0">
        <v>81</v>
      </c>
      <c r="BG257" t="s" s="0">
        <v>81</v>
      </c>
      <c r="BH257" t="s" s="0">
        <v>81</v>
      </c>
      <c r="BI257" t="s" s="0">
        <v>6259</v>
      </c>
      <c r="BJ257" t="s" s="0">
        <v>6260</v>
      </c>
      <c r="BK257" t="s" s="510">
        <f>HYPERLINK("http://dx.doi.org/10.3791/70231","http://dx.doi.org/10.3791/70231")</f>
        <v>6261</v>
      </c>
      <c r="BL257" t="s" s="0">
        <v>81</v>
      </c>
      <c r="BM257" t="s" s="0">
        <v>81</v>
      </c>
      <c r="BN257" t="s" s="0">
        <v>137</v>
      </c>
      <c r="BO257" t="s" s="0">
        <v>285</v>
      </c>
      <c r="BP257" t="s" s="0">
        <v>286</v>
      </c>
      <c r="BQ257" t="s" s="0">
        <v>6262</v>
      </c>
      <c r="BR257" t="s" s="0">
        <v>6263</v>
      </c>
      <c r="BS257" t="s" s="0">
        <v>6264</v>
      </c>
      <c r="BT257" t="s" s="511">
        <f>HYPERLINK("https://www.webofscience.com/wos/woscc/full-record/WOS:001772365700029","View Record in Web of Science")</f>
        <v>114</v>
      </c>
      <c r="BU257" t="s" s="0">
        <v>81</v>
      </c>
      <c r="BV257" t="s" s="0">
        <v>81</v>
      </c>
      <c r="BW257" t="s" s="0">
        <v>81</v>
      </c>
      <c r="BX257" t="s" s="0">
        <v>116</v>
      </c>
    </row>
    <row r="258">
      <c r="A258" t="s" s="0">
        <v>77</v>
      </c>
      <c r="B258" t="s" s="0">
        <v>77</v>
      </c>
      <c r="C258" t="s" s="0">
        <v>77</v>
      </c>
      <c r="D258" t="s" s="0">
        <v>77</v>
      </c>
      <c r="E258" t="s" s="0">
        <v>6265</v>
      </c>
      <c r="F258" t="s" s="0">
        <v>6266</v>
      </c>
      <c r="G258" t="s" s="0">
        <v>6267</v>
      </c>
      <c r="H258" t="s" s="0">
        <v>81</v>
      </c>
      <c r="I258" t="s" s="0">
        <v>2702</v>
      </c>
      <c r="J258" t="s" s="0">
        <v>6268</v>
      </c>
      <c r="K258" t="s" s="0">
        <v>6269</v>
      </c>
      <c r="L258" t="s" s="0">
        <v>6270</v>
      </c>
      <c r="M258" t="s" s="0">
        <v>6271</v>
      </c>
      <c r="N258" t="s" s="0">
        <v>6272</v>
      </c>
      <c r="O258" t="s" s="0">
        <v>6273</v>
      </c>
      <c r="P258" t="s" s="0">
        <v>6274</v>
      </c>
      <c r="Q258" t="s" s="0">
        <v>90</v>
      </c>
      <c r="R258" t="s" s="0">
        <v>81</v>
      </c>
      <c r="S258" t="s" s="0">
        <v>81</v>
      </c>
      <c r="T258" t="s" s="0">
        <v>81</v>
      </c>
      <c r="U258" t="s" s="0">
        <v>81</v>
      </c>
      <c r="V258" t="s" s="0">
        <v>6275</v>
      </c>
      <c r="W258" t="s" s="0">
        <v>3307</v>
      </c>
      <c r="X258" t="s" s="0">
        <v>81</v>
      </c>
      <c r="Y258" t="s" s="0">
        <v>81</v>
      </c>
      <c r="Z258" t="s" s="0">
        <v>93</v>
      </c>
      <c r="AA258" t="s" s="0">
        <v>94</v>
      </c>
      <c r="AB258" t="s" s="0">
        <v>81</v>
      </c>
      <c r="AC258" t="s" s="0">
        <v>81</v>
      </c>
      <c r="AD258" t="s" s="0">
        <v>81</v>
      </c>
      <c r="AE258" t="s" s="0">
        <v>81</v>
      </c>
      <c r="AF258" t="s" s="0">
        <v>81</v>
      </c>
      <c r="AG258" t="s" s="0">
        <v>6276</v>
      </c>
      <c r="AH258" t="s" s="0">
        <v>81</v>
      </c>
      <c r="AI258" t="s" s="0">
        <v>81</v>
      </c>
      <c r="AJ258" t="s" s="0">
        <v>81</v>
      </c>
      <c r="AK258" t="s" s="0">
        <v>81</v>
      </c>
      <c r="AL258" t="s" s="0">
        <v>405</v>
      </c>
      <c r="AM258" t="s" s="0">
        <v>77</v>
      </c>
      <c r="AN258" t="s" s="0">
        <v>77</v>
      </c>
      <c r="AO258" t="s" s="0">
        <v>77</v>
      </c>
      <c r="AP258" t="s" s="0">
        <v>77</v>
      </c>
      <c r="AQ258" t="s" s="0">
        <v>97</v>
      </c>
      <c r="AR258" t="s" s="0">
        <v>98</v>
      </c>
      <c r="AS258" t="s" s="0">
        <v>99</v>
      </c>
      <c r="AT258" t="s" s="0">
        <v>81</v>
      </c>
      <c r="AU258" t="s" s="0">
        <v>3311</v>
      </c>
      <c r="AV258" t="s" s="0">
        <v>81</v>
      </c>
      <c r="AW258" t="s" s="0">
        <v>3312</v>
      </c>
      <c r="AX258" t="s" s="0">
        <v>3313</v>
      </c>
      <c r="AY258" t="s" s="0">
        <v>1543</v>
      </c>
      <c r="AZ258" t="s" s="0">
        <v>104</v>
      </c>
      <c r="BA258" t="s" s="0">
        <v>228</v>
      </c>
      <c r="BB258" t="s" s="0">
        <v>81</v>
      </c>
      <c r="BC258" t="s" s="0">
        <v>81</v>
      </c>
      <c r="BD258" t="s" s="0">
        <v>81</v>
      </c>
      <c r="BE258" t="s" s="0">
        <v>81</v>
      </c>
      <c r="BF258" t="s" s="0">
        <v>81</v>
      </c>
      <c r="BG258" t="s" s="0">
        <v>81</v>
      </c>
      <c r="BH258" t="s" s="0">
        <v>81</v>
      </c>
      <c r="BI258" t="s" s="0">
        <v>6277</v>
      </c>
      <c r="BJ258" t="s" s="0">
        <v>6278</v>
      </c>
      <c r="BK258" t="s" s="512">
        <f>HYPERLINK("http://dx.doi.org/10.3389/fpubh.2026.1854215","http://dx.doi.org/10.3389/fpubh.2026.1854215")</f>
        <v>6279</v>
      </c>
      <c r="BL258" t="s" s="0">
        <v>81</v>
      </c>
      <c r="BM258" t="s" s="0">
        <v>445</v>
      </c>
      <c r="BN258" t="s" s="0">
        <v>258</v>
      </c>
      <c r="BO258" t="s" s="0">
        <v>3318</v>
      </c>
      <c r="BP258" t="s" s="0">
        <v>3318</v>
      </c>
      <c r="BQ258" t="s" s="0">
        <v>6280</v>
      </c>
      <c r="BR258" t="s" s="0">
        <v>6281</v>
      </c>
      <c r="BS258" t="s" s="0">
        <v>6282</v>
      </c>
      <c r="BT258" t="s" s="513">
        <f>HYPERLINK("https://www.webofscience.com/wos/woscc/full-record/WOS:001813076600001","View Record in Web of Science")</f>
        <v>114</v>
      </c>
      <c r="BU258" t="s" s="0">
        <v>145</v>
      </c>
      <c r="BV258" t="s" s="0">
        <v>81</v>
      </c>
      <c r="BW258" t="s" s="0">
        <v>81</v>
      </c>
      <c r="BX258" t="s" s="0">
        <v>116</v>
      </c>
    </row>
    <row r="259">
      <c r="A259" t="s" s="0">
        <v>77</v>
      </c>
      <c r="B259" t="s" s="0">
        <v>77</v>
      </c>
      <c r="C259" t="s" s="0">
        <v>77</v>
      </c>
      <c r="D259" t="s" s="0">
        <v>77</v>
      </c>
      <c r="E259" t="s" s="0">
        <v>6283</v>
      </c>
      <c r="F259" t="s" s="0">
        <v>6284</v>
      </c>
      <c r="G259" t="s" s="0">
        <v>6285</v>
      </c>
      <c r="H259" t="s" s="0">
        <v>81</v>
      </c>
      <c r="I259" t="s" s="0">
        <v>82</v>
      </c>
      <c r="J259" t="s" s="0">
        <v>6286</v>
      </c>
      <c r="K259" t="s" s="0">
        <v>6287</v>
      </c>
      <c r="L259" t="s" s="0">
        <v>6288</v>
      </c>
      <c r="M259" t="s" s="0">
        <v>6289</v>
      </c>
      <c r="N259" t="s" s="0">
        <v>1632</v>
      </c>
      <c r="O259" t="s" s="0">
        <v>6290</v>
      </c>
      <c r="P259" t="s" s="0">
        <v>6291</v>
      </c>
      <c r="Q259" t="s" s="0">
        <v>90</v>
      </c>
      <c r="R259" t="s" s="0">
        <v>81</v>
      </c>
      <c r="S259" t="s" s="0">
        <v>81</v>
      </c>
      <c r="T259" t="s" s="0">
        <v>81</v>
      </c>
      <c r="U259" t="s" s="0">
        <v>81</v>
      </c>
      <c r="V259" t="s" s="0">
        <v>6292</v>
      </c>
      <c r="W259" t="s" s="0">
        <v>154</v>
      </c>
      <c r="X259" t="s" s="0">
        <v>81</v>
      </c>
      <c r="Y259" t="s" s="0">
        <v>81</v>
      </c>
      <c r="Z259" t="s" s="0">
        <v>93</v>
      </c>
      <c r="AA259" t="s" s="0">
        <v>94</v>
      </c>
      <c r="AB259" t="s" s="0">
        <v>81</v>
      </c>
      <c r="AC259" t="s" s="0">
        <v>81</v>
      </c>
      <c r="AD259" t="s" s="0">
        <v>81</v>
      </c>
      <c r="AE259" t="s" s="0">
        <v>81</v>
      </c>
      <c r="AF259" t="s" s="0">
        <v>81</v>
      </c>
      <c r="AG259" t="s" s="0">
        <v>6293</v>
      </c>
      <c r="AH259" t="s" s="0">
        <v>81</v>
      </c>
      <c r="AI259" t="s" s="0">
        <v>6294</v>
      </c>
      <c r="AJ259" t="s" s="0">
        <v>6295</v>
      </c>
      <c r="AK259" t="s" s="0">
        <v>81</v>
      </c>
      <c r="AL259" t="s" s="0">
        <v>846</v>
      </c>
      <c r="AM259" t="s" s="0">
        <v>77</v>
      </c>
      <c r="AN259" t="s" s="0">
        <v>77</v>
      </c>
      <c r="AO259" t="s" s="0">
        <v>77</v>
      </c>
      <c r="AP259" t="s" s="0">
        <v>77</v>
      </c>
      <c r="AQ259" t="s" s="0">
        <v>162</v>
      </c>
      <c r="AR259" t="s" s="0">
        <v>163</v>
      </c>
      <c r="AS259" t="s" s="0">
        <v>164</v>
      </c>
      <c r="AT259" t="s" s="0">
        <v>165</v>
      </c>
      <c r="AU259" t="s" s="0">
        <v>81</v>
      </c>
      <c r="AV259" t="s" s="0">
        <v>81</v>
      </c>
      <c r="AW259" t="s" s="0">
        <v>154</v>
      </c>
      <c r="AX259" t="s" s="0">
        <v>166</v>
      </c>
      <c r="AY259" t="s" s="0">
        <v>104</v>
      </c>
      <c r="AZ259" t="s" s="0">
        <v>104</v>
      </c>
      <c r="BA259" t="s" s="0">
        <v>228</v>
      </c>
      <c r="BB259" t="s" s="0">
        <v>81</v>
      </c>
      <c r="BC259" t="s" s="0">
        <v>81</v>
      </c>
      <c r="BD259" t="s" s="0">
        <v>81</v>
      </c>
      <c r="BE259" t="s" s="0">
        <v>81</v>
      </c>
      <c r="BF259" t="s" s="0">
        <v>81</v>
      </c>
      <c r="BG259" t="s" s="0">
        <v>6296</v>
      </c>
      <c r="BH259" t="s" s="0">
        <v>6297</v>
      </c>
      <c r="BI259" t="s" s="0">
        <v>81</v>
      </c>
      <c r="BJ259" t="s" s="0">
        <v>6298</v>
      </c>
      <c r="BK259" t="s" s="514">
        <f>HYPERLINK("http://dx.doi.org/10.1109/ACCESS.2026.3680427","http://dx.doi.org/10.1109/ACCESS.2026.3680427")</f>
        <v>6299</v>
      </c>
      <c r="BL259" t="s" s="0">
        <v>81</v>
      </c>
      <c r="BM259" t="s" s="0">
        <v>81</v>
      </c>
      <c r="BN259" t="s" s="0">
        <v>563</v>
      </c>
      <c r="BO259" t="s" s="0">
        <v>173</v>
      </c>
      <c r="BP259" t="s" s="0">
        <v>174</v>
      </c>
      <c r="BQ259" t="s" s="0">
        <v>6300</v>
      </c>
      <c r="BR259" t="s" s="0">
        <v>81</v>
      </c>
      <c r="BS259" t="s" s="0">
        <v>6301</v>
      </c>
      <c r="BT259" t="s" s="515">
        <f>HYPERLINK("https://www.webofscience.com/wos/woscc/full-record/WOS:001740841500045","View Record in Web of Science")</f>
        <v>114</v>
      </c>
      <c r="BU259" t="s" s="0">
        <v>145</v>
      </c>
      <c r="BV259" t="s" s="0">
        <v>81</v>
      </c>
      <c r="BW259" t="s" s="0">
        <v>81</v>
      </c>
      <c r="BX259" t="s" s="0">
        <v>116</v>
      </c>
    </row>
    <row r="260">
      <c r="A260" t="s" s="0">
        <v>77</v>
      </c>
      <c r="B260" t="s" s="0">
        <v>77</v>
      </c>
      <c r="C260" t="s" s="0">
        <v>227</v>
      </c>
      <c r="D260" t="s" s="0">
        <v>77</v>
      </c>
      <c r="E260" t="s" s="0">
        <v>6302</v>
      </c>
      <c r="F260" t="s" s="0">
        <v>6303</v>
      </c>
      <c r="G260" t="s" s="0">
        <v>6304</v>
      </c>
      <c r="H260" t="s" s="0">
        <v>81</v>
      </c>
      <c r="I260" t="s" s="0">
        <v>82</v>
      </c>
      <c r="J260" t="s" s="0">
        <v>6305</v>
      </c>
      <c r="K260" t="s" s="0">
        <v>6306</v>
      </c>
      <c r="L260" t="s" s="0">
        <v>6307</v>
      </c>
      <c r="M260" t="s" s="0">
        <v>6308</v>
      </c>
      <c r="N260" t="s" s="0">
        <v>6309</v>
      </c>
      <c r="O260" t="s" s="0">
        <v>6310</v>
      </c>
      <c r="P260" t="s" s="0">
        <v>6311</v>
      </c>
      <c r="Q260" t="s" s="0">
        <v>90</v>
      </c>
      <c r="R260" t="s" s="0">
        <v>81</v>
      </c>
      <c r="S260" t="s" s="0">
        <v>81</v>
      </c>
      <c r="T260" t="s" s="0">
        <v>81</v>
      </c>
      <c r="U260" t="s" s="0">
        <v>81</v>
      </c>
      <c r="V260" t="s" s="0">
        <v>6312</v>
      </c>
      <c r="W260" t="s" s="0">
        <v>6313</v>
      </c>
      <c r="X260" t="s" s="0">
        <v>81</v>
      </c>
      <c r="Y260" t="s" s="0">
        <v>81</v>
      </c>
      <c r="Z260" t="s" s="0">
        <v>93</v>
      </c>
      <c r="AA260" t="s" s="0">
        <v>94</v>
      </c>
      <c r="AB260" t="s" s="0">
        <v>81</v>
      </c>
      <c r="AC260" t="s" s="0">
        <v>81</v>
      </c>
      <c r="AD260" t="s" s="0">
        <v>81</v>
      </c>
      <c r="AE260" t="s" s="0">
        <v>81</v>
      </c>
      <c r="AF260" t="s" s="0">
        <v>81</v>
      </c>
      <c r="AG260" t="s" s="0">
        <v>6314</v>
      </c>
      <c r="AH260" t="s" s="0">
        <v>2651</v>
      </c>
      <c r="AI260" t="s" s="0">
        <v>6315</v>
      </c>
      <c r="AJ260" t="s" s="0">
        <v>81</v>
      </c>
      <c r="AK260" t="s" s="0">
        <v>81</v>
      </c>
      <c r="AL260" t="s" s="0">
        <v>474</v>
      </c>
      <c r="AM260" t="s" s="0">
        <v>160</v>
      </c>
      <c r="AN260" t="s" s="0">
        <v>160</v>
      </c>
      <c r="AO260" t="s" s="0">
        <v>227</v>
      </c>
      <c r="AP260" t="s" s="0">
        <v>105</v>
      </c>
      <c r="AQ260" t="s" s="0">
        <v>194</v>
      </c>
      <c r="AR260" t="s" s="0">
        <v>195</v>
      </c>
      <c r="AS260" t="s" s="0">
        <v>196</v>
      </c>
      <c r="AT260" t="s" s="0">
        <v>6316</v>
      </c>
      <c r="AU260" t="s" s="0">
        <v>6317</v>
      </c>
      <c r="AV260" t="s" s="0">
        <v>81</v>
      </c>
      <c r="AW260" t="s" s="0">
        <v>6313</v>
      </c>
      <c r="AX260" t="s" s="0">
        <v>6318</v>
      </c>
      <c r="AY260" t="s" s="0">
        <v>233</v>
      </c>
      <c r="AZ260" t="s" s="0">
        <v>136</v>
      </c>
      <c r="BA260" t="s" s="0">
        <v>878</v>
      </c>
      <c r="BB260" t="s" s="0">
        <v>117</v>
      </c>
      <c r="BC260" t="s" s="0">
        <v>81</v>
      </c>
      <c r="BD260" t="s" s="0">
        <v>81</v>
      </c>
      <c r="BE260" t="s" s="0">
        <v>81</v>
      </c>
      <c r="BF260" t="s" s="0">
        <v>81</v>
      </c>
      <c r="BG260" t="s" s="0">
        <v>81</v>
      </c>
      <c r="BH260" t="s" s="0">
        <v>81</v>
      </c>
      <c r="BI260" t="s" s="0">
        <v>6319</v>
      </c>
      <c r="BJ260" t="s" s="0">
        <v>6320</v>
      </c>
      <c r="BK260" t="s" s="516">
        <f>HYPERLINK("http://dx.doi.org/10.1080/0886022X.2025.2528106","http://dx.doi.org/10.1080/0886022X.2025.2528106")</f>
        <v>6321</v>
      </c>
      <c r="BL260" t="s" s="0">
        <v>81</v>
      </c>
      <c r="BM260" t="s" s="0">
        <v>81</v>
      </c>
      <c r="BN260" t="s" s="0">
        <v>564</v>
      </c>
      <c r="BO260" t="s" s="0">
        <v>6322</v>
      </c>
      <c r="BP260" t="s" s="0">
        <v>6322</v>
      </c>
      <c r="BQ260" t="s" s="0">
        <v>6323</v>
      </c>
      <c r="BR260" t="s" s="0">
        <v>6324</v>
      </c>
      <c r="BS260" t="s" s="0">
        <v>6325</v>
      </c>
      <c r="BT260" t="s" s="517">
        <f>HYPERLINK("https://www.webofscience.com/wos/woscc/full-record/WOS:001528187700001","View Record in Web of Science")</f>
        <v>114</v>
      </c>
      <c r="BU260" t="s" s="0">
        <v>6326</v>
      </c>
      <c r="BV260" t="s" s="0">
        <v>81</v>
      </c>
      <c r="BW260" t="s" s="0">
        <v>81</v>
      </c>
      <c r="BX260" t="s" s="0">
        <v>116</v>
      </c>
    </row>
    <row r="261">
      <c r="A261" t="s" s="0">
        <v>117</v>
      </c>
      <c r="B261" t="s" s="0">
        <v>77</v>
      </c>
      <c r="C261" t="s" s="0">
        <v>130</v>
      </c>
      <c r="D261" t="s" s="0">
        <v>77</v>
      </c>
      <c r="E261" t="s" s="0">
        <v>6327</v>
      </c>
      <c r="F261" t="s" s="0">
        <v>6328</v>
      </c>
      <c r="G261" t="s" s="0">
        <v>6329</v>
      </c>
      <c r="H261" t="s" s="0">
        <v>81</v>
      </c>
      <c r="I261" t="s" s="0">
        <v>2702</v>
      </c>
      <c r="J261" t="s" s="0">
        <v>6330</v>
      </c>
      <c r="K261" t="s" s="0">
        <v>6331</v>
      </c>
      <c r="L261" t="s" s="0">
        <v>6332</v>
      </c>
      <c r="M261" t="s" s="0">
        <v>6333</v>
      </c>
      <c r="N261" t="s" s="0">
        <v>6334</v>
      </c>
      <c r="O261" t="s" s="0">
        <v>6335</v>
      </c>
      <c r="P261" t="s" s="0">
        <v>81</v>
      </c>
      <c r="Q261" t="s" s="0">
        <v>90</v>
      </c>
      <c r="R261" t="s" s="0">
        <v>81</v>
      </c>
      <c r="S261" t="s" s="0">
        <v>81</v>
      </c>
      <c r="T261" t="s" s="0">
        <v>81</v>
      </c>
      <c r="U261" t="s" s="0">
        <v>81</v>
      </c>
      <c r="V261" t="s" s="0">
        <v>6336</v>
      </c>
      <c r="W261" t="s" s="0">
        <v>2711</v>
      </c>
      <c r="X261" t="s" s="0">
        <v>81</v>
      </c>
      <c r="Y261" t="s" s="0">
        <v>81</v>
      </c>
      <c r="Z261" t="s" s="0">
        <v>93</v>
      </c>
      <c r="AA261" t="s" s="0">
        <v>94</v>
      </c>
      <c r="AB261" t="s" s="0">
        <v>81</v>
      </c>
      <c r="AC261" t="s" s="0">
        <v>81</v>
      </c>
      <c r="AD261" t="s" s="0">
        <v>81</v>
      </c>
      <c r="AE261" t="s" s="0">
        <v>81</v>
      </c>
      <c r="AF261" t="s" s="0">
        <v>81</v>
      </c>
      <c r="AG261" t="s" s="0">
        <v>6337</v>
      </c>
      <c r="AH261" t="s" s="0">
        <v>6338</v>
      </c>
      <c r="AI261" t="s" s="0">
        <v>6339</v>
      </c>
      <c r="AJ261" t="s" s="0">
        <v>6340</v>
      </c>
      <c r="AK261" t="s" s="0">
        <v>81</v>
      </c>
      <c r="AL261" t="s" s="0">
        <v>625</v>
      </c>
      <c r="AM261" t="s" s="0">
        <v>227</v>
      </c>
      <c r="AN261" t="s" s="0">
        <v>160</v>
      </c>
      <c r="AO261" t="s" s="0">
        <v>130</v>
      </c>
      <c r="AP261" t="s" s="0">
        <v>161</v>
      </c>
      <c r="AQ261" t="s" s="0">
        <v>738</v>
      </c>
      <c r="AR261" t="s" s="0">
        <v>306</v>
      </c>
      <c r="AS261" t="s" s="0">
        <v>739</v>
      </c>
      <c r="AT261" t="s" s="0">
        <v>2715</v>
      </c>
      <c r="AU261" t="s" s="0">
        <v>2716</v>
      </c>
      <c r="AV261" t="s" s="0">
        <v>81</v>
      </c>
      <c r="AW261" t="s" s="0">
        <v>2717</v>
      </c>
      <c r="AX261" t="s" s="0">
        <v>2718</v>
      </c>
      <c r="AY261" t="s" s="0">
        <v>450</v>
      </c>
      <c r="AZ261" t="s" s="0">
        <v>136</v>
      </c>
      <c r="BA261" t="s" s="0">
        <v>1421</v>
      </c>
      <c r="BB261" t="s" s="0">
        <v>204</v>
      </c>
      <c r="BC261" t="s" s="0">
        <v>81</v>
      </c>
      <c r="BD261" t="s" s="0">
        <v>81</v>
      </c>
      <c r="BE261" t="s" s="0">
        <v>81</v>
      </c>
      <c r="BF261" t="s" s="0">
        <v>81</v>
      </c>
      <c r="BG261" t="s" s="0">
        <v>6341</v>
      </c>
      <c r="BH261" t="s" s="0">
        <v>6342</v>
      </c>
      <c r="BI261" t="s" s="0">
        <v>81</v>
      </c>
      <c r="BJ261" t="s" s="0">
        <v>6343</v>
      </c>
      <c r="BK261" t="s" s="518">
        <f>HYPERLINK("http://dx.doi.org/10.1093/jamia/ocaf142","http://dx.doi.org/10.1093/jamia/ocaf142")</f>
        <v>6344</v>
      </c>
      <c r="BL261" t="s" s="0">
        <v>81</v>
      </c>
      <c r="BM261" t="s" s="0">
        <v>1080</v>
      </c>
      <c r="BN261" t="s" s="0">
        <v>167</v>
      </c>
      <c r="BO261" t="s" s="0">
        <v>2724</v>
      </c>
      <c r="BP261" t="s" s="0">
        <v>2725</v>
      </c>
      <c r="BQ261" t="s" s="0">
        <v>6345</v>
      </c>
      <c r="BR261" t="s" s="0">
        <v>6346</v>
      </c>
      <c r="BS261" t="s" s="0">
        <v>6347</v>
      </c>
      <c r="BT261" t="s" s="519">
        <f>HYPERLINK("https://www.webofscience.com/wos/woscc/full-record/WOS:001562421100001","View Record in Web of Science")</f>
        <v>114</v>
      </c>
      <c r="BU261" t="s" s="0">
        <v>81</v>
      </c>
      <c r="BV261" t="s" s="0">
        <v>81</v>
      </c>
      <c r="BW261" t="s" s="0">
        <v>81</v>
      </c>
      <c r="BX261" t="s" s="0">
        <v>116</v>
      </c>
    </row>
    <row r="262">
      <c r="A262" t="s" s="0">
        <v>77</v>
      </c>
      <c r="B262" t="s" s="0">
        <v>77</v>
      </c>
      <c r="C262" t="s" s="0">
        <v>253</v>
      </c>
      <c r="D262" t="s" s="0">
        <v>77</v>
      </c>
      <c r="E262" t="s" s="0">
        <v>6348</v>
      </c>
      <c r="F262" t="s" s="0">
        <v>6349</v>
      </c>
      <c r="G262" t="s" s="0">
        <v>6350</v>
      </c>
      <c r="H262" t="s" s="0">
        <v>81</v>
      </c>
      <c r="I262" t="s" s="0">
        <v>213</v>
      </c>
      <c r="J262" t="s" s="0">
        <v>6351</v>
      </c>
      <c r="K262" t="s" s="0">
        <v>6352</v>
      </c>
      <c r="L262" t="s" s="0">
        <v>6353</v>
      </c>
      <c r="M262" t="s" s="0">
        <v>6354</v>
      </c>
      <c r="N262" t="s" s="0">
        <v>6355</v>
      </c>
      <c r="O262" t="s" s="0">
        <v>6356</v>
      </c>
      <c r="P262" t="s" s="0">
        <v>6357</v>
      </c>
      <c r="Q262" t="s" s="0">
        <v>90</v>
      </c>
      <c r="R262" t="s" s="0">
        <v>81</v>
      </c>
      <c r="S262" t="s" s="0">
        <v>81</v>
      </c>
      <c r="T262" t="s" s="0">
        <v>81</v>
      </c>
      <c r="U262" t="s" s="0">
        <v>81</v>
      </c>
      <c r="V262" t="s" s="0">
        <v>6358</v>
      </c>
      <c r="W262" t="s" s="0">
        <v>1365</v>
      </c>
      <c r="X262" t="s" s="0">
        <v>81</v>
      </c>
      <c r="Y262" t="s" s="0">
        <v>81</v>
      </c>
      <c r="Z262" t="s" s="0">
        <v>93</v>
      </c>
      <c r="AA262" t="s" s="0">
        <v>94</v>
      </c>
      <c r="AB262" t="s" s="0">
        <v>81</v>
      </c>
      <c r="AC262" t="s" s="0">
        <v>81</v>
      </c>
      <c r="AD262" t="s" s="0">
        <v>81</v>
      </c>
      <c r="AE262" t="s" s="0">
        <v>81</v>
      </c>
      <c r="AF262" t="s" s="0">
        <v>81</v>
      </c>
      <c r="AG262" t="s" s="0">
        <v>6359</v>
      </c>
      <c r="AH262" t="s" s="0">
        <v>6360</v>
      </c>
      <c r="AI262" t="s" s="0">
        <v>6361</v>
      </c>
      <c r="AJ262" t="s" s="0">
        <v>6362</v>
      </c>
      <c r="AK262" t="s" s="0">
        <v>81</v>
      </c>
      <c r="AL262" t="s" s="0">
        <v>1487</v>
      </c>
      <c r="AM262" t="s" s="0">
        <v>128</v>
      </c>
      <c r="AN262" t="s" s="0">
        <v>204</v>
      </c>
      <c r="AO262" t="s" s="0">
        <v>77</v>
      </c>
      <c r="AP262" t="s" s="0">
        <v>131</v>
      </c>
      <c r="AQ262" t="s" s="0">
        <v>406</v>
      </c>
      <c r="AR262" t="s" s="0">
        <v>407</v>
      </c>
      <c r="AS262" t="s" s="0">
        <v>408</v>
      </c>
      <c r="AT262" t="s" s="0">
        <v>1370</v>
      </c>
      <c r="AU262" t="s" s="0">
        <v>81</v>
      </c>
      <c r="AV262" t="s" s="0">
        <v>81</v>
      </c>
      <c r="AW262" t="s" s="0">
        <v>1371</v>
      </c>
      <c r="AX262" t="s" s="0">
        <v>1372</v>
      </c>
      <c r="AY262" t="s" s="0">
        <v>6363</v>
      </c>
      <c r="AZ262" t="s" s="0">
        <v>136</v>
      </c>
      <c r="BA262" t="s" s="0">
        <v>253</v>
      </c>
      <c r="BB262" t="s" s="0">
        <v>130</v>
      </c>
      <c r="BC262" t="s" s="0">
        <v>81</v>
      </c>
      <c r="BD262" t="s" s="0">
        <v>81</v>
      </c>
      <c r="BE262" t="s" s="0">
        <v>81</v>
      </c>
      <c r="BF262" t="s" s="0">
        <v>81</v>
      </c>
      <c r="BG262" t="s" s="0">
        <v>81</v>
      </c>
      <c r="BH262" t="s" s="0">
        <v>81</v>
      </c>
      <c r="BI262" t="s" s="0">
        <v>6364</v>
      </c>
      <c r="BJ262" t="s" s="0">
        <v>6365</v>
      </c>
      <c r="BK262" t="s" s="520">
        <f>HYPERLINK("http://dx.doi.org/10.1016/j.xops.2024.100665","http://dx.doi.org/10.1016/j.xops.2024.100665")</f>
        <v>6366</v>
      </c>
      <c r="BL262" t="s" s="0">
        <v>81</v>
      </c>
      <c r="BM262" t="s" s="0">
        <v>382</v>
      </c>
      <c r="BN262" t="s" s="0">
        <v>225</v>
      </c>
      <c r="BO262" t="s" s="0">
        <v>606</v>
      </c>
      <c r="BP262" t="s" s="0">
        <v>606</v>
      </c>
      <c r="BQ262" t="s" s="0">
        <v>6367</v>
      </c>
      <c r="BR262" t="s" s="0">
        <v>6368</v>
      </c>
      <c r="BS262" t="s" s="0">
        <v>6369</v>
      </c>
      <c r="BT262" t="s" s="521">
        <f>HYPERLINK("https://www.webofscience.com/wos/woscc/full-record/WOS:001400759300001","View Record in Web of Science")</f>
        <v>114</v>
      </c>
      <c r="BU262" t="s" s="0">
        <v>145</v>
      </c>
      <c r="BV262" t="s" s="0">
        <v>81</v>
      </c>
      <c r="BW262" t="s" s="0">
        <v>81</v>
      </c>
      <c r="BX262" t="s" s="0">
        <v>116</v>
      </c>
    </row>
    <row r="263">
      <c r="A263" t="s" s="0">
        <v>77</v>
      </c>
      <c r="B263" t="s" s="0">
        <v>77</v>
      </c>
      <c r="C263" t="s" s="0">
        <v>77</v>
      </c>
      <c r="D263" t="s" s="0">
        <v>77</v>
      </c>
      <c r="E263" t="s" s="0">
        <v>6370</v>
      </c>
      <c r="F263" t="s" s="0">
        <v>6371</v>
      </c>
      <c r="G263" t="s" s="0">
        <v>6372</v>
      </c>
      <c r="H263" t="s" s="0">
        <v>81</v>
      </c>
      <c r="I263" t="s" s="0">
        <v>82</v>
      </c>
      <c r="J263" t="s" s="0">
        <v>6373</v>
      </c>
      <c r="K263" t="s" s="0">
        <v>6374</v>
      </c>
      <c r="L263" t="s" s="0">
        <v>81</v>
      </c>
      <c r="M263" t="s" s="0">
        <v>81</v>
      </c>
      <c r="N263" t="s" s="0">
        <v>81</v>
      </c>
      <c r="O263" t="s" s="0">
        <v>6375</v>
      </c>
      <c r="P263" t="s" s="0">
        <v>6376</v>
      </c>
      <c r="Q263" t="s" s="0">
        <v>90</v>
      </c>
      <c r="R263" t="s" s="0">
        <v>81</v>
      </c>
      <c r="S263" t="s" s="0">
        <v>81</v>
      </c>
      <c r="T263" t="s" s="0">
        <v>81</v>
      </c>
      <c r="U263" t="s" s="0">
        <v>81</v>
      </c>
      <c r="V263" t="s" s="0">
        <v>6377</v>
      </c>
      <c r="W263" t="s" s="0">
        <v>469</v>
      </c>
      <c r="X263" t="s" s="0">
        <v>81</v>
      </c>
      <c r="Y263" t="s" s="0">
        <v>81</v>
      </c>
      <c r="Z263" t="s" s="0">
        <v>93</v>
      </c>
      <c r="AA263" t="s" s="0">
        <v>94</v>
      </c>
      <c r="AB263" t="s" s="0">
        <v>81</v>
      </c>
      <c r="AC263" t="s" s="0">
        <v>81</v>
      </c>
      <c r="AD263" t="s" s="0">
        <v>81</v>
      </c>
      <c r="AE263" t="s" s="0">
        <v>81</v>
      </c>
      <c r="AF263" t="s" s="0">
        <v>81</v>
      </c>
      <c r="AG263" t="s" s="0">
        <v>6378</v>
      </c>
      <c r="AH263" t="s" s="0">
        <v>6379</v>
      </c>
      <c r="AI263" t="s" s="0">
        <v>6380</v>
      </c>
      <c r="AJ263" t="s" s="0">
        <v>81</v>
      </c>
      <c r="AK263" t="s" s="0">
        <v>81</v>
      </c>
      <c r="AL263" t="s" s="0">
        <v>1900</v>
      </c>
      <c r="AM263" t="s" s="0">
        <v>77</v>
      </c>
      <c r="AN263" t="s" s="0">
        <v>117</v>
      </c>
      <c r="AO263" t="s" s="0">
        <v>77</v>
      </c>
      <c r="AP263" t="s" s="0">
        <v>77</v>
      </c>
      <c r="AQ263" t="s" s="0">
        <v>476</v>
      </c>
      <c r="AR263" t="s" s="0">
        <v>477</v>
      </c>
      <c r="AS263" t="s" s="0">
        <v>478</v>
      </c>
      <c r="AT263" t="s" s="0">
        <v>81</v>
      </c>
      <c r="AU263" t="s" s="0">
        <v>479</v>
      </c>
      <c r="AV263" t="s" s="0">
        <v>81</v>
      </c>
      <c r="AW263" t="s" s="0">
        <v>469</v>
      </c>
      <c r="AX263" t="s" s="0">
        <v>480</v>
      </c>
      <c r="AY263" t="s" s="0">
        <v>6381</v>
      </c>
      <c r="AZ263" t="s" s="0">
        <v>104</v>
      </c>
      <c r="BA263" t="s" s="0">
        <v>137</v>
      </c>
      <c r="BB263" t="s" s="0">
        <v>130</v>
      </c>
      <c r="BC263" t="s" s="0">
        <v>81</v>
      </c>
      <c r="BD263" t="s" s="0">
        <v>81</v>
      </c>
      <c r="BE263" t="s" s="0">
        <v>81</v>
      </c>
      <c r="BF263" t="s" s="0">
        <v>81</v>
      </c>
      <c r="BG263" t="s" s="0">
        <v>81</v>
      </c>
      <c r="BH263" t="s" s="0">
        <v>81</v>
      </c>
      <c r="BI263" t="s" s="0">
        <v>6382</v>
      </c>
      <c r="BJ263" t="s" s="0">
        <v>6383</v>
      </c>
      <c r="BK263" t="s" s="522">
        <f>HYPERLINK("http://dx.doi.org/10.3390/diagnostics16020356","http://dx.doi.org/10.3390/diagnostics16020356")</f>
        <v>6384</v>
      </c>
      <c r="BL263" t="s" s="0">
        <v>81</v>
      </c>
      <c r="BM263" t="s" s="0">
        <v>81</v>
      </c>
      <c r="BN263" t="s" s="0">
        <v>137</v>
      </c>
      <c r="BO263" t="s" s="0">
        <v>486</v>
      </c>
      <c r="BP263" t="s" s="0">
        <v>487</v>
      </c>
      <c r="BQ263" t="s" s="0">
        <v>6385</v>
      </c>
      <c r="BR263" t="s" s="0">
        <v>6386</v>
      </c>
      <c r="BS263" t="s" s="0">
        <v>6387</v>
      </c>
      <c r="BT263" t="s" s="523">
        <f>HYPERLINK("https://www.webofscience.com/wos/woscc/full-record/WOS:001671422100001","View Record in Web of Science")</f>
        <v>114</v>
      </c>
      <c r="BU263" t="s" s="0">
        <v>145</v>
      </c>
      <c r="BV263" t="s" s="0">
        <v>81</v>
      </c>
      <c r="BW263" t="s" s="0">
        <v>81</v>
      </c>
      <c r="BX263" t="s" s="0">
        <v>116</v>
      </c>
    </row>
    <row r="264">
      <c r="A264" t="s" s="0">
        <v>130</v>
      </c>
      <c r="B264" t="s" s="0">
        <v>77</v>
      </c>
      <c r="C264" t="s" s="0">
        <v>475</v>
      </c>
      <c r="D264" t="s" s="0">
        <v>77</v>
      </c>
      <c r="E264" t="s" s="0">
        <v>6388</v>
      </c>
      <c r="F264" t="s" s="0">
        <v>6389</v>
      </c>
      <c r="G264" t="s" s="0">
        <v>6390</v>
      </c>
      <c r="H264" t="s" s="0">
        <v>81</v>
      </c>
      <c r="I264" t="s" s="0">
        <v>82</v>
      </c>
      <c r="J264" t="s" s="0">
        <v>6391</v>
      </c>
      <c r="K264" t="s" s="0">
        <v>6392</v>
      </c>
      <c r="L264" t="s" s="0">
        <v>6393</v>
      </c>
      <c r="M264" t="s" s="0">
        <v>6394</v>
      </c>
      <c r="N264" t="s" s="0">
        <v>6395</v>
      </c>
      <c r="O264" t="s" s="0">
        <v>6396</v>
      </c>
      <c r="P264" t="s" s="0">
        <v>6397</v>
      </c>
      <c r="Q264" t="s" s="0">
        <v>90</v>
      </c>
      <c r="R264" t="s" s="0">
        <v>81</v>
      </c>
      <c r="S264" t="s" s="0">
        <v>81</v>
      </c>
      <c r="T264" t="s" s="0">
        <v>81</v>
      </c>
      <c r="U264" t="s" s="0">
        <v>81</v>
      </c>
      <c r="V264" t="s" s="0">
        <v>6398</v>
      </c>
      <c r="W264" t="s" s="0">
        <v>6399</v>
      </c>
      <c r="X264" t="s" s="0">
        <v>81</v>
      </c>
      <c r="Y264" t="s" s="0">
        <v>81</v>
      </c>
      <c r="Z264" t="s" s="0">
        <v>93</v>
      </c>
      <c r="AA264" t="s" s="0">
        <v>94</v>
      </c>
      <c r="AB264" t="s" s="0">
        <v>81</v>
      </c>
      <c r="AC264" t="s" s="0">
        <v>81</v>
      </c>
      <c r="AD264" t="s" s="0">
        <v>81</v>
      </c>
      <c r="AE264" t="s" s="0">
        <v>81</v>
      </c>
      <c r="AF264" t="s" s="0">
        <v>81</v>
      </c>
      <c r="AG264" t="s" s="0">
        <v>6400</v>
      </c>
      <c r="AH264" t="s" s="0">
        <v>6401</v>
      </c>
      <c r="AI264" t="s" s="0">
        <v>6402</v>
      </c>
      <c r="AJ264" t="s" s="0">
        <v>6403</v>
      </c>
      <c r="AK264" t="s" s="0">
        <v>81</v>
      </c>
      <c r="AL264" t="s" s="0">
        <v>451</v>
      </c>
      <c r="AM264" t="s" s="0">
        <v>1067</v>
      </c>
      <c r="AN264" t="s" s="0">
        <v>474</v>
      </c>
      <c r="AO264" t="s" s="0">
        <v>117</v>
      </c>
      <c r="AP264" t="s" s="0">
        <v>226</v>
      </c>
      <c r="AQ264" t="s" s="0">
        <v>1098</v>
      </c>
      <c r="AR264" t="s" s="0">
        <v>1099</v>
      </c>
      <c r="AS264" t="s" s="0">
        <v>1100</v>
      </c>
      <c r="AT264" t="s" s="0">
        <v>6404</v>
      </c>
      <c r="AU264" t="s" s="0">
        <v>6405</v>
      </c>
      <c r="AV264" t="s" s="0">
        <v>81</v>
      </c>
      <c r="AW264" t="s" s="0">
        <v>6399</v>
      </c>
      <c r="AX264" t="s" s="0">
        <v>606</v>
      </c>
      <c r="AY264" t="s" s="0">
        <v>6406</v>
      </c>
      <c r="AZ264" t="s" s="0">
        <v>482</v>
      </c>
      <c r="BA264" t="s" s="0">
        <v>6407</v>
      </c>
      <c r="BB264" t="s" s="0">
        <v>161</v>
      </c>
      <c r="BC264" t="s" s="0">
        <v>81</v>
      </c>
      <c r="BD264" t="s" s="0">
        <v>81</v>
      </c>
      <c r="BE264" t="s" s="0">
        <v>81</v>
      </c>
      <c r="BF264" t="s" s="0">
        <v>81</v>
      </c>
      <c r="BG264" t="s" s="0">
        <v>6408</v>
      </c>
      <c r="BH264" t="s" s="0">
        <v>6409</v>
      </c>
      <c r="BI264" t="s" s="0">
        <v>81</v>
      </c>
      <c r="BJ264" t="s" s="0">
        <v>6410</v>
      </c>
      <c r="BK264" t="s" s="524">
        <f>HYPERLINK("http://dx.doi.org/10.1016/j.ophtha.2022.02.017","http://dx.doi.org/10.1016/j.ophtha.2022.02.017")</f>
        <v>6411</v>
      </c>
      <c r="BL264" t="s" s="0">
        <v>81</v>
      </c>
      <c r="BM264" t="s" s="0">
        <v>81</v>
      </c>
      <c r="BN264" t="s" s="0">
        <v>204</v>
      </c>
      <c r="BO264" t="s" s="0">
        <v>606</v>
      </c>
      <c r="BP264" t="s" s="0">
        <v>606</v>
      </c>
      <c r="BQ264" t="s" s="0">
        <v>6412</v>
      </c>
      <c r="BR264" t="s" s="0">
        <v>6413</v>
      </c>
      <c r="BS264" t="s" s="0">
        <v>6414</v>
      </c>
      <c r="BT264" t="s" s="525">
        <f>HYPERLINK("https://www.webofscience.com/wos/woscc/full-record/WOS:000885754600012","View Record in Web of Science")</f>
        <v>114</v>
      </c>
      <c r="BU264" t="s" s="0">
        <v>973</v>
      </c>
      <c r="BV264" t="s" s="0">
        <v>81</v>
      </c>
      <c r="BW264" t="s" s="0">
        <v>81</v>
      </c>
      <c r="BX264" t="s" s="0">
        <v>116</v>
      </c>
    </row>
    <row r="265">
      <c r="A265" t="s" s="0">
        <v>77</v>
      </c>
      <c r="B265" t="s" s="0">
        <v>77</v>
      </c>
      <c r="C265" t="s" s="0">
        <v>77</v>
      </c>
      <c r="D265" t="s" s="0">
        <v>77</v>
      </c>
      <c r="E265" t="s" s="0">
        <v>6415</v>
      </c>
      <c r="F265" t="s" s="0">
        <v>6416</v>
      </c>
      <c r="G265" t="s" s="0">
        <v>6417</v>
      </c>
      <c r="H265" t="s" s="0">
        <v>81</v>
      </c>
      <c r="I265" t="s" s="0">
        <v>82</v>
      </c>
      <c r="J265" t="s" s="0">
        <v>6418</v>
      </c>
      <c r="K265" t="s" s="0">
        <v>6419</v>
      </c>
      <c r="L265" t="s" s="0">
        <v>6420</v>
      </c>
      <c r="M265" t="s" s="0">
        <v>6421</v>
      </c>
      <c r="N265" t="s" s="0">
        <v>6422</v>
      </c>
      <c r="O265" t="s" s="0">
        <v>6423</v>
      </c>
      <c r="P265" t="s" s="0">
        <v>6424</v>
      </c>
      <c r="Q265" t="s" s="0">
        <v>90</v>
      </c>
      <c r="R265" t="s" s="0">
        <v>81</v>
      </c>
      <c r="S265" t="s" s="0">
        <v>81</v>
      </c>
      <c r="T265" t="s" s="0">
        <v>81</v>
      </c>
      <c r="U265" t="s" s="0">
        <v>81</v>
      </c>
      <c r="V265" t="s" s="0">
        <v>6425</v>
      </c>
      <c r="W265" t="s" s="0">
        <v>3853</v>
      </c>
      <c r="X265" t="s" s="0">
        <v>81</v>
      </c>
      <c r="Y265" t="s" s="0">
        <v>81</v>
      </c>
      <c r="Z265" t="s" s="0">
        <v>93</v>
      </c>
      <c r="AA265" t="s" s="0">
        <v>94</v>
      </c>
      <c r="AB265" t="s" s="0">
        <v>81</v>
      </c>
      <c r="AC265" t="s" s="0">
        <v>81</v>
      </c>
      <c r="AD265" t="s" s="0">
        <v>81</v>
      </c>
      <c r="AE265" t="s" s="0">
        <v>81</v>
      </c>
      <c r="AF265" t="s" s="0">
        <v>81</v>
      </c>
      <c r="AG265" t="s" s="0">
        <v>6426</v>
      </c>
      <c r="AH265" t="s" s="0">
        <v>81</v>
      </c>
      <c r="AI265" t="s" s="0">
        <v>6427</v>
      </c>
      <c r="AJ265" t="s" s="0">
        <v>81</v>
      </c>
      <c r="AK265" t="s" s="0">
        <v>81</v>
      </c>
      <c r="AL265" t="s" s="0">
        <v>1421</v>
      </c>
      <c r="AM265" t="s" s="0">
        <v>77</v>
      </c>
      <c r="AN265" t="s" s="0">
        <v>77</v>
      </c>
      <c r="AO265" t="s" s="0">
        <v>227</v>
      </c>
      <c r="AP265" t="s" s="0">
        <v>227</v>
      </c>
      <c r="AQ265" t="s" s="0">
        <v>476</v>
      </c>
      <c r="AR265" t="s" s="0">
        <v>477</v>
      </c>
      <c r="AS265" t="s" s="0">
        <v>478</v>
      </c>
      <c r="AT265" t="s" s="0">
        <v>81</v>
      </c>
      <c r="AU265" t="s" s="0">
        <v>3858</v>
      </c>
      <c r="AV265" t="s" s="0">
        <v>81</v>
      </c>
      <c r="AW265" t="s" s="0">
        <v>3853</v>
      </c>
      <c r="AX265" t="s" s="0">
        <v>3859</v>
      </c>
      <c r="AY265" t="s" s="0">
        <v>6428</v>
      </c>
      <c r="AZ265" t="s" s="0">
        <v>136</v>
      </c>
      <c r="BA265" t="s" s="0">
        <v>167</v>
      </c>
      <c r="BB265" t="s" s="0">
        <v>117</v>
      </c>
      <c r="BC265" t="s" s="0">
        <v>81</v>
      </c>
      <c r="BD265" t="s" s="0">
        <v>81</v>
      </c>
      <c r="BE265" t="s" s="0">
        <v>81</v>
      </c>
      <c r="BF265" t="s" s="0">
        <v>81</v>
      </c>
      <c r="BG265" t="s" s="0">
        <v>81</v>
      </c>
      <c r="BH265" t="s" s="0">
        <v>81</v>
      </c>
      <c r="BI265" t="s" s="0">
        <v>226</v>
      </c>
      <c r="BJ265" t="s" s="0">
        <v>6429</v>
      </c>
      <c r="BK265" t="s" s="526">
        <f>HYPERLINK("http://dx.doi.org/10.3390/bioengineering13010012","http://dx.doi.org/10.3390/bioengineering13010012")</f>
        <v>6430</v>
      </c>
      <c r="BL265" t="s" s="0">
        <v>81</v>
      </c>
      <c r="BM265" t="s" s="0">
        <v>81</v>
      </c>
      <c r="BN265" t="s" s="0">
        <v>475</v>
      </c>
      <c r="BO265" t="s" s="0">
        <v>3862</v>
      </c>
      <c r="BP265" t="s" s="0">
        <v>3863</v>
      </c>
      <c r="BQ265" t="s" s="0">
        <v>6431</v>
      </c>
      <c r="BR265" t="s" s="0">
        <v>6432</v>
      </c>
      <c r="BS265" t="s" s="0">
        <v>6433</v>
      </c>
      <c r="BT265" t="s" s="527">
        <f>HYPERLINK("https://www.webofscience.com/wos/woscc/full-record/WOS:001670736900001","View Record in Web of Science")</f>
        <v>114</v>
      </c>
      <c r="BU265" t="s" s="0">
        <v>145</v>
      </c>
      <c r="BV265" t="s" s="0">
        <v>81</v>
      </c>
      <c r="BW265" t="s" s="0">
        <v>81</v>
      </c>
      <c r="BX265" t="s" s="0">
        <v>116</v>
      </c>
    </row>
    <row r="266">
      <c r="A266" t="s" s="0">
        <v>77</v>
      </c>
      <c r="B266" t="s" s="0">
        <v>77</v>
      </c>
      <c r="C266" t="s" s="0">
        <v>77</v>
      </c>
      <c r="D266" t="s" s="0">
        <v>77</v>
      </c>
      <c r="E266" t="s" s="0">
        <v>6434</v>
      </c>
      <c r="F266" t="s" s="0">
        <v>6435</v>
      </c>
      <c r="G266" t="s" s="0">
        <v>6436</v>
      </c>
      <c r="H266" t="s" s="0">
        <v>81</v>
      </c>
      <c r="I266" t="s" s="0">
        <v>82</v>
      </c>
      <c r="J266" t="s" s="0">
        <v>6437</v>
      </c>
      <c r="K266" t="s" s="0">
        <v>6438</v>
      </c>
      <c r="L266" t="s" s="0">
        <v>6439</v>
      </c>
      <c r="M266" t="s" s="0">
        <v>6440</v>
      </c>
      <c r="N266" t="s" s="0">
        <v>6441</v>
      </c>
      <c r="O266" t="s" s="0">
        <v>6442</v>
      </c>
      <c r="P266" t="s" s="0">
        <v>6443</v>
      </c>
      <c r="Q266" t="s" s="0">
        <v>90</v>
      </c>
      <c r="R266" t="s" s="0">
        <v>81</v>
      </c>
      <c r="S266" t="s" s="0">
        <v>81</v>
      </c>
      <c r="T266" t="s" s="0">
        <v>81</v>
      </c>
      <c r="U266" t="s" s="0">
        <v>81</v>
      </c>
      <c r="V266" t="s" s="0">
        <v>6444</v>
      </c>
      <c r="W266" t="s" s="0">
        <v>6445</v>
      </c>
      <c r="X266" t="s" s="0">
        <v>81</v>
      </c>
      <c r="Y266" t="s" s="0">
        <v>81</v>
      </c>
      <c r="Z266" t="s" s="0">
        <v>93</v>
      </c>
      <c r="AA266" t="s" s="0">
        <v>94</v>
      </c>
      <c r="AB266" t="s" s="0">
        <v>81</v>
      </c>
      <c r="AC266" t="s" s="0">
        <v>81</v>
      </c>
      <c r="AD266" t="s" s="0">
        <v>81</v>
      </c>
      <c r="AE266" t="s" s="0">
        <v>81</v>
      </c>
      <c r="AF266" t="s" s="0">
        <v>81</v>
      </c>
      <c r="AG266" t="s" s="0">
        <v>6446</v>
      </c>
      <c r="AH266" t="s" s="0">
        <v>6447</v>
      </c>
      <c r="AI266" t="s" s="0">
        <v>81</v>
      </c>
      <c r="AJ266" t="s" s="0">
        <v>5323</v>
      </c>
      <c r="AK266" t="s" s="0">
        <v>81</v>
      </c>
      <c r="AL266" t="s" s="0">
        <v>127</v>
      </c>
      <c r="AM266" t="s" s="0">
        <v>117</v>
      </c>
      <c r="AN266" t="s" s="0">
        <v>117</v>
      </c>
      <c r="AO266" t="s" s="0">
        <v>130</v>
      </c>
      <c r="AP266" t="s" s="0">
        <v>130</v>
      </c>
      <c r="AQ266" t="s" s="0">
        <v>930</v>
      </c>
      <c r="AR266" t="s" s="0">
        <v>931</v>
      </c>
      <c r="AS266" t="s" s="0">
        <v>932</v>
      </c>
      <c r="AT266" t="s" s="0">
        <v>6448</v>
      </c>
      <c r="AU266" t="s" s="0">
        <v>6449</v>
      </c>
      <c r="AV266" t="s" s="0">
        <v>81</v>
      </c>
      <c r="AW266" t="s" s="0">
        <v>6450</v>
      </c>
      <c r="AX266" t="s" s="0">
        <v>6451</v>
      </c>
      <c r="AY266" t="s" s="0">
        <v>3439</v>
      </c>
      <c r="AZ266" t="s" s="0">
        <v>104</v>
      </c>
      <c r="BA266" t="s" s="0">
        <v>346</v>
      </c>
      <c r="BB266" t="s" s="0">
        <v>117</v>
      </c>
      <c r="BC266" t="s" s="0">
        <v>81</v>
      </c>
      <c r="BD266" t="s" s="0">
        <v>81</v>
      </c>
      <c r="BE266" t="s" s="0">
        <v>81</v>
      </c>
      <c r="BF266" t="s" s="0">
        <v>81</v>
      </c>
      <c r="BG266" t="s" s="0">
        <v>6452</v>
      </c>
      <c r="BH266" t="s" s="0">
        <v>6453</v>
      </c>
      <c r="BI266" t="s" s="0">
        <v>81</v>
      </c>
      <c r="BJ266" t="s" s="0">
        <v>6454</v>
      </c>
      <c r="BK266" t="s" s="528">
        <f>HYPERLINK("http://dx.doi.org/10.1097/JS9.0000000000003494","http://dx.doi.org/10.1097/JS9.0000000000003494")</f>
        <v>6455</v>
      </c>
      <c r="BL266" t="s" s="0">
        <v>81</v>
      </c>
      <c r="BM266" t="s" s="0">
        <v>81</v>
      </c>
      <c r="BN266" t="s" s="0">
        <v>204</v>
      </c>
      <c r="BO266" t="s" s="0">
        <v>2819</v>
      </c>
      <c r="BP266" t="s" s="0">
        <v>2819</v>
      </c>
      <c r="BQ266" t="s" s="0">
        <v>6456</v>
      </c>
      <c r="BR266" t="s" s="0">
        <v>6457</v>
      </c>
      <c r="BS266" t="s" s="0">
        <v>6458</v>
      </c>
      <c r="BT266" t="s" s="529">
        <f>HYPERLINK("https://www.webofscience.com/wos/woscc/full-record/WOS:001680465700026","View Record in Web of Science")</f>
        <v>114</v>
      </c>
      <c r="BU266" t="s" s="0">
        <v>457</v>
      </c>
      <c r="BV266" t="s" s="0">
        <v>81</v>
      </c>
      <c r="BW266" t="s" s="0">
        <v>81</v>
      </c>
      <c r="BX266" t="s" s="0">
        <v>116</v>
      </c>
    </row>
    <row r="267">
      <c r="A267" t="s" s="0">
        <v>77</v>
      </c>
      <c r="B267" t="s" s="0">
        <v>77</v>
      </c>
      <c r="C267" t="s" s="0">
        <v>117</v>
      </c>
      <c r="D267" t="s" s="0">
        <v>77</v>
      </c>
      <c r="E267" t="s" s="0">
        <v>6459</v>
      </c>
      <c r="F267" t="s" s="0">
        <v>6460</v>
      </c>
      <c r="G267" t="s" s="0">
        <v>6461</v>
      </c>
      <c r="H267" t="s" s="0">
        <v>81</v>
      </c>
      <c r="I267" t="s" s="0">
        <v>82</v>
      </c>
      <c r="J267" t="s" s="0">
        <v>6462</v>
      </c>
      <c r="K267" t="s" s="0">
        <v>6463</v>
      </c>
      <c r="L267" t="s" s="0">
        <v>6464</v>
      </c>
      <c r="M267" t="s" s="0">
        <v>6465</v>
      </c>
      <c r="N267" t="s" s="0">
        <v>6466</v>
      </c>
      <c r="O267" t="s" s="0">
        <v>6467</v>
      </c>
      <c r="P267" t="s" s="0">
        <v>6468</v>
      </c>
      <c r="Q267" t="s" s="0">
        <v>90</v>
      </c>
      <c r="R267" t="s" s="0">
        <v>81</v>
      </c>
      <c r="S267" t="s" s="0">
        <v>81</v>
      </c>
      <c r="T267" t="s" s="0">
        <v>81</v>
      </c>
      <c r="U267" t="s" s="0">
        <v>81</v>
      </c>
      <c r="V267" t="s" s="0">
        <v>6469</v>
      </c>
      <c r="W267" t="s" s="0">
        <v>271</v>
      </c>
      <c r="X267" t="s" s="0">
        <v>81</v>
      </c>
      <c r="Y267" t="s" s="0">
        <v>81</v>
      </c>
      <c r="Z267" t="s" s="0">
        <v>93</v>
      </c>
      <c r="AA267" t="s" s="0">
        <v>94</v>
      </c>
      <c r="AB267" t="s" s="0">
        <v>81</v>
      </c>
      <c r="AC267" t="s" s="0">
        <v>81</v>
      </c>
      <c r="AD267" t="s" s="0">
        <v>81</v>
      </c>
      <c r="AE267" t="s" s="0">
        <v>81</v>
      </c>
      <c r="AF267" t="s" s="0">
        <v>81</v>
      </c>
      <c r="AG267" t="s" s="0">
        <v>6470</v>
      </c>
      <c r="AH267" t="s" s="0">
        <v>6471</v>
      </c>
      <c r="AI267" t="s" s="0">
        <v>6472</v>
      </c>
      <c r="AJ267" t="s" s="0">
        <v>81</v>
      </c>
      <c r="AK267" t="s" s="0">
        <v>81</v>
      </c>
      <c r="AL267" t="s" s="0">
        <v>369</v>
      </c>
      <c r="AM267" t="s" s="0">
        <v>253</v>
      </c>
      <c r="AN267" t="s" s="0">
        <v>253</v>
      </c>
      <c r="AO267" t="s" s="0">
        <v>160</v>
      </c>
      <c r="AP267" t="s" s="0">
        <v>160</v>
      </c>
      <c r="AQ267" t="s" s="0">
        <v>274</v>
      </c>
      <c r="AR267" t="s" s="0">
        <v>275</v>
      </c>
      <c r="AS267" t="s" s="0">
        <v>276</v>
      </c>
      <c r="AT267" t="s" s="0">
        <v>277</v>
      </c>
      <c r="AU267" t="s" s="0">
        <v>81</v>
      </c>
      <c r="AV267" t="s" s="0">
        <v>81</v>
      </c>
      <c r="AW267" t="s" s="0">
        <v>278</v>
      </c>
      <c r="AX267" t="s" s="0">
        <v>279</v>
      </c>
      <c r="AY267" t="s" s="0">
        <v>6473</v>
      </c>
      <c r="AZ267" t="s" s="0">
        <v>136</v>
      </c>
      <c r="BA267" t="s" s="0">
        <v>172</v>
      </c>
      <c r="BB267" t="s" s="0">
        <v>117</v>
      </c>
      <c r="BC267" t="s" s="0">
        <v>81</v>
      </c>
      <c r="BD267" t="s" s="0">
        <v>81</v>
      </c>
      <c r="BE267" t="s" s="0">
        <v>81</v>
      </c>
      <c r="BF267" t="s" s="0">
        <v>81</v>
      </c>
      <c r="BG267" t="s" s="0">
        <v>81</v>
      </c>
      <c r="BH267" t="s" s="0">
        <v>81</v>
      </c>
      <c r="BI267" t="s" s="0">
        <v>6474</v>
      </c>
      <c r="BJ267" t="s" s="0">
        <v>6475</v>
      </c>
      <c r="BK267" t="s" s="530">
        <f>HYPERLINK("http://dx.doi.org/10.1038/s41598-025-25109-x","http://dx.doi.org/10.1038/s41598-025-25109-x")</f>
        <v>6476</v>
      </c>
      <c r="BL267" t="s" s="0">
        <v>81</v>
      </c>
      <c r="BM267" t="s" s="0">
        <v>81</v>
      </c>
      <c r="BN267" t="s" s="0">
        <v>167</v>
      </c>
      <c r="BO267" t="s" s="0">
        <v>285</v>
      </c>
      <c r="BP267" t="s" s="0">
        <v>286</v>
      </c>
      <c r="BQ267" t="s" s="0">
        <v>6477</v>
      </c>
      <c r="BR267" t="s" s="0">
        <v>6478</v>
      </c>
      <c r="BS267" t="s" s="0">
        <v>6479</v>
      </c>
      <c r="BT267" t="s" s="531">
        <f>HYPERLINK("https://www.webofscience.com/wos/woscc/full-record/WOS:001620963600002","View Record in Web of Science")</f>
        <v>114</v>
      </c>
      <c r="BU267" t="s" s="0">
        <v>145</v>
      </c>
      <c r="BV267" t="s" s="0">
        <v>81</v>
      </c>
      <c r="BW267" t="s" s="0">
        <v>81</v>
      </c>
      <c r="BX267" t="s" s="0">
        <v>116</v>
      </c>
    </row>
    <row r="268">
      <c r="A268" t="s" s="0">
        <v>77</v>
      </c>
      <c r="B268" t="s" s="0">
        <v>77</v>
      </c>
      <c r="C268" t="s" s="0">
        <v>77</v>
      </c>
      <c r="D268" t="s" s="0">
        <v>77</v>
      </c>
      <c r="E268" t="s" s="0">
        <v>6480</v>
      </c>
      <c r="F268" t="s" s="0">
        <v>6481</v>
      </c>
      <c r="G268" t="s" s="0">
        <v>6482</v>
      </c>
      <c r="H268" t="s" s="0">
        <v>81</v>
      </c>
      <c r="I268" t="s" s="0">
        <v>82</v>
      </c>
      <c r="J268" t="s" s="0">
        <v>6483</v>
      </c>
      <c r="K268" t="s" s="0">
        <v>6484</v>
      </c>
      <c r="L268" t="s" s="0">
        <v>81</v>
      </c>
      <c r="M268" t="s" s="0">
        <v>81</v>
      </c>
      <c r="N268" t="s" s="0">
        <v>81</v>
      </c>
      <c r="O268" t="s" s="0">
        <v>6485</v>
      </c>
      <c r="P268" t="s" s="0">
        <v>6486</v>
      </c>
      <c r="Q268" t="s" s="0">
        <v>90</v>
      </c>
      <c r="R268" t="s" s="0">
        <v>81</v>
      </c>
      <c r="S268" t="s" s="0">
        <v>81</v>
      </c>
      <c r="T268" t="s" s="0">
        <v>81</v>
      </c>
      <c r="U268" t="s" s="0">
        <v>81</v>
      </c>
      <c r="V268" t="s" s="0">
        <v>6487</v>
      </c>
      <c r="W268" t="s" s="0">
        <v>3455</v>
      </c>
      <c r="X268" t="s" s="0">
        <v>81</v>
      </c>
      <c r="Y268" t="s" s="0">
        <v>81</v>
      </c>
      <c r="Z268" t="s" s="0">
        <v>93</v>
      </c>
      <c r="AA268" t="s" s="0">
        <v>94</v>
      </c>
      <c r="AB268" t="s" s="0">
        <v>81</v>
      </c>
      <c r="AC268" t="s" s="0">
        <v>81</v>
      </c>
      <c r="AD268" t="s" s="0">
        <v>81</v>
      </c>
      <c r="AE268" t="s" s="0">
        <v>81</v>
      </c>
      <c r="AF268" t="s" s="0">
        <v>81</v>
      </c>
      <c r="AG268" t="s" s="0">
        <v>6488</v>
      </c>
      <c r="AH268" t="s" s="0">
        <v>81</v>
      </c>
      <c r="AI268" t="s" s="0">
        <v>81</v>
      </c>
      <c r="AJ268" t="s" s="0">
        <v>81</v>
      </c>
      <c r="AK268" t="s" s="0">
        <v>81</v>
      </c>
      <c r="AL268" t="s" s="0">
        <v>318</v>
      </c>
      <c r="AM268" t="s" s="0">
        <v>77</v>
      </c>
      <c r="AN268" t="s" s="0">
        <v>77</v>
      </c>
      <c r="AO268" t="s" s="0">
        <v>77</v>
      </c>
      <c r="AP268" t="s" s="0">
        <v>77</v>
      </c>
      <c r="AQ268" t="s" s="0">
        <v>565</v>
      </c>
      <c r="AR268" t="s" s="0">
        <v>566</v>
      </c>
      <c r="AS268" t="s" s="0">
        <v>567</v>
      </c>
      <c r="AT268" t="s" s="0">
        <v>3460</v>
      </c>
      <c r="AU268" t="s" s="0">
        <v>3461</v>
      </c>
      <c r="AV268" t="s" s="0">
        <v>81</v>
      </c>
      <c r="AW268" t="s" s="0">
        <v>3462</v>
      </c>
      <c r="AX268" t="s" s="0">
        <v>3463</v>
      </c>
      <c r="AY268" t="s" s="0">
        <v>6489</v>
      </c>
      <c r="AZ268" t="s" s="0">
        <v>104</v>
      </c>
      <c r="BA268" t="s" s="0">
        <v>6490</v>
      </c>
      <c r="BB268" t="s" s="0">
        <v>81</v>
      </c>
      <c r="BC268" t="s" s="0">
        <v>81</v>
      </c>
      <c r="BD268" t="s" s="0">
        <v>81</v>
      </c>
      <c r="BE268" t="s" s="0">
        <v>81</v>
      </c>
      <c r="BF268" t="s" s="0">
        <v>81</v>
      </c>
      <c r="BG268" t="s" s="0">
        <v>81</v>
      </c>
      <c r="BH268" t="s" s="0">
        <v>81</v>
      </c>
      <c r="BI268" t="s" s="0">
        <v>6491</v>
      </c>
      <c r="BJ268" t="s" s="0">
        <v>6492</v>
      </c>
      <c r="BK268" t="s" s="532">
        <f>HYPERLINK("http://dx.doi.org/10.1016/j.ejrad.2026.113070","http://dx.doi.org/10.1016/j.ejrad.2026.113070")</f>
        <v>6493</v>
      </c>
      <c r="BL268" t="s" s="0">
        <v>81</v>
      </c>
      <c r="BM268" t="s" s="0">
        <v>81</v>
      </c>
      <c r="BN268" t="s" s="0">
        <v>128</v>
      </c>
      <c r="BO268" t="s" s="0">
        <v>1881</v>
      </c>
      <c r="BP268" t="s" s="0">
        <v>1881</v>
      </c>
      <c r="BQ268" t="s" s="0">
        <v>6494</v>
      </c>
      <c r="BR268" t="s" s="0">
        <v>6495</v>
      </c>
      <c r="BS268" t="s" s="0">
        <v>6496</v>
      </c>
      <c r="BT268" t="s" s="533">
        <f>HYPERLINK("https://www.webofscience.com/wos/woscc/full-record/WOS:001827433700001","View Record in Web of Science")</f>
        <v>114</v>
      </c>
      <c r="BU268" t="s" s="0">
        <v>81</v>
      </c>
      <c r="BV268" t="s" s="0">
        <v>81</v>
      </c>
      <c r="BW268" t="s" s="0">
        <v>81</v>
      </c>
      <c r="BX268" t="s" s="0">
        <v>116</v>
      </c>
    </row>
    <row r="269">
      <c r="A269" t="s" s="0">
        <v>131</v>
      </c>
      <c r="B269" t="s" s="0">
        <v>77</v>
      </c>
      <c r="C269" t="s" s="0">
        <v>228</v>
      </c>
      <c r="D269" t="s" s="0">
        <v>77</v>
      </c>
      <c r="E269" t="s" s="0">
        <v>6497</v>
      </c>
      <c r="F269" t="s" s="0">
        <v>6498</v>
      </c>
      <c r="G269" t="s" s="0">
        <v>6499</v>
      </c>
      <c r="H269" t="s" s="0">
        <v>81</v>
      </c>
      <c r="I269" t="s" s="0">
        <v>82</v>
      </c>
      <c r="J269" t="s" s="0">
        <v>6500</v>
      </c>
      <c r="K269" t="s" s="0">
        <v>6501</v>
      </c>
      <c r="L269" t="s" s="0">
        <v>81</v>
      </c>
      <c r="M269" t="s" s="0">
        <v>81</v>
      </c>
      <c r="N269" t="s" s="0">
        <v>81</v>
      </c>
      <c r="O269" t="s" s="0">
        <v>6502</v>
      </c>
      <c r="P269" t="s" s="0">
        <v>6503</v>
      </c>
      <c r="Q269" t="s" s="0">
        <v>90</v>
      </c>
      <c r="R269" t="s" s="0">
        <v>81</v>
      </c>
      <c r="S269" t="s" s="0">
        <v>81</v>
      </c>
      <c r="T269" t="s" s="0">
        <v>81</v>
      </c>
      <c r="U269" t="s" s="0">
        <v>81</v>
      </c>
      <c r="V269" t="s" s="0">
        <v>6504</v>
      </c>
      <c r="W269" t="s" s="0">
        <v>6505</v>
      </c>
      <c r="X269" t="s" s="0">
        <v>81</v>
      </c>
      <c r="Y269" t="s" s="0">
        <v>81</v>
      </c>
      <c r="Z269" t="s" s="0">
        <v>93</v>
      </c>
      <c r="AA269" t="s" s="0">
        <v>94</v>
      </c>
      <c r="AB269" t="s" s="0">
        <v>81</v>
      </c>
      <c r="AC269" t="s" s="0">
        <v>81</v>
      </c>
      <c r="AD269" t="s" s="0">
        <v>81</v>
      </c>
      <c r="AE269" t="s" s="0">
        <v>81</v>
      </c>
      <c r="AF269" t="s" s="0">
        <v>81</v>
      </c>
      <c r="AG269" t="s" s="0">
        <v>6506</v>
      </c>
      <c r="AH269" t="s" s="0">
        <v>6507</v>
      </c>
      <c r="AI269" t="s" s="0">
        <v>6508</v>
      </c>
      <c r="AJ269" t="s" s="0">
        <v>81</v>
      </c>
      <c r="AK269" t="s" s="0">
        <v>81</v>
      </c>
      <c r="AL269" t="s" s="0">
        <v>6509</v>
      </c>
      <c r="AM269" t="s" s="0">
        <v>5717</v>
      </c>
      <c r="AN269" t="s" s="0">
        <v>6510</v>
      </c>
      <c r="AO269" t="s" s="0">
        <v>995</v>
      </c>
      <c r="AP269" t="s" s="0">
        <v>6511</v>
      </c>
      <c r="AQ269" t="s" s="0">
        <v>6512</v>
      </c>
      <c r="AR269" t="s" s="0">
        <v>1099</v>
      </c>
      <c r="AS269" t="s" s="0">
        <v>6513</v>
      </c>
      <c r="AT269" t="s" s="0">
        <v>6514</v>
      </c>
      <c r="AU269" t="s" s="0">
        <v>6515</v>
      </c>
      <c r="AV269" t="s" s="0">
        <v>81</v>
      </c>
      <c r="AW269" t="s" s="0">
        <v>6516</v>
      </c>
      <c r="AX269" t="s" s="0">
        <v>6517</v>
      </c>
      <c r="AY269" t="s" s="0">
        <v>572</v>
      </c>
      <c r="AZ269" t="s" s="0">
        <v>573</v>
      </c>
      <c r="BA269" t="s" s="0">
        <v>5139</v>
      </c>
      <c r="BB269" t="s" s="0">
        <v>129</v>
      </c>
      <c r="BC269" t="s" s="0">
        <v>81</v>
      </c>
      <c r="BD269" t="s" s="0">
        <v>81</v>
      </c>
      <c r="BE269" t="s" s="0">
        <v>81</v>
      </c>
      <c r="BF269" t="s" s="0">
        <v>81</v>
      </c>
      <c r="BG269" t="s" s="0">
        <v>81</v>
      </c>
      <c r="BH269" t="s" s="0">
        <v>81</v>
      </c>
      <c r="BI269" t="s" s="0">
        <v>4672</v>
      </c>
      <c r="BJ269" t="s" s="0">
        <v>6518</v>
      </c>
      <c r="BK269" t="s" s="534">
        <f>HYPERLINK("http://dx.doi.org/10.1145/3656580","http://dx.doi.org/10.1145/3656580")</f>
        <v>6519</v>
      </c>
      <c r="BL269" t="s" s="0">
        <v>81</v>
      </c>
      <c r="BM269" t="s" s="0">
        <v>81</v>
      </c>
      <c r="BN269" t="s" s="0">
        <v>451</v>
      </c>
      <c r="BO269" t="s" s="0">
        <v>1854</v>
      </c>
      <c r="BP269" t="s" s="0">
        <v>420</v>
      </c>
      <c r="BQ269" t="s" s="0">
        <v>6520</v>
      </c>
      <c r="BR269" t="s" s="0">
        <v>81</v>
      </c>
      <c r="BS269" t="s" s="0">
        <v>6521</v>
      </c>
      <c r="BT269" t="s" s="535">
        <f>HYPERLINK("https://www.webofscience.com/wos/woscc/full-record/WOS:001265367400022","View Record in Web of Science")</f>
        <v>114</v>
      </c>
      <c r="BU269" t="s" s="0">
        <v>804</v>
      </c>
      <c r="BV269" t="s" s="0">
        <v>916</v>
      </c>
      <c r="BW269" t="s" s="0">
        <v>916</v>
      </c>
      <c r="BX269" t="s" s="0">
        <v>116</v>
      </c>
    </row>
    <row r="270">
      <c r="A270" t="s" s="0">
        <v>77</v>
      </c>
      <c r="B270" t="s" s="0">
        <v>77</v>
      </c>
      <c r="C270" t="s" s="0">
        <v>77</v>
      </c>
      <c r="D270" t="s" s="0">
        <v>77</v>
      </c>
      <c r="E270" t="s" s="0">
        <v>6522</v>
      </c>
      <c r="F270" t="s" s="0">
        <v>6523</v>
      </c>
      <c r="G270" t="s" s="0">
        <v>6524</v>
      </c>
      <c r="H270" t="s" s="0">
        <v>81</v>
      </c>
      <c r="I270" t="s" s="0">
        <v>82</v>
      </c>
      <c r="J270" t="s" s="0">
        <v>6525</v>
      </c>
      <c r="K270" t="s" s="0">
        <v>6526</v>
      </c>
      <c r="L270" t="s" s="0">
        <v>6527</v>
      </c>
      <c r="M270" t="s" s="0">
        <v>6528</v>
      </c>
      <c r="N270" t="s" s="0">
        <v>6529</v>
      </c>
      <c r="O270" t="s" s="0">
        <v>6530</v>
      </c>
      <c r="P270" t="s" s="0">
        <v>6531</v>
      </c>
      <c r="Q270" t="s" s="0">
        <v>90</v>
      </c>
      <c r="R270" t="s" s="0">
        <v>81</v>
      </c>
      <c r="S270" t="s" s="0">
        <v>81</v>
      </c>
      <c r="T270" t="s" s="0">
        <v>81</v>
      </c>
      <c r="U270" t="s" s="0">
        <v>81</v>
      </c>
      <c r="V270" t="s" s="0">
        <v>6532</v>
      </c>
      <c r="W270" t="s" s="0">
        <v>6533</v>
      </c>
      <c r="X270" t="s" s="0">
        <v>81</v>
      </c>
      <c r="Y270" t="s" s="0">
        <v>81</v>
      </c>
      <c r="Z270" t="s" s="0">
        <v>93</v>
      </c>
      <c r="AA270" t="s" s="0">
        <v>94</v>
      </c>
      <c r="AB270" t="s" s="0">
        <v>81</v>
      </c>
      <c r="AC270" t="s" s="0">
        <v>81</v>
      </c>
      <c r="AD270" t="s" s="0">
        <v>81</v>
      </c>
      <c r="AE270" t="s" s="0">
        <v>81</v>
      </c>
      <c r="AF270" t="s" s="0">
        <v>81</v>
      </c>
      <c r="AG270" t="s" s="0">
        <v>6534</v>
      </c>
      <c r="AH270" t="s" s="0">
        <v>6535</v>
      </c>
      <c r="AI270" t="s" s="0">
        <v>81</v>
      </c>
      <c r="AJ270" t="s" s="0">
        <v>6536</v>
      </c>
      <c r="AK270" t="s" s="0">
        <v>81</v>
      </c>
      <c r="AL270" t="s" s="0">
        <v>625</v>
      </c>
      <c r="AM270" t="s" s="0">
        <v>77</v>
      </c>
      <c r="AN270" t="s" s="0">
        <v>77</v>
      </c>
      <c r="AO270" t="s" s="0">
        <v>77</v>
      </c>
      <c r="AP270" t="s" s="0">
        <v>77</v>
      </c>
      <c r="AQ270" t="s" s="0">
        <v>2787</v>
      </c>
      <c r="AR270" t="s" s="0">
        <v>339</v>
      </c>
      <c r="AS270" t="s" s="0">
        <v>2788</v>
      </c>
      <c r="AT270" t="s" s="0">
        <v>6537</v>
      </c>
      <c r="AU270" t="s" s="0">
        <v>6538</v>
      </c>
      <c r="AV270" t="s" s="0">
        <v>81</v>
      </c>
      <c r="AW270" t="s" s="0">
        <v>6539</v>
      </c>
      <c r="AX270" t="s" s="0">
        <v>6540</v>
      </c>
      <c r="AY270" t="s" s="0">
        <v>317</v>
      </c>
      <c r="AZ270" t="s" s="0">
        <v>104</v>
      </c>
      <c r="BA270" t="s" s="0">
        <v>346</v>
      </c>
      <c r="BB270" t="s" s="0">
        <v>130</v>
      </c>
      <c r="BC270" t="s" s="0">
        <v>81</v>
      </c>
      <c r="BD270" t="s" s="0">
        <v>81</v>
      </c>
      <c r="BE270" t="s" s="0">
        <v>81</v>
      </c>
      <c r="BF270" t="s" s="0">
        <v>81</v>
      </c>
      <c r="BG270" t="s" s="0">
        <v>6541</v>
      </c>
      <c r="BH270" t="s" s="0">
        <v>6542</v>
      </c>
      <c r="BI270" t="s" s="0">
        <v>81</v>
      </c>
      <c r="BJ270" t="s" s="0">
        <v>6543</v>
      </c>
      <c r="BK270" t="s" s="536">
        <f>HYPERLINK("http://dx.doi.org/10.1177/13872877261454538","http://dx.doi.org/10.1177/13872877261454538")</f>
        <v>6544</v>
      </c>
      <c r="BL270" t="s" s="0">
        <v>81</v>
      </c>
      <c r="BM270" t="s" s="0">
        <v>203</v>
      </c>
      <c r="BN270" t="s" s="0">
        <v>226</v>
      </c>
      <c r="BO270" t="s" s="0">
        <v>110</v>
      </c>
      <c r="BP270" t="s" s="0">
        <v>111</v>
      </c>
      <c r="BQ270" t="s" s="0">
        <v>6545</v>
      </c>
      <c r="BR270" t="s" s="0">
        <v>6546</v>
      </c>
      <c r="BS270" t="s" s="0">
        <v>6547</v>
      </c>
      <c r="BT270" t="s" s="537">
        <f>HYPERLINK("https://www.webofscience.com/wos/woscc/full-record/WOS:001779289700001","View Record in Web of Science")</f>
        <v>114</v>
      </c>
      <c r="BU270" t="s" s="0">
        <v>81</v>
      </c>
      <c r="BV270" t="s" s="0">
        <v>81</v>
      </c>
      <c r="BW270" t="s" s="0">
        <v>81</v>
      </c>
      <c r="BX270" t="s" s="0">
        <v>116</v>
      </c>
    </row>
    <row r="271">
      <c r="A271" t="s" s="0">
        <v>117</v>
      </c>
      <c r="B271" t="s" s="0">
        <v>77</v>
      </c>
      <c r="C271" t="s" s="0">
        <v>130</v>
      </c>
      <c r="D271" t="s" s="0">
        <v>77</v>
      </c>
      <c r="E271" t="s" s="0">
        <v>6548</v>
      </c>
      <c r="F271" t="s" s="0">
        <v>6549</v>
      </c>
      <c r="G271" t="s" s="0">
        <v>6550</v>
      </c>
      <c r="H271" t="s" s="0">
        <v>81</v>
      </c>
      <c r="I271" t="s" s="0">
        <v>82</v>
      </c>
      <c r="J271" t="s" s="0">
        <v>6551</v>
      </c>
      <c r="K271" t="s" s="0">
        <v>6552</v>
      </c>
      <c r="L271" t="s" s="0">
        <v>81</v>
      </c>
      <c r="M271" t="s" s="0">
        <v>81</v>
      </c>
      <c r="N271" t="s" s="0">
        <v>81</v>
      </c>
      <c r="O271" t="s" s="0">
        <v>6553</v>
      </c>
      <c r="P271" t="s" s="0">
        <v>6554</v>
      </c>
      <c r="Q271" t="s" s="0">
        <v>90</v>
      </c>
      <c r="R271" t="s" s="0">
        <v>81</v>
      </c>
      <c r="S271" t="s" s="0">
        <v>81</v>
      </c>
      <c r="T271" t="s" s="0">
        <v>81</v>
      </c>
      <c r="U271" t="s" s="0">
        <v>81</v>
      </c>
      <c r="V271" t="s" s="0">
        <v>6555</v>
      </c>
      <c r="W271" t="s" s="0">
        <v>3853</v>
      </c>
      <c r="X271" t="s" s="0">
        <v>81</v>
      </c>
      <c r="Y271" t="s" s="0">
        <v>81</v>
      </c>
      <c r="Z271" t="s" s="0">
        <v>93</v>
      </c>
      <c r="AA271" t="s" s="0">
        <v>94</v>
      </c>
      <c r="AB271" t="s" s="0">
        <v>81</v>
      </c>
      <c r="AC271" t="s" s="0">
        <v>81</v>
      </c>
      <c r="AD271" t="s" s="0">
        <v>81</v>
      </c>
      <c r="AE271" t="s" s="0">
        <v>81</v>
      </c>
      <c r="AF271" t="s" s="0">
        <v>81</v>
      </c>
      <c r="AG271" t="s" s="0">
        <v>6556</v>
      </c>
      <c r="AH271" t="s" s="0">
        <v>81</v>
      </c>
      <c r="AI271" t="s" s="0">
        <v>6557</v>
      </c>
      <c r="AJ271" t="s" s="0">
        <v>6558</v>
      </c>
      <c r="AK271" t="s" s="0">
        <v>81</v>
      </c>
      <c r="AL271" t="s" s="0">
        <v>6559</v>
      </c>
      <c r="AM271" t="s" s="0">
        <v>129</v>
      </c>
      <c r="AN271" t="s" s="0">
        <v>226</v>
      </c>
      <c r="AO271" t="s" s="0">
        <v>225</v>
      </c>
      <c r="AP271" t="s" s="0">
        <v>563</v>
      </c>
      <c r="AQ271" t="s" s="0">
        <v>476</v>
      </c>
      <c r="AR271" t="s" s="0">
        <v>477</v>
      </c>
      <c r="AS271" t="s" s="0">
        <v>478</v>
      </c>
      <c r="AT271" t="s" s="0">
        <v>81</v>
      </c>
      <c r="AU271" t="s" s="0">
        <v>3858</v>
      </c>
      <c r="AV271" t="s" s="0">
        <v>81</v>
      </c>
      <c r="AW271" t="s" s="0">
        <v>3853</v>
      </c>
      <c r="AX271" t="s" s="0">
        <v>3859</v>
      </c>
      <c r="AY271" t="s" s="0">
        <v>6560</v>
      </c>
      <c r="AZ271" t="s" s="0">
        <v>136</v>
      </c>
      <c r="BA271" t="s" s="0">
        <v>226</v>
      </c>
      <c r="BB271" t="s" s="0">
        <v>129</v>
      </c>
      <c r="BC271" t="s" s="0">
        <v>81</v>
      </c>
      <c r="BD271" t="s" s="0">
        <v>81</v>
      </c>
      <c r="BE271" t="s" s="0">
        <v>81</v>
      </c>
      <c r="BF271" t="s" s="0">
        <v>81</v>
      </c>
      <c r="BG271" t="s" s="0">
        <v>81</v>
      </c>
      <c r="BH271" t="s" s="0">
        <v>81</v>
      </c>
      <c r="BI271" t="s" s="0">
        <v>6561</v>
      </c>
      <c r="BJ271" t="s" s="0">
        <v>6562</v>
      </c>
      <c r="BK271" t="s" s="538">
        <f>HYPERLINK("http://dx.doi.org/10.3390/bioengineering12101107","http://dx.doi.org/10.3390/bioengineering12101107")</f>
        <v>6563</v>
      </c>
      <c r="BL271" t="s" s="0">
        <v>81</v>
      </c>
      <c r="BM271" t="s" s="0">
        <v>81</v>
      </c>
      <c r="BN271" t="s" s="0">
        <v>564</v>
      </c>
      <c r="BO271" t="s" s="0">
        <v>3862</v>
      </c>
      <c r="BP271" t="s" s="0">
        <v>3863</v>
      </c>
      <c r="BQ271" t="s" s="0">
        <v>6564</v>
      </c>
      <c r="BR271" t="s" s="0">
        <v>6565</v>
      </c>
      <c r="BS271" t="s" s="0">
        <v>6566</v>
      </c>
      <c r="BT271" t="s" s="539">
        <f>HYPERLINK("https://www.webofscience.com/wos/woscc/full-record/WOS:001601774900001","View Record in Web of Science")</f>
        <v>114</v>
      </c>
      <c r="BU271" t="s" s="0">
        <v>145</v>
      </c>
      <c r="BV271" t="s" s="0">
        <v>81</v>
      </c>
      <c r="BW271" t="s" s="0">
        <v>81</v>
      </c>
      <c r="BX271" t="s" s="0">
        <v>116</v>
      </c>
    </row>
    <row r="272">
      <c r="A272" t="s" s="0">
        <v>77</v>
      </c>
      <c r="B272" t="s" s="0">
        <v>77</v>
      </c>
      <c r="C272" t="s" s="0">
        <v>117</v>
      </c>
      <c r="D272" t="s" s="0">
        <v>77</v>
      </c>
      <c r="E272" t="s" s="0">
        <v>6567</v>
      </c>
      <c r="F272" t="s" s="0">
        <v>6568</v>
      </c>
      <c r="G272" t="s" s="0">
        <v>6569</v>
      </c>
      <c r="H272" t="s" s="0">
        <v>81</v>
      </c>
      <c r="I272" t="s" s="0">
        <v>82</v>
      </c>
      <c r="J272" t="s" s="0">
        <v>6570</v>
      </c>
      <c r="K272" t="s" s="0">
        <v>6571</v>
      </c>
      <c r="L272" t="s" s="0">
        <v>6572</v>
      </c>
      <c r="M272" t="s" s="0">
        <v>184</v>
      </c>
      <c r="N272" t="s" s="0">
        <v>6573</v>
      </c>
      <c r="O272" t="s" s="0">
        <v>6574</v>
      </c>
      <c r="P272" t="s" s="0">
        <v>6575</v>
      </c>
      <c r="Q272" t="s" s="0">
        <v>90</v>
      </c>
      <c r="R272" t="s" s="0">
        <v>81</v>
      </c>
      <c r="S272" t="s" s="0">
        <v>81</v>
      </c>
      <c r="T272" t="s" s="0">
        <v>81</v>
      </c>
      <c r="U272" t="s" s="0">
        <v>81</v>
      </c>
      <c r="V272" t="s" s="0">
        <v>6576</v>
      </c>
      <c r="W272" t="s" s="0">
        <v>1563</v>
      </c>
      <c r="X272" t="s" s="0">
        <v>81</v>
      </c>
      <c r="Y272" t="s" s="0">
        <v>81</v>
      </c>
      <c r="Z272" t="s" s="0">
        <v>93</v>
      </c>
      <c r="AA272" t="s" s="0">
        <v>94</v>
      </c>
      <c r="AB272" t="s" s="0">
        <v>81</v>
      </c>
      <c r="AC272" t="s" s="0">
        <v>81</v>
      </c>
      <c r="AD272" t="s" s="0">
        <v>81</v>
      </c>
      <c r="AE272" t="s" s="0">
        <v>81</v>
      </c>
      <c r="AF272" t="s" s="0">
        <v>81</v>
      </c>
      <c r="AG272" t="s" s="0">
        <v>6577</v>
      </c>
      <c r="AH272" t="s" s="0">
        <v>6578</v>
      </c>
      <c r="AI272" t="s" s="0">
        <v>6579</v>
      </c>
      <c r="AJ272" t="s" s="0">
        <v>6580</v>
      </c>
      <c r="AK272" t="s" s="0">
        <v>81</v>
      </c>
      <c r="AL272" t="s" s="0">
        <v>3186</v>
      </c>
      <c r="AM272" t="s" s="0">
        <v>130</v>
      </c>
      <c r="AN272" t="s" s="0">
        <v>227</v>
      </c>
      <c r="AO272" t="s" s="0">
        <v>130</v>
      </c>
      <c r="AP272" t="s" s="0">
        <v>226</v>
      </c>
      <c r="AQ272" t="s" s="0">
        <v>162</v>
      </c>
      <c r="AR272" t="s" s="0">
        <v>163</v>
      </c>
      <c r="AS272" t="s" s="0">
        <v>164</v>
      </c>
      <c r="AT272" t="s" s="0">
        <v>1569</v>
      </c>
      <c r="AU272" t="s" s="0">
        <v>1570</v>
      </c>
      <c r="AV272" t="s" s="0">
        <v>81</v>
      </c>
      <c r="AW272" t="s" s="0">
        <v>1571</v>
      </c>
      <c r="AX272" t="s" s="0">
        <v>1572</v>
      </c>
      <c r="AY272" t="s" s="0">
        <v>418</v>
      </c>
      <c r="AZ272" t="s" s="0">
        <v>136</v>
      </c>
      <c r="BA272" t="s" s="0">
        <v>193</v>
      </c>
      <c r="BB272" t="s" s="0">
        <v>130</v>
      </c>
      <c r="BC272" t="s" s="0">
        <v>81</v>
      </c>
      <c r="BD272" t="s" s="0">
        <v>81</v>
      </c>
      <c r="BE272" t="s" s="0">
        <v>81</v>
      </c>
      <c r="BF272" t="s" s="0">
        <v>81</v>
      </c>
      <c r="BG272" t="s" s="0">
        <v>6581</v>
      </c>
      <c r="BH272" t="s" s="0">
        <v>2059</v>
      </c>
      <c r="BI272" t="s" s="0">
        <v>81</v>
      </c>
      <c r="BJ272" t="s" s="0">
        <v>6582</v>
      </c>
      <c r="BK272" t="s" s="540">
        <f>HYPERLINK("http://dx.doi.org/10.1109/JBHI.2024.3501386","http://dx.doi.org/10.1109/JBHI.2024.3501386")</f>
        <v>6583</v>
      </c>
      <c r="BL272" t="s" s="0">
        <v>81</v>
      </c>
      <c r="BM272" t="s" s="0">
        <v>81</v>
      </c>
      <c r="BN272" t="s" s="0">
        <v>228</v>
      </c>
      <c r="BO272" t="s" s="0">
        <v>1577</v>
      </c>
      <c r="BP272" t="s" s="0">
        <v>1578</v>
      </c>
      <c r="BQ272" t="s" s="0">
        <v>6584</v>
      </c>
      <c r="BR272" t="s" s="0">
        <v>6585</v>
      </c>
      <c r="BS272" t="s" s="0">
        <v>6586</v>
      </c>
      <c r="BT272" t="s" s="541">
        <f>HYPERLINK("https://www.webofscience.com/wos/woscc/full-record/WOS:001427944500003","View Record in Web of Science")</f>
        <v>114</v>
      </c>
      <c r="BU272" t="s" s="0">
        <v>81</v>
      </c>
      <c r="BV272" t="s" s="0">
        <v>81</v>
      </c>
      <c r="BW272" t="s" s="0">
        <v>81</v>
      </c>
      <c r="BX272" t="s" s="0">
        <v>116</v>
      </c>
    </row>
    <row r="273">
      <c r="A273" t="s" s="0">
        <v>77</v>
      </c>
      <c r="B273" t="s" s="0">
        <v>77</v>
      </c>
      <c r="C273" t="s" s="0">
        <v>130</v>
      </c>
      <c r="D273" t="s" s="0">
        <v>77</v>
      </c>
      <c r="E273" t="s" s="0">
        <v>6587</v>
      </c>
      <c r="F273" t="s" s="0">
        <v>6588</v>
      </c>
      <c r="G273" t="s" s="0">
        <v>6589</v>
      </c>
      <c r="H273" t="s" s="0">
        <v>81</v>
      </c>
      <c r="I273" t="s" s="0">
        <v>82</v>
      </c>
      <c r="J273" t="s" s="0">
        <v>6590</v>
      </c>
      <c r="K273" t="s" s="0">
        <v>6591</v>
      </c>
      <c r="L273" t="s" s="0">
        <v>6592</v>
      </c>
      <c r="M273" t="s" s="0">
        <v>6593</v>
      </c>
      <c r="N273" t="s" s="0">
        <v>6594</v>
      </c>
      <c r="O273" t="s" s="0">
        <v>6595</v>
      </c>
      <c r="P273" t="s" s="0">
        <v>6596</v>
      </c>
      <c r="Q273" t="s" s="0">
        <v>90</v>
      </c>
      <c r="R273" t="s" s="0">
        <v>81</v>
      </c>
      <c r="S273" t="s" s="0">
        <v>81</v>
      </c>
      <c r="T273" t="s" s="0">
        <v>81</v>
      </c>
      <c r="U273" t="s" s="0">
        <v>81</v>
      </c>
      <c r="V273" t="s" s="0">
        <v>6597</v>
      </c>
      <c r="W273" t="s" s="0">
        <v>1917</v>
      </c>
      <c r="X273" t="s" s="0">
        <v>81</v>
      </c>
      <c r="Y273" t="s" s="0">
        <v>81</v>
      </c>
      <c r="Z273" t="s" s="0">
        <v>93</v>
      </c>
      <c r="AA273" t="s" s="0">
        <v>94</v>
      </c>
      <c r="AB273" t="s" s="0">
        <v>81</v>
      </c>
      <c r="AC273" t="s" s="0">
        <v>81</v>
      </c>
      <c r="AD273" t="s" s="0">
        <v>81</v>
      </c>
      <c r="AE273" t="s" s="0">
        <v>81</v>
      </c>
      <c r="AF273" t="s" s="0">
        <v>81</v>
      </c>
      <c r="AG273" t="s" s="0">
        <v>6598</v>
      </c>
      <c r="AH273" t="s" s="0">
        <v>81</v>
      </c>
      <c r="AI273" t="s" s="0">
        <v>6599</v>
      </c>
      <c r="AJ273" t="s" s="0">
        <v>6600</v>
      </c>
      <c r="AK273" t="s" s="0">
        <v>81</v>
      </c>
      <c r="AL273" t="s" s="0">
        <v>1538</v>
      </c>
      <c r="AM273" t="s" s="0">
        <v>129</v>
      </c>
      <c r="AN273" t="s" s="0">
        <v>226</v>
      </c>
      <c r="AO273" t="s" s="0">
        <v>117</v>
      </c>
      <c r="AP273" t="s" s="0">
        <v>131</v>
      </c>
      <c r="AQ273" t="s" s="0">
        <v>1162</v>
      </c>
      <c r="AR273" t="s" s="0">
        <v>1163</v>
      </c>
      <c r="AS273" t="s" s="0">
        <v>1164</v>
      </c>
      <c r="AT273" t="s" s="0">
        <v>81</v>
      </c>
      <c r="AU273" t="s" s="0">
        <v>1919</v>
      </c>
      <c r="AV273" t="s" s="0">
        <v>81</v>
      </c>
      <c r="AW273" t="s" s="0">
        <v>1920</v>
      </c>
      <c r="AX273" t="s" s="0">
        <v>1921</v>
      </c>
      <c r="AY273" t="s" s="0">
        <v>136</v>
      </c>
      <c r="AZ273" t="s" s="0">
        <v>136</v>
      </c>
      <c r="BA273" t="s" s="0">
        <v>167</v>
      </c>
      <c r="BB273" t="s" s="0">
        <v>81</v>
      </c>
      <c r="BC273" t="s" s="0">
        <v>81</v>
      </c>
      <c r="BD273" t="s" s="0">
        <v>81</v>
      </c>
      <c r="BE273" t="s" s="0">
        <v>81</v>
      </c>
      <c r="BF273" t="s" s="0">
        <v>81</v>
      </c>
      <c r="BG273" t="s" s="0">
        <v>81</v>
      </c>
      <c r="BH273" t="s" s="0">
        <v>81</v>
      </c>
      <c r="BI273" t="s" s="0">
        <v>6601</v>
      </c>
      <c r="BJ273" t="s" s="0">
        <v>6602</v>
      </c>
      <c r="BK273" t="s" s="542">
        <f>HYPERLINK("http://dx.doi.org/10.2196/70738","http://dx.doi.org/10.2196/70738")</f>
        <v>6603</v>
      </c>
      <c r="BL273" t="s" s="0">
        <v>81</v>
      </c>
      <c r="BM273" t="s" s="0">
        <v>81</v>
      </c>
      <c r="BN273" t="s" s="0">
        <v>172</v>
      </c>
      <c r="BO273" t="s" s="0">
        <v>1925</v>
      </c>
      <c r="BP273" t="s" s="0">
        <v>1925</v>
      </c>
      <c r="BQ273" t="s" s="0">
        <v>6604</v>
      </c>
      <c r="BR273" t="s" s="0">
        <v>6605</v>
      </c>
      <c r="BS273" t="s" s="0">
        <v>6606</v>
      </c>
      <c r="BT273" t="s" s="543">
        <f>HYPERLINK("https://www.webofscience.com/wos/woscc/full-record/WOS:001578958700001","View Record in Web of Science")</f>
        <v>114</v>
      </c>
      <c r="BU273" t="s" s="0">
        <v>145</v>
      </c>
      <c r="BV273" t="s" s="0">
        <v>81</v>
      </c>
      <c r="BW273" t="s" s="0">
        <v>81</v>
      </c>
      <c r="BX273" t="s" s="0">
        <v>116</v>
      </c>
    </row>
    <row r="274">
      <c r="A274" t="s" s="0">
        <v>77</v>
      </c>
      <c r="B274" t="s" s="0">
        <v>77</v>
      </c>
      <c r="C274" t="s" s="0">
        <v>77</v>
      </c>
      <c r="D274" t="s" s="0">
        <v>77</v>
      </c>
      <c r="E274" t="s" s="0">
        <v>6607</v>
      </c>
      <c r="F274" t="s" s="0">
        <v>6608</v>
      </c>
      <c r="G274" t="s" s="0">
        <v>6609</v>
      </c>
      <c r="H274" t="s" s="0">
        <v>81</v>
      </c>
      <c r="I274" t="s" s="0">
        <v>82</v>
      </c>
      <c r="J274" t="s" s="0">
        <v>6610</v>
      </c>
      <c r="K274" t="s" s="0">
        <v>6611</v>
      </c>
      <c r="L274" t="s" s="0">
        <v>6612</v>
      </c>
      <c r="M274" t="s" s="0">
        <v>184</v>
      </c>
      <c r="N274" t="s" s="0">
        <v>6613</v>
      </c>
      <c r="O274" t="s" s="0">
        <v>6614</v>
      </c>
      <c r="P274" t="s" s="0">
        <v>6615</v>
      </c>
      <c r="Q274" t="s" s="0">
        <v>90</v>
      </c>
      <c r="R274" t="s" s="0">
        <v>81</v>
      </c>
      <c r="S274" t="s" s="0">
        <v>81</v>
      </c>
      <c r="T274" t="s" s="0">
        <v>81</v>
      </c>
      <c r="U274" t="s" s="0">
        <v>81</v>
      </c>
      <c r="V274" t="s" s="0">
        <v>6616</v>
      </c>
      <c r="W274" t="s" s="0">
        <v>6617</v>
      </c>
      <c r="X274" t="s" s="0">
        <v>81</v>
      </c>
      <c r="Y274" t="s" s="0">
        <v>81</v>
      </c>
      <c r="Z274" t="s" s="0">
        <v>93</v>
      </c>
      <c r="AA274" t="s" s="0">
        <v>94</v>
      </c>
      <c r="AB274" t="s" s="0">
        <v>81</v>
      </c>
      <c r="AC274" t="s" s="0">
        <v>81</v>
      </c>
      <c r="AD274" t="s" s="0">
        <v>81</v>
      </c>
      <c r="AE274" t="s" s="0">
        <v>81</v>
      </c>
      <c r="AF274" t="s" s="0">
        <v>81</v>
      </c>
      <c r="AG274" t="s" s="0">
        <v>81</v>
      </c>
      <c r="AH274" t="s" s="0">
        <v>6618</v>
      </c>
      <c r="AI274" t="s" s="0">
        <v>81</v>
      </c>
      <c r="AJ274" t="s" s="0">
        <v>81</v>
      </c>
      <c r="AK274" t="s" s="0">
        <v>81</v>
      </c>
      <c r="AL274" t="s" s="0">
        <v>878</v>
      </c>
      <c r="AM274" t="s" s="0">
        <v>77</v>
      </c>
      <c r="AN274" t="s" s="0">
        <v>77</v>
      </c>
      <c r="AO274" t="s" s="0">
        <v>117</v>
      </c>
      <c r="AP274" t="s" s="0">
        <v>117</v>
      </c>
      <c r="AQ274" t="s" s="0">
        <v>4552</v>
      </c>
      <c r="AR274" t="s" s="0">
        <v>4553</v>
      </c>
      <c r="AS274" t="s" s="0">
        <v>4554</v>
      </c>
      <c r="AT274" t="s" s="0">
        <v>6619</v>
      </c>
      <c r="AU274" t="s" s="0">
        <v>81</v>
      </c>
      <c r="AV274" t="s" s="0">
        <v>81</v>
      </c>
      <c r="AW274" t="s" s="0">
        <v>6620</v>
      </c>
      <c r="AX274" t="s" s="0">
        <v>6621</v>
      </c>
      <c r="AY274" t="s" s="0">
        <v>6622</v>
      </c>
      <c r="AZ274" t="s" s="0">
        <v>104</v>
      </c>
      <c r="BA274" t="s" s="0">
        <v>161</v>
      </c>
      <c r="BB274" t="s" s="0">
        <v>225</v>
      </c>
      <c r="BC274" t="s" s="0">
        <v>81</v>
      </c>
      <c r="BD274" t="s" s="0">
        <v>81</v>
      </c>
      <c r="BE274" t="s" s="0">
        <v>81</v>
      </c>
      <c r="BF274" t="s" s="0">
        <v>81</v>
      </c>
      <c r="BG274" t="s" s="0">
        <v>81</v>
      </c>
      <c r="BH274" t="s" s="0">
        <v>81</v>
      </c>
      <c r="BI274" t="s" s="0">
        <v>6623</v>
      </c>
      <c r="BJ274" t="s" s="0">
        <v>6624</v>
      </c>
      <c r="BK274" t="s" s="544">
        <f>HYPERLINK("http://dx.doi.org/10.1016/j.xcrm.2026.102969","http://dx.doi.org/10.1016/j.xcrm.2026.102969")</f>
        <v>6625</v>
      </c>
      <c r="BL274" t="s" s="0">
        <v>81</v>
      </c>
      <c r="BM274" t="s" s="0">
        <v>81</v>
      </c>
      <c r="BN274" t="s" s="0">
        <v>258</v>
      </c>
      <c r="BO274" t="s" s="0">
        <v>6626</v>
      </c>
      <c r="BP274" t="s" s="0">
        <v>6627</v>
      </c>
      <c r="BQ274" t="s" s="0">
        <v>6628</v>
      </c>
      <c r="BR274" t="s" s="0">
        <v>6629</v>
      </c>
      <c r="BS274" t="s" s="0">
        <v>6630</v>
      </c>
      <c r="BT274" t="s" s="545">
        <f>HYPERLINK("https://www.webofscience.com/wos/woscc/full-record/WOS:001853913400001","View Record in Web of Science")</f>
        <v>114</v>
      </c>
      <c r="BU274" t="s" s="0">
        <v>115</v>
      </c>
      <c r="BV274" t="s" s="0">
        <v>81</v>
      </c>
      <c r="BW274" t="s" s="0">
        <v>81</v>
      </c>
      <c r="BX274" t="s" s="0">
        <v>116</v>
      </c>
    </row>
    <row r="275">
      <c r="A275" t="s" s="0">
        <v>77</v>
      </c>
      <c r="B275" t="s" s="0">
        <v>77</v>
      </c>
      <c r="C275" t="s" s="0">
        <v>130</v>
      </c>
      <c r="D275" t="s" s="0">
        <v>77</v>
      </c>
      <c r="E275" t="s" s="0">
        <v>6631</v>
      </c>
      <c r="F275" t="s" s="0">
        <v>6632</v>
      </c>
      <c r="G275" t="s" s="0">
        <v>6633</v>
      </c>
      <c r="H275" t="s" s="0">
        <v>81</v>
      </c>
      <c r="I275" t="s" s="0">
        <v>82</v>
      </c>
      <c r="J275" t="s" s="0">
        <v>6634</v>
      </c>
      <c r="K275" t="s" s="0">
        <v>6635</v>
      </c>
      <c r="L275" t="s" s="0">
        <v>6636</v>
      </c>
      <c r="M275" t="s" s="0">
        <v>6637</v>
      </c>
      <c r="N275" t="s" s="0">
        <v>6638</v>
      </c>
      <c r="O275" t="s" s="0">
        <v>6639</v>
      </c>
      <c r="P275" t="s" s="0">
        <v>6640</v>
      </c>
      <c r="Q275" t="s" s="0">
        <v>90</v>
      </c>
      <c r="R275" t="s" s="0">
        <v>81</v>
      </c>
      <c r="S275" t="s" s="0">
        <v>81</v>
      </c>
      <c r="T275" t="s" s="0">
        <v>81</v>
      </c>
      <c r="U275" t="s" s="0">
        <v>81</v>
      </c>
      <c r="V275" t="s" s="0">
        <v>6641</v>
      </c>
      <c r="W275" t="s" s="0">
        <v>6533</v>
      </c>
      <c r="X275" t="s" s="0">
        <v>81</v>
      </c>
      <c r="Y275" t="s" s="0">
        <v>81</v>
      </c>
      <c r="Z275" t="s" s="0">
        <v>93</v>
      </c>
      <c r="AA275" t="s" s="0">
        <v>94</v>
      </c>
      <c r="AB275" t="s" s="0">
        <v>81</v>
      </c>
      <c r="AC275" t="s" s="0">
        <v>81</v>
      </c>
      <c r="AD275" t="s" s="0">
        <v>81</v>
      </c>
      <c r="AE275" t="s" s="0">
        <v>81</v>
      </c>
      <c r="AF275" t="s" s="0">
        <v>81</v>
      </c>
      <c r="AG275" t="s" s="0">
        <v>6642</v>
      </c>
      <c r="AH275" t="s" s="0">
        <v>6643</v>
      </c>
      <c r="AI275" t="s" s="0">
        <v>6644</v>
      </c>
      <c r="AJ275" t="s" s="0">
        <v>6645</v>
      </c>
      <c r="AK275" t="s" s="0">
        <v>81</v>
      </c>
      <c r="AL275" t="s" s="0">
        <v>1515</v>
      </c>
      <c r="AM275" t="s" s="0">
        <v>204</v>
      </c>
      <c r="AN275" t="s" s="0">
        <v>228</v>
      </c>
      <c r="AO275" t="s" s="0">
        <v>77</v>
      </c>
      <c r="AP275" t="s" s="0">
        <v>167</v>
      </c>
      <c r="AQ275" t="s" s="0">
        <v>2787</v>
      </c>
      <c r="AR275" t="s" s="0">
        <v>339</v>
      </c>
      <c r="AS275" t="s" s="0">
        <v>2788</v>
      </c>
      <c r="AT275" t="s" s="0">
        <v>6537</v>
      </c>
      <c r="AU275" t="s" s="0">
        <v>6538</v>
      </c>
      <c r="AV275" t="s" s="0">
        <v>81</v>
      </c>
      <c r="AW275" t="s" s="0">
        <v>6539</v>
      </c>
      <c r="AX275" t="s" s="0">
        <v>6540</v>
      </c>
      <c r="AY275" t="s" s="0">
        <v>1519</v>
      </c>
      <c r="AZ275" t="s" s="0">
        <v>1519</v>
      </c>
      <c r="BA275" t="s" s="0">
        <v>4019</v>
      </c>
      <c r="BB275" t="s" s="0">
        <v>117</v>
      </c>
      <c r="BC275" t="s" s="0">
        <v>81</v>
      </c>
      <c r="BD275" t="s" s="0">
        <v>81</v>
      </c>
      <c r="BE275" t="s" s="0">
        <v>81</v>
      </c>
      <c r="BF275" t="s" s="0">
        <v>81</v>
      </c>
      <c r="BG275" t="s" s="0">
        <v>3369</v>
      </c>
      <c r="BH275" t="s" s="0">
        <v>512</v>
      </c>
      <c r="BI275" t="s" s="0">
        <v>81</v>
      </c>
      <c r="BJ275" t="s" s="0">
        <v>6646</v>
      </c>
      <c r="BK275" t="s" s="546">
        <f>HYPERLINK("http://dx.doi.org/10.3233/JAD-230496","http://dx.doi.org/10.3233/JAD-230496")</f>
        <v>6647</v>
      </c>
      <c r="BL275" t="s" s="0">
        <v>81</v>
      </c>
      <c r="BM275" t="s" s="0">
        <v>81</v>
      </c>
      <c r="BN275" t="s" s="0">
        <v>129</v>
      </c>
      <c r="BO275" t="s" s="0">
        <v>110</v>
      </c>
      <c r="BP275" t="s" s="0">
        <v>111</v>
      </c>
      <c r="BQ275" t="s" s="0">
        <v>6648</v>
      </c>
      <c r="BR275" t="s" s="0">
        <v>6649</v>
      </c>
      <c r="BS275" t="s" s="0">
        <v>6650</v>
      </c>
      <c r="BT275" t="s" s="547">
        <f>HYPERLINK("https://www.webofscience.com/wos/woscc/full-record/WOS:001092311300024","View Record in Web of Science")</f>
        <v>114</v>
      </c>
      <c r="BU275" t="s" s="0">
        <v>81</v>
      </c>
      <c r="BV275" t="s" s="0">
        <v>81</v>
      </c>
      <c r="BW275" t="s" s="0">
        <v>81</v>
      </c>
      <c r="BX275" t="s" s="0">
        <v>116</v>
      </c>
    </row>
    <row r="276">
      <c r="A276" t="s" s="0">
        <v>117</v>
      </c>
      <c r="B276" t="s" s="0">
        <v>77</v>
      </c>
      <c r="C276" t="s" s="0">
        <v>130</v>
      </c>
      <c r="D276" t="s" s="0">
        <v>77</v>
      </c>
      <c r="E276" t="s" s="0">
        <v>6651</v>
      </c>
      <c r="F276" t="s" s="0">
        <v>6652</v>
      </c>
      <c r="G276" t="s" s="0">
        <v>6653</v>
      </c>
      <c r="H276" t="s" s="0">
        <v>81</v>
      </c>
      <c r="I276" t="s" s="0">
        <v>82</v>
      </c>
      <c r="J276" t="s" s="0">
        <v>6654</v>
      </c>
      <c r="K276" t="s" s="0">
        <v>6655</v>
      </c>
      <c r="L276" t="s" s="0">
        <v>81</v>
      </c>
      <c r="M276" t="s" s="0">
        <v>81</v>
      </c>
      <c r="N276" t="s" s="0">
        <v>81</v>
      </c>
      <c r="O276" t="s" s="0">
        <v>6656</v>
      </c>
      <c r="P276" t="s" s="0">
        <v>81</v>
      </c>
      <c r="Q276" t="s" s="0">
        <v>90</v>
      </c>
      <c r="R276" t="s" s="0">
        <v>81</v>
      </c>
      <c r="S276" t="s" s="0">
        <v>81</v>
      </c>
      <c r="T276" t="s" s="0">
        <v>81</v>
      </c>
      <c r="U276" t="s" s="0">
        <v>81</v>
      </c>
      <c r="V276" t="s" s="0">
        <v>6657</v>
      </c>
      <c r="W276" t="s" s="0">
        <v>6658</v>
      </c>
      <c r="X276" t="s" s="0">
        <v>81</v>
      </c>
      <c r="Y276" t="s" s="0">
        <v>81</v>
      </c>
      <c r="Z276" t="s" s="0">
        <v>93</v>
      </c>
      <c r="AA276" t="s" s="0">
        <v>6659</v>
      </c>
      <c r="AB276" t="s" s="0">
        <v>81</v>
      </c>
      <c r="AC276" t="s" s="0">
        <v>81</v>
      </c>
      <c r="AD276" t="s" s="0">
        <v>81</v>
      </c>
      <c r="AE276" t="s" s="0">
        <v>81</v>
      </c>
      <c r="AF276" t="s" s="0">
        <v>81</v>
      </c>
      <c r="AG276" t="s" s="0">
        <v>6660</v>
      </c>
      <c r="AH276" t="s" s="0">
        <v>6661</v>
      </c>
      <c r="AI276" t="s" s="0">
        <v>6662</v>
      </c>
      <c r="AJ276" t="s" s="0">
        <v>81</v>
      </c>
      <c r="AK276" t="s" s="0">
        <v>81</v>
      </c>
      <c r="AL276" t="s" s="0">
        <v>1723</v>
      </c>
      <c r="AM276" t="s" s="0">
        <v>128</v>
      </c>
      <c r="AN276" t="s" s="0">
        <v>204</v>
      </c>
      <c r="AO276" t="s" s="0">
        <v>227</v>
      </c>
      <c r="AP276" t="s" s="0">
        <v>128</v>
      </c>
      <c r="AQ276" t="s" s="0">
        <v>274</v>
      </c>
      <c r="AR276" t="s" s="0">
        <v>275</v>
      </c>
      <c r="AS276" t="s" s="0">
        <v>276</v>
      </c>
      <c r="AT276" t="s" s="0">
        <v>277</v>
      </c>
      <c r="AU276" t="s" s="0">
        <v>81</v>
      </c>
      <c r="AV276" t="s" s="0">
        <v>81</v>
      </c>
      <c r="AW276" t="s" s="0">
        <v>6663</v>
      </c>
      <c r="AX276" t="s" s="0">
        <v>6664</v>
      </c>
      <c r="AY276" t="s" s="0">
        <v>6665</v>
      </c>
      <c r="AZ276" t="s" s="0">
        <v>136</v>
      </c>
      <c r="BA276" t="s" s="0">
        <v>172</v>
      </c>
      <c r="BB276" t="s" s="0">
        <v>117</v>
      </c>
      <c r="BC276" t="s" s="0">
        <v>81</v>
      </c>
      <c r="BD276" t="s" s="0">
        <v>81</v>
      </c>
      <c r="BE276" t="s" s="0">
        <v>81</v>
      </c>
      <c r="BF276" t="s" s="0">
        <v>81</v>
      </c>
      <c r="BG276" t="s" s="0">
        <v>81</v>
      </c>
      <c r="BH276" t="s" s="0">
        <v>81</v>
      </c>
      <c r="BI276" t="s" s="0">
        <v>6666</v>
      </c>
      <c r="BJ276" t="s" s="0">
        <v>6667</v>
      </c>
      <c r="BK276" t="s" s="548">
        <f>HYPERLINK("http://dx.doi.org/10.1038/s41598-025-06229-w","http://dx.doi.org/10.1038/s41598-025-06229-w")</f>
        <v>6668</v>
      </c>
      <c r="BL276" t="s" s="0">
        <v>81</v>
      </c>
      <c r="BM276" t="s" s="0">
        <v>81</v>
      </c>
      <c r="BN276" t="s" s="0">
        <v>258</v>
      </c>
      <c r="BO276" t="s" s="0">
        <v>285</v>
      </c>
      <c r="BP276" t="s" s="0">
        <v>286</v>
      </c>
      <c r="BQ276" t="s" s="0">
        <v>6669</v>
      </c>
      <c r="BR276" t="s" s="0">
        <v>6670</v>
      </c>
      <c r="BS276" t="s" s="0">
        <v>6671</v>
      </c>
      <c r="BT276" t="s" s="549">
        <f>HYPERLINK("https://www.webofscience.com/wos/woscc/full-record/WOS:001553426400042","View Record in Web of Science")</f>
        <v>114</v>
      </c>
      <c r="BU276" t="s" s="0">
        <v>145</v>
      </c>
      <c r="BV276" t="s" s="0">
        <v>81</v>
      </c>
      <c r="BW276" t="s" s="0">
        <v>81</v>
      </c>
      <c r="BX276" t="s" s="0">
        <v>116</v>
      </c>
    </row>
    <row r="277">
      <c r="A277" t="s" s="0">
        <v>227</v>
      </c>
      <c r="B277" t="s" s="0">
        <v>77</v>
      </c>
      <c r="C277" t="s" s="0">
        <v>128</v>
      </c>
      <c r="D277" t="s" s="0">
        <v>77</v>
      </c>
      <c r="E277" t="s" s="0">
        <v>6672</v>
      </c>
      <c r="F277" t="s" s="0">
        <v>6673</v>
      </c>
      <c r="G277" t="s" s="0">
        <v>6674</v>
      </c>
      <c r="H277" t="s" s="0">
        <v>81</v>
      </c>
      <c r="I277" t="s" s="0">
        <v>82</v>
      </c>
      <c r="J277" t="s" s="0">
        <v>6675</v>
      </c>
      <c r="K277" t="s" s="0">
        <v>6676</v>
      </c>
      <c r="L277" t="s" s="0">
        <v>6677</v>
      </c>
      <c r="M277" t="s" s="0">
        <v>6678</v>
      </c>
      <c r="N277" t="s" s="0">
        <v>6679</v>
      </c>
      <c r="O277" t="s" s="0">
        <v>6680</v>
      </c>
      <c r="P277" t="s" s="0">
        <v>6681</v>
      </c>
      <c r="Q277" t="s" s="0">
        <v>90</v>
      </c>
      <c r="R277" t="s" s="0">
        <v>81</v>
      </c>
      <c r="S277" t="s" s="0">
        <v>81</v>
      </c>
      <c r="T277" t="s" s="0">
        <v>81</v>
      </c>
      <c r="U277" t="s" s="0">
        <v>81</v>
      </c>
      <c r="V277" t="s" s="0">
        <v>6682</v>
      </c>
      <c r="W277" t="s" s="0">
        <v>4364</v>
      </c>
      <c r="X277" t="s" s="0">
        <v>81</v>
      </c>
      <c r="Y277" t="s" s="0">
        <v>81</v>
      </c>
      <c r="Z277" t="s" s="0">
        <v>93</v>
      </c>
      <c r="AA277" t="s" s="0">
        <v>94</v>
      </c>
      <c r="AB277" t="s" s="0">
        <v>81</v>
      </c>
      <c r="AC277" t="s" s="0">
        <v>81</v>
      </c>
      <c r="AD277" t="s" s="0">
        <v>81</v>
      </c>
      <c r="AE277" t="s" s="0">
        <v>81</v>
      </c>
      <c r="AF277" t="s" s="0">
        <v>81</v>
      </c>
      <c r="AG277" t="s" s="0">
        <v>81</v>
      </c>
      <c r="AH277" t="s" s="0">
        <v>6683</v>
      </c>
      <c r="AI277" t="s" s="0">
        <v>6684</v>
      </c>
      <c r="AJ277" t="s" s="0">
        <v>6685</v>
      </c>
      <c r="AK277" t="s" s="0">
        <v>81</v>
      </c>
      <c r="AL277" t="s" s="0">
        <v>2623</v>
      </c>
      <c r="AM277" t="s" s="0">
        <v>475</v>
      </c>
      <c r="AN277" t="s" s="0">
        <v>706</v>
      </c>
      <c r="AO277" t="s" s="0">
        <v>226</v>
      </c>
      <c r="AP277" t="s" s="0">
        <v>1161</v>
      </c>
      <c r="AQ277" t="s" s="0">
        <v>274</v>
      </c>
      <c r="AR277" t="s" s="0">
        <v>275</v>
      </c>
      <c r="AS277" t="s" s="0">
        <v>276</v>
      </c>
      <c r="AT277" t="s" s="0">
        <v>81</v>
      </c>
      <c r="AU277" t="s" s="0">
        <v>4368</v>
      </c>
      <c r="AV277" t="s" s="0">
        <v>81</v>
      </c>
      <c r="AW277" t="s" s="0">
        <v>4369</v>
      </c>
      <c r="AX277" t="s" s="0">
        <v>4370</v>
      </c>
      <c r="AY277" t="s" s="0">
        <v>6686</v>
      </c>
      <c r="AZ277" t="s" s="0">
        <v>136</v>
      </c>
      <c r="BA277" t="s" s="0">
        <v>137</v>
      </c>
      <c r="BB277" t="s" s="0">
        <v>117</v>
      </c>
      <c r="BC277" t="s" s="0">
        <v>81</v>
      </c>
      <c r="BD277" t="s" s="0">
        <v>81</v>
      </c>
      <c r="BE277" t="s" s="0">
        <v>81</v>
      </c>
      <c r="BF277" t="s" s="0">
        <v>81</v>
      </c>
      <c r="BG277" t="s" s="0">
        <v>81</v>
      </c>
      <c r="BH277" t="s" s="0">
        <v>81</v>
      </c>
      <c r="BI277" t="s" s="0">
        <v>6687</v>
      </c>
      <c r="BJ277" t="s" s="0">
        <v>6688</v>
      </c>
      <c r="BK277" t="s" s="550">
        <f>HYPERLINK("http://dx.doi.org/10.1038/s41467-025-62042-z","http://dx.doi.org/10.1038/s41467-025-62042-z")</f>
        <v>6689</v>
      </c>
      <c r="BL277" t="s" s="0">
        <v>81</v>
      </c>
      <c r="BM277" t="s" s="0">
        <v>81</v>
      </c>
      <c r="BN277" t="s" s="0">
        <v>563</v>
      </c>
      <c r="BO277" t="s" s="0">
        <v>285</v>
      </c>
      <c r="BP277" t="s" s="0">
        <v>286</v>
      </c>
      <c r="BQ277" t="s" s="0">
        <v>6690</v>
      </c>
      <c r="BR277" t="s" s="0">
        <v>6691</v>
      </c>
      <c r="BS277" t="s" s="0">
        <v>6692</v>
      </c>
      <c r="BT277" t="s" s="551">
        <f>HYPERLINK("https://www.webofscience.com/wos/woscc/full-record/WOS:001542634900032","View Record in Web of Science")</f>
        <v>114</v>
      </c>
      <c r="BU277" t="s" s="0">
        <v>145</v>
      </c>
      <c r="BV277" t="s" s="0">
        <v>81</v>
      </c>
      <c r="BW277" t="s" s="0">
        <v>81</v>
      </c>
      <c r="BX277" t="s" s="0">
        <v>116</v>
      </c>
    </row>
    <row r="278">
      <c r="A278" t="s" s="0">
        <v>130</v>
      </c>
      <c r="B278" t="s" s="0">
        <v>77</v>
      </c>
      <c r="C278" t="s" s="0">
        <v>117</v>
      </c>
      <c r="D278" t="s" s="0">
        <v>77</v>
      </c>
      <c r="E278" t="s" s="0">
        <v>6693</v>
      </c>
      <c r="F278" t="s" s="0">
        <v>6694</v>
      </c>
      <c r="G278" t="s" s="0">
        <v>6695</v>
      </c>
      <c r="H278" t="s" s="0">
        <v>81</v>
      </c>
      <c r="I278" t="s" s="0">
        <v>82</v>
      </c>
      <c r="J278" t="s" s="0">
        <v>6696</v>
      </c>
      <c r="K278" t="s" s="0">
        <v>6697</v>
      </c>
      <c r="L278" t="s" s="0">
        <v>6698</v>
      </c>
      <c r="M278" t="s" s="0">
        <v>6699</v>
      </c>
      <c r="N278" t="s" s="0">
        <v>6700</v>
      </c>
      <c r="O278" t="s" s="0">
        <v>6701</v>
      </c>
      <c r="P278" t="s" s="0">
        <v>6702</v>
      </c>
      <c r="Q278" t="s" s="0">
        <v>90</v>
      </c>
      <c r="R278" t="s" s="0">
        <v>81</v>
      </c>
      <c r="S278" t="s" s="0">
        <v>81</v>
      </c>
      <c r="T278" t="s" s="0">
        <v>81</v>
      </c>
      <c r="U278" t="s" s="0">
        <v>81</v>
      </c>
      <c r="V278" t="s" s="0">
        <v>6703</v>
      </c>
      <c r="W278" t="s" s="0">
        <v>3333</v>
      </c>
      <c r="X278" t="s" s="0">
        <v>81</v>
      </c>
      <c r="Y278" t="s" s="0">
        <v>81</v>
      </c>
      <c r="Z278" t="s" s="0">
        <v>93</v>
      </c>
      <c r="AA278" t="s" s="0">
        <v>94</v>
      </c>
      <c r="AB278" t="s" s="0">
        <v>81</v>
      </c>
      <c r="AC278" t="s" s="0">
        <v>81</v>
      </c>
      <c r="AD278" t="s" s="0">
        <v>81</v>
      </c>
      <c r="AE278" t="s" s="0">
        <v>81</v>
      </c>
      <c r="AF278" t="s" s="0">
        <v>81</v>
      </c>
      <c r="AG278" t="s" s="0">
        <v>6704</v>
      </c>
      <c r="AH278" t="s" s="0">
        <v>6705</v>
      </c>
      <c r="AI278" t="s" s="0">
        <v>6706</v>
      </c>
      <c r="AJ278" t="s" s="0">
        <v>81</v>
      </c>
      <c r="AK278" t="s" s="0">
        <v>81</v>
      </c>
      <c r="AL278" t="s" s="0">
        <v>127</v>
      </c>
      <c r="AM278" t="s" s="0">
        <v>228</v>
      </c>
      <c r="AN278" t="s" s="0">
        <v>563</v>
      </c>
      <c r="AO278" t="s" s="0">
        <v>160</v>
      </c>
      <c r="AP278" t="s" s="0">
        <v>625</v>
      </c>
      <c r="AQ278" t="s" s="0">
        <v>1098</v>
      </c>
      <c r="AR278" t="s" s="0">
        <v>1099</v>
      </c>
      <c r="AS278" t="s" s="0">
        <v>1100</v>
      </c>
      <c r="AT278" t="s" s="0">
        <v>3335</v>
      </c>
      <c r="AU278" t="s" s="0">
        <v>3336</v>
      </c>
      <c r="AV278" t="s" s="0">
        <v>81</v>
      </c>
      <c r="AW278" t="s" s="0">
        <v>3337</v>
      </c>
      <c r="AX278" t="s" s="0">
        <v>3338</v>
      </c>
      <c r="AY278" t="s" s="0">
        <v>382</v>
      </c>
      <c r="AZ278" t="s" s="0">
        <v>136</v>
      </c>
      <c r="BA278" t="s" s="0">
        <v>1421</v>
      </c>
      <c r="BB278" t="s" s="0">
        <v>117</v>
      </c>
      <c r="BC278" t="s" s="0">
        <v>81</v>
      </c>
      <c r="BD278" t="s" s="0">
        <v>81</v>
      </c>
      <c r="BE278" t="s" s="0">
        <v>81</v>
      </c>
      <c r="BF278" t="s" s="0">
        <v>81</v>
      </c>
      <c r="BG278" t="s" s="0">
        <v>117</v>
      </c>
      <c r="BH278" t="s" s="0">
        <v>204</v>
      </c>
      <c r="BI278" t="s" s="0">
        <v>81</v>
      </c>
      <c r="BJ278" t="s" s="0">
        <v>6707</v>
      </c>
      <c r="BK278" t="s" s="552">
        <f>HYPERLINK("http://dx.doi.org/10.1016/j.acra.2024.07.029","http://dx.doi.org/10.1016/j.acra.2024.07.029")</f>
        <v>6708</v>
      </c>
      <c r="BL278" t="s" s="0">
        <v>81</v>
      </c>
      <c r="BM278" t="s" s="0">
        <v>382</v>
      </c>
      <c r="BN278" t="s" s="0">
        <v>204</v>
      </c>
      <c r="BO278" t="s" s="0">
        <v>1881</v>
      </c>
      <c r="BP278" t="s" s="0">
        <v>1881</v>
      </c>
      <c r="BQ278" t="s" s="0">
        <v>6709</v>
      </c>
      <c r="BR278" t="s" s="0">
        <v>6710</v>
      </c>
      <c r="BS278" t="s" s="0">
        <v>6711</v>
      </c>
      <c r="BT278" t="s" s="553">
        <f>HYPERLINK("https://www.webofscience.com/wos/woscc/full-record/WOS:001416327200001","View Record in Web of Science")</f>
        <v>114</v>
      </c>
      <c r="BU278" t="s" s="0">
        <v>81</v>
      </c>
      <c r="BV278" t="s" s="0">
        <v>81</v>
      </c>
      <c r="BW278" t="s" s="0">
        <v>81</v>
      </c>
      <c r="BX278" t="s" s="0">
        <v>116</v>
      </c>
    </row>
    <row r="279">
      <c r="A279" t="s" s="0">
        <v>77</v>
      </c>
      <c r="B279" t="s" s="0">
        <v>77</v>
      </c>
      <c r="C279" t="s" s="0">
        <v>77</v>
      </c>
      <c r="D279" t="s" s="0">
        <v>77</v>
      </c>
      <c r="E279" t="s" s="0">
        <v>6712</v>
      </c>
      <c r="F279" t="s" s="0">
        <v>6713</v>
      </c>
      <c r="G279" t="s" s="0">
        <v>6714</v>
      </c>
      <c r="H279" t="s" s="0">
        <v>81</v>
      </c>
      <c r="I279" t="s" s="0">
        <v>82</v>
      </c>
      <c r="J279" t="s" s="0">
        <v>6715</v>
      </c>
      <c r="K279" t="s" s="0">
        <v>6716</v>
      </c>
      <c r="L279" t="s" s="0">
        <v>6717</v>
      </c>
      <c r="M279" t="s" s="0">
        <v>6718</v>
      </c>
      <c r="N279" t="s" s="0">
        <v>6719</v>
      </c>
      <c r="O279" t="s" s="0">
        <v>6720</v>
      </c>
      <c r="P279" t="s" s="0">
        <v>6721</v>
      </c>
      <c r="Q279" t="s" s="0">
        <v>90</v>
      </c>
      <c r="R279" t="s" s="0">
        <v>81</v>
      </c>
      <c r="S279" t="s" s="0">
        <v>81</v>
      </c>
      <c r="T279" t="s" s="0">
        <v>81</v>
      </c>
      <c r="U279" t="s" s="0">
        <v>81</v>
      </c>
      <c r="V279" t="s" s="0">
        <v>6722</v>
      </c>
      <c r="W279" t="s" s="0">
        <v>271</v>
      </c>
      <c r="X279" t="s" s="0">
        <v>81</v>
      </c>
      <c r="Y279" t="s" s="0">
        <v>81</v>
      </c>
      <c r="Z279" t="s" s="0">
        <v>93</v>
      </c>
      <c r="AA279" t="s" s="0">
        <v>94</v>
      </c>
      <c r="AB279" t="s" s="0">
        <v>81</v>
      </c>
      <c r="AC279" t="s" s="0">
        <v>81</v>
      </c>
      <c r="AD279" t="s" s="0">
        <v>81</v>
      </c>
      <c r="AE279" t="s" s="0">
        <v>81</v>
      </c>
      <c r="AF279" t="s" s="0">
        <v>81</v>
      </c>
      <c r="AG279" t="s" s="0">
        <v>6723</v>
      </c>
      <c r="AH279" t="s" s="0">
        <v>6724</v>
      </c>
      <c r="AI279" t="s" s="0">
        <v>6725</v>
      </c>
      <c r="AJ279" t="s" s="0">
        <v>6726</v>
      </c>
      <c r="AK279" t="s" s="0">
        <v>81</v>
      </c>
      <c r="AL279" t="s" s="0">
        <v>6727</v>
      </c>
      <c r="AM279" t="s" s="0">
        <v>117</v>
      </c>
      <c r="AN279" t="s" s="0">
        <v>117</v>
      </c>
      <c r="AO279" t="s" s="0">
        <v>117</v>
      </c>
      <c r="AP279" t="s" s="0">
        <v>130</v>
      </c>
      <c r="AQ279" t="s" s="0">
        <v>274</v>
      </c>
      <c r="AR279" t="s" s="0">
        <v>275</v>
      </c>
      <c r="AS279" t="s" s="0">
        <v>276</v>
      </c>
      <c r="AT279" t="s" s="0">
        <v>277</v>
      </c>
      <c r="AU279" t="s" s="0">
        <v>81</v>
      </c>
      <c r="AV279" t="s" s="0">
        <v>81</v>
      </c>
      <c r="AW279" t="s" s="0">
        <v>278</v>
      </c>
      <c r="AX279" t="s" s="0">
        <v>279</v>
      </c>
      <c r="AY279" t="s" s="0">
        <v>6728</v>
      </c>
      <c r="AZ279" t="s" s="0">
        <v>136</v>
      </c>
      <c r="BA279" t="s" s="0">
        <v>137</v>
      </c>
      <c r="BB279" t="s" s="0">
        <v>117</v>
      </c>
      <c r="BC279" t="s" s="0">
        <v>81</v>
      </c>
      <c r="BD279" t="s" s="0">
        <v>81</v>
      </c>
      <c r="BE279" t="s" s="0">
        <v>81</v>
      </c>
      <c r="BF279" t="s" s="0">
        <v>81</v>
      </c>
      <c r="BG279" t="s" s="0">
        <v>81</v>
      </c>
      <c r="BH279" t="s" s="0">
        <v>81</v>
      </c>
      <c r="BI279" t="s" s="0">
        <v>6729</v>
      </c>
      <c r="BJ279" t="s" s="0">
        <v>6730</v>
      </c>
      <c r="BK279" t="s" s="554">
        <f>HYPERLINK("http://dx.doi.org/10.1038/s41598-025-31550-9","http://dx.doi.org/10.1038/s41598-025-31550-9")</f>
        <v>6731</v>
      </c>
      <c r="BL279" t="s" s="0">
        <v>81</v>
      </c>
      <c r="BM279" t="s" s="0">
        <v>81</v>
      </c>
      <c r="BN279" t="s" s="0">
        <v>167</v>
      </c>
      <c r="BO279" t="s" s="0">
        <v>285</v>
      </c>
      <c r="BP279" t="s" s="0">
        <v>286</v>
      </c>
      <c r="BQ279" t="s" s="0">
        <v>6732</v>
      </c>
      <c r="BR279" t="s" s="0">
        <v>6733</v>
      </c>
      <c r="BS279" t="s" s="0">
        <v>6734</v>
      </c>
      <c r="BT279" t="s" s="555">
        <f>HYPERLINK("https://www.webofscience.com/wos/woscc/full-record/WOS:001661607700001","View Record in Web of Science")</f>
        <v>114</v>
      </c>
      <c r="BU279" t="s" s="0">
        <v>145</v>
      </c>
      <c r="BV279" t="s" s="0">
        <v>81</v>
      </c>
      <c r="BW279" t="s" s="0">
        <v>81</v>
      </c>
      <c r="BX279" t="s" s="0">
        <v>116</v>
      </c>
    </row>
    <row r="280">
      <c r="A280" t="s" s="0">
        <v>130</v>
      </c>
      <c r="B280" t="s" s="0">
        <v>77</v>
      </c>
      <c r="C280" t="s" s="0">
        <v>225</v>
      </c>
      <c r="D280" t="s" s="0">
        <v>77</v>
      </c>
      <c r="E280" t="s" s="0">
        <v>6735</v>
      </c>
      <c r="F280" t="s" s="0">
        <v>6736</v>
      </c>
      <c r="G280" t="s" s="0">
        <v>6737</v>
      </c>
      <c r="H280" t="s" s="0">
        <v>81</v>
      </c>
      <c r="I280" t="s" s="0">
        <v>82</v>
      </c>
      <c r="J280" t="s" s="0">
        <v>6738</v>
      </c>
      <c r="K280" t="s" s="0">
        <v>6739</v>
      </c>
      <c r="L280" t="s" s="0">
        <v>81</v>
      </c>
      <c r="M280" t="s" s="0">
        <v>81</v>
      </c>
      <c r="N280" t="s" s="0">
        <v>81</v>
      </c>
      <c r="O280" t="s" s="0">
        <v>6740</v>
      </c>
      <c r="P280" t="s" s="0">
        <v>6741</v>
      </c>
      <c r="Q280" t="s" s="0">
        <v>90</v>
      </c>
      <c r="R280" t="s" s="0">
        <v>81</v>
      </c>
      <c r="S280" t="s" s="0">
        <v>81</v>
      </c>
      <c r="T280" t="s" s="0">
        <v>81</v>
      </c>
      <c r="U280" t="s" s="0">
        <v>81</v>
      </c>
      <c r="V280" t="s" s="0">
        <v>6742</v>
      </c>
      <c r="W280" t="s" s="0">
        <v>6743</v>
      </c>
      <c r="X280" t="s" s="0">
        <v>81</v>
      </c>
      <c r="Y280" t="s" s="0">
        <v>81</v>
      </c>
      <c r="Z280" t="s" s="0">
        <v>93</v>
      </c>
      <c r="AA280" t="s" s="0">
        <v>94</v>
      </c>
      <c r="AB280" t="s" s="0">
        <v>81</v>
      </c>
      <c r="AC280" t="s" s="0">
        <v>81</v>
      </c>
      <c r="AD280" t="s" s="0">
        <v>81</v>
      </c>
      <c r="AE280" t="s" s="0">
        <v>81</v>
      </c>
      <c r="AF280" t="s" s="0">
        <v>81</v>
      </c>
      <c r="AG280" t="s" s="0">
        <v>6744</v>
      </c>
      <c r="AH280" t="s" s="0">
        <v>6745</v>
      </c>
      <c r="AI280" t="s" s="0">
        <v>6746</v>
      </c>
      <c r="AJ280" t="s" s="0">
        <v>6747</v>
      </c>
      <c r="AK280" t="s" s="0">
        <v>81</v>
      </c>
      <c r="AL280" t="s" s="0">
        <v>237</v>
      </c>
      <c r="AM280" t="s" s="0">
        <v>846</v>
      </c>
      <c r="AN280" t="s" s="0">
        <v>1097</v>
      </c>
      <c r="AO280" t="s" s="0">
        <v>77</v>
      </c>
      <c r="AP280" t="s" s="0">
        <v>563</v>
      </c>
      <c r="AQ280" t="s" s="0">
        <v>930</v>
      </c>
      <c r="AR280" t="s" s="0">
        <v>931</v>
      </c>
      <c r="AS280" t="s" s="0">
        <v>932</v>
      </c>
      <c r="AT280" t="s" s="0">
        <v>6748</v>
      </c>
      <c r="AU280" t="s" s="0">
        <v>6749</v>
      </c>
      <c r="AV280" t="s" s="0">
        <v>81</v>
      </c>
      <c r="AW280" t="s" s="0">
        <v>6750</v>
      </c>
      <c r="AX280" t="s" s="0">
        <v>6751</v>
      </c>
      <c r="AY280" t="s" s="0">
        <v>2231</v>
      </c>
      <c r="AZ280" t="s" s="0">
        <v>573</v>
      </c>
      <c r="BA280" t="s" s="0">
        <v>1346</v>
      </c>
      <c r="BB280" t="s" s="0">
        <v>226</v>
      </c>
      <c r="BC280" t="s" s="0">
        <v>81</v>
      </c>
      <c r="BD280" t="s" s="0">
        <v>81</v>
      </c>
      <c r="BE280" t="s" s="0">
        <v>81</v>
      </c>
      <c r="BF280" t="s" s="0">
        <v>81</v>
      </c>
      <c r="BG280" t="s" s="0">
        <v>6752</v>
      </c>
      <c r="BH280" t="s" s="0">
        <v>6753</v>
      </c>
      <c r="BI280" t="s" s="0">
        <v>81</v>
      </c>
      <c r="BJ280" t="s" s="0">
        <v>6754</v>
      </c>
      <c r="BK280" t="s" s="556">
        <f>HYPERLINK("http://dx.doi.org/10.1097/RLI.0000000000001102","http://dx.doi.org/10.1097/RLI.0000000000001102")</f>
        <v>6755</v>
      </c>
      <c r="BL280" t="s" s="0">
        <v>81</v>
      </c>
      <c r="BM280" t="s" s="0">
        <v>81</v>
      </c>
      <c r="BN280" t="s" s="0">
        <v>161</v>
      </c>
      <c r="BO280" t="s" s="0">
        <v>1881</v>
      </c>
      <c r="BP280" t="s" s="0">
        <v>1881</v>
      </c>
      <c r="BQ280" t="s" s="0">
        <v>6756</v>
      </c>
      <c r="BR280" t="s" s="0">
        <v>6757</v>
      </c>
      <c r="BS280" t="s" s="0">
        <v>6758</v>
      </c>
      <c r="BT280" t="s" s="557">
        <f>HYPERLINK("https://www.webofscience.com/wos/woscc/full-record/WOS:001350965200001","View Record in Web of Science")</f>
        <v>114</v>
      </c>
      <c r="BU280" t="s" s="0">
        <v>457</v>
      </c>
      <c r="BV280" t="s" s="0">
        <v>81</v>
      </c>
      <c r="BW280" t="s" s="0">
        <v>81</v>
      </c>
      <c r="BX280" t="s" s="0">
        <v>116</v>
      </c>
    </row>
    <row r="281">
      <c r="A281" t="s" s="0">
        <v>117</v>
      </c>
      <c r="B281" t="s" s="0">
        <v>77</v>
      </c>
      <c r="C281" t="s" s="0">
        <v>117</v>
      </c>
      <c r="D281" t="s" s="0">
        <v>77</v>
      </c>
      <c r="E281" t="s" s="0">
        <v>6759</v>
      </c>
      <c r="F281" t="s" s="0">
        <v>6760</v>
      </c>
      <c r="G281" t="s" s="0">
        <v>6761</v>
      </c>
      <c r="H281" t="s" s="0">
        <v>81</v>
      </c>
      <c r="I281" t="s" s="0">
        <v>82</v>
      </c>
      <c r="J281" t="s" s="0">
        <v>6762</v>
      </c>
      <c r="K281" t="s" s="0">
        <v>6763</v>
      </c>
      <c r="L281" t="s" s="0">
        <v>6764</v>
      </c>
      <c r="M281" t="s" s="0">
        <v>6765</v>
      </c>
      <c r="N281" t="s" s="0">
        <v>6766</v>
      </c>
      <c r="O281" t="s" s="0">
        <v>6767</v>
      </c>
      <c r="P281" t="s" s="0">
        <v>6768</v>
      </c>
      <c r="Q281" t="s" s="0">
        <v>90</v>
      </c>
      <c r="R281" t="s" s="0">
        <v>81</v>
      </c>
      <c r="S281" t="s" s="0">
        <v>81</v>
      </c>
      <c r="T281" t="s" s="0">
        <v>81</v>
      </c>
      <c r="U281" t="s" s="0">
        <v>81</v>
      </c>
      <c r="V281" t="s" s="0">
        <v>6769</v>
      </c>
      <c r="W281" t="s" s="0">
        <v>2197</v>
      </c>
      <c r="X281" t="s" s="0">
        <v>81</v>
      </c>
      <c r="Y281" t="s" s="0">
        <v>81</v>
      </c>
      <c r="Z281" t="s" s="0">
        <v>93</v>
      </c>
      <c r="AA281" t="s" s="0">
        <v>94</v>
      </c>
      <c r="AB281" t="s" s="0">
        <v>81</v>
      </c>
      <c r="AC281" t="s" s="0">
        <v>81</v>
      </c>
      <c r="AD281" t="s" s="0">
        <v>81</v>
      </c>
      <c r="AE281" t="s" s="0">
        <v>81</v>
      </c>
      <c r="AF281" t="s" s="0">
        <v>81</v>
      </c>
      <c r="AG281" t="s" s="0">
        <v>6770</v>
      </c>
      <c r="AH281" t="s" s="0">
        <v>6771</v>
      </c>
      <c r="AI281" t="s" s="0">
        <v>81</v>
      </c>
      <c r="AJ281" t="s" s="0">
        <v>81</v>
      </c>
      <c r="AK281" t="s" s="0">
        <v>81</v>
      </c>
      <c r="AL281" t="s" s="0">
        <v>159</v>
      </c>
      <c r="AM281" t="s" s="0">
        <v>228</v>
      </c>
      <c r="AN281" t="s" s="0">
        <v>258</v>
      </c>
      <c r="AO281" t="s" s="0">
        <v>130</v>
      </c>
      <c r="AP281" t="s" s="0">
        <v>204</v>
      </c>
      <c r="AQ281" t="s" s="0">
        <v>97</v>
      </c>
      <c r="AR281" t="s" s="0">
        <v>98</v>
      </c>
      <c r="AS281" t="s" s="0">
        <v>99</v>
      </c>
      <c r="AT281" t="s" s="0">
        <v>81</v>
      </c>
      <c r="AU281" t="s" s="0">
        <v>2200</v>
      </c>
      <c r="AV281" t="s" s="0">
        <v>81</v>
      </c>
      <c r="AW281" t="s" s="0">
        <v>2201</v>
      </c>
      <c r="AX281" t="s" s="0">
        <v>2202</v>
      </c>
      <c r="AY281" t="s" s="0">
        <v>6772</v>
      </c>
      <c r="AZ281" t="s" s="0">
        <v>136</v>
      </c>
      <c r="BA281" t="s" s="0">
        <v>226</v>
      </c>
      <c r="BB281" t="s" s="0">
        <v>81</v>
      </c>
      <c r="BC281" t="s" s="0">
        <v>81</v>
      </c>
      <c r="BD281" t="s" s="0">
        <v>81</v>
      </c>
      <c r="BE281" t="s" s="0">
        <v>81</v>
      </c>
      <c r="BF281" t="s" s="0">
        <v>81</v>
      </c>
      <c r="BG281" t="s" s="0">
        <v>81</v>
      </c>
      <c r="BH281" t="s" s="0">
        <v>81</v>
      </c>
      <c r="BI281" t="s" s="0">
        <v>6773</v>
      </c>
      <c r="BJ281" t="s" s="0">
        <v>6774</v>
      </c>
      <c r="BK281" t="s" s="558">
        <f>HYPERLINK("http://dx.doi.org/10.3389/fmed.2025.1583514","http://dx.doi.org/10.3389/fmed.2025.1583514")</f>
        <v>6775</v>
      </c>
      <c r="BL281" t="s" s="0">
        <v>81</v>
      </c>
      <c r="BM281" t="s" s="0">
        <v>81</v>
      </c>
      <c r="BN281" t="s" s="0">
        <v>105</v>
      </c>
      <c r="BO281" t="s" s="0">
        <v>486</v>
      </c>
      <c r="BP281" t="s" s="0">
        <v>487</v>
      </c>
      <c r="BQ281" t="s" s="0">
        <v>6776</v>
      </c>
      <c r="BR281" t="s" s="0">
        <v>6777</v>
      </c>
      <c r="BS281" t="s" s="0">
        <v>6778</v>
      </c>
      <c r="BT281" t="s" s="559">
        <f>HYPERLINK("https://www.webofscience.com/wos/woscc/full-record/WOS:001503726400001","View Record in Web of Science")</f>
        <v>114</v>
      </c>
      <c r="BU281" t="s" s="0">
        <v>145</v>
      </c>
      <c r="BV281" t="s" s="0">
        <v>81</v>
      </c>
      <c r="BW281" t="s" s="0">
        <v>81</v>
      </c>
      <c r="BX281" t="s" s="0">
        <v>116</v>
      </c>
    </row>
    <row r="282">
      <c r="A282" t="s" s="0">
        <v>117</v>
      </c>
      <c r="B282" t="s" s="0">
        <v>77</v>
      </c>
      <c r="C282" t="s" s="0">
        <v>131</v>
      </c>
      <c r="D282" t="s" s="0">
        <v>77</v>
      </c>
      <c r="E282" t="s" s="0">
        <v>6779</v>
      </c>
      <c r="F282" t="s" s="0">
        <v>6780</v>
      </c>
      <c r="G282" t="s" s="0">
        <v>6781</v>
      </c>
      <c r="H282" t="s" s="0">
        <v>81</v>
      </c>
      <c r="I282" t="s" s="0">
        <v>82</v>
      </c>
      <c r="J282" t="s" s="0">
        <v>6782</v>
      </c>
      <c r="K282" t="s" s="0">
        <v>6783</v>
      </c>
      <c r="L282" t="s" s="0">
        <v>6784</v>
      </c>
      <c r="M282" t="s" s="0">
        <v>6785</v>
      </c>
      <c r="N282" t="s" s="0">
        <v>6786</v>
      </c>
      <c r="O282" t="s" s="0">
        <v>6787</v>
      </c>
      <c r="P282" t="s" s="0">
        <v>6788</v>
      </c>
      <c r="Q282" t="s" s="0">
        <v>90</v>
      </c>
      <c r="R282" t="s" s="0">
        <v>81</v>
      </c>
      <c r="S282" t="s" s="0">
        <v>81</v>
      </c>
      <c r="T282" t="s" s="0">
        <v>81</v>
      </c>
      <c r="U282" t="s" s="0">
        <v>81</v>
      </c>
      <c r="V282" t="s" s="0">
        <v>6789</v>
      </c>
      <c r="W282" t="s" s="0">
        <v>6790</v>
      </c>
      <c r="X282" t="s" s="0">
        <v>81</v>
      </c>
      <c r="Y282" t="s" s="0">
        <v>81</v>
      </c>
      <c r="Z282" t="s" s="0">
        <v>93</v>
      </c>
      <c r="AA282" t="s" s="0">
        <v>94</v>
      </c>
      <c r="AB282" t="s" s="0">
        <v>81</v>
      </c>
      <c r="AC282" t="s" s="0">
        <v>81</v>
      </c>
      <c r="AD282" t="s" s="0">
        <v>81</v>
      </c>
      <c r="AE282" t="s" s="0">
        <v>81</v>
      </c>
      <c r="AF282" t="s" s="0">
        <v>81</v>
      </c>
      <c r="AG282" t="s" s="0">
        <v>81</v>
      </c>
      <c r="AH282" t="s" s="0">
        <v>81</v>
      </c>
      <c r="AI282" t="s" s="0">
        <v>6791</v>
      </c>
      <c r="AJ282" t="s" s="0">
        <v>6792</v>
      </c>
      <c r="AK282" t="s" s="0">
        <v>81</v>
      </c>
      <c r="AL282" t="s" s="0">
        <v>228</v>
      </c>
      <c r="AM282" t="s" s="0">
        <v>167</v>
      </c>
      <c r="AN282" t="s" s="0">
        <v>563</v>
      </c>
      <c r="AO282" t="s" s="0">
        <v>130</v>
      </c>
      <c r="AP282" t="s" s="0">
        <v>129</v>
      </c>
      <c r="AQ282" t="s" s="0">
        <v>6793</v>
      </c>
      <c r="AR282" t="s" s="0">
        <v>931</v>
      </c>
      <c r="AS282" t="s" s="0">
        <v>6794</v>
      </c>
      <c r="AT282" t="s" s="0">
        <v>6795</v>
      </c>
      <c r="AU282" t="s" s="0">
        <v>6796</v>
      </c>
      <c r="AV282" t="s" s="0">
        <v>81</v>
      </c>
      <c r="AW282" t="s" s="0">
        <v>6797</v>
      </c>
      <c r="AX282" t="s" s="0">
        <v>6798</v>
      </c>
      <c r="AY282" t="s" s="0">
        <v>2481</v>
      </c>
      <c r="AZ282" t="s" s="0">
        <v>136</v>
      </c>
      <c r="BA282" t="s" s="0">
        <v>369</v>
      </c>
      <c r="BB282" t="s" s="0">
        <v>225</v>
      </c>
      <c r="BC282" t="s" s="0">
        <v>81</v>
      </c>
      <c r="BD282" t="s" s="0">
        <v>81</v>
      </c>
      <c r="BE282" t="s" s="0">
        <v>81</v>
      </c>
      <c r="BF282" t="s" s="0">
        <v>81</v>
      </c>
      <c r="BG282" t="s" s="0">
        <v>6799</v>
      </c>
      <c r="BH282" t="s" s="0">
        <v>6800</v>
      </c>
      <c r="BI282" t="s" s="0">
        <v>81</v>
      </c>
      <c r="BJ282" t="s" s="0">
        <v>6801</v>
      </c>
      <c r="BK282" t="s" s="560">
        <f>HYPERLINK("http://dx.doi.org/10.1158/1078-0432.CCR-24-3656","http://dx.doi.org/10.1158/1078-0432.CCR-24-3656")</f>
        <v>6802</v>
      </c>
      <c r="BL282" t="s" s="0">
        <v>81</v>
      </c>
      <c r="BM282" t="s" s="0">
        <v>81</v>
      </c>
      <c r="BN282" t="s" s="0">
        <v>225</v>
      </c>
      <c r="BO282" t="s" s="0">
        <v>939</v>
      </c>
      <c r="BP282" t="s" s="0">
        <v>939</v>
      </c>
      <c r="BQ282" t="s" s="0">
        <v>6803</v>
      </c>
      <c r="BR282" t="s" s="0">
        <v>6804</v>
      </c>
      <c r="BS282" t="s" s="0">
        <v>6805</v>
      </c>
      <c r="BT282" t="s" s="561">
        <f>HYPERLINK("https://www.webofscience.com/wos/woscc/full-record/WOS:001466175600001","View Record in Web of Science")</f>
        <v>114</v>
      </c>
      <c r="BU282" t="s" s="0">
        <v>457</v>
      </c>
      <c r="BV282" t="s" s="0">
        <v>81</v>
      </c>
      <c r="BW282" t="s" s="0">
        <v>81</v>
      </c>
      <c r="BX282" t="s" s="0">
        <v>116</v>
      </c>
    </row>
    <row r="283">
      <c r="A283" t="s" s="0">
        <v>77</v>
      </c>
      <c r="B283" t="s" s="0">
        <v>77</v>
      </c>
      <c r="C283" t="s" s="0">
        <v>227</v>
      </c>
      <c r="D283" t="s" s="0">
        <v>77</v>
      </c>
      <c r="E283" t="s" s="0">
        <v>6806</v>
      </c>
      <c r="F283" t="s" s="0">
        <v>6807</v>
      </c>
      <c r="G283" t="s" s="0">
        <v>6808</v>
      </c>
      <c r="H283" t="s" s="0">
        <v>81</v>
      </c>
      <c r="I283" t="s" s="0">
        <v>82</v>
      </c>
      <c r="J283" t="s" s="0">
        <v>6809</v>
      </c>
      <c r="K283" t="s" s="0">
        <v>6810</v>
      </c>
      <c r="L283" t="s" s="0">
        <v>81</v>
      </c>
      <c r="M283" t="s" s="0">
        <v>81</v>
      </c>
      <c r="N283" t="s" s="0">
        <v>81</v>
      </c>
      <c r="O283" t="s" s="0">
        <v>6811</v>
      </c>
      <c r="P283" t="s" s="0">
        <v>6812</v>
      </c>
      <c r="Q283" t="s" s="0">
        <v>90</v>
      </c>
      <c r="R283" t="s" s="0">
        <v>81</v>
      </c>
      <c r="S283" t="s" s="0">
        <v>81</v>
      </c>
      <c r="T283" t="s" s="0">
        <v>81</v>
      </c>
      <c r="U283" t="s" s="0">
        <v>81</v>
      </c>
      <c r="V283" t="s" s="0">
        <v>6813</v>
      </c>
      <c r="W283" t="s" s="0">
        <v>3853</v>
      </c>
      <c r="X283" t="s" s="0">
        <v>81</v>
      </c>
      <c r="Y283" t="s" s="0">
        <v>81</v>
      </c>
      <c r="Z283" t="s" s="0">
        <v>93</v>
      </c>
      <c r="AA283" t="s" s="0">
        <v>94</v>
      </c>
      <c r="AB283" t="s" s="0">
        <v>81</v>
      </c>
      <c r="AC283" t="s" s="0">
        <v>81</v>
      </c>
      <c r="AD283" t="s" s="0">
        <v>81</v>
      </c>
      <c r="AE283" t="s" s="0">
        <v>81</v>
      </c>
      <c r="AF283" t="s" s="0">
        <v>81</v>
      </c>
      <c r="AG283" t="s" s="0">
        <v>6814</v>
      </c>
      <c r="AH283" t="s" s="0">
        <v>81</v>
      </c>
      <c r="AI283" t="s" s="0">
        <v>6815</v>
      </c>
      <c r="AJ283" t="s" s="0">
        <v>6816</v>
      </c>
      <c r="AK283" t="s" s="0">
        <v>81</v>
      </c>
      <c r="AL283" t="s" s="0">
        <v>6817</v>
      </c>
      <c r="AM283" t="s" s="0">
        <v>129</v>
      </c>
      <c r="AN283" t="s" s="0">
        <v>204</v>
      </c>
      <c r="AO283" t="s" s="0">
        <v>130</v>
      </c>
      <c r="AP283" t="s" s="0">
        <v>564</v>
      </c>
      <c r="AQ283" t="s" s="0">
        <v>476</v>
      </c>
      <c r="AR283" t="s" s="0">
        <v>477</v>
      </c>
      <c r="AS283" t="s" s="0">
        <v>478</v>
      </c>
      <c r="AT283" t="s" s="0">
        <v>81</v>
      </c>
      <c r="AU283" t="s" s="0">
        <v>3858</v>
      </c>
      <c r="AV283" t="s" s="0">
        <v>81</v>
      </c>
      <c r="AW283" t="s" s="0">
        <v>3853</v>
      </c>
      <c r="AX283" t="s" s="0">
        <v>3859</v>
      </c>
      <c r="AY283" t="s" s="0">
        <v>382</v>
      </c>
      <c r="AZ283" t="s" s="0">
        <v>136</v>
      </c>
      <c r="BA283" t="s" s="0">
        <v>226</v>
      </c>
      <c r="BB283" t="s" s="0">
        <v>117</v>
      </c>
      <c r="BC283" t="s" s="0">
        <v>81</v>
      </c>
      <c r="BD283" t="s" s="0">
        <v>81</v>
      </c>
      <c r="BE283" t="s" s="0">
        <v>81</v>
      </c>
      <c r="BF283" t="s" s="0">
        <v>81</v>
      </c>
      <c r="BG283" t="s" s="0">
        <v>81</v>
      </c>
      <c r="BH283" t="s" s="0">
        <v>81</v>
      </c>
      <c r="BI283" t="s" s="0">
        <v>6817</v>
      </c>
      <c r="BJ283" t="s" s="0">
        <v>6818</v>
      </c>
      <c r="BK283" t="s" s="562">
        <f>HYPERLINK("http://dx.doi.org/10.3390/bioengineering12010073","http://dx.doi.org/10.3390/bioengineering12010073")</f>
        <v>6819</v>
      </c>
      <c r="BL283" t="s" s="0">
        <v>81</v>
      </c>
      <c r="BM283" t="s" s="0">
        <v>81</v>
      </c>
      <c r="BN283" t="s" s="0">
        <v>451</v>
      </c>
      <c r="BO283" t="s" s="0">
        <v>3862</v>
      </c>
      <c r="BP283" t="s" s="0">
        <v>3863</v>
      </c>
      <c r="BQ283" t="s" s="0">
        <v>6820</v>
      </c>
      <c r="BR283" t="s" s="0">
        <v>6821</v>
      </c>
      <c r="BS283" t="s" s="0">
        <v>6822</v>
      </c>
      <c r="BT283" t="s" s="563">
        <f>HYPERLINK("https://www.webofscience.com/wos/woscc/full-record/WOS:001404623900001","View Record in Web of Science")</f>
        <v>114</v>
      </c>
      <c r="BU283" t="s" s="0">
        <v>145</v>
      </c>
      <c r="BV283" t="s" s="0">
        <v>81</v>
      </c>
      <c r="BW283" t="s" s="0">
        <v>81</v>
      </c>
      <c r="BX283" t="s" s="0">
        <v>116</v>
      </c>
    </row>
    <row r="284">
      <c r="A284" t="s" s="0">
        <v>77</v>
      </c>
      <c r="B284" t="s" s="0">
        <v>77</v>
      </c>
      <c r="C284" t="s" s="0">
        <v>77</v>
      </c>
      <c r="D284" t="s" s="0">
        <v>77</v>
      </c>
      <c r="E284" t="s" s="0">
        <v>6823</v>
      </c>
      <c r="F284" t="s" s="0">
        <v>6824</v>
      </c>
      <c r="G284" t="s" s="0">
        <v>6825</v>
      </c>
      <c r="H284" t="s" s="0">
        <v>81</v>
      </c>
      <c r="I284" t="s" s="0">
        <v>82</v>
      </c>
      <c r="J284" t="s" s="0">
        <v>6826</v>
      </c>
      <c r="K284" t="s" s="0">
        <v>6827</v>
      </c>
      <c r="L284" t="s" s="0">
        <v>6828</v>
      </c>
      <c r="M284" t="s" s="0">
        <v>6829</v>
      </c>
      <c r="N284" t="s" s="0">
        <v>6830</v>
      </c>
      <c r="O284" t="s" s="0">
        <v>6831</v>
      </c>
      <c r="P284" t="s" s="0">
        <v>2195</v>
      </c>
      <c r="Q284" t="s" s="0">
        <v>90</v>
      </c>
      <c r="R284" t="s" s="0">
        <v>81</v>
      </c>
      <c r="S284" t="s" s="0">
        <v>81</v>
      </c>
      <c r="T284" t="s" s="0">
        <v>81</v>
      </c>
      <c r="U284" t="s" s="0">
        <v>81</v>
      </c>
      <c r="V284" t="s" s="0">
        <v>6832</v>
      </c>
      <c r="W284" t="s" s="0">
        <v>3115</v>
      </c>
      <c r="X284" t="s" s="0">
        <v>81</v>
      </c>
      <c r="Y284" t="s" s="0">
        <v>81</v>
      </c>
      <c r="Z284" t="s" s="0">
        <v>93</v>
      </c>
      <c r="AA284" t="s" s="0">
        <v>94</v>
      </c>
      <c r="AB284" t="s" s="0">
        <v>81</v>
      </c>
      <c r="AC284" t="s" s="0">
        <v>81</v>
      </c>
      <c r="AD284" t="s" s="0">
        <v>81</v>
      </c>
      <c r="AE284" t="s" s="0">
        <v>81</v>
      </c>
      <c r="AF284" t="s" s="0">
        <v>81</v>
      </c>
      <c r="AG284" t="s" s="0">
        <v>6833</v>
      </c>
      <c r="AH284" t="s" s="0">
        <v>6834</v>
      </c>
      <c r="AI284" t="s" s="0">
        <v>81</v>
      </c>
      <c r="AJ284" t="s" s="0">
        <v>81</v>
      </c>
      <c r="AK284" t="s" s="0">
        <v>81</v>
      </c>
      <c r="AL284" t="s" s="0">
        <v>1421</v>
      </c>
      <c r="AM284" t="s" s="0">
        <v>130</v>
      </c>
      <c r="AN284" t="s" s="0">
        <v>227</v>
      </c>
      <c r="AO284" t="s" s="0">
        <v>226</v>
      </c>
      <c r="AP284" t="s" s="0">
        <v>563</v>
      </c>
      <c r="AQ284" t="s" s="0">
        <v>406</v>
      </c>
      <c r="AR284" t="s" s="0">
        <v>407</v>
      </c>
      <c r="AS284" t="s" s="0">
        <v>408</v>
      </c>
      <c r="AT284" t="s" s="0">
        <v>3118</v>
      </c>
      <c r="AU284" t="s" s="0">
        <v>3119</v>
      </c>
      <c r="AV284" t="s" s="0">
        <v>81</v>
      </c>
      <c r="AW284" t="s" s="0">
        <v>3115</v>
      </c>
      <c r="AX284" t="s" s="0">
        <v>3120</v>
      </c>
      <c r="AY284" t="s" s="0">
        <v>824</v>
      </c>
      <c r="AZ284" t="s" s="0">
        <v>136</v>
      </c>
      <c r="BA284" t="s" s="0">
        <v>2550</v>
      </c>
      <c r="BB284" t="s" s="0">
        <v>81</v>
      </c>
      <c r="BC284" t="s" s="0">
        <v>81</v>
      </c>
      <c r="BD284" t="s" s="0">
        <v>81</v>
      </c>
      <c r="BE284" t="s" s="0">
        <v>81</v>
      </c>
      <c r="BF284" t="s" s="0">
        <v>81</v>
      </c>
      <c r="BG284" t="s" s="0">
        <v>81</v>
      </c>
      <c r="BH284" t="s" s="0">
        <v>81</v>
      </c>
      <c r="BI284" t="s" s="0">
        <v>6835</v>
      </c>
      <c r="BJ284" t="s" s="0">
        <v>6836</v>
      </c>
      <c r="BK284" t="s" s="564">
        <f>HYPERLINK("http://dx.doi.org/10.1016/j.displa.2025.102998","http://dx.doi.org/10.1016/j.displa.2025.102998")</f>
        <v>6837</v>
      </c>
      <c r="BL284" t="s" s="0">
        <v>81</v>
      </c>
      <c r="BM284" t="s" s="0">
        <v>418</v>
      </c>
      <c r="BN284" t="s" s="0">
        <v>128</v>
      </c>
      <c r="BO284" t="s" s="0">
        <v>3125</v>
      </c>
      <c r="BP284" t="s" s="0">
        <v>3126</v>
      </c>
      <c r="BQ284" t="s" s="0">
        <v>6838</v>
      </c>
      <c r="BR284" t="s" s="0">
        <v>81</v>
      </c>
      <c r="BS284" t="s" s="0">
        <v>6839</v>
      </c>
      <c r="BT284" t="s" s="565">
        <f>HYPERLINK("https://www.webofscience.com/wos/woscc/full-record/WOS:001434283900001","View Record in Web of Science")</f>
        <v>114</v>
      </c>
      <c r="BU284" t="s" s="0">
        <v>81</v>
      </c>
      <c r="BV284" t="s" s="0">
        <v>81</v>
      </c>
      <c r="BW284" t="s" s="0">
        <v>81</v>
      </c>
      <c r="BX284" t="s" s="0">
        <v>116</v>
      </c>
    </row>
    <row r="285">
      <c r="A285" t="s" s="0">
        <v>77</v>
      </c>
      <c r="B285" t="s" s="0">
        <v>77</v>
      </c>
      <c r="C285" t="s" s="0">
        <v>128</v>
      </c>
      <c r="D285" t="s" s="0">
        <v>77</v>
      </c>
      <c r="E285" t="s" s="0">
        <v>6840</v>
      </c>
      <c r="F285" t="s" s="0">
        <v>6841</v>
      </c>
      <c r="G285" t="s" s="0">
        <v>6842</v>
      </c>
      <c r="H285" t="s" s="0">
        <v>81</v>
      </c>
      <c r="I285" t="s" s="0">
        <v>82</v>
      </c>
      <c r="J285" t="s" s="0">
        <v>6843</v>
      </c>
      <c r="K285" t="s" s="0">
        <v>6844</v>
      </c>
      <c r="L285" t="s" s="0">
        <v>6845</v>
      </c>
      <c r="M285" t="s" s="0">
        <v>6846</v>
      </c>
      <c r="N285" t="s" s="0">
        <v>6847</v>
      </c>
      <c r="O285" t="s" s="0">
        <v>6848</v>
      </c>
      <c r="P285" t="s" s="0">
        <v>6849</v>
      </c>
      <c r="Q285" t="s" s="0">
        <v>90</v>
      </c>
      <c r="R285" t="s" s="0">
        <v>81</v>
      </c>
      <c r="S285" t="s" s="0">
        <v>81</v>
      </c>
      <c r="T285" t="s" s="0">
        <v>81</v>
      </c>
      <c r="U285" t="s" s="0">
        <v>81</v>
      </c>
      <c r="V285" t="s" s="0">
        <v>6850</v>
      </c>
      <c r="W285" t="s" s="0">
        <v>1391</v>
      </c>
      <c r="X285" t="s" s="0">
        <v>81</v>
      </c>
      <c r="Y285" t="s" s="0">
        <v>81</v>
      </c>
      <c r="Z285" t="s" s="0">
        <v>93</v>
      </c>
      <c r="AA285" t="s" s="0">
        <v>94</v>
      </c>
      <c r="AB285" t="s" s="0">
        <v>81</v>
      </c>
      <c r="AC285" t="s" s="0">
        <v>81</v>
      </c>
      <c r="AD285" t="s" s="0">
        <v>81</v>
      </c>
      <c r="AE285" t="s" s="0">
        <v>81</v>
      </c>
      <c r="AF285" t="s" s="0">
        <v>81</v>
      </c>
      <c r="AG285" t="s" s="0">
        <v>81</v>
      </c>
      <c r="AH285" t="s" s="0">
        <v>6851</v>
      </c>
      <c r="AI285" t="s" s="0">
        <v>6852</v>
      </c>
      <c r="AJ285" t="s" s="0">
        <v>6853</v>
      </c>
      <c r="AK285" t="s" s="0">
        <v>81</v>
      </c>
      <c r="AL285" t="s" s="0">
        <v>1797</v>
      </c>
      <c r="AM285" t="s" s="0">
        <v>369</v>
      </c>
      <c r="AN285" t="s" s="0">
        <v>405</v>
      </c>
      <c r="AO285" t="s" s="0">
        <v>117</v>
      </c>
      <c r="AP285" t="s" s="0">
        <v>226</v>
      </c>
      <c r="AQ285" t="s" s="0">
        <v>274</v>
      </c>
      <c r="AR285" t="s" s="0">
        <v>275</v>
      </c>
      <c r="AS285" t="s" s="0">
        <v>276</v>
      </c>
      <c r="AT285" t="s" s="0">
        <v>1395</v>
      </c>
      <c r="AU285" t="s" s="0">
        <v>81</v>
      </c>
      <c r="AV285" t="s" s="0">
        <v>81</v>
      </c>
      <c r="AW285" t="s" s="0">
        <v>1396</v>
      </c>
      <c r="AX285" t="s" s="0">
        <v>1397</v>
      </c>
      <c r="AY285" t="s" s="0">
        <v>6854</v>
      </c>
      <c r="AZ285" t="s" s="0">
        <v>136</v>
      </c>
      <c r="BA285" t="s" s="0">
        <v>225</v>
      </c>
      <c r="BB285" t="s" s="0">
        <v>117</v>
      </c>
      <c r="BC285" t="s" s="0">
        <v>81</v>
      </c>
      <c r="BD285" t="s" s="0">
        <v>81</v>
      </c>
      <c r="BE285" t="s" s="0">
        <v>81</v>
      </c>
      <c r="BF285" t="s" s="0">
        <v>81</v>
      </c>
      <c r="BG285" t="s" s="0">
        <v>81</v>
      </c>
      <c r="BH285" t="s" s="0">
        <v>81</v>
      </c>
      <c r="BI285" t="s" s="0">
        <v>6855</v>
      </c>
      <c r="BJ285" t="s" s="0">
        <v>6856</v>
      </c>
      <c r="BK285" t="s" s="566">
        <f>HYPERLINK("http://dx.doi.org/10.1038/s41746-025-01560-y","http://dx.doi.org/10.1038/s41746-025-01560-y")</f>
        <v>6857</v>
      </c>
      <c r="BL285" t="s" s="0">
        <v>81</v>
      </c>
      <c r="BM285" t="s" s="0">
        <v>81</v>
      </c>
      <c r="BN285" t="s" s="0">
        <v>226</v>
      </c>
      <c r="BO285" t="s" s="0">
        <v>1172</v>
      </c>
      <c r="BP285" t="s" s="0">
        <v>1172</v>
      </c>
      <c r="BQ285" t="s" s="0">
        <v>6858</v>
      </c>
      <c r="BR285" t="s" s="0">
        <v>6859</v>
      </c>
      <c r="BS285" t="s" s="0">
        <v>6860</v>
      </c>
      <c r="BT285" t="s" s="567">
        <f>HYPERLINK("https://www.webofscience.com/wos/woscc/full-record/WOS:001468348700001","View Record in Web of Science")</f>
        <v>114</v>
      </c>
      <c r="BU285" t="s" s="0">
        <v>145</v>
      </c>
      <c r="BV285" t="s" s="0">
        <v>915</v>
      </c>
      <c r="BW285" t="s" s="0">
        <v>916</v>
      </c>
      <c r="BX285" t="s" s="0">
        <v>116</v>
      </c>
    </row>
    <row r="286">
      <c r="A286" t="s" s="0">
        <v>117</v>
      </c>
      <c r="B286" t="s" s="0">
        <v>77</v>
      </c>
      <c r="C286" t="s" s="0">
        <v>130</v>
      </c>
      <c r="D286" t="s" s="0">
        <v>77</v>
      </c>
      <c r="E286" t="s" s="0">
        <v>6861</v>
      </c>
      <c r="F286" t="s" s="0">
        <v>6862</v>
      </c>
      <c r="G286" t="s" s="0">
        <v>6863</v>
      </c>
      <c r="H286" t="s" s="0">
        <v>81</v>
      </c>
      <c r="I286" t="s" s="0">
        <v>82</v>
      </c>
      <c r="J286" t="s" s="0">
        <v>6864</v>
      </c>
      <c r="K286" t="s" s="0">
        <v>6865</v>
      </c>
      <c r="L286" t="s" s="0">
        <v>6866</v>
      </c>
      <c r="M286" t="s" s="0">
        <v>6867</v>
      </c>
      <c r="N286" t="s" s="0">
        <v>6868</v>
      </c>
      <c r="O286" t="s" s="0">
        <v>6869</v>
      </c>
      <c r="P286" t="s" s="0">
        <v>6870</v>
      </c>
      <c r="Q286" t="s" s="0">
        <v>90</v>
      </c>
      <c r="R286" t="s" s="0">
        <v>81</v>
      </c>
      <c r="S286" t="s" s="0">
        <v>81</v>
      </c>
      <c r="T286" t="s" s="0">
        <v>81</v>
      </c>
      <c r="U286" t="s" s="0">
        <v>81</v>
      </c>
      <c r="V286" t="s" s="0">
        <v>6871</v>
      </c>
      <c r="W286" t="s" s="0">
        <v>6872</v>
      </c>
      <c r="X286" t="s" s="0">
        <v>81</v>
      </c>
      <c r="Y286" t="s" s="0">
        <v>81</v>
      </c>
      <c r="Z286" t="s" s="0">
        <v>93</v>
      </c>
      <c r="AA286" t="s" s="0">
        <v>94</v>
      </c>
      <c r="AB286" t="s" s="0">
        <v>81</v>
      </c>
      <c r="AC286" t="s" s="0">
        <v>81</v>
      </c>
      <c r="AD286" t="s" s="0">
        <v>81</v>
      </c>
      <c r="AE286" t="s" s="0">
        <v>81</v>
      </c>
      <c r="AF286" t="s" s="0">
        <v>81</v>
      </c>
      <c r="AG286" t="s" s="0">
        <v>6873</v>
      </c>
      <c r="AH286" t="s" s="0">
        <v>6874</v>
      </c>
      <c r="AI286" t="s" s="0">
        <v>81</v>
      </c>
      <c r="AJ286" t="s" s="0">
        <v>81</v>
      </c>
      <c r="AK286" t="s" s="0">
        <v>81</v>
      </c>
      <c r="AL286" t="s" s="0">
        <v>878</v>
      </c>
      <c r="AM286" t="s" s="0">
        <v>258</v>
      </c>
      <c r="AN286" t="s" s="0">
        <v>105</v>
      </c>
      <c r="AO286" t="s" s="0">
        <v>161</v>
      </c>
      <c r="AP286" t="s" s="0">
        <v>193</v>
      </c>
      <c r="AQ286" t="s" s="0">
        <v>370</v>
      </c>
      <c r="AR286" t="s" s="0">
        <v>1099</v>
      </c>
      <c r="AS286" t="s" s="0">
        <v>1873</v>
      </c>
      <c r="AT286" t="s" s="0">
        <v>6875</v>
      </c>
      <c r="AU286" t="s" s="0">
        <v>6876</v>
      </c>
      <c r="AV286" t="s" s="0">
        <v>81</v>
      </c>
      <c r="AW286" t="s" s="0">
        <v>6877</v>
      </c>
      <c r="AX286" t="s" s="0">
        <v>6878</v>
      </c>
      <c r="AY286" t="s" s="0">
        <v>632</v>
      </c>
      <c r="AZ286" t="s" s="0">
        <v>136</v>
      </c>
      <c r="BA286" t="s" s="0">
        <v>1161</v>
      </c>
      <c r="BB286" t="s" s="0">
        <v>129</v>
      </c>
      <c r="BC286" t="s" s="0">
        <v>81</v>
      </c>
      <c r="BD286" t="s" s="0">
        <v>81</v>
      </c>
      <c r="BE286" t="s" s="0">
        <v>81</v>
      </c>
      <c r="BF286" t="s" s="0">
        <v>81</v>
      </c>
      <c r="BG286" t="s" s="0">
        <v>6879</v>
      </c>
      <c r="BH286" t="s" s="0">
        <v>6880</v>
      </c>
      <c r="BI286" t="s" s="0">
        <v>81</v>
      </c>
      <c r="BJ286" t="s" s="0">
        <v>6881</v>
      </c>
      <c r="BK286" t="s" s="568">
        <f>HYPERLINK("http://dx.doi.org/10.1007/s00259-025-07248-5","http://dx.doi.org/10.1007/s00259-025-07248-5")</f>
        <v>6882</v>
      </c>
      <c r="BL286" t="s" s="0">
        <v>81</v>
      </c>
      <c r="BM286" t="s" s="0">
        <v>1137</v>
      </c>
      <c r="BN286" t="s" s="0">
        <v>228</v>
      </c>
      <c r="BO286" t="s" s="0">
        <v>1881</v>
      </c>
      <c r="BP286" t="s" s="0">
        <v>1881</v>
      </c>
      <c r="BQ286" t="s" s="0">
        <v>6883</v>
      </c>
      <c r="BR286" t="s" s="0">
        <v>6884</v>
      </c>
      <c r="BS286" t="s" s="0">
        <v>6885</v>
      </c>
      <c r="BT286" t="s" s="569">
        <f>HYPERLINK("https://www.webofscience.com/wos/woscc/full-record/WOS:001459795500001","View Record in Web of Science")</f>
        <v>114</v>
      </c>
      <c r="BU286" t="s" s="0">
        <v>81</v>
      </c>
      <c r="BV286" t="s" s="0">
        <v>81</v>
      </c>
      <c r="BW286" t="s" s="0">
        <v>81</v>
      </c>
      <c r="BX286" t="s" s="0">
        <v>116</v>
      </c>
    </row>
    <row r="287">
      <c r="A287" t="s" s="0">
        <v>77</v>
      </c>
      <c r="B287" t="s" s="0">
        <v>77</v>
      </c>
      <c r="C287" t="s" s="0">
        <v>77</v>
      </c>
      <c r="D287" t="s" s="0">
        <v>77</v>
      </c>
      <c r="E287" t="s" s="0">
        <v>6886</v>
      </c>
      <c r="F287" t="s" s="0">
        <v>6887</v>
      </c>
      <c r="G287" t="s" s="0">
        <v>6888</v>
      </c>
      <c r="H287" t="s" s="0">
        <v>81</v>
      </c>
      <c r="I287" t="s" s="0">
        <v>82</v>
      </c>
      <c r="J287" t="s" s="0">
        <v>6889</v>
      </c>
      <c r="K287" t="s" s="0">
        <v>6890</v>
      </c>
      <c r="L287" t="s" s="0">
        <v>81</v>
      </c>
      <c r="M287" t="s" s="0">
        <v>81</v>
      </c>
      <c r="N287" t="s" s="0">
        <v>81</v>
      </c>
      <c r="O287" t="s" s="0">
        <v>6891</v>
      </c>
      <c r="P287" t="s" s="0">
        <v>6892</v>
      </c>
      <c r="Q287" t="s" s="0">
        <v>90</v>
      </c>
      <c r="R287" t="s" s="0">
        <v>81</v>
      </c>
      <c r="S287" t="s" s="0">
        <v>81</v>
      </c>
      <c r="T287" t="s" s="0">
        <v>81</v>
      </c>
      <c r="U287" t="s" s="0">
        <v>81</v>
      </c>
      <c r="V287" t="s" s="0">
        <v>6893</v>
      </c>
      <c r="W287" t="s" s="0">
        <v>6894</v>
      </c>
      <c r="X287" t="s" s="0">
        <v>81</v>
      </c>
      <c r="Y287" t="s" s="0">
        <v>81</v>
      </c>
      <c r="Z287" t="s" s="0">
        <v>93</v>
      </c>
      <c r="AA287" t="s" s="0">
        <v>190</v>
      </c>
      <c r="AB287" t="s" s="0">
        <v>81</v>
      </c>
      <c r="AC287" t="s" s="0">
        <v>81</v>
      </c>
      <c r="AD287" t="s" s="0">
        <v>81</v>
      </c>
      <c r="AE287" t="s" s="0">
        <v>81</v>
      </c>
      <c r="AF287" t="s" s="0">
        <v>81</v>
      </c>
      <c r="AG287" t="s" s="0">
        <v>6895</v>
      </c>
      <c r="AH287" t="s" s="0">
        <v>6896</v>
      </c>
      <c r="AI287" t="s" s="0">
        <v>6897</v>
      </c>
      <c r="AJ287" t="s" s="0">
        <v>81</v>
      </c>
      <c r="AK287" t="s" s="0">
        <v>81</v>
      </c>
      <c r="AL287" t="s" s="0">
        <v>172</v>
      </c>
      <c r="AM287" t="s" s="0">
        <v>77</v>
      </c>
      <c r="AN287" t="s" s="0">
        <v>77</v>
      </c>
      <c r="AO287" t="s" s="0">
        <v>77</v>
      </c>
      <c r="AP287" t="s" s="0">
        <v>77</v>
      </c>
      <c r="AQ287" t="s" s="0">
        <v>162</v>
      </c>
      <c r="AR287" t="s" s="0">
        <v>163</v>
      </c>
      <c r="AS287" t="s" s="0">
        <v>164</v>
      </c>
      <c r="AT287" t="s" s="0">
        <v>6898</v>
      </c>
      <c r="AU287" t="s" s="0">
        <v>6899</v>
      </c>
      <c r="AV287" t="s" s="0">
        <v>81</v>
      </c>
      <c r="AW287" t="s" s="0">
        <v>6900</v>
      </c>
      <c r="AX287" t="s" s="0">
        <v>6901</v>
      </c>
      <c r="AY287" t="s" s="0">
        <v>81</v>
      </c>
      <c r="AZ287" t="s" s="0">
        <v>104</v>
      </c>
      <c r="BA287" t="s" s="0">
        <v>81</v>
      </c>
      <c r="BB287" t="s" s="0">
        <v>81</v>
      </c>
      <c r="BC287" t="s" s="0">
        <v>81</v>
      </c>
      <c r="BD287" t="s" s="0">
        <v>81</v>
      </c>
      <c r="BE287" t="s" s="0">
        <v>81</v>
      </c>
      <c r="BF287" t="s" s="0">
        <v>81</v>
      </c>
      <c r="BG287" t="s" s="0">
        <v>81</v>
      </c>
      <c r="BH287" t="s" s="0">
        <v>81</v>
      </c>
      <c r="BI287" t="s" s="0">
        <v>81</v>
      </c>
      <c r="BJ287" t="s" s="0">
        <v>6902</v>
      </c>
      <c r="BK287" t="s" s="570">
        <f>HYPERLINK("http://dx.doi.org/10.1109/MCOM.001.2500767","http://dx.doi.org/10.1109/MCOM.001.2500767")</f>
        <v>6903</v>
      </c>
      <c r="BL287" t="s" s="0">
        <v>81</v>
      </c>
      <c r="BM287" t="s" s="0">
        <v>203</v>
      </c>
      <c r="BN287" t="s" s="0">
        <v>131</v>
      </c>
      <c r="BO287" t="s" s="0">
        <v>6904</v>
      </c>
      <c r="BP287" t="s" s="0">
        <v>6905</v>
      </c>
      <c r="BQ287" t="s" s="0">
        <v>6906</v>
      </c>
      <c r="BR287" t="s" s="0">
        <v>81</v>
      </c>
      <c r="BS287" t="s" s="0">
        <v>6907</v>
      </c>
      <c r="BT287" t="s" s="571">
        <f>HYPERLINK("https://www.webofscience.com/wos/woscc/full-record/WOS:001767351700001","View Record in Web of Science")</f>
        <v>114</v>
      </c>
      <c r="BU287" t="s" s="0">
        <v>81</v>
      </c>
      <c r="BV287" t="s" s="0">
        <v>81</v>
      </c>
      <c r="BW287" t="s" s="0">
        <v>81</v>
      </c>
      <c r="BX287" t="s" s="0">
        <v>116</v>
      </c>
    </row>
    <row r="288">
      <c r="A288" t="s" s="0">
        <v>77</v>
      </c>
      <c r="B288" t="s" s="0">
        <v>77</v>
      </c>
      <c r="C288" t="s" s="0">
        <v>130</v>
      </c>
      <c r="D288" t="s" s="0">
        <v>77</v>
      </c>
      <c r="E288" t="s" s="0">
        <v>6908</v>
      </c>
      <c r="F288" t="s" s="0">
        <v>6909</v>
      </c>
      <c r="G288" t="s" s="0">
        <v>6910</v>
      </c>
      <c r="H288" t="s" s="0">
        <v>81</v>
      </c>
      <c r="I288" t="s" s="0">
        <v>213</v>
      </c>
      <c r="J288" t="s" s="0">
        <v>6911</v>
      </c>
      <c r="K288" t="s" s="0">
        <v>6912</v>
      </c>
      <c r="L288" t="s" s="0">
        <v>6913</v>
      </c>
      <c r="M288" t="s" s="0">
        <v>6913</v>
      </c>
      <c r="N288" t="s" s="0">
        <v>6914</v>
      </c>
      <c r="O288" t="s" s="0">
        <v>6915</v>
      </c>
      <c r="P288" t="s" s="0">
        <v>6916</v>
      </c>
      <c r="Q288" t="s" s="0">
        <v>90</v>
      </c>
      <c r="R288" t="s" s="0">
        <v>81</v>
      </c>
      <c r="S288" t="s" s="0">
        <v>81</v>
      </c>
      <c r="T288" t="s" s="0">
        <v>81</v>
      </c>
      <c r="U288" t="s" s="0">
        <v>81</v>
      </c>
      <c r="V288" t="s" s="0">
        <v>6917</v>
      </c>
      <c r="W288" t="s" s="0">
        <v>5063</v>
      </c>
      <c r="X288" t="s" s="0">
        <v>81</v>
      </c>
      <c r="Y288" t="s" s="0">
        <v>81</v>
      </c>
      <c r="Z288" t="s" s="0">
        <v>93</v>
      </c>
      <c r="AA288" t="s" s="0">
        <v>94</v>
      </c>
      <c r="AB288" t="s" s="0">
        <v>81</v>
      </c>
      <c r="AC288" t="s" s="0">
        <v>81</v>
      </c>
      <c r="AD288" t="s" s="0">
        <v>81</v>
      </c>
      <c r="AE288" t="s" s="0">
        <v>81</v>
      </c>
      <c r="AF288" t="s" s="0">
        <v>81</v>
      </c>
      <c r="AG288" t="s" s="0">
        <v>81</v>
      </c>
      <c r="AH288" t="s" s="0">
        <v>6918</v>
      </c>
      <c r="AI288" t="s" s="0">
        <v>6919</v>
      </c>
      <c r="AJ288" t="s" s="0">
        <v>6920</v>
      </c>
      <c r="AK288" t="s" s="0">
        <v>81</v>
      </c>
      <c r="AL288" t="s" s="0">
        <v>1217</v>
      </c>
      <c r="AM288" t="s" s="0">
        <v>227</v>
      </c>
      <c r="AN288" t="s" s="0">
        <v>227</v>
      </c>
      <c r="AO288" t="s" s="0">
        <v>77</v>
      </c>
      <c r="AP288" t="s" s="0">
        <v>160</v>
      </c>
      <c r="AQ288" t="s" s="0">
        <v>439</v>
      </c>
      <c r="AR288" t="s" s="0">
        <v>339</v>
      </c>
      <c r="AS288" t="s" s="0">
        <v>440</v>
      </c>
      <c r="AT288" t="s" s="0">
        <v>5069</v>
      </c>
      <c r="AU288" t="s" s="0">
        <v>81</v>
      </c>
      <c r="AV288" t="s" s="0">
        <v>81</v>
      </c>
      <c r="AW288" t="s" s="0">
        <v>5070</v>
      </c>
      <c r="AX288" t="s" s="0">
        <v>5071</v>
      </c>
      <c r="AY288" t="s" s="0">
        <v>6921</v>
      </c>
      <c r="AZ288" t="s" s="0">
        <v>573</v>
      </c>
      <c r="BA288" t="s" s="0">
        <v>160</v>
      </c>
      <c r="BB288" t="s" s="0">
        <v>117</v>
      </c>
      <c r="BC288" t="s" s="0">
        <v>81</v>
      </c>
      <c r="BD288" t="s" s="0">
        <v>81</v>
      </c>
      <c r="BE288" t="s" s="0">
        <v>81</v>
      </c>
      <c r="BF288" t="s" s="0">
        <v>81</v>
      </c>
      <c r="BG288" t="s" s="0">
        <v>81</v>
      </c>
      <c r="BH288" t="s" s="0">
        <v>81</v>
      </c>
      <c r="BI288" t="s" s="0">
        <v>6922</v>
      </c>
      <c r="BJ288" t="s" s="0">
        <v>6923</v>
      </c>
      <c r="BK288" t="s" s="572">
        <f>HYPERLINK("http://dx.doi.org/10.1038/s43856-024-00637-1","http://dx.doi.org/10.1038/s43856-024-00637-1")</f>
        <v>6924</v>
      </c>
      <c r="BL288" t="s" s="0">
        <v>81</v>
      </c>
      <c r="BM288" t="s" s="0">
        <v>81</v>
      </c>
      <c r="BN288" t="s" s="0">
        <v>226</v>
      </c>
      <c r="BO288" t="s" s="0">
        <v>3398</v>
      </c>
      <c r="BP288" t="s" s="0">
        <v>3399</v>
      </c>
      <c r="BQ288" t="s" s="0">
        <v>6925</v>
      </c>
      <c r="BR288" t="s" s="0">
        <v>6926</v>
      </c>
      <c r="BS288" t="s" s="0">
        <v>6927</v>
      </c>
      <c r="BT288" t="s" s="573">
        <f>HYPERLINK("https://www.webofscience.com/wos/woscc/full-record/WOS:001379560500001","View Record in Web of Science")</f>
        <v>114</v>
      </c>
      <c r="BU288" t="s" s="0">
        <v>145</v>
      </c>
      <c r="BV288" t="s" s="0">
        <v>81</v>
      </c>
      <c r="BW288" t="s" s="0">
        <v>81</v>
      </c>
      <c r="BX288" t="s" s="0">
        <v>116</v>
      </c>
    </row>
    <row r="289">
      <c r="A289" t="s" s="0">
        <v>130</v>
      </c>
      <c r="B289" t="s" s="0">
        <v>77</v>
      </c>
      <c r="C289" t="s" s="0">
        <v>563</v>
      </c>
      <c r="D289" t="s" s="0">
        <v>117</v>
      </c>
      <c r="E289" t="s" s="0">
        <v>6928</v>
      </c>
      <c r="F289" t="s" s="0">
        <v>6929</v>
      </c>
      <c r="G289" t="s" s="0">
        <v>6930</v>
      </c>
      <c r="H289" t="s" s="0">
        <v>81</v>
      </c>
      <c r="I289" t="s" s="0">
        <v>82</v>
      </c>
      <c r="J289" t="s" s="0">
        <v>6931</v>
      </c>
      <c r="K289" t="s" s="0">
        <v>6932</v>
      </c>
      <c r="L289" t="s" s="0">
        <v>6933</v>
      </c>
      <c r="M289" t="s" s="0">
        <v>6934</v>
      </c>
      <c r="N289" t="s" s="0">
        <v>6935</v>
      </c>
      <c r="O289" t="s" s="0">
        <v>6936</v>
      </c>
      <c r="P289" t="s" s="0">
        <v>6937</v>
      </c>
      <c r="Q289" t="s" s="0">
        <v>90</v>
      </c>
      <c r="R289" t="s" s="0">
        <v>81</v>
      </c>
      <c r="S289" t="s" s="0">
        <v>81</v>
      </c>
      <c r="T289" t="s" s="0">
        <v>81</v>
      </c>
      <c r="U289" t="s" s="0">
        <v>81</v>
      </c>
      <c r="V289" t="s" s="0">
        <v>6938</v>
      </c>
      <c r="W289" t="s" s="0">
        <v>6939</v>
      </c>
      <c r="X289" t="s" s="0">
        <v>81</v>
      </c>
      <c r="Y289" t="s" s="0">
        <v>81</v>
      </c>
      <c r="Z289" t="s" s="0">
        <v>93</v>
      </c>
      <c r="AA289" t="s" s="0">
        <v>94</v>
      </c>
      <c r="AB289" t="s" s="0">
        <v>81</v>
      </c>
      <c r="AC289" t="s" s="0">
        <v>81</v>
      </c>
      <c r="AD289" t="s" s="0">
        <v>81</v>
      </c>
      <c r="AE289" t="s" s="0">
        <v>81</v>
      </c>
      <c r="AF289" t="s" s="0">
        <v>81</v>
      </c>
      <c r="AG289" t="s" s="0">
        <v>6940</v>
      </c>
      <c r="AH289" t="s" s="0">
        <v>2294</v>
      </c>
      <c r="AI289" t="s" s="0">
        <v>6941</v>
      </c>
      <c r="AJ289" t="s" s="0">
        <v>6942</v>
      </c>
      <c r="AK289" t="s" s="0">
        <v>81</v>
      </c>
      <c r="AL289" t="s" s="0">
        <v>798</v>
      </c>
      <c r="AM289" t="s" s="0">
        <v>474</v>
      </c>
      <c r="AN289" t="s" s="0">
        <v>474</v>
      </c>
      <c r="AO289" t="s" s="0">
        <v>161</v>
      </c>
      <c r="AP289" t="s" s="0">
        <v>1967</v>
      </c>
      <c r="AQ289" t="s" s="0">
        <v>3832</v>
      </c>
      <c r="AR289" t="s" s="0">
        <v>6943</v>
      </c>
      <c r="AS289" t="s" s="0">
        <v>6944</v>
      </c>
      <c r="AT289" t="s" s="0">
        <v>6945</v>
      </c>
      <c r="AU289" t="s" s="0">
        <v>6946</v>
      </c>
      <c r="AV289" t="s" s="0">
        <v>81</v>
      </c>
      <c r="AW289" t="s" s="0">
        <v>6947</v>
      </c>
      <c r="AX289" t="s" s="0">
        <v>6948</v>
      </c>
      <c r="AY289" t="s" s="0">
        <v>6949</v>
      </c>
      <c r="AZ289" t="s" s="0">
        <v>482</v>
      </c>
      <c r="BA289" t="s" s="0">
        <v>3186</v>
      </c>
      <c r="BB289" t="s" s="0">
        <v>227</v>
      </c>
      <c r="BC289" t="s" s="0">
        <v>81</v>
      </c>
      <c r="BD289" t="s" s="0">
        <v>81</v>
      </c>
      <c r="BE289" t="s" s="0">
        <v>81</v>
      </c>
      <c r="BF289" t="s" s="0">
        <v>81</v>
      </c>
      <c r="BG289" t="s" s="0">
        <v>81</v>
      </c>
      <c r="BH289" t="s" s="0">
        <v>81</v>
      </c>
      <c r="BI289" t="s" s="0">
        <v>6950</v>
      </c>
      <c r="BJ289" t="s" s="0">
        <v>6951</v>
      </c>
      <c r="BK289" t="s" s="574">
        <f>HYPERLINK("http://dx.doi.org/10.1088/1361-6560/ac4c47","http://dx.doi.org/10.1088/1361-6560/ac4c47")</f>
        <v>6952</v>
      </c>
      <c r="BL289" t="s" s="0">
        <v>81</v>
      </c>
      <c r="BM289" t="s" s="0">
        <v>81</v>
      </c>
      <c r="BN289" t="s" s="0">
        <v>204</v>
      </c>
      <c r="BO289" t="s" s="0">
        <v>1753</v>
      </c>
      <c r="BP289" t="s" s="0">
        <v>1754</v>
      </c>
      <c r="BQ289" t="s" s="0">
        <v>6953</v>
      </c>
      <c r="BR289" t="s" s="0">
        <v>6954</v>
      </c>
      <c r="BS289" t="s" s="0">
        <v>6955</v>
      </c>
      <c r="BT289" t="s" s="575">
        <f>HYPERLINK("https://www.webofscience.com/wos/woscc/full-record/WOS:000749282700001","View Record in Web of Science")</f>
        <v>114</v>
      </c>
      <c r="BU289" t="s" s="0">
        <v>5774</v>
      </c>
      <c r="BV289" t="s" s="0">
        <v>81</v>
      </c>
      <c r="BW289" t="s" s="0">
        <v>81</v>
      </c>
      <c r="BX289" t="s" s="0">
        <v>116</v>
      </c>
    </row>
    <row r="290">
      <c r="A290" t="s" s="0">
        <v>77</v>
      </c>
      <c r="B290" t="s" s="0">
        <v>77</v>
      </c>
      <c r="C290" t="s" s="0">
        <v>77</v>
      </c>
      <c r="D290" t="s" s="0">
        <v>77</v>
      </c>
      <c r="E290" t="s" s="0">
        <v>6956</v>
      </c>
      <c r="F290" t="s" s="0">
        <v>6957</v>
      </c>
      <c r="G290" t="s" s="0">
        <v>6958</v>
      </c>
      <c r="H290" t="s" s="0">
        <v>81</v>
      </c>
      <c r="I290" t="s" s="0">
        <v>82</v>
      </c>
      <c r="J290" t="s" s="0">
        <v>6959</v>
      </c>
      <c r="K290" t="s" s="0">
        <v>6960</v>
      </c>
      <c r="L290" t="s" s="0">
        <v>6961</v>
      </c>
      <c r="M290" t="s" s="0">
        <v>6962</v>
      </c>
      <c r="N290" t="s" s="0">
        <v>6963</v>
      </c>
      <c r="O290" t="s" s="0">
        <v>6964</v>
      </c>
      <c r="P290" t="s" s="0">
        <v>6965</v>
      </c>
      <c r="Q290" t="s" s="0">
        <v>90</v>
      </c>
      <c r="R290" t="s" s="0">
        <v>81</v>
      </c>
      <c r="S290" t="s" s="0">
        <v>81</v>
      </c>
      <c r="T290" t="s" s="0">
        <v>81</v>
      </c>
      <c r="U290" t="s" s="0">
        <v>81</v>
      </c>
      <c r="V290" t="s" s="0">
        <v>6966</v>
      </c>
      <c r="W290" t="s" s="0">
        <v>6967</v>
      </c>
      <c r="X290" t="s" s="0">
        <v>81</v>
      </c>
      <c r="Y290" t="s" s="0">
        <v>81</v>
      </c>
      <c r="Z290" t="s" s="0">
        <v>93</v>
      </c>
      <c r="AA290" t="s" s="0">
        <v>94</v>
      </c>
      <c r="AB290" t="s" s="0">
        <v>81</v>
      </c>
      <c r="AC290" t="s" s="0">
        <v>81</v>
      </c>
      <c r="AD290" t="s" s="0">
        <v>81</v>
      </c>
      <c r="AE290" t="s" s="0">
        <v>81</v>
      </c>
      <c r="AF290" t="s" s="0">
        <v>81</v>
      </c>
      <c r="AG290" t="s" s="0">
        <v>6968</v>
      </c>
      <c r="AH290" t="s" s="0">
        <v>6969</v>
      </c>
      <c r="AI290" t="s" s="0">
        <v>6970</v>
      </c>
      <c r="AJ290" t="s" s="0">
        <v>81</v>
      </c>
      <c r="AK290" t="s" s="0">
        <v>81</v>
      </c>
      <c r="AL290" t="s" s="0">
        <v>1097</v>
      </c>
      <c r="AM290" t="s" s="0">
        <v>77</v>
      </c>
      <c r="AN290" t="s" s="0">
        <v>77</v>
      </c>
      <c r="AO290" t="s" s="0">
        <v>160</v>
      </c>
      <c r="AP290" t="s" s="0">
        <v>160</v>
      </c>
      <c r="AQ290" t="s" s="0">
        <v>97</v>
      </c>
      <c r="AR290" t="s" s="0">
        <v>98</v>
      </c>
      <c r="AS290" t="s" s="0">
        <v>99</v>
      </c>
      <c r="AT290" t="s" s="0">
        <v>6971</v>
      </c>
      <c r="AU290" t="s" s="0">
        <v>81</v>
      </c>
      <c r="AV290" t="s" s="0">
        <v>81</v>
      </c>
      <c r="AW290" t="s" s="0">
        <v>6972</v>
      </c>
      <c r="AX290" t="s" s="0">
        <v>6973</v>
      </c>
      <c r="AY290" t="s" s="0">
        <v>5962</v>
      </c>
      <c r="AZ290" t="s" s="0">
        <v>104</v>
      </c>
      <c r="BA290" t="s" s="0">
        <v>563</v>
      </c>
      <c r="BB290" t="s" s="0">
        <v>81</v>
      </c>
      <c r="BC290" t="s" s="0">
        <v>81</v>
      </c>
      <c r="BD290" t="s" s="0">
        <v>81</v>
      </c>
      <c r="BE290" t="s" s="0">
        <v>81</v>
      </c>
      <c r="BF290" t="s" s="0">
        <v>81</v>
      </c>
      <c r="BG290" t="s" s="0">
        <v>81</v>
      </c>
      <c r="BH290" t="s" s="0">
        <v>81</v>
      </c>
      <c r="BI290" t="s" s="0">
        <v>6974</v>
      </c>
      <c r="BJ290" t="s" s="0">
        <v>6975</v>
      </c>
      <c r="BK290" t="s" s="576">
        <f>HYPERLINK("http://dx.doi.org/10.3389/fneur.2026.1787921","http://dx.doi.org/10.3389/fneur.2026.1787921")</f>
        <v>6976</v>
      </c>
      <c r="BL290" t="s" s="0">
        <v>81</v>
      </c>
      <c r="BM290" t="s" s="0">
        <v>81</v>
      </c>
      <c r="BN290" t="s" s="0">
        <v>226</v>
      </c>
      <c r="BO290" t="s" s="0">
        <v>3783</v>
      </c>
      <c r="BP290" t="s" s="0">
        <v>111</v>
      </c>
      <c r="BQ290" t="s" s="0">
        <v>6977</v>
      </c>
      <c r="BR290" t="s" s="0">
        <v>6978</v>
      </c>
      <c r="BS290" t="s" s="0">
        <v>6979</v>
      </c>
      <c r="BT290" t="s" s="577">
        <f>HYPERLINK("https://www.webofscience.com/wos/woscc/full-record/WOS:001728968300001","View Record in Web of Science")</f>
        <v>114</v>
      </c>
      <c r="BU290" t="s" s="0">
        <v>145</v>
      </c>
      <c r="BV290" t="s" s="0">
        <v>81</v>
      </c>
      <c r="BW290" t="s" s="0">
        <v>81</v>
      </c>
      <c r="BX290" t="s" s="0">
        <v>116</v>
      </c>
    </row>
    <row r="291">
      <c r="A291" t="s" s="0">
        <v>117</v>
      </c>
      <c r="B291" t="s" s="0">
        <v>77</v>
      </c>
      <c r="C291" t="s" s="0">
        <v>130</v>
      </c>
      <c r="D291" t="s" s="0">
        <v>77</v>
      </c>
      <c r="E291" t="s" s="0">
        <v>6980</v>
      </c>
      <c r="F291" t="s" s="0">
        <v>6981</v>
      </c>
      <c r="G291" t="s" s="0">
        <v>6982</v>
      </c>
      <c r="H291" t="s" s="0">
        <v>81</v>
      </c>
      <c r="I291" t="s" s="0">
        <v>82</v>
      </c>
      <c r="J291" t="s" s="0">
        <v>6983</v>
      </c>
      <c r="K291" t="s" s="0">
        <v>6984</v>
      </c>
      <c r="L291" t="s" s="0">
        <v>6985</v>
      </c>
      <c r="M291" t="s" s="0">
        <v>6986</v>
      </c>
      <c r="N291" t="s" s="0">
        <v>1632</v>
      </c>
      <c r="O291" t="s" s="0">
        <v>6987</v>
      </c>
      <c r="P291" t="s" s="0">
        <v>6988</v>
      </c>
      <c r="Q291" t="s" s="0">
        <v>90</v>
      </c>
      <c r="R291" t="s" s="0">
        <v>81</v>
      </c>
      <c r="S291" t="s" s="0">
        <v>81</v>
      </c>
      <c r="T291" t="s" s="0">
        <v>81</v>
      </c>
      <c r="U291" t="s" s="0">
        <v>81</v>
      </c>
      <c r="V291" t="s" s="0">
        <v>6989</v>
      </c>
      <c r="W291" t="s" s="0">
        <v>986</v>
      </c>
      <c r="X291" t="s" s="0">
        <v>81</v>
      </c>
      <c r="Y291" t="s" s="0">
        <v>81</v>
      </c>
      <c r="Z291" t="s" s="0">
        <v>93</v>
      </c>
      <c r="AA291" t="s" s="0">
        <v>94</v>
      </c>
      <c r="AB291" t="s" s="0">
        <v>81</v>
      </c>
      <c r="AC291" t="s" s="0">
        <v>81</v>
      </c>
      <c r="AD291" t="s" s="0">
        <v>81</v>
      </c>
      <c r="AE291" t="s" s="0">
        <v>81</v>
      </c>
      <c r="AF291" t="s" s="0">
        <v>81</v>
      </c>
      <c r="AG291" t="s" s="0">
        <v>6990</v>
      </c>
      <c r="AH291" t="s" s="0">
        <v>6991</v>
      </c>
      <c r="AI291" t="s" s="0">
        <v>6992</v>
      </c>
      <c r="AJ291" t="s" s="0">
        <v>6993</v>
      </c>
      <c r="AK291" t="s" s="0">
        <v>81</v>
      </c>
      <c r="AL291" t="s" s="0">
        <v>2178</v>
      </c>
      <c r="AM291" t="s" s="0">
        <v>345</v>
      </c>
      <c r="AN291" t="s" s="0">
        <v>846</v>
      </c>
      <c r="AO291" t="s" s="0">
        <v>227</v>
      </c>
      <c r="AP291" t="s" s="0">
        <v>878</v>
      </c>
      <c r="AQ291" t="s" s="0">
        <v>162</v>
      </c>
      <c r="AR291" t="s" s="0">
        <v>163</v>
      </c>
      <c r="AS291" t="s" s="0">
        <v>164</v>
      </c>
      <c r="AT291" t="s" s="0">
        <v>991</v>
      </c>
      <c r="AU291" t="s" s="0">
        <v>992</v>
      </c>
      <c r="AV291" t="s" s="0">
        <v>81</v>
      </c>
      <c r="AW291" t="s" s="0">
        <v>993</v>
      </c>
      <c r="AX291" t="s" s="0">
        <v>994</v>
      </c>
      <c r="AY291" t="s" s="0">
        <v>3191</v>
      </c>
      <c r="AZ291" t="s" s="0">
        <v>573</v>
      </c>
      <c r="BA291" t="s" s="0">
        <v>368</v>
      </c>
      <c r="BB291" t="s" s="0">
        <v>253</v>
      </c>
      <c r="BC291" t="s" s="0">
        <v>81</v>
      </c>
      <c r="BD291" t="s" s="0">
        <v>81</v>
      </c>
      <c r="BE291" t="s" s="0">
        <v>81</v>
      </c>
      <c r="BF291" t="s" s="0">
        <v>81</v>
      </c>
      <c r="BG291" t="s" s="0">
        <v>6994</v>
      </c>
      <c r="BH291" t="s" s="0">
        <v>6995</v>
      </c>
      <c r="BI291" t="s" s="0">
        <v>81</v>
      </c>
      <c r="BJ291" t="s" s="0">
        <v>6996</v>
      </c>
      <c r="BK291" t="s" s="578">
        <f>HYPERLINK("http://dx.doi.org/10.1109/TMI.2024.3352602","http://dx.doi.org/10.1109/TMI.2024.3352602")</f>
        <v>6997</v>
      </c>
      <c r="BL291" t="s" s="0">
        <v>81</v>
      </c>
      <c r="BM291" t="s" s="0">
        <v>81</v>
      </c>
      <c r="BN291" t="s" s="0">
        <v>167</v>
      </c>
      <c r="BO291" t="s" s="0">
        <v>1000</v>
      </c>
      <c r="BP291" t="s" s="0">
        <v>1001</v>
      </c>
      <c r="BQ291" t="s" s="0">
        <v>6998</v>
      </c>
      <c r="BR291" t="s" s="0">
        <v>6999</v>
      </c>
      <c r="BS291" t="s" s="0">
        <v>7000</v>
      </c>
      <c r="BT291" t="s" s="579">
        <f>HYPERLINK("https://www.webofscience.com/wos/woscc/full-record/WOS:001214547800027","View Record in Web of Science")</f>
        <v>114</v>
      </c>
      <c r="BU291" t="s" s="0">
        <v>81</v>
      </c>
      <c r="BV291" t="s" s="0">
        <v>81</v>
      </c>
      <c r="BW291" t="s" s="0">
        <v>81</v>
      </c>
      <c r="BX291" t="s" s="0">
        <v>116</v>
      </c>
    </row>
    <row r="292">
      <c r="A292" t="s" s="0">
        <v>117</v>
      </c>
      <c r="B292" t="s" s="0">
        <v>77</v>
      </c>
      <c r="C292" t="s" s="0">
        <v>130</v>
      </c>
      <c r="D292" t="s" s="0">
        <v>77</v>
      </c>
      <c r="E292" t="s" s="0">
        <v>7001</v>
      </c>
      <c r="F292" t="s" s="0">
        <v>7002</v>
      </c>
      <c r="G292" t="s" s="0">
        <v>7003</v>
      </c>
      <c r="H292" t="s" s="0">
        <v>81</v>
      </c>
      <c r="I292" t="s" s="0">
        <v>82</v>
      </c>
      <c r="J292" t="s" s="0">
        <v>7004</v>
      </c>
      <c r="K292" t="s" s="0">
        <v>7005</v>
      </c>
      <c r="L292" t="s" s="0">
        <v>81</v>
      </c>
      <c r="M292" t="s" s="0">
        <v>81</v>
      </c>
      <c r="N292" t="s" s="0">
        <v>81</v>
      </c>
      <c r="O292" t="s" s="0">
        <v>7006</v>
      </c>
      <c r="P292" t="s" s="0">
        <v>7007</v>
      </c>
      <c r="Q292" t="s" s="0">
        <v>90</v>
      </c>
      <c r="R292" t="s" s="0">
        <v>81</v>
      </c>
      <c r="S292" t="s" s="0">
        <v>81</v>
      </c>
      <c r="T292" t="s" s="0">
        <v>81</v>
      </c>
      <c r="U292" t="s" s="0">
        <v>81</v>
      </c>
      <c r="V292" t="s" s="0">
        <v>7008</v>
      </c>
      <c r="W292" t="s" s="0">
        <v>271</v>
      </c>
      <c r="X292" t="s" s="0">
        <v>81</v>
      </c>
      <c r="Y292" t="s" s="0">
        <v>81</v>
      </c>
      <c r="Z292" t="s" s="0">
        <v>93</v>
      </c>
      <c r="AA292" t="s" s="0">
        <v>94</v>
      </c>
      <c r="AB292" t="s" s="0">
        <v>81</v>
      </c>
      <c r="AC292" t="s" s="0">
        <v>81</v>
      </c>
      <c r="AD292" t="s" s="0">
        <v>81</v>
      </c>
      <c r="AE292" t="s" s="0">
        <v>81</v>
      </c>
      <c r="AF292" t="s" s="0">
        <v>81</v>
      </c>
      <c r="AG292" t="s" s="0">
        <v>81</v>
      </c>
      <c r="AH292" t="s" s="0">
        <v>81</v>
      </c>
      <c r="AI292" t="s" s="0">
        <v>81</v>
      </c>
      <c r="AJ292" t="s" s="0">
        <v>81</v>
      </c>
      <c r="AK292" t="s" s="0">
        <v>81</v>
      </c>
      <c r="AL292" t="s" s="0">
        <v>204</v>
      </c>
      <c r="AM292" t="s" s="0">
        <v>167</v>
      </c>
      <c r="AN292" t="s" s="0">
        <v>228</v>
      </c>
      <c r="AO292" t="s" s="0">
        <v>117</v>
      </c>
      <c r="AP292" t="s" s="0">
        <v>172</v>
      </c>
      <c r="AQ292" t="s" s="0">
        <v>274</v>
      </c>
      <c r="AR292" t="s" s="0">
        <v>275</v>
      </c>
      <c r="AS292" t="s" s="0">
        <v>276</v>
      </c>
      <c r="AT292" t="s" s="0">
        <v>277</v>
      </c>
      <c r="AU292" t="s" s="0">
        <v>81</v>
      </c>
      <c r="AV292" t="s" s="0">
        <v>81</v>
      </c>
      <c r="AW292" t="s" s="0">
        <v>278</v>
      </c>
      <c r="AX292" t="s" s="0">
        <v>279</v>
      </c>
      <c r="AY292" t="s" s="0">
        <v>7009</v>
      </c>
      <c r="AZ292" t="s" s="0">
        <v>1519</v>
      </c>
      <c r="BA292" t="s" s="0">
        <v>167</v>
      </c>
      <c r="BB292" t="s" s="0">
        <v>117</v>
      </c>
      <c r="BC292" t="s" s="0">
        <v>81</v>
      </c>
      <c r="BD292" t="s" s="0">
        <v>81</v>
      </c>
      <c r="BE292" t="s" s="0">
        <v>81</v>
      </c>
      <c r="BF292" t="s" s="0">
        <v>81</v>
      </c>
      <c r="BG292" t="s" s="0">
        <v>81</v>
      </c>
      <c r="BH292" t="s" s="0">
        <v>81</v>
      </c>
      <c r="BI292" t="s" s="0">
        <v>7010</v>
      </c>
      <c r="BJ292" t="s" s="0">
        <v>7011</v>
      </c>
      <c r="BK292" t="s" s="580">
        <f>HYPERLINK("http://dx.doi.org/10.1038/s41598-023-44634-1","http://dx.doi.org/10.1038/s41598-023-44634-1")</f>
        <v>7012</v>
      </c>
      <c r="BL292" t="s" s="0">
        <v>81</v>
      </c>
      <c r="BM292" t="s" s="0">
        <v>81</v>
      </c>
      <c r="BN292" t="s" s="0">
        <v>225</v>
      </c>
      <c r="BO292" t="s" s="0">
        <v>285</v>
      </c>
      <c r="BP292" t="s" s="0">
        <v>286</v>
      </c>
      <c r="BQ292" t="s" s="0">
        <v>7013</v>
      </c>
      <c r="BR292" t="s" s="0">
        <v>7014</v>
      </c>
      <c r="BS292" t="s" s="0">
        <v>7015</v>
      </c>
      <c r="BT292" t="s" s="581">
        <f>HYPERLINK("https://www.webofscience.com/wos/woscc/full-record/WOS:001086926800063","View Record in Web of Science")</f>
        <v>114</v>
      </c>
      <c r="BU292" t="s" s="0">
        <v>145</v>
      </c>
      <c r="BV292" t="s" s="0">
        <v>81</v>
      </c>
      <c r="BW292" t="s" s="0">
        <v>81</v>
      </c>
      <c r="BX292" t="s" s="0">
        <v>116</v>
      </c>
    </row>
    <row r="293">
      <c r="A293" t="s" s="0">
        <v>77</v>
      </c>
      <c r="B293" t="s" s="0">
        <v>77</v>
      </c>
      <c r="C293" t="s" s="0">
        <v>225</v>
      </c>
      <c r="D293" t="s" s="0">
        <v>77</v>
      </c>
      <c r="E293" t="s" s="0">
        <v>7016</v>
      </c>
      <c r="F293" t="s" s="0">
        <v>7017</v>
      </c>
      <c r="G293" t="s" s="0">
        <v>7018</v>
      </c>
      <c r="H293" t="s" s="0">
        <v>81</v>
      </c>
      <c r="I293" t="s" s="0">
        <v>82</v>
      </c>
      <c r="J293" t="s" s="0">
        <v>7019</v>
      </c>
      <c r="K293" t="s" s="0">
        <v>7020</v>
      </c>
      <c r="L293" t="s" s="0">
        <v>81</v>
      </c>
      <c r="M293" t="s" s="0">
        <v>81</v>
      </c>
      <c r="N293" t="s" s="0">
        <v>81</v>
      </c>
      <c r="O293" t="s" s="0">
        <v>7021</v>
      </c>
      <c r="P293" t="s" s="0">
        <v>7022</v>
      </c>
      <c r="Q293" t="s" s="0">
        <v>90</v>
      </c>
      <c r="R293" t="s" s="0">
        <v>81</v>
      </c>
      <c r="S293" t="s" s="0">
        <v>81</v>
      </c>
      <c r="T293" t="s" s="0">
        <v>81</v>
      </c>
      <c r="U293" t="s" s="0">
        <v>81</v>
      </c>
      <c r="V293" t="s" s="0">
        <v>7023</v>
      </c>
      <c r="W293" t="s" s="0">
        <v>7024</v>
      </c>
      <c r="X293" t="s" s="0">
        <v>81</v>
      </c>
      <c r="Y293" t="s" s="0">
        <v>81</v>
      </c>
      <c r="Z293" t="s" s="0">
        <v>93</v>
      </c>
      <c r="AA293" t="s" s="0">
        <v>94</v>
      </c>
      <c r="AB293" t="s" s="0">
        <v>81</v>
      </c>
      <c r="AC293" t="s" s="0">
        <v>81</v>
      </c>
      <c r="AD293" t="s" s="0">
        <v>81</v>
      </c>
      <c r="AE293" t="s" s="0">
        <v>81</v>
      </c>
      <c r="AF293" t="s" s="0">
        <v>81</v>
      </c>
      <c r="AG293" t="s" s="0">
        <v>7025</v>
      </c>
      <c r="AH293" t="s" s="0">
        <v>7026</v>
      </c>
      <c r="AI293" t="s" s="0">
        <v>7027</v>
      </c>
      <c r="AJ293" t="s" s="0">
        <v>7028</v>
      </c>
      <c r="AK293" t="s" s="0">
        <v>81</v>
      </c>
      <c r="AL293" t="s" s="0">
        <v>159</v>
      </c>
      <c r="AM293" t="s" s="0">
        <v>304</v>
      </c>
      <c r="AN293" t="s" s="0">
        <v>625</v>
      </c>
      <c r="AO293" t="s" s="0">
        <v>77</v>
      </c>
      <c r="AP293" t="s" s="0">
        <v>237</v>
      </c>
      <c r="AQ293" t="s" s="0">
        <v>97</v>
      </c>
      <c r="AR293" t="s" s="0">
        <v>98</v>
      </c>
      <c r="AS293" t="s" s="0">
        <v>99</v>
      </c>
      <c r="AT293" t="s" s="0">
        <v>7029</v>
      </c>
      <c r="AU293" t="s" s="0">
        <v>81</v>
      </c>
      <c r="AV293" t="s" s="0">
        <v>81</v>
      </c>
      <c r="AW293" t="s" s="0">
        <v>7030</v>
      </c>
      <c r="AX293" t="s" s="0">
        <v>7031</v>
      </c>
      <c r="AY293" t="s" s="0">
        <v>7032</v>
      </c>
      <c r="AZ293" t="s" s="0">
        <v>482</v>
      </c>
      <c r="BA293" t="s" s="0">
        <v>228</v>
      </c>
      <c r="BB293" t="s" s="0">
        <v>81</v>
      </c>
      <c r="BC293" t="s" s="0">
        <v>81</v>
      </c>
      <c r="BD293" t="s" s="0">
        <v>81</v>
      </c>
      <c r="BE293" t="s" s="0">
        <v>81</v>
      </c>
      <c r="BF293" t="s" s="0">
        <v>81</v>
      </c>
      <c r="BG293" t="s" s="0">
        <v>81</v>
      </c>
      <c r="BH293" t="s" s="0">
        <v>81</v>
      </c>
      <c r="BI293" t="s" s="0">
        <v>7033</v>
      </c>
      <c r="BJ293" t="s" s="0">
        <v>7034</v>
      </c>
      <c r="BK293" t="s" s="582">
        <f>HYPERLINK("http://dx.doi.org/10.3389/fnagi.2022.830943","http://dx.doi.org/10.3389/fnagi.2022.830943")</f>
        <v>7035</v>
      </c>
      <c r="BL293" t="s" s="0">
        <v>81</v>
      </c>
      <c r="BM293" t="s" s="0">
        <v>81</v>
      </c>
      <c r="BN293" t="s" s="0">
        <v>258</v>
      </c>
      <c r="BO293" t="s" s="0">
        <v>7036</v>
      </c>
      <c r="BP293" t="s" s="0">
        <v>7037</v>
      </c>
      <c r="BQ293" t="s" s="0">
        <v>7038</v>
      </c>
      <c r="BR293" t="s" s="0">
        <v>7039</v>
      </c>
      <c r="BS293" t="s" s="0">
        <v>7040</v>
      </c>
      <c r="BT293" t="s" s="583">
        <f>HYPERLINK("https://www.webofscience.com/wos/woscc/full-record/WOS:000799108900001","View Record in Web of Science")</f>
        <v>114</v>
      </c>
      <c r="BU293" t="s" s="0">
        <v>145</v>
      </c>
      <c r="BV293" t="s" s="0">
        <v>81</v>
      </c>
      <c r="BW293" t="s" s="0">
        <v>81</v>
      </c>
      <c r="BX293" t="s" s="0">
        <v>116</v>
      </c>
    </row>
    <row r="294">
      <c r="A294" t="s" s="0">
        <v>77</v>
      </c>
      <c r="B294" t="s" s="0">
        <v>77</v>
      </c>
      <c r="C294" t="s" s="0">
        <v>130</v>
      </c>
      <c r="D294" t="s" s="0">
        <v>77</v>
      </c>
      <c r="E294" t="s" s="0">
        <v>7041</v>
      </c>
      <c r="F294" t="s" s="0">
        <v>7042</v>
      </c>
      <c r="G294" t="s" s="0">
        <v>7043</v>
      </c>
      <c r="H294" t="s" s="0">
        <v>81</v>
      </c>
      <c r="I294" t="s" s="0">
        <v>82</v>
      </c>
      <c r="J294" t="s" s="0">
        <v>7044</v>
      </c>
      <c r="K294" t="s" s="0">
        <v>7045</v>
      </c>
      <c r="L294" t="s" s="0">
        <v>7046</v>
      </c>
      <c r="M294" t="s" s="0">
        <v>7047</v>
      </c>
      <c r="N294" t="s" s="0">
        <v>7048</v>
      </c>
      <c r="O294" t="s" s="0">
        <v>7049</v>
      </c>
      <c r="P294" t="s" s="0">
        <v>7050</v>
      </c>
      <c r="Q294" t="s" s="0">
        <v>90</v>
      </c>
      <c r="R294" t="s" s="0">
        <v>81</v>
      </c>
      <c r="S294" t="s" s="0">
        <v>81</v>
      </c>
      <c r="T294" t="s" s="0">
        <v>81</v>
      </c>
      <c r="U294" t="s" s="0">
        <v>81</v>
      </c>
      <c r="V294" t="s" s="0">
        <v>7051</v>
      </c>
      <c r="W294" t="s" s="0">
        <v>4579</v>
      </c>
      <c r="X294" t="s" s="0">
        <v>81</v>
      </c>
      <c r="Y294" t="s" s="0">
        <v>81</v>
      </c>
      <c r="Z294" t="s" s="0">
        <v>93</v>
      </c>
      <c r="AA294" t="s" s="0">
        <v>94</v>
      </c>
      <c r="AB294" t="s" s="0">
        <v>81</v>
      </c>
      <c r="AC294" t="s" s="0">
        <v>81</v>
      </c>
      <c r="AD294" t="s" s="0">
        <v>81</v>
      </c>
      <c r="AE294" t="s" s="0">
        <v>81</v>
      </c>
      <c r="AF294" t="s" s="0">
        <v>81</v>
      </c>
      <c r="AG294" t="s" s="0">
        <v>7052</v>
      </c>
      <c r="AH294" t="s" s="0">
        <v>7053</v>
      </c>
      <c r="AI294" t="s" s="0">
        <v>81</v>
      </c>
      <c r="AJ294" t="s" s="0">
        <v>81</v>
      </c>
      <c r="AK294" t="s" s="0">
        <v>81</v>
      </c>
      <c r="AL294" t="s" s="0">
        <v>878</v>
      </c>
      <c r="AM294" t="s" s="0">
        <v>160</v>
      </c>
      <c r="AN294" t="s" s="0">
        <v>160</v>
      </c>
      <c r="AO294" t="s" s="0">
        <v>161</v>
      </c>
      <c r="AP294" t="s" s="0">
        <v>161</v>
      </c>
      <c r="AQ294" t="s" s="0">
        <v>97</v>
      </c>
      <c r="AR294" t="s" s="0">
        <v>98</v>
      </c>
      <c r="AS294" t="s" s="0">
        <v>99</v>
      </c>
      <c r="AT294" t="s" s="0">
        <v>4581</v>
      </c>
      <c r="AU294" t="s" s="0">
        <v>81</v>
      </c>
      <c r="AV294" t="s" s="0">
        <v>81</v>
      </c>
      <c r="AW294" t="s" s="0">
        <v>4582</v>
      </c>
      <c r="AX294" t="s" s="0">
        <v>4583</v>
      </c>
      <c r="AY294" t="s" s="0">
        <v>7054</v>
      </c>
      <c r="AZ294" t="s" s="0">
        <v>104</v>
      </c>
      <c r="BA294" t="s" s="0">
        <v>563</v>
      </c>
      <c r="BB294" t="s" s="0">
        <v>81</v>
      </c>
      <c r="BC294" t="s" s="0">
        <v>81</v>
      </c>
      <c r="BD294" t="s" s="0">
        <v>81</v>
      </c>
      <c r="BE294" t="s" s="0">
        <v>81</v>
      </c>
      <c r="BF294" t="s" s="0">
        <v>81</v>
      </c>
      <c r="BG294" t="s" s="0">
        <v>81</v>
      </c>
      <c r="BH294" t="s" s="0">
        <v>81</v>
      </c>
      <c r="BI294" t="s" s="0">
        <v>7055</v>
      </c>
      <c r="BJ294" t="s" s="0">
        <v>7056</v>
      </c>
      <c r="BK294" t="s" s="584">
        <f>HYPERLINK("http://dx.doi.org/10.3389/fimmu.2026.1602846","http://dx.doi.org/10.3389/fimmu.2026.1602846")</f>
        <v>7057</v>
      </c>
      <c r="BL294" t="s" s="0">
        <v>81</v>
      </c>
      <c r="BM294" t="s" s="0">
        <v>81</v>
      </c>
      <c r="BN294" t="s" s="0">
        <v>167</v>
      </c>
      <c r="BO294" t="s" s="0">
        <v>4588</v>
      </c>
      <c r="BP294" t="s" s="0">
        <v>4588</v>
      </c>
      <c r="BQ294" t="s" s="0">
        <v>7058</v>
      </c>
      <c r="BR294" t="s" s="0">
        <v>7059</v>
      </c>
      <c r="BS294" t="s" s="0">
        <v>7060</v>
      </c>
      <c r="BT294" t="s" s="585">
        <f>HYPERLINK("https://www.webofscience.com/wos/woscc/full-record/WOS:001697538000001","View Record in Web of Science")</f>
        <v>114</v>
      </c>
      <c r="BU294" t="s" s="0">
        <v>145</v>
      </c>
      <c r="BV294" t="s" s="0">
        <v>81</v>
      </c>
      <c r="BW294" t="s" s="0">
        <v>81</v>
      </c>
      <c r="BX294" t="s" s="0">
        <v>116</v>
      </c>
    </row>
    <row r="295">
      <c r="A295" t="s" s="0">
        <v>77</v>
      </c>
      <c r="B295" t="s" s="0">
        <v>77</v>
      </c>
      <c r="C295" t="s" s="0">
        <v>131</v>
      </c>
      <c r="D295" t="s" s="0">
        <v>77</v>
      </c>
      <c r="E295" t="s" s="0">
        <v>7061</v>
      </c>
      <c r="F295" t="s" s="0">
        <v>7062</v>
      </c>
      <c r="G295" t="s" s="0">
        <v>7063</v>
      </c>
      <c r="H295" t="s" s="0">
        <v>81</v>
      </c>
      <c r="I295" t="s" s="0">
        <v>82</v>
      </c>
      <c r="J295" t="s" s="0">
        <v>7064</v>
      </c>
      <c r="K295" t="s" s="0">
        <v>6463</v>
      </c>
      <c r="L295" t="s" s="0">
        <v>7065</v>
      </c>
      <c r="M295" t="s" s="0">
        <v>7066</v>
      </c>
      <c r="N295" t="s" s="0">
        <v>1632</v>
      </c>
      <c r="O295" t="s" s="0">
        <v>7067</v>
      </c>
      <c r="P295" t="s" s="0">
        <v>7068</v>
      </c>
      <c r="Q295" t="s" s="0">
        <v>90</v>
      </c>
      <c r="R295" t="s" s="0">
        <v>81</v>
      </c>
      <c r="S295" t="s" s="0">
        <v>81</v>
      </c>
      <c r="T295" t="s" s="0">
        <v>81</v>
      </c>
      <c r="U295" t="s" s="0">
        <v>81</v>
      </c>
      <c r="V295" t="s" s="0">
        <v>7069</v>
      </c>
      <c r="W295" t="s" s="0">
        <v>2142</v>
      </c>
      <c r="X295" t="s" s="0">
        <v>81</v>
      </c>
      <c r="Y295" t="s" s="0">
        <v>81</v>
      </c>
      <c r="Z295" t="s" s="0">
        <v>93</v>
      </c>
      <c r="AA295" t="s" s="0">
        <v>94</v>
      </c>
      <c r="AB295" t="s" s="0">
        <v>81</v>
      </c>
      <c r="AC295" t="s" s="0">
        <v>81</v>
      </c>
      <c r="AD295" t="s" s="0">
        <v>81</v>
      </c>
      <c r="AE295" t="s" s="0">
        <v>81</v>
      </c>
      <c r="AF295" t="s" s="0">
        <v>81</v>
      </c>
      <c r="AG295" t="s" s="0">
        <v>7070</v>
      </c>
      <c r="AH295" t="s" s="0">
        <v>7071</v>
      </c>
      <c r="AI295" t="s" s="0">
        <v>7072</v>
      </c>
      <c r="AJ295" t="s" s="0">
        <v>7073</v>
      </c>
      <c r="AK295" t="s" s="0">
        <v>81</v>
      </c>
      <c r="AL295" t="s" s="0">
        <v>252</v>
      </c>
      <c r="AM295" t="s" s="0">
        <v>226</v>
      </c>
      <c r="AN295" t="s" s="0">
        <v>226</v>
      </c>
      <c r="AO295" t="s" s="0">
        <v>131</v>
      </c>
      <c r="AP295" t="s" s="0">
        <v>337</v>
      </c>
      <c r="AQ295" t="s" s="0">
        <v>370</v>
      </c>
      <c r="AR295" t="s" s="0">
        <v>1099</v>
      </c>
      <c r="AS295" t="s" s="0">
        <v>1873</v>
      </c>
      <c r="AT295" t="s" s="0">
        <v>2147</v>
      </c>
      <c r="AU295" t="s" s="0">
        <v>2148</v>
      </c>
      <c r="AV295" t="s" s="0">
        <v>81</v>
      </c>
      <c r="AW295" t="s" s="0">
        <v>2149</v>
      </c>
      <c r="AX295" t="s" s="0">
        <v>2150</v>
      </c>
      <c r="AY295" t="s" s="0">
        <v>3191</v>
      </c>
      <c r="AZ295" t="s" s="0">
        <v>573</v>
      </c>
      <c r="BA295" t="s" s="0">
        <v>474</v>
      </c>
      <c r="BB295" t="s" s="0">
        <v>253</v>
      </c>
      <c r="BC295" t="s" s="0">
        <v>81</v>
      </c>
      <c r="BD295" t="s" s="0">
        <v>81</v>
      </c>
      <c r="BE295" t="s" s="0">
        <v>81</v>
      </c>
      <c r="BF295" t="s" s="0">
        <v>81</v>
      </c>
      <c r="BG295" t="s" s="0">
        <v>7074</v>
      </c>
      <c r="BH295" t="s" s="0">
        <v>7075</v>
      </c>
      <c r="BI295" t="s" s="0">
        <v>81</v>
      </c>
      <c r="BJ295" t="s" s="0">
        <v>7076</v>
      </c>
      <c r="BK295" t="s" s="586">
        <f>HYPERLINK("http://dx.doi.org/10.1007/s00261-024-04202-1","http://dx.doi.org/10.1007/s00261-024-04202-1")</f>
        <v>7077</v>
      </c>
      <c r="BL295" t="s" s="0">
        <v>81</v>
      </c>
      <c r="BM295" t="s" s="0">
        <v>7078</v>
      </c>
      <c r="BN295" t="s" s="0">
        <v>228</v>
      </c>
      <c r="BO295" t="s" s="0">
        <v>1881</v>
      </c>
      <c r="BP295" t="s" s="0">
        <v>1881</v>
      </c>
      <c r="BQ295" t="s" s="0">
        <v>7079</v>
      </c>
      <c r="BR295" t="s" s="0">
        <v>7080</v>
      </c>
      <c r="BS295" t="s" s="0">
        <v>7081</v>
      </c>
      <c r="BT295" t="s" s="587">
        <f>HYPERLINK("https://www.webofscience.com/wos/woscc/full-record/WOS:001174830300001","View Record in Web of Science")</f>
        <v>114</v>
      </c>
      <c r="BU295" t="s" s="0">
        <v>81</v>
      </c>
      <c r="BV295" t="s" s="0">
        <v>81</v>
      </c>
      <c r="BW295" t="s" s="0">
        <v>81</v>
      </c>
      <c r="BX295" t="s" s="0">
        <v>116</v>
      </c>
    </row>
    <row r="296">
      <c r="A296" t="s" s="0">
        <v>77</v>
      </c>
      <c r="B296" t="s" s="0">
        <v>77</v>
      </c>
      <c r="C296" t="s" s="0">
        <v>77</v>
      </c>
      <c r="D296" t="s" s="0">
        <v>77</v>
      </c>
      <c r="E296" t="s" s="0">
        <v>7082</v>
      </c>
      <c r="F296" t="s" s="0">
        <v>7083</v>
      </c>
      <c r="G296" t="s" s="0">
        <v>7084</v>
      </c>
      <c r="H296" t="s" s="0">
        <v>81</v>
      </c>
      <c r="I296" t="s" s="0">
        <v>82</v>
      </c>
      <c r="J296" t="s" s="0">
        <v>7085</v>
      </c>
      <c r="K296" t="s" s="0">
        <v>7086</v>
      </c>
      <c r="L296" t="s" s="0">
        <v>7087</v>
      </c>
      <c r="M296" t="s" s="0">
        <v>7088</v>
      </c>
      <c r="N296" t="s" s="0">
        <v>7089</v>
      </c>
      <c r="O296" t="s" s="0">
        <v>7090</v>
      </c>
      <c r="P296" t="s" s="0">
        <v>7091</v>
      </c>
      <c r="Q296" t="s" s="0">
        <v>90</v>
      </c>
      <c r="R296" t="s" s="0">
        <v>81</v>
      </c>
      <c r="S296" t="s" s="0">
        <v>81</v>
      </c>
      <c r="T296" t="s" s="0">
        <v>81</v>
      </c>
      <c r="U296" t="s" s="0">
        <v>81</v>
      </c>
      <c r="V296" t="s" s="0">
        <v>7092</v>
      </c>
      <c r="W296" t="s" s="0">
        <v>271</v>
      </c>
      <c r="X296" t="s" s="0">
        <v>81</v>
      </c>
      <c r="Y296" t="s" s="0">
        <v>81</v>
      </c>
      <c r="Z296" t="s" s="0">
        <v>93</v>
      </c>
      <c r="AA296" t="s" s="0">
        <v>94</v>
      </c>
      <c r="AB296" t="s" s="0">
        <v>81</v>
      </c>
      <c r="AC296" t="s" s="0">
        <v>81</v>
      </c>
      <c r="AD296" t="s" s="0">
        <v>81</v>
      </c>
      <c r="AE296" t="s" s="0">
        <v>81</v>
      </c>
      <c r="AF296" t="s" s="0">
        <v>81</v>
      </c>
      <c r="AG296" t="s" s="0">
        <v>7093</v>
      </c>
      <c r="AH296" t="s" s="0">
        <v>7094</v>
      </c>
      <c r="AI296" t="s" s="0">
        <v>81</v>
      </c>
      <c r="AJ296" t="s" s="0">
        <v>7095</v>
      </c>
      <c r="AK296" t="s" s="0">
        <v>81</v>
      </c>
      <c r="AL296" t="s" s="0">
        <v>1900</v>
      </c>
      <c r="AM296" t="s" s="0">
        <v>117</v>
      </c>
      <c r="AN296" t="s" s="0">
        <v>130</v>
      </c>
      <c r="AO296" t="s" s="0">
        <v>77</v>
      </c>
      <c r="AP296" t="s" s="0">
        <v>77</v>
      </c>
      <c r="AQ296" t="s" s="0">
        <v>274</v>
      </c>
      <c r="AR296" t="s" s="0">
        <v>275</v>
      </c>
      <c r="AS296" t="s" s="0">
        <v>276</v>
      </c>
      <c r="AT296" t="s" s="0">
        <v>277</v>
      </c>
      <c r="AU296" t="s" s="0">
        <v>81</v>
      </c>
      <c r="AV296" t="s" s="0">
        <v>81</v>
      </c>
      <c r="AW296" t="s" s="0">
        <v>278</v>
      </c>
      <c r="AX296" t="s" s="0">
        <v>279</v>
      </c>
      <c r="AY296" t="s" s="0">
        <v>7096</v>
      </c>
      <c r="AZ296" t="s" s="0">
        <v>136</v>
      </c>
      <c r="BA296" t="s" s="0">
        <v>172</v>
      </c>
      <c r="BB296" t="s" s="0">
        <v>117</v>
      </c>
      <c r="BC296" t="s" s="0">
        <v>81</v>
      </c>
      <c r="BD296" t="s" s="0">
        <v>81</v>
      </c>
      <c r="BE296" t="s" s="0">
        <v>81</v>
      </c>
      <c r="BF296" t="s" s="0">
        <v>81</v>
      </c>
      <c r="BG296" t="s" s="0">
        <v>81</v>
      </c>
      <c r="BH296" t="s" s="0">
        <v>81</v>
      </c>
      <c r="BI296" t="s" s="0">
        <v>7097</v>
      </c>
      <c r="BJ296" t="s" s="0">
        <v>7098</v>
      </c>
      <c r="BK296" t="s" s="588">
        <f>HYPERLINK("http://dx.doi.org/10.1038/s41598-025-33536-z","http://dx.doi.org/10.1038/s41598-025-33536-z")</f>
        <v>7099</v>
      </c>
      <c r="BL296" t="s" s="0">
        <v>81</v>
      </c>
      <c r="BM296" t="s" s="0">
        <v>1880</v>
      </c>
      <c r="BN296" t="s" s="0">
        <v>204</v>
      </c>
      <c r="BO296" t="s" s="0">
        <v>285</v>
      </c>
      <c r="BP296" t="s" s="0">
        <v>286</v>
      </c>
      <c r="BQ296" t="s" s="0">
        <v>7100</v>
      </c>
      <c r="BR296" t="s" s="0">
        <v>7101</v>
      </c>
      <c r="BS296" t="s" s="0">
        <v>7102</v>
      </c>
      <c r="BT296" t="s" s="589">
        <f>HYPERLINK("https://www.webofscience.com/wos/woscc/full-record/WOS:001651220100001","View Record in Web of Science")</f>
        <v>114</v>
      </c>
      <c r="BU296" t="s" s="0">
        <v>145</v>
      </c>
      <c r="BV296" t="s" s="0">
        <v>81</v>
      </c>
      <c r="BW296" t="s" s="0">
        <v>81</v>
      </c>
      <c r="BX296" t="s" s="0">
        <v>116</v>
      </c>
    </row>
    <row r="297">
      <c r="A297" t="s" s="0">
        <v>77</v>
      </c>
      <c r="B297" t="s" s="0">
        <v>77</v>
      </c>
      <c r="C297" t="s" s="0">
        <v>77</v>
      </c>
      <c r="D297" t="s" s="0">
        <v>77</v>
      </c>
      <c r="E297" t="s" s="0">
        <v>7103</v>
      </c>
      <c r="F297" t="s" s="0">
        <v>7104</v>
      </c>
      <c r="G297" t="s" s="0">
        <v>7105</v>
      </c>
      <c r="H297" t="s" s="0">
        <v>81</v>
      </c>
      <c r="I297" t="s" s="0">
        <v>82</v>
      </c>
      <c r="J297" t="s" s="0">
        <v>7106</v>
      </c>
      <c r="K297" t="s" s="0">
        <v>7107</v>
      </c>
      <c r="L297" t="s" s="0">
        <v>7108</v>
      </c>
      <c r="M297" t="s" s="0">
        <v>7109</v>
      </c>
      <c r="N297" t="s" s="0">
        <v>7110</v>
      </c>
      <c r="O297" t="s" s="0">
        <v>7111</v>
      </c>
      <c r="P297" t="s" s="0">
        <v>7112</v>
      </c>
      <c r="Q297" t="s" s="0">
        <v>90</v>
      </c>
      <c r="R297" t="s" s="0">
        <v>81</v>
      </c>
      <c r="S297" t="s" s="0">
        <v>81</v>
      </c>
      <c r="T297" t="s" s="0">
        <v>81</v>
      </c>
      <c r="U297" t="s" s="0">
        <v>81</v>
      </c>
      <c r="V297" t="s" s="0">
        <v>7113</v>
      </c>
      <c r="W297" t="s" s="0">
        <v>2649</v>
      </c>
      <c r="X297" t="s" s="0">
        <v>81</v>
      </c>
      <c r="Y297" t="s" s="0">
        <v>81</v>
      </c>
      <c r="Z297" t="s" s="0">
        <v>93</v>
      </c>
      <c r="AA297" t="s" s="0">
        <v>94</v>
      </c>
      <c r="AB297" t="s" s="0">
        <v>81</v>
      </c>
      <c r="AC297" t="s" s="0">
        <v>81</v>
      </c>
      <c r="AD297" t="s" s="0">
        <v>81</v>
      </c>
      <c r="AE297" t="s" s="0">
        <v>81</v>
      </c>
      <c r="AF297" t="s" s="0">
        <v>81</v>
      </c>
      <c r="AG297" t="s" s="0">
        <v>7114</v>
      </c>
      <c r="AH297" t="s" s="0">
        <v>7115</v>
      </c>
      <c r="AI297" t="s" s="0">
        <v>81</v>
      </c>
      <c r="AJ297" t="s" s="0">
        <v>7116</v>
      </c>
      <c r="AK297" t="s" s="0">
        <v>81</v>
      </c>
      <c r="AL297" t="s" s="0">
        <v>1097</v>
      </c>
      <c r="AM297" t="s" s="0">
        <v>130</v>
      </c>
      <c r="AN297" t="s" s="0">
        <v>130</v>
      </c>
      <c r="AO297" t="s" s="0">
        <v>130</v>
      </c>
      <c r="AP297" t="s" s="0">
        <v>131</v>
      </c>
      <c r="AQ297" t="s" s="0">
        <v>476</v>
      </c>
      <c r="AR297" t="s" s="0">
        <v>477</v>
      </c>
      <c r="AS297" t="s" s="0">
        <v>3857</v>
      </c>
      <c r="AT297" t="s" s="0">
        <v>81</v>
      </c>
      <c r="AU297" t="s" s="0">
        <v>2652</v>
      </c>
      <c r="AV297" t="s" s="0">
        <v>81</v>
      </c>
      <c r="AW297" t="s" s="0">
        <v>2653</v>
      </c>
      <c r="AX297" t="s" s="0">
        <v>2654</v>
      </c>
      <c r="AY297" t="s" s="0">
        <v>382</v>
      </c>
      <c r="AZ297" t="s" s="0">
        <v>136</v>
      </c>
      <c r="BA297" t="s" s="0">
        <v>318</v>
      </c>
      <c r="BB297" t="s" s="0">
        <v>117</v>
      </c>
      <c r="BC297" t="s" s="0">
        <v>81</v>
      </c>
      <c r="BD297" t="s" s="0">
        <v>81</v>
      </c>
      <c r="BE297" t="s" s="0">
        <v>81</v>
      </c>
      <c r="BF297" t="s" s="0">
        <v>81</v>
      </c>
      <c r="BG297" t="s" s="0">
        <v>81</v>
      </c>
      <c r="BH297" t="s" s="0">
        <v>81</v>
      </c>
      <c r="BI297" t="s" s="0">
        <v>1067</v>
      </c>
      <c r="BJ297" t="s" s="0">
        <v>7117</v>
      </c>
      <c r="BK297" t="s" s="590">
        <f>HYPERLINK("http://dx.doi.org/10.3390/s25010039","http://dx.doi.org/10.3390/s25010039")</f>
        <v>7118</v>
      </c>
      <c r="BL297" t="s" s="0">
        <v>81</v>
      </c>
      <c r="BM297" t="s" s="0">
        <v>81</v>
      </c>
      <c r="BN297" t="s" s="0">
        <v>564</v>
      </c>
      <c r="BO297" t="s" s="0">
        <v>2659</v>
      </c>
      <c r="BP297" t="s" s="0">
        <v>2660</v>
      </c>
      <c r="BQ297" t="s" s="0">
        <v>7119</v>
      </c>
      <c r="BR297" t="s" s="0">
        <v>7120</v>
      </c>
      <c r="BS297" t="s" s="0">
        <v>7121</v>
      </c>
      <c r="BT297" t="s" s="591">
        <f>HYPERLINK("https://www.webofscience.com/wos/woscc/full-record/WOS:001393916500001","View Record in Web of Science")</f>
        <v>114</v>
      </c>
      <c r="BU297" t="s" s="0">
        <v>145</v>
      </c>
      <c r="BV297" t="s" s="0">
        <v>81</v>
      </c>
      <c r="BW297" t="s" s="0">
        <v>81</v>
      </c>
      <c r="BX297" t="s" s="0">
        <v>116</v>
      </c>
    </row>
    <row r="298">
      <c r="A298" t="s" s="0">
        <v>227</v>
      </c>
      <c r="B298" t="s" s="0">
        <v>77</v>
      </c>
      <c r="C298" t="s" s="0">
        <v>253</v>
      </c>
      <c r="D298" t="s" s="0">
        <v>77</v>
      </c>
      <c r="E298" t="s" s="0">
        <v>7122</v>
      </c>
      <c r="F298" t="s" s="0">
        <v>7123</v>
      </c>
      <c r="G298" t="s" s="0">
        <v>7124</v>
      </c>
      <c r="H298" t="s" s="0">
        <v>81</v>
      </c>
      <c r="I298" t="s" s="0">
        <v>82</v>
      </c>
      <c r="J298" t="s" s="0">
        <v>7125</v>
      </c>
      <c r="K298" t="s" s="0">
        <v>7126</v>
      </c>
      <c r="L298" t="s" s="0">
        <v>7127</v>
      </c>
      <c r="M298" t="s" s="0">
        <v>7128</v>
      </c>
      <c r="N298" t="s" s="0">
        <v>7129</v>
      </c>
      <c r="O298" t="s" s="0">
        <v>7130</v>
      </c>
      <c r="P298" t="s" s="0">
        <v>7131</v>
      </c>
      <c r="Q298" t="s" s="0">
        <v>90</v>
      </c>
      <c r="R298" t="s" s="0">
        <v>81</v>
      </c>
      <c r="S298" t="s" s="0">
        <v>81</v>
      </c>
      <c r="T298" t="s" s="0">
        <v>81</v>
      </c>
      <c r="U298" t="s" s="0">
        <v>81</v>
      </c>
      <c r="V298" t="s" s="0">
        <v>7132</v>
      </c>
      <c r="W298" t="s" s="0">
        <v>1416</v>
      </c>
      <c r="X298" t="s" s="0">
        <v>81</v>
      </c>
      <c r="Y298" t="s" s="0">
        <v>81</v>
      </c>
      <c r="Z298" t="s" s="0">
        <v>93</v>
      </c>
      <c r="AA298" t="s" s="0">
        <v>94</v>
      </c>
      <c r="AB298" t="s" s="0">
        <v>81</v>
      </c>
      <c r="AC298" t="s" s="0">
        <v>81</v>
      </c>
      <c r="AD298" t="s" s="0">
        <v>81</v>
      </c>
      <c r="AE298" t="s" s="0">
        <v>81</v>
      </c>
      <c r="AF298" t="s" s="0">
        <v>81</v>
      </c>
      <c r="AG298" t="s" s="0">
        <v>7133</v>
      </c>
      <c r="AH298" t="s" s="0">
        <v>1016</v>
      </c>
      <c r="AI298" t="s" s="0">
        <v>7134</v>
      </c>
      <c r="AJ298" t="s" s="0">
        <v>81</v>
      </c>
      <c r="AK298" t="s" s="0">
        <v>81</v>
      </c>
      <c r="AL298" t="s" s="0">
        <v>252</v>
      </c>
      <c r="AM298" t="s" s="0">
        <v>475</v>
      </c>
      <c r="AN298" t="s" s="0">
        <v>706</v>
      </c>
      <c r="AO298" t="s" s="0">
        <v>117</v>
      </c>
      <c r="AP298" t="s" s="0">
        <v>137</v>
      </c>
      <c r="AQ298" t="s" s="0">
        <v>97</v>
      </c>
      <c r="AR298" t="s" s="0">
        <v>98</v>
      </c>
      <c r="AS298" t="s" s="0">
        <v>99</v>
      </c>
      <c r="AT298" t="s" s="0">
        <v>1422</v>
      </c>
      <c r="AU298" t="s" s="0">
        <v>81</v>
      </c>
      <c r="AV298" t="s" s="0">
        <v>81</v>
      </c>
      <c r="AW298" t="s" s="0">
        <v>1423</v>
      </c>
      <c r="AX298" t="s" s="0">
        <v>1424</v>
      </c>
      <c r="AY298" t="s" s="0">
        <v>7135</v>
      </c>
      <c r="AZ298" t="s" s="0">
        <v>573</v>
      </c>
      <c r="BA298" t="s" s="0">
        <v>228</v>
      </c>
      <c r="BB298" t="s" s="0">
        <v>81</v>
      </c>
      <c r="BC298" t="s" s="0">
        <v>81</v>
      </c>
      <c r="BD298" t="s" s="0">
        <v>81</v>
      </c>
      <c r="BE298" t="s" s="0">
        <v>81</v>
      </c>
      <c r="BF298" t="s" s="0">
        <v>81</v>
      </c>
      <c r="BG298" t="s" s="0">
        <v>81</v>
      </c>
      <c r="BH298" t="s" s="0">
        <v>81</v>
      </c>
      <c r="BI298" t="s" s="0">
        <v>7136</v>
      </c>
      <c r="BJ298" t="s" s="0">
        <v>7137</v>
      </c>
      <c r="BK298" t="s" s="592">
        <f>HYPERLINK("http://dx.doi.org/10.3389/fonc.2024.1287995","http://dx.doi.org/10.3389/fonc.2024.1287995")</f>
        <v>7138</v>
      </c>
      <c r="BL298" t="s" s="0">
        <v>81</v>
      </c>
      <c r="BM298" t="s" s="0">
        <v>81</v>
      </c>
      <c r="BN298" t="s" s="0">
        <v>167</v>
      </c>
      <c r="BO298" t="s" s="0">
        <v>939</v>
      </c>
      <c r="BP298" t="s" s="0">
        <v>939</v>
      </c>
      <c r="BQ298" t="s" s="0">
        <v>7139</v>
      </c>
      <c r="BR298" t="s" s="0">
        <v>7140</v>
      </c>
      <c r="BS298" t="s" s="0">
        <v>7141</v>
      </c>
      <c r="BT298" t="s" s="593">
        <f>HYPERLINK("https://www.webofscience.com/wos/woscc/full-record/WOS:001191951500001","View Record in Web of Science")</f>
        <v>114</v>
      </c>
      <c r="BU298" t="s" s="0">
        <v>145</v>
      </c>
      <c r="BV298" t="s" s="0">
        <v>81</v>
      </c>
      <c r="BW298" t="s" s="0">
        <v>81</v>
      </c>
      <c r="BX298" t="s" s="0">
        <v>116</v>
      </c>
    </row>
    <row r="299">
      <c r="A299" t="s" s="0">
        <v>117</v>
      </c>
      <c r="B299" t="s" s="0">
        <v>77</v>
      </c>
      <c r="C299" t="s" s="0">
        <v>253</v>
      </c>
      <c r="D299" t="s" s="0">
        <v>77</v>
      </c>
      <c r="E299" t="s" s="0">
        <v>7142</v>
      </c>
      <c r="F299" t="s" s="0">
        <v>7143</v>
      </c>
      <c r="G299" t="s" s="0">
        <v>7144</v>
      </c>
      <c r="H299" t="s" s="0">
        <v>81</v>
      </c>
      <c r="I299" t="s" s="0">
        <v>82</v>
      </c>
      <c r="J299" t="s" s="0">
        <v>7145</v>
      </c>
      <c r="K299" t="s" s="0">
        <v>7146</v>
      </c>
      <c r="L299" t="s" s="0">
        <v>4079</v>
      </c>
      <c r="M299" t="s" s="0">
        <v>184</v>
      </c>
      <c r="N299" t="s" s="0">
        <v>7147</v>
      </c>
      <c r="O299" t="s" s="0">
        <v>7148</v>
      </c>
      <c r="P299" t="s" s="0">
        <v>1185</v>
      </c>
      <c r="Q299" t="s" s="0">
        <v>90</v>
      </c>
      <c r="R299" t="s" s="0">
        <v>81</v>
      </c>
      <c r="S299" t="s" s="0">
        <v>81</v>
      </c>
      <c r="T299" t="s" s="0">
        <v>81</v>
      </c>
      <c r="U299" t="s" s="0">
        <v>81</v>
      </c>
      <c r="V299" t="s" s="0">
        <v>7149</v>
      </c>
      <c r="W299" t="s" s="0">
        <v>125</v>
      </c>
      <c r="X299" t="s" s="0">
        <v>81</v>
      </c>
      <c r="Y299" t="s" s="0">
        <v>81</v>
      </c>
      <c r="Z299" t="s" s="0">
        <v>93</v>
      </c>
      <c r="AA299" t="s" s="0">
        <v>94</v>
      </c>
      <c r="AB299" t="s" s="0">
        <v>81</v>
      </c>
      <c r="AC299" t="s" s="0">
        <v>81</v>
      </c>
      <c r="AD299" t="s" s="0">
        <v>81</v>
      </c>
      <c r="AE299" t="s" s="0">
        <v>81</v>
      </c>
      <c r="AF299" t="s" s="0">
        <v>81</v>
      </c>
      <c r="AG299" t="s" s="0">
        <v>7150</v>
      </c>
      <c r="AH299" t="s" s="0">
        <v>7151</v>
      </c>
      <c r="AI299" t="s" s="0">
        <v>7152</v>
      </c>
      <c r="AJ299" t="s" s="0">
        <v>81</v>
      </c>
      <c r="AK299" t="s" s="0">
        <v>81</v>
      </c>
      <c r="AL299" t="s" s="0">
        <v>127</v>
      </c>
      <c r="AM299" t="s" s="0">
        <v>161</v>
      </c>
      <c r="AN299" t="s" s="0">
        <v>129</v>
      </c>
      <c r="AO299" t="s" s="0">
        <v>130</v>
      </c>
      <c r="AP299" t="s" s="0">
        <v>6559</v>
      </c>
      <c r="AQ299" t="s" s="0">
        <v>97</v>
      </c>
      <c r="AR299" t="s" s="0">
        <v>98</v>
      </c>
      <c r="AS299" t="s" s="0">
        <v>99</v>
      </c>
      <c r="AT299" t="s" s="0">
        <v>81</v>
      </c>
      <c r="AU299" t="s" s="0">
        <v>132</v>
      </c>
      <c r="AV299" t="s" s="0">
        <v>81</v>
      </c>
      <c r="AW299" t="s" s="0">
        <v>133</v>
      </c>
      <c r="AX299" t="s" s="0">
        <v>134</v>
      </c>
      <c r="AY299" t="s" s="0">
        <v>7153</v>
      </c>
      <c r="AZ299" t="s" s="0">
        <v>482</v>
      </c>
      <c r="BA299" t="s" s="0">
        <v>167</v>
      </c>
      <c r="BB299" t="s" s="0">
        <v>81</v>
      </c>
      <c r="BC299" t="s" s="0">
        <v>81</v>
      </c>
      <c r="BD299" t="s" s="0">
        <v>81</v>
      </c>
      <c r="BE299" t="s" s="0">
        <v>81</v>
      </c>
      <c r="BF299" t="s" s="0">
        <v>81</v>
      </c>
      <c r="BG299" t="s" s="0">
        <v>81</v>
      </c>
      <c r="BH299" t="s" s="0">
        <v>81</v>
      </c>
      <c r="BI299" t="s" s="0">
        <v>7154</v>
      </c>
      <c r="BJ299" t="s" s="0">
        <v>7155</v>
      </c>
      <c r="BK299" t="s" s="594">
        <f>HYPERLINK("http://dx.doi.org/10.3389/fphys.2022.1021400","http://dx.doi.org/10.3389/fphys.2022.1021400")</f>
        <v>7156</v>
      </c>
      <c r="BL299" t="s" s="0">
        <v>81</v>
      </c>
      <c r="BM299" t="s" s="0">
        <v>81</v>
      </c>
      <c r="BN299" t="s" s="0">
        <v>228</v>
      </c>
      <c r="BO299" t="s" s="0">
        <v>141</v>
      </c>
      <c r="BP299" t="s" s="0">
        <v>141</v>
      </c>
      <c r="BQ299" t="s" s="0">
        <v>7157</v>
      </c>
      <c r="BR299" t="s" s="0">
        <v>7158</v>
      </c>
      <c r="BS299" t="s" s="0">
        <v>7159</v>
      </c>
      <c r="BT299" t="s" s="595">
        <f>HYPERLINK("https://www.webofscience.com/wos/woscc/full-record/WOS:000889291400001","View Record in Web of Science")</f>
        <v>114</v>
      </c>
      <c r="BU299" t="s" s="0">
        <v>145</v>
      </c>
      <c r="BV299" t="s" s="0">
        <v>81</v>
      </c>
      <c r="BW299" t="s" s="0">
        <v>81</v>
      </c>
      <c r="BX299" t="s" s="0">
        <v>116</v>
      </c>
    </row>
    <row r="300">
      <c r="A300" t="s" s="0">
        <v>77</v>
      </c>
      <c r="B300" t="s" s="0">
        <v>77</v>
      </c>
      <c r="C300" t="s" s="0">
        <v>77</v>
      </c>
      <c r="D300" t="s" s="0">
        <v>77</v>
      </c>
      <c r="E300" t="s" s="0">
        <v>7160</v>
      </c>
      <c r="F300" t="s" s="0">
        <v>7161</v>
      </c>
      <c r="G300" t="s" s="0">
        <v>7162</v>
      </c>
      <c r="H300" t="s" s="0">
        <v>81</v>
      </c>
      <c r="I300" t="s" s="0">
        <v>82</v>
      </c>
      <c r="J300" t="s" s="0">
        <v>7163</v>
      </c>
      <c r="K300" t="s" s="0">
        <v>7164</v>
      </c>
      <c r="L300" t="s" s="0">
        <v>7165</v>
      </c>
      <c r="M300" t="s" s="0">
        <v>184</v>
      </c>
      <c r="N300" t="s" s="0">
        <v>7166</v>
      </c>
      <c r="O300" t="s" s="0">
        <v>7167</v>
      </c>
      <c r="P300" t="s" s="0">
        <v>7168</v>
      </c>
      <c r="Q300" t="s" s="0">
        <v>90</v>
      </c>
      <c r="R300" t="s" s="0">
        <v>81</v>
      </c>
      <c r="S300" t="s" s="0">
        <v>81</v>
      </c>
      <c r="T300" t="s" s="0">
        <v>81</v>
      </c>
      <c r="U300" t="s" s="0">
        <v>81</v>
      </c>
      <c r="V300" t="s" s="0">
        <v>7169</v>
      </c>
      <c r="W300" t="s" s="0">
        <v>7170</v>
      </c>
      <c r="X300" t="s" s="0">
        <v>81</v>
      </c>
      <c r="Y300" t="s" s="0">
        <v>81</v>
      </c>
      <c r="Z300" t="s" s="0">
        <v>93</v>
      </c>
      <c r="AA300" t="s" s="0">
        <v>94</v>
      </c>
      <c r="AB300" t="s" s="0">
        <v>81</v>
      </c>
      <c r="AC300" t="s" s="0">
        <v>81</v>
      </c>
      <c r="AD300" t="s" s="0">
        <v>81</v>
      </c>
      <c r="AE300" t="s" s="0">
        <v>81</v>
      </c>
      <c r="AF300" t="s" s="0">
        <v>81</v>
      </c>
      <c r="AG300" t="s" s="0">
        <v>7171</v>
      </c>
      <c r="AH300" t="s" s="0">
        <v>7172</v>
      </c>
      <c r="AI300" t="s" s="0">
        <v>7173</v>
      </c>
      <c r="AJ300" t="s" s="0">
        <v>7174</v>
      </c>
      <c r="AK300" t="s" s="0">
        <v>81</v>
      </c>
      <c r="AL300" t="s" s="0">
        <v>451</v>
      </c>
      <c r="AM300" t="s" s="0">
        <v>77</v>
      </c>
      <c r="AN300" t="s" s="0">
        <v>130</v>
      </c>
      <c r="AO300" t="s" s="0">
        <v>129</v>
      </c>
      <c r="AP300" t="s" s="0">
        <v>167</v>
      </c>
      <c r="AQ300" t="s" s="0">
        <v>738</v>
      </c>
      <c r="AR300" t="s" s="0">
        <v>306</v>
      </c>
      <c r="AS300" t="s" s="0">
        <v>739</v>
      </c>
      <c r="AT300" t="s" s="0">
        <v>7175</v>
      </c>
      <c r="AU300" t="s" s="0">
        <v>7176</v>
      </c>
      <c r="AV300" t="s" s="0">
        <v>81</v>
      </c>
      <c r="AW300" t="s" s="0">
        <v>7177</v>
      </c>
      <c r="AX300" t="s" s="0">
        <v>7178</v>
      </c>
      <c r="AY300" t="s" s="0">
        <v>3439</v>
      </c>
      <c r="AZ300" t="s" s="0">
        <v>104</v>
      </c>
      <c r="BA300" t="s" s="0">
        <v>105</v>
      </c>
      <c r="BB300" t="s" s="0">
        <v>117</v>
      </c>
      <c r="BC300" t="s" s="0">
        <v>81</v>
      </c>
      <c r="BD300" t="s" s="0">
        <v>81</v>
      </c>
      <c r="BE300" t="s" s="0">
        <v>81</v>
      </c>
      <c r="BF300" t="s" s="0">
        <v>81</v>
      </c>
      <c r="BG300" t="s" s="0">
        <v>81</v>
      </c>
      <c r="BH300" t="s" s="0">
        <v>81</v>
      </c>
      <c r="BI300" t="s" s="0">
        <v>7179</v>
      </c>
      <c r="BJ300" t="s" s="0">
        <v>7180</v>
      </c>
      <c r="BK300" t="s" s="596">
        <f>HYPERLINK("http://dx.doi.org/10.1093/ecco-jcc/jjaf206","http://dx.doi.org/10.1093/ecco-jcc/jjaf206")</f>
        <v>7181</v>
      </c>
      <c r="BL300" t="s" s="0">
        <v>81</v>
      </c>
      <c r="BM300" t="s" s="0">
        <v>81</v>
      </c>
      <c r="BN300" t="s" s="0">
        <v>129</v>
      </c>
      <c r="BO300" t="s" s="0">
        <v>2062</v>
      </c>
      <c r="BP300" t="s" s="0">
        <v>2062</v>
      </c>
      <c r="BQ300" t="s" s="0">
        <v>7182</v>
      </c>
      <c r="BR300" t="s" s="0">
        <v>7183</v>
      </c>
      <c r="BS300" t="s" s="0">
        <v>7184</v>
      </c>
      <c r="BT300" t="s" s="597">
        <f>HYPERLINK("https://www.webofscience.com/wos/woscc/full-record/WOS:001661351100001","View Record in Web of Science")</f>
        <v>114</v>
      </c>
      <c r="BU300" t="s" s="0">
        <v>81</v>
      </c>
      <c r="BV300" t="s" s="0">
        <v>81</v>
      </c>
      <c r="BW300" t="s" s="0">
        <v>81</v>
      </c>
      <c r="BX300" t="s" s="0">
        <v>116</v>
      </c>
    </row>
    <row r="301">
      <c r="A301" t="s" s="0">
        <v>117</v>
      </c>
      <c r="B301" t="s" s="0">
        <v>77</v>
      </c>
      <c r="C301" t="s" s="0">
        <v>161</v>
      </c>
      <c r="D301" t="s" s="0">
        <v>77</v>
      </c>
      <c r="E301" t="s" s="0">
        <v>7185</v>
      </c>
      <c r="F301" t="s" s="0">
        <v>7186</v>
      </c>
      <c r="G301" t="s" s="0">
        <v>7187</v>
      </c>
      <c r="H301" t="s" s="0">
        <v>81</v>
      </c>
      <c r="I301" t="s" s="0">
        <v>82</v>
      </c>
      <c r="J301" t="s" s="0">
        <v>7188</v>
      </c>
      <c r="K301" t="s" s="0">
        <v>7189</v>
      </c>
      <c r="L301" t="s" s="0">
        <v>81</v>
      </c>
      <c r="M301" t="s" s="0">
        <v>81</v>
      </c>
      <c r="N301" t="s" s="0">
        <v>81</v>
      </c>
      <c r="O301" t="s" s="0">
        <v>7190</v>
      </c>
      <c r="P301" t="s" s="0">
        <v>7191</v>
      </c>
      <c r="Q301" t="s" s="0">
        <v>90</v>
      </c>
      <c r="R301" t="s" s="0">
        <v>81</v>
      </c>
      <c r="S301" t="s" s="0">
        <v>81</v>
      </c>
      <c r="T301" t="s" s="0">
        <v>81</v>
      </c>
      <c r="U301" t="s" s="0">
        <v>81</v>
      </c>
      <c r="V301" t="s" s="0">
        <v>7192</v>
      </c>
      <c r="W301" t="s" s="0">
        <v>7193</v>
      </c>
      <c r="X301" t="s" s="0">
        <v>81</v>
      </c>
      <c r="Y301" t="s" s="0">
        <v>81</v>
      </c>
      <c r="Z301" t="s" s="0">
        <v>93</v>
      </c>
      <c r="AA301" t="s" s="0">
        <v>94</v>
      </c>
      <c r="AB301" t="s" s="0">
        <v>81</v>
      </c>
      <c r="AC301" t="s" s="0">
        <v>81</v>
      </c>
      <c r="AD301" t="s" s="0">
        <v>81</v>
      </c>
      <c r="AE301" t="s" s="0">
        <v>81</v>
      </c>
      <c r="AF301" t="s" s="0">
        <v>81</v>
      </c>
      <c r="AG301" t="s" s="0">
        <v>7194</v>
      </c>
      <c r="AH301" t="s" s="0">
        <v>2294</v>
      </c>
      <c r="AI301" t="s" s="0">
        <v>7195</v>
      </c>
      <c r="AJ301" t="s" s="0">
        <v>7196</v>
      </c>
      <c r="AK301" t="s" s="0">
        <v>81</v>
      </c>
      <c r="AL301" t="s" s="0">
        <v>798</v>
      </c>
      <c r="AM301" t="s" s="0">
        <v>337</v>
      </c>
      <c r="AN301" t="s" s="0">
        <v>706</v>
      </c>
      <c r="AO301" t="s" s="0">
        <v>117</v>
      </c>
      <c r="AP301" t="s" s="0">
        <v>318</v>
      </c>
      <c r="AQ301" t="s" s="0">
        <v>7197</v>
      </c>
      <c r="AR301" t="s" s="0">
        <v>7198</v>
      </c>
      <c r="AS301" t="s" s="0">
        <v>7199</v>
      </c>
      <c r="AT301" t="s" s="0">
        <v>7200</v>
      </c>
      <c r="AU301" t="s" s="0">
        <v>81</v>
      </c>
      <c r="AV301" t="s" s="0">
        <v>81</v>
      </c>
      <c r="AW301" t="s" s="0">
        <v>7201</v>
      </c>
      <c r="AX301" t="s" s="0">
        <v>7202</v>
      </c>
      <c r="AY301" t="s" s="0">
        <v>851</v>
      </c>
      <c r="AZ301" t="s" s="0">
        <v>573</v>
      </c>
      <c r="BA301" t="s" s="0">
        <v>846</v>
      </c>
      <c r="BB301" t="s" s="0">
        <v>117</v>
      </c>
      <c r="BC301" t="s" s="0">
        <v>81</v>
      </c>
      <c r="BD301" t="s" s="0">
        <v>81</v>
      </c>
      <c r="BE301" t="s" s="0">
        <v>81</v>
      </c>
      <c r="BF301" t="s" s="0">
        <v>81</v>
      </c>
      <c r="BG301" t="s" s="0">
        <v>128</v>
      </c>
      <c r="BH301" t="s" s="0">
        <v>105</v>
      </c>
      <c r="BI301" t="s" s="0">
        <v>81</v>
      </c>
      <c r="BJ301" t="s" s="0">
        <v>7203</v>
      </c>
      <c r="BK301" t="s" s="598">
        <f>HYPERLINK("http://dx.doi.org/10.4274/dir.2023.232116","http://dx.doi.org/10.4274/dir.2023.232116")</f>
        <v>7204</v>
      </c>
      <c r="BL301" t="s" s="0">
        <v>81</v>
      </c>
      <c r="BM301" t="s" s="0">
        <v>81</v>
      </c>
      <c r="BN301" t="s" s="0">
        <v>226</v>
      </c>
      <c r="BO301" t="s" s="0">
        <v>1881</v>
      </c>
      <c r="BP301" t="s" s="0">
        <v>1881</v>
      </c>
      <c r="BQ301" t="s" s="0">
        <v>7205</v>
      </c>
      <c r="BR301" t="s" s="0">
        <v>7206</v>
      </c>
      <c r="BS301" t="s" s="0">
        <v>7207</v>
      </c>
      <c r="BT301" t="s" s="599">
        <f>HYPERLINK("https://www.webofscience.com/wos/woscc/full-record/WOS:001175843700010","View Record in Web of Science")</f>
        <v>114</v>
      </c>
      <c r="BU301" t="s" s="0">
        <v>145</v>
      </c>
      <c r="BV301" t="s" s="0">
        <v>81</v>
      </c>
      <c r="BW301" t="s" s="0">
        <v>81</v>
      </c>
      <c r="BX301" t="s" s="0">
        <v>116</v>
      </c>
    </row>
    <row r="302">
      <c r="A302" t="s" s="0">
        <v>77</v>
      </c>
      <c r="B302" t="s" s="0">
        <v>77</v>
      </c>
      <c r="C302" t="s" s="0">
        <v>117</v>
      </c>
      <c r="D302" t="s" s="0">
        <v>77</v>
      </c>
      <c r="E302" t="s" s="0">
        <v>7208</v>
      </c>
      <c r="F302" t="s" s="0">
        <v>7209</v>
      </c>
      <c r="G302" t="s" s="0">
        <v>7210</v>
      </c>
      <c r="H302" t="s" s="0">
        <v>81</v>
      </c>
      <c r="I302" t="s" s="0">
        <v>82</v>
      </c>
      <c r="J302" t="s" s="0">
        <v>7211</v>
      </c>
      <c r="K302" t="s" s="0">
        <v>7212</v>
      </c>
      <c r="L302" t="s" s="0">
        <v>7213</v>
      </c>
      <c r="M302" t="s" s="0">
        <v>7214</v>
      </c>
      <c r="N302" t="s" s="0">
        <v>7215</v>
      </c>
      <c r="O302" t="s" s="0">
        <v>7216</v>
      </c>
      <c r="P302" t="s" s="0">
        <v>7217</v>
      </c>
      <c r="Q302" t="s" s="0">
        <v>90</v>
      </c>
      <c r="R302" t="s" s="0">
        <v>81</v>
      </c>
      <c r="S302" t="s" s="0">
        <v>81</v>
      </c>
      <c r="T302" t="s" s="0">
        <v>81</v>
      </c>
      <c r="U302" t="s" s="0">
        <v>81</v>
      </c>
      <c r="V302" t="s" s="0">
        <v>7218</v>
      </c>
      <c r="W302" t="s" s="0">
        <v>7219</v>
      </c>
      <c r="X302" t="s" s="0">
        <v>81</v>
      </c>
      <c r="Y302" t="s" s="0">
        <v>81</v>
      </c>
      <c r="Z302" t="s" s="0">
        <v>93</v>
      </c>
      <c r="AA302" t="s" s="0">
        <v>94</v>
      </c>
      <c r="AB302" t="s" s="0">
        <v>81</v>
      </c>
      <c r="AC302" t="s" s="0">
        <v>81</v>
      </c>
      <c r="AD302" t="s" s="0">
        <v>81</v>
      </c>
      <c r="AE302" t="s" s="0">
        <v>81</v>
      </c>
      <c r="AF302" t="s" s="0">
        <v>81</v>
      </c>
      <c r="AG302" t="s" s="0">
        <v>7220</v>
      </c>
      <c r="AH302" t="s" s="0">
        <v>7221</v>
      </c>
      <c r="AI302" t="s" s="0">
        <v>7222</v>
      </c>
      <c r="AJ302" t="s" s="0">
        <v>7223</v>
      </c>
      <c r="AK302" t="s" s="0">
        <v>81</v>
      </c>
      <c r="AL302" t="s" s="0">
        <v>2225</v>
      </c>
      <c r="AM302" t="s" s="0">
        <v>228</v>
      </c>
      <c r="AN302" t="s" s="0">
        <v>137</v>
      </c>
      <c r="AO302" t="s" s="0">
        <v>167</v>
      </c>
      <c r="AP302" t="s" s="0">
        <v>167</v>
      </c>
      <c r="AQ302" t="s" s="0">
        <v>1098</v>
      </c>
      <c r="AR302" t="s" s="0">
        <v>1099</v>
      </c>
      <c r="AS302" t="s" s="0">
        <v>2052</v>
      </c>
      <c r="AT302" t="s" s="0">
        <v>7224</v>
      </c>
      <c r="AU302" t="s" s="0">
        <v>7225</v>
      </c>
      <c r="AV302" t="s" s="0">
        <v>81</v>
      </c>
      <c r="AW302" t="s" s="0">
        <v>7226</v>
      </c>
      <c r="AX302" t="s" s="0">
        <v>7227</v>
      </c>
      <c r="AY302" t="s" s="0">
        <v>2583</v>
      </c>
      <c r="AZ302" t="s" s="0">
        <v>104</v>
      </c>
      <c r="BA302" t="s" s="0">
        <v>564</v>
      </c>
      <c r="BB302" t="s" s="0">
        <v>130</v>
      </c>
      <c r="BC302" t="s" s="0">
        <v>81</v>
      </c>
      <c r="BD302" t="s" s="0">
        <v>81</v>
      </c>
      <c r="BE302" t="s" s="0">
        <v>81</v>
      </c>
      <c r="BF302" t="s" s="0">
        <v>81</v>
      </c>
      <c r="BG302" t="s" s="0">
        <v>7228</v>
      </c>
      <c r="BH302" t="s" s="0">
        <v>7229</v>
      </c>
      <c r="BI302" t="s" s="0">
        <v>81</v>
      </c>
      <c r="BJ302" t="s" s="0">
        <v>7230</v>
      </c>
      <c r="BK302" t="s" s="600">
        <f>HYPERLINK("http://dx.doi.org/10.1016/j.jcmg.2025.08.004","http://dx.doi.org/10.1016/j.jcmg.2025.08.004")</f>
        <v>7231</v>
      </c>
      <c r="BL302" t="s" s="0">
        <v>81</v>
      </c>
      <c r="BM302" t="s" s="0">
        <v>2583</v>
      </c>
      <c r="BN302" t="s" s="0">
        <v>237</v>
      </c>
      <c r="BO302" t="s" s="0">
        <v>383</v>
      </c>
      <c r="BP302" t="s" s="0">
        <v>384</v>
      </c>
      <c r="BQ302" t="s" s="0">
        <v>7232</v>
      </c>
      <c r="BR302" t="s" s="0">
        <v>7233</v>
      </c>
      <c r="BS302" t="s" s="0">
        <v>7234</v>
      </c>
      <c r="BT302" t="s" s="601">
        <f>HYPERLINK("https://www.webofscience.com/wos/woscc/full-record/WOS:001684643000001","View Record in Web of Science")</f>
        <v>114</v>
      </c>
      <c r="BU302" t="s" s="0">
        <v>804</v>
      </c>
      <c r="BV302" t="s" s="0">
        <v>915</v>
      </c>
      <c r="BW302" t="s" s="0">
        <v>916</v>
      </c>
      <c r="BX302" t="s" s="0">
        <v>116</v>
      </c>
    </row>
    <row r="303">
      <c r="A303" t="s" s="0">
        <v>77</v>
      </c>
      <c r="B303" t="s" s="0">
        <v>77</v>
      </c>
      <c r="C303" t="s" s="0">
        <v>117</v>
      </c>
      <c r="D303" t="s" s="0">
        <v>77</v>
      </c>
      <c r="E303" t="s" s="0">
        <v>7235</v>
      </c>
      <c r="F303" t="s" s="0">
        <v>7236</v>
      </c>
      <c r="G303" t="s" s="0">
        <v>7237</v>
      </c>
      <c r="H303" t="s" s="0">
        <v>81</v>
      </c>
      <c r="I303" t="s" s="0">
        <v>82</v>
      </c>
      <c r="J303" t="s" s="0">
        <v>7238</v>
      </c>
      <c r="K303" t="s" s="0">
        <v>7239</v>
      </c>
      <c r="L303" t="s" s="0">
        <v>7240</v>
      </c>
      <c r="M303" t="s" s="0">
        <v>7241</v>
      </c>
      <c r="N303" t="s" s="0">
        <v>7242</v>
      </c>
      <c r="O303" t="s" s="0">
        <v>7243</v>
      </c>
      <c r="P303" t="s" s="0">
        <v>7244</v>
      </c>
      <c r="Q303" t="s" s="0">
        <v>90</v>
      </c>
      <c r="R303" t="s" s="0">
        <v>81</v>
      </c>
      <c r="S303" t="s" s="0">
        <v>81</v>
      </c>
      <c r="T303" t="s" s="0">
        <v>81</v>
      </c>
      <c r="U303" t="s" s="0">
        <v>81</v>
      </c>
      <c r="V303" t="s" s="0">
        <v>7245</v>
      </c>
      <c r="W303" t="s" s="0">
        <v>2142</v>
      </c>
      <c r="X303" t="s" s="0">
        <v>81</v>
      </c>
      <c r="Y303" t="s" s="0">
        <v>81</v>
      </c>
      <c r="Z303" t="s" s="0">
        <v>93</v>
      </c>
      <c r="AA303" t="s" s="0">
        <v>94</v>
      </c>
      <c r="AB303" t="s" s="0">
        <v>81</v>
      </c>
      <c r="AC303" t="s" s="0">
        <v>81</v>
      </c>
      <c r="AD303" t="s" s="0">
        <v>81</v>
      </c>
      <c r="AE303" t="s" s="0">
        <v>81</v>
      </c>
      <c r="AF303" t="s" s="0">
        <v>81</v>
      </c>
      <c r="AG303" t="s" s="0">
        <v>7246</v>
      </c>
      <c r="AH303" t="s" s="0">
        <v>7247</v>
      </c>
      <c r="AI303" t="s" s="0">
        <v>7248</v>
      </c>
      <c r="AJ303" t="s" s="0">
        <v>7249</v>
      </c>
      <c r="AK303" t="s" s="0">
        <v>81</v>
      </c>
      <c r="AL303" t="s" s="0">
        <v>1421</v>
      </c>
      <c r="AM303" t="s" s="0">
        <v>131</v>
      </c>
      <c r="AN303" t="s" s="0">
        <v>131</v>
      </c>
      <c r="AO303" t="s" s="0">
        <v>130</v>
      </c>
      <c r="AP303" t="s" s="0">
        <v>563</v>
      </c>
      <c r="AQ303" t="s" s="0">
        <v>370</v>
      </c>
      <c r="AR303" t="s" s="0">
        <v>1099</v>
      </c>
      <c r="AS303" t="s" s="0">
        <v>1873</v>
      </c>
      <c r="AT303" t="s" s="0">
        <v>2147</v>
      </c>
      <c r="AU303" t="s" s="0">
        <v>2148</v>
      </c>
      <c r="AV303" t="s" s="0">
        <v>81</v>
      </c>
      <c r="AW303" t="s" s="0">
        <v>2149</v>
      </c>
      <c r="AX303" t="s" s="0">
        <v>2150</v>
      </c>
      <c r="AY303" t="s" s="0">
        <v>824</v>
      </c>
      <c r="AZ303" t="s" s="0">
        <v>136</v>
      </c>
      <c r="BA303" t="s" s="0">
        <v>159</v>
      </c>
      <c r="BB303" t="s" s="0">
        <v>161</v>
      </c>
      <c r="BC303" t="s" s="0">
        <v>81</v>
      </c>
      <c r="BD303" t="s" s="0">
        <v>81</v>
      </c>
      <c r="BE303" t="s" s="0">
        <v>81</v>
      </c>
      <c r="BF303" t="s" s="0">
        <v>81</v>
      </c>
      <c r="BG303" t="s" s="0">
        <v>7250</v>
      </c>
      <c r="BH303" t="s" s="0">
        <v>7251</v>
      </c>
      <c r="BI303" t="s" s="0">
        <v>81</v>
      </c>
      <c r="BJ303" t="s" s="0">
        <v>7252</v>
      </c>
      <c r="BK303" t="s" s="602">
        <f>HYPERLINK("http://dx.doi.org/10.1007/s00261-024-04766-y","http://dx.doi.org/10.1007/s00261-024-04766-y")</f>
        <v>7253</v>
      </c>
      <c r="BL303" t="s" s="0">
        <v>81</v>
      </c>
      <c r="BM303" t="s" s="0">
        <v>382</v>
      </c>
      <c r="BN303" t="s" s="0">
        <v>226</v>
      </c>
      <c r="BO303" t="s" s="0">
        <v>1881</v>
      </c>
      <c r="BP303" t="s" s="0">
        <v>1881</v>
      </c>
      <c r="BQ303" t="s" s="0">
        <v>7254</v>
      </c>
      <c r="BR303" t="s" s="0">
        <v>7255</v>
      </c>
      <c r="BS303" t="s" s="0">
        <v>7256</v>
      </c>
      <c r="BT303" t="s" s="603">
        <f>HYPERLINK("https://www.webofscience.com/wos/woscc/full-record/WOS:001388224400001","View Record in Web of Science")</f>
        <v>114</v>
      </c>
      <c r="BU303" t="s" s="0">
        <v>81</v>
      </c>
      <c r="BV303" t="s" s="0">
        <v>81</v>
      </c>
      <c r="BW303" t="s" s="0">
        <v>81</v>
      </c>
      <c r="BX303" t="s" s="0">
        <v>116</v>
      </c>
    </row>
    <row r="304">
      <c r="A304" t="s" s="0">
        <v>117</v>
      </c>
      <c r="B304" t="s" s="0">
        <v>77</v>
      </c>
      <c r="C304" t="s" s="0">
        <v>227</v>
      </c>
      <c r="D304" t="s" s="0">
        <v>77</v>
      </c>
      <c r="E304" t="s" s="0">
        <v>7257</v>
      </c>
      <c r="F304" t="s" s="0">
        <v>7258</v>
      </c>
      <c r="G304" t="s" s="0">
        <v>7259</v>
      </c>
      <c r="H304" t="s" s="0">
        <v>81</v>
      </c>
      <c r="I304" t="s" s="0">
        <v>82</v>
      </c>
      <c r="J304" t="s" s="0">
        <v>7260</v>
      </c>
      <c r="K304" t="s" s="0">
        <v>7261</v>
      </c>
      <c r="L304" t="s" s="0">
        <v>7262</v>
      </c>
      <c r="M304" t="s" s="0">
        <v>7263</v>
      </c>
      <c r="N304" t="s" s="0">
        <v>7264</v>
      </c>
      <c r="O304" t="s" s="0">
        <v>7265</v>
      </c>
      <c r="P304" t="s" s="0">
        <v>7266</v>
      </c>
      <c r="Q304" t="s" s="0">
        <v>90</v>
      </c>
      <c r="R304" t="s" s="0">
        <v>81</v>
      </c>
      <c r="S304" t="s" s="0">
        <v>81</v>
      </c>
      <c r="T304" t="s" s="0">
        <v>81</v>
      </c>
      <c r="U304" t="s" s="0">
        <v>81</v>
      </c>
      <c r="V304" t="s" s="0">
        <v>7267</v>
      </c>
      <c r="W304" t="s" s="0">
        <v>7268</v>
      </c>
      <c r="X304" t="s" s="0">
        <v>81</v>
      </c>
      <c r="Y304" t="s" s="0">
        <v>81</v>
      </c>
      <c r="Z304" t="s" s="0">
        <v>93</v>
      </c>
      <c r="AA304" t="s" s="0">
        <v>94</v>
      </c>
      <c r="AB304" t="s" s="0">
        <v>81</v>
      </c>
      <c r="AC304" t="s" s="0">
        <v>81</v>
      </c>
      <c r="AD304" t="s" s="0">
        <v>81</v>
      </c>
      <c r="AE304" t="s" s="0">
        <v>81</v>
      </c>
      <c r="AF304" t="s" s="0">
        <v>81</v>
      </c>
      <c r="AG304" t="s" s="0">
        <v>7269</v>
      </c>
      <c r="AH304" t="s" s="0">
        <v>7270</v>
      </c>
      <c r="AI304" t="s" s="0">
        <v>7271</v>
      </c>
      <c r="AJ304" t="s" s="0">
        <v>81</v>
      </c>
      <c r="AK304" t="s" s="0">
        <v>81</v>
      </c>
      <c r="AL304" t="s" s="0">
        <v>369</v>
      </c>
      <c r="AM304" t="s" s="0">
        <v>129</v>
      </c>
      <c r="AN304" t="s" s="0">
        <v>226</v>
      </c>
      <c r="AO304" t="s" s="0">
        <v>130</v>
      </c>
      <c r="AP304" t="s" s="0">
        <v>129</v>
      </c>
      <c r="AQ304" t="s" s="0">
        <v>338</v>
      </c>
      <c r="AR304" t="s" s="0">
        <v>339</v>
      </c>
      <c r="AS304" t="s" s="0">
        <v>340</v>
      </c>
      <c r="AT304" t="s" s="0">
        <v>7272</v>
      </c>
      <c r="AU304" t="s" s="0">
        <v>7273</v>
      </c>
      <c r="AV304" t="s" s="0">
        <v>81</v>
      </c>
      <c r="AW304" t="s" s="0">
        <v>7268</v>
      </c>
      <c r="AX304" t="s" s="0">
        <v>7274</v>
      </c>
      <c r="AY304" t="s" s="0">
        <v>7275</v>
      </c>
      <c r="AZ304" t="s" s="0">
        <v>573</v>
      </c>
      <c r="BA304" t="s" s="0">
        <v>337</v>
      </c>
      <c r="BB304" t="s" s="0">
        <v>117</v>
      </c>
      <c r="BC304" t="s" s="0">
        <v>81</v>
      </c>
      <c r="BD304" t="s" s="0">
        <v>81</v>
      </c>
      <c r="BE304" t="s" s="0">
        <v>81</v>
      </c>
      <c r="BF304" t="s" s="0">
        <v>81</v>
      </c>
      <c r="BG304" t="s" s="0">
        <v>81</v>
      </c>
      <c r="BH304" t="s" s="0">
        <v>81</v>
      </c>
      <c r="BI304" t="s" s="0">
        <v>7276</v>
      </c>
      <c r="BJ304" t="s" s="0">
        <v>7277</v>
      </c>
      <c r="BK304" t="s" s="604">
        <f>HYPERLINK("http://dx.doi.org/10.1186/s40644-024-00783-8","http://dx.doi.org/10.1186/s40644-024-00783-8")</f>
        <v>7278</v>
      </c>
      <c r="BL304" t="s" s="0">
        <v>81</v>
      </c>
      <c r="BM304" t="s" s="0">
        <v>81</v>
      </c>
      <c r="BN304" t="s" s="0">
        <v>167</v>
      </c>
      <c r="BO304" t="s" s="0">
        <v>5100</v>
      </c>
      <c r="BP304" t="s" s="0">
        <v>5100</v>
      </c>
      <c r="BQ304" t="s" s="0">
        <v>7279</v>
      </c>
      <c r="BR304" t="s" s="0">
        <v>7280</v>
      </c>
      <c r="BS304" t="s" s="0">
        <v>7281</v>
      </c>
      <c r="BT304" t="s" s="605">
        <f>HYPERLINK("https://www.webofscience.com/wos/woscc/full-record/WOS:001338314200001","View Record in Web of Science")</f>
        <v>114</v>
      </c>
      <c r="BU304" t="s" s="0">
        <v>145</v>
      </c>
      <c r="BV304" t="s" s="0">
        <v>81</v>
      </c>
      <c r="BW304" t="s" s="0">
        <v>81</v>
      </c>
      <c r="BX304" t="s" s="0">
        <v>116</v>
      </c>
    </row>
    <row r="305">
      <c r="A305" t="s" s="0">
        <v>77</v>
      </c>
      <c r="B305" t="s" s="0">
        <v>77</v>
      </c>
      <c r="C305" t="s" s="0">
        <v>130</v>
      </c>
      <c r="D305" t="s" s="0">
        <v>77</v>
      </c>
      <c r="E305" t="s" s="0">
        <v>7282</v>
      </c>
      <c r="F305" t="s" s="0">
        <v>7283</v>
      </c>
      <c r="G305" t="s" s="0">
        <v>7284</v>
      </c>
      <c r="H305" t="s" s="0">
        <v>81</v>
      </c>
      <c r="I305" t="s" s="0">
        <v>213</v>
      </c>
      <c r="J305" t="s" s="0">
        <v>7285</v>
      </c>
      <c r="K305" t="s" s="0">
        <v>7286</v>
      </c>
      <c r="L305" t="s" s="0">
        <v>7287</v>
      </c>
      <c r="M305" t="s" s="0">
        <v>7287</v>
      </c>
      <c r="N305" t="s" s="0">
        <v>7288</v>
      </c>
      <c r="O305" t="s" s="0">
        <v>7289</v>
      </c>
      <c r="P305" t="s" s="0">
        <v>7290</v>
      </c>
      <c r="Q305" t="s" s="0">
        <v>90</v>
      </c>
      <c r="R305" t="s" s="0">
        <v>81</v>
      </c>
      <c r="S305" t="s" s="0">
        <v>81</v>
      </c>
      <c r="T305" t="s" s="0">
        <v>81</v>
      </c>
      <c r="U305" t="s" s="0">
        <v>81</v>
      </c>
      <c r="V305" t="s" s="0">
        <v>7291</v>
      </c>
      <c r="W305" t="s" s="0">
        <v>7292</v>
      </c>
      <c r="X305" t="s" s="0">
        <v>81</v>
      </c>
      <c r="Y305" t="s" s="0">
        <v>81</v>
      </c>
      <c r="Z305" t="s" s="0">
        <v>93</v>
      </c>
      <c r="AA305" t="s" s="0">
        <v>94</v>
      </c>
      <c r="AB305" t="s" s="0">
        <v>81</v>
      </c>
      <c r="AC305" t="s" s="0">
        <v>81</v>
      </c>
      <c r="AD305" t="s" s="0">
        <v>81</v>
      </c>
      <c r="AE305" t="s" s="0">
        <v>81</v>
      </c>
      <c r="AF305" t="s" s="0">
        <v>81</v>
      </c>
      <c r="AG305" t="s" s="0">
        <v>7293</v>
      </c>
      <c r="AH305" t="s" s="0">
        <v>7294</v>
      </c>
      <c r="AI305" t="s" s="0">
        <v>7295</v>
      </c>
      <c r="AJ305" t="s" s="0">
        <v>81</v>
      </c>
      <c r="AK305" t="s" s="0">
        <v>81</v>
      </c>
      <c r="AL305" t="s" s="0">
        <v>705</v>
      </c>
      <c r="AM305" t="s" s="0">
        <v>131</v>
      </c>
      <c r="AN305" t="s" s="0">
        <v>161</v>
      </c>
      <c r="AO305" t="s" s="0">
        <v>117</v>
      </c>
      <c r="AP305" t="s" s="0">
        <v>117</v>
      </c>
      <c r="AQ305" t="s" s="0">
        <v>476</v>
      </c>
      <c r="AR305" t="s" s="0">
        <v>477</v>
      </c>
      <c r="AS305" t="s" s="0">
        <v>478</v>
      </c>
      <c r="AT305" t="s" s="0">
        <v>81</v>
      </c>
      <c r="AU305" t="s" s="0">
        <v>7296</v>
      </c>
      <c r="AV305" t="s" s="0">
        <v>81</v>
      </c>
      <c r="AW305" t="s" s="0">
        <v>7292</v>
      </c>
      <c r="AX305" t="s" s="0">
        <v>7297</v>
      </c>
      <c r="AY305" t="s" s="0">
        <v>7298</v>
      </c>
      <c r="AZ305" t="s" s="0">
        <v>1519</v>
      </c>
      <c r="BA305" t="s" s="0">
        <v>227</v>
      </c>
      <c r="BB305" t="s" s="0">
        <v>227</v>
      </c>
      <c r="BC305" t="s" s="0">
        <v>81</v>
      </c>
      <c r="BD305" t="s" s="0">
        <v>81</v>
      </c>
      <c r="BE305" t="s" s="0">
        <v>81</v>
      </c>
      <c r="BF305" t="s" s="0">
        <v>81</v>
      </c>
      <c r="BG305" t="s" s="0">
        <v>7299</v>
      </c>
      <c r="BH305" t="s" s="0">
        <v>7300</v>
      </c>
      <c r="BI305" t="s" s="0">
        <v>81</v>
      </c>
      <c r="BJ305" t="s" s="0">
        <v>7301</v>
      </c>
      <c r="BK305" t="s" s="606">
        <f>HYPERLINK("http://dx.doi.org/10.3390/biomedinformatics3030034","http://dx.doi.org/10.3390/biomedinformatics3030034")</f>
        <v>7302</v>
      </c>
      <c r="BL305" t="s" s="0">
        <v>81</v>
      </c>
      <c r="BM305" t="s" s="0">
        <v>81</v>
      </c>
      <c r="BN305" t="s" s="0">
        <v>475</v>
      </c>
      <c r="BO305" t="s" s="0">
        <v>7303</v>
      </c>
      <c r="BP305" t="s" s="0">
        <v>7303</v>
      </c>
      <c r="BQ305" t="s" s="0">
        <v>7304</v>
      </c>
      <c r="BR305" t="s" s="0">
        <v>81</v>
      </c>
      <c r="BS305" t="s" s="0">
        <v>7305</v>
      </c>
      <c r="BT305" t="s" s="607">
        <f>HYPERLINK("https://www.webofscience.com/wos/woscc/full-record/WOS:001644279800001","View Record in Web of Science")</f>
        <v>114</v>
      </c>
      <c r="BU305" t="s" s="0">
        <v>145</v>
      </c>
      <c r="BV305" t="s" s="0">
        <v>81</v>
      </c>
      <c r="BW305" t="s" s="0">
        <v>81</v>
      </c>
      <c r="BX305" t="s" s="0">
        <v>116</v>
      </c>
    </row>
    <row r="306">
      <c r="A306" t="s" s="0">
        <v>77</v>
      </c>
      <c r="B306" t="s" s="0">
        <v>77</v>
      </c>
      <c r="C306" t="s" s="0">
        <v>77</v>
      </c>
      <c r="D306" t="s" s="0">
        <v>77</v>
      </c>
      <c r="E306" t="s" s="0">
        <v>7306</v>
      </c>
      <c r="F306" t="s" s="0">
        <v>7307</v>
      </c>
      <c r="G306" t="s" s="0">
        <v>7308</v>
      </c>
      <c r="H306" t="s" s="0">
        <v>81</v>
      </c>
      <c r="I306" t="s" s="0">
        <v>82</v>
      </c>
      <c r="J306" t="s" s="0">
        <v>7309</v>
      </c>
      <c r="K306" t="s" s="0">
        <v>7310</v>
      </c>
      <c r="L306" t="s" s="0">
        <v>7311</v>
      </c>
      <c r="M306" t="s" s="0">
        <v>7312</v>
      </c>
      <c r="N306" t="s" s="0">
        <v>7313</v>
      </c>
      <c r="O306" t="s" s="0">
        <v>7314</v>
      </c>
      <c r="P306" t="s" s="0">
        <v>7315</v>
      </c>
      <c r="Q306" t="s" s="0">
        <v>90</v>
      </c>
      <c r="R306" t="s" s="0">
        <v>81</v>
      </c>
      <c r="S306" t="s" s="0">
        <v>81</v>
      </c>
      <c r="T306" t="s" s="0">
        <v>81</v>
      </c>
      <c r="U306" t="s" s="0">
        <v>81</v>
      </c>
      <c r="V306" t="s" s="0">
        <v>7316</v>
      </c>
      <c r="W306" t="s" s="0">
        <v>7317</v>
      </c>
      <c r="X306" t="s" s="0">
        <v>81</v>
      </c>
      <c r="Y306" t="s" s="0">
        <v>81</v>
      </c>
      <c r="Z306" t="s" s="0">
        <v>93</v>
      </c>
      <c r="AA306" t="s" s="0">
        <v>94</v>
      </c>
      <c r="AB306" t="s" s="0">
        <v>81</v>
      </c>
      <c r="AC306" t="s" s="0">
        <v>81</v>
      </c>
      <c r="AD306" t="s" s="0">
        <v>81</v>
      </c>
      <c r="AE306" t="s" s="0">
        <v>81</v>
      </c>
      <c r="AF306" t="s" s="0">
        <v>81</v>
      </c>
      <c r="AG306" t="s" s="0">
        <v>7318</v>
      </c>
      <c r="AH306" t="s" s="0">
        <v>81</v>
      </c>
      <c r="AI306" t="s" s="0">
        <v>7319</v>
      </c>
      <c r="AJ306" t="s" s="0">
        <v>81</v>
      </c>
      <c r="AK306" t="s" s="0">
        <v>81</v>
      </c>
      <c r="AL306" t="s" s="0">
        <v>252</v>
      </c>
      <c r="AM306" t="s" s="0">
        <v>77</v>
      </c>
      <c r="AN306" t="s" s="0">
        <v>77</v>
      </c>
      <c r="AO306" t="s" s="0">
        <v>227</v>
      </c>
      <c r="AP306" t="s" s="0">
        <v>253</v>
      </c>
      <c r="AQ306" t="s" s="0">
        <v>7320</v>
      </c>
      <c r="AR306" t="s" s="0">
        <v>7321</v>
      </c>
      <c r="AS306" t="s" s="0">
        <v>7322</v>
      </c>
      <c r="AT306" t="s" s="0">
        <v>7323</v>
      </c>
      <c r="AU306" t="s" s="0">
        <v>7324</v>
      </c>
      <c r="AV306" t="s" s="0">
        <v>81</v>
      </c>
      <c r="AW306" t="s" s="0">
        <v>7325</v>
      </c>
      <c r="AX306" t="s" s="0">
        <v>7326</v>
      </c>
      <c r="AY306" t="s" s="0">
        <v>136</v>
      </c>
      <c r="AZ306" t="s" s="0">
        <v>136</v>
      </c>
      <c r="BA306" t="s" s="0">
        <v>345</v>
      </c>
      <c r="BB306" t="s" s="0">
        <v>227</v>
      </c>
      <c r="BC306" t="s" s="0">
        <v>81</v>
      </c>
      <c r="BD306" t="s" s="0">
        <v>81</v>
      </c>
      <c r="BE306" t="s" s="0">
        <v>81</v>
      </c>
      <c r="BF306" t="s" s="0">
        <v>81</v>
      </c>
      <c r="BG306" t="s" s="0">
        <v>313</v>
      </c>
      <c r="BH306" t="s" s="0">
        <v>7327</v>
      </c>
      <c r="BI306" t="s" s="0">
        <v>81</v>
      </c>
      <c r="BJ306" t="s" s="0">
        <v>7328</v>
      </c>
      <c r="BK306" t="s" s="608">
        <f>HYPERLINK("http://dx.doi.org/10.1504/IJBIC.2025.149561","http://dx.doi.org/10.1504/IJBIC.2025.149561")</f>
        <v>7329</v>
      </c>
      <c r="BL306" t="s" s="0">
        <v>81</v>
      </c>
      <c r="BM306" t="s" s="0">
        <v>81</v>
      </c>
      <c r="BN306" t="s" s="0">
        <v>226</v>
      </c>
      <c r="BO306" t="s" s="0">
        <v>419</v>
      </c>
      <c r="BP306" t="s" s="0">
        <v>420</v>
      </c>
      <c r="BQ306" t="s" s="0">
        <v>7330</v>
      </c>
      <c r="BR306" t="s" s="0">
        <v>81</v>
      </c>
      <c r="BS306" t="s" s="0">
        <v>7331</v>
      </c>
      <c r="BT306" t="s" s="609">
        <f>HYPERLINK("https://www.webofscience.com/wos/woscc/full-record/WOS:001611250500001","View Record in Web of Science")</f>
        <v>114</v>
      </c>
      <c r="BU306" t="s" s="0">
        <v>81</v>
      </c>
      <c r="BV306" t="s" s="0">
        <v>81</v>
      </c>
      <c r="BW306" t="s" s="0">
        <v>81</v>
      </c>
      <c r="BX306" t="s" s="0">
        <v>116</v>
      </c>
    </row>
    <row r="307">
      <c r="A307" t="s" s="0">
        <v>130</v>
      </c>
      <c r="B307" t="s" s="0">
        <v>77</v>
      </c>
      <c r="C307" t="s" s="0">
        <v>128</v>
      </c>
      <c r="D307" t="s" s="0">
        <v>77</v>
      </c>
      <c r="E307" t="s" s="0">
        <v>7332</v>
      </c>
      <c r="F307" t="s" s="0">
        <v>7333</v>
      </c>
      <c r="G307" t="s" s="0">
        <v>7334</v>
      </c>
      <c r="H307" t="s" s="0">
        <v>81</v>
      </c>
      <c r="I307" t="s" s="0">
        <v>82</v>
      </c>
      <c r="J307" t="s" s="0">
        <v>7335</v>
      </c>
      <c r="K307" t="s" s="0">
        <v>7336</v>
      </c>
      <c r="L307" t="s" s="0">
        <v>7337</v>
      </c>
      <c r="M307" t="s" s="0">
        <v>7338</v>
      </c>
      <c r="N307" t="s" s="0">
        <v>7339</v>
      </c>
      <c r="O307" t="s" s="0">
        <v>7340</v>
      </c>
      <c r="P307" t="s" s="0">
        <v>7341</v>
      </c>
      <c r="Q307" t="s" s="0">
        <v>90</v>
      </c>
      <c r="R307" t="s" s="0">
        <v>81</v>
      </c>
      <c r="S307" t="s" s="0">
        <v>81</v>
      </c>
      <c r="T307" t="s" s="0">
        <v>81</v>
      </c>
      <c r="U307" t="s" s="0">
        <v>81</v>
      </c>
      <c r="V307" t="s" s="0">
        <v>7342</v>
      </c>
      <c r="W307" t="s" s="0">
        <v>154</v>
      </c>
      <c r="X307" t="s" s="0">
        <v>81</v>
      </c>
      <c r="Y307" t="s" s="0">
        <v>81</v>
      </c>
      <c r="Z307" t="s" s="0">
        <v>93</v>
      </c>
      <c r="AA307" t="s" s="0">
        <v>94</v>
      </c>
      <c r="AB307" t="s" s="0">
        <v>81</v>
      </c>
      <c r="AC307" t="s" s="0">
        <v>81</v>
      </c>
      <c r="AD307" t="s" s="0">
        <v>81</v>
      </c>
      <c r="AE307" t="s" s="0">
        <v>81</v>
      </c>
      <c r="AF307" t="s" s="0">
        <v>81</v>
      </c>
      <c r="AG307" t="s" s="0">
        <v>7343</v>
      </c>
      <c r="AH307" t="s" s="0">
        <v>7344</v>
      </c>
      <c r="AI307" t="s" s="0">
        <v>7345</v>
      </c>
      <c r="AJ307" t="s" s="0">
        <v>7346</v>
      </c>
      <c r="AK307" t="s" s="0">
        <v>81</v>
      </c>
      <c r="AL307" t="s" s="0">
        <v>1515</v>
      </c>
      <c r="AM307" t="s" s="0">
        <v>405</v>
      </c>
      <c r="AN307" t="s" s="0">
        <v>562</v>
      </c>
      <c r="AO307" t="s" s="0">
        <v>227</v>
      </c>
      <c r="AP307" t="s" s="0">
        <v>1067</v>
      </c>
      <c r="AQ307" t="s" s="0">
        <v>162</v>
      </c>
      <c r="AR307" t="s" s="0">
        <v>163</v>
      </c>
      <c r="AS307" t="s" s="0">
        <v>164</v>
      </c>
      <c r="AT307" t="s" s="0">
        <v>165</v>
      </c>
      <c r="AU307" t="s" s="0">
        <v>81</v>
      </c>
      <c r="AV307" t="s" s="0">
        <v>81</v>
      </c>
      <c r="AW307" t="s" s="0">
        <v>154</v>
      </c>
      <c r="AX307" t="s" s="0">
        <v>166</v>
      </c>
      <c r="AY307" t="s" s="0">
        <v>1519</v>
      </c>
      <c r="AZ307" t="s" s="0">
        <v>1519</v>
      </c>
      <c r="BA307" t="s" s="0">
        <v>204</v>
      </c>
      <c r="BB307" t="s" s="0">
        <v>81</v>
      </c>
      <c r="BC307" t="s" s="0">
        <v>81</v>
      </c>
      <c r="BD307" t="s" s="0">
        <v>81</v>
      </c>
      <c r="BE307" t="s" s="0">
        <v>81</v>
      </c>
      <c r="BF307" t="s" s="0">
        <v>81</v>
      </c>
      <c r="BG307" t="s" s="0">
        <v>7347</v>
      </c>
      <c r="BH307" t="s" s="0">
        <v>7348</v>
      </c>
      <c r="BI307" t="s" s="0">
        <v>81</v>
      </c>
      <c r="BJ307" t="s" s="0">
        <v>7349</v>
      </c>
      <c r="BK307" t="s" s="610">
        <f>HYPERLINK("http://dx.doi.org/10.1109/ACCESS.2023.3275126","http://dx.doi.org/10.1109/ACCESS.2023.3275126")</f>
        <v>7350</v>
      </c>
      <c r="BL307" t="s" s="0">
        <v>81</v>
      </c>
      <c r="BM307" t="s" s="0">
        <v>81</v>
      </c>
      <c r="BN307" t="s" s="0">
        <v>137</v>
      </c>
      <c r="BO307" t="s" s="0">
        <v>173</v>
      </c>
      <c r="BP307" t="s" s="0">
        <v>174</v>
      </c>
      <c r="BQ307" t="s" s="0">
        <v>7351</v>
      </c>
      <c r="BR307" t="s" s="0">
        <v>81</v>
      </c>
      <c r="BS307" t="s" s="0">
        <v>7352</v>
      </c>
      <c r="BT307" t="s" s="611">
        <f>HYPERLINK("https://www.webofscience.com/wos/woscc/full-record/WOS:001010128600001","View Record in Web of Science")</f>
        <v>114</v>
      </c>
      <c r="BU307" t="s" s="0">
        <v>145</v>
      </c>
      <c r="BV307" t="s" s="0">
        <v>81</v>
      </c>
      <c r="BW307" t="s" s="0">
        <v>81</v>
      </c>
      <c r="BX307" t="s" s="0">
        <v>116</v>
      </c>
    </row>
    <row r="308">
      <c r="A308" t="s" s="0">
        <v>77</v>
      </c>
      <c r="B308" t="s" s="0">
        <v>77</v>
      </c>
      <c r="C308" t="s" s="0">
        <v>77</v>
      </c>
      <c r="D308" t="s" s="0">
        <v>77</v>
      </c>
      <c r="E308" t="s" s="0">
        <v>7353</v>
      </c>
      <c r="F308" t="s" s="0">
        <v>7354</v>
      </c>
      <c r="G308" t="s" s="0">
        <v>7355</v>
      </c>
      <c r="H308" t="s" s="0">
        <v>81</v>
      </c>
      <c r="I308" t="s" s="0">
        <v>82</v>
      </c>
      <c r="J308" t="s" s="0">
        <v>7356</v>
      </c>
      <c r="K308" t="s" s="0">
        <v>7357</v>
      </c>
      <c r="L308" t="s" s="0">
        <v>7358</v>
      </c>
      <c r="M308" t="s" s="0">
        <v>7358</v>
      </c>
      <c r="N308" t="s" s="0">
        <v>7359</v>
      </c>
      <c r="O308" t="s" s="0">
        <v>7360</v>
      </c>
      <c r="P308" t="s" s="0">
        <v>7361</v>
      </c>
      <c r="Q308" t="s" s="0">
        <v>90</v>
      </c>
      <c r="R308" t="s" s="0">
        <v>81</v>
      </c>
      <c r="S308" t="s" s="0">
        <v>81</v>
      </c>
      <c r="T308" t="s" s="0">
        <v>81</v>
      </c>
      <c r="U308" t="s" s="0">
        <v>81</v>
      </c>
      <c r="V308" t="s" s="0">
        <v>7362</v>
      </c>
      <c r="W308" t="s" s="0">
        <v>7363</v>
      </c>
      <c r="X308" t="s" s="0">
        <v>81</v>
      </c>
      <c r="Y308" t="s" s="0">
        <v>81</v>
      </c>
      <c r="Z308" t="s" s="0">
        <v>93</v>
      </c>
      <c r="AA308" t="s" s="0">
        <v>94</v>
      </c>
      <c r="AB308" t="s" s="0">
        <v>81</v>
      </c>
      <c r="AC308" t="s" s="0">
        <v>81</v>
      </c>
      <c r="AD308" t="s" s="0">
        <v>81</v>
      </c>
      <c r="AE308" t="s" s="0">
        <v>81</v>
      </c>
      <c r="AF308" t="s" s="0">
        <v>81</v>
      </c>
      <c r="AG308" t="s" s="0">
        <v>7364</v>
      </c>
      <c r="AH308" t="s" s="0">
        <v>7365</v>
      </c>
      <c r="AI308" t="s" s="0">
        <v>7366</v>
      </c>
      <c r="AJ308" t="s" s="0">
        <v>81</v>
      </c>
      <c r="AK308" t="s" s="0">
        <v>81</v>
      </c>
      <c r="AL308" t="s" s="0">
        <v>7367</v>
      </c>
      <c r="AM308" t="s" s="0">
        <v>77</v>
      </c>
      <c r="AN308" t="s" s="0">
        <v>77</v>
      </c>
      <c r="AO308" t="s" s="0">
        <v>77</v>
      </c>
      <c r="AP308" t="s" s="0">
        <v>77</v>
      </c>
      <c r="AQ308" t="s" s="0">
        <v>476</v>
      </c>
      <c r="AR308" t="s" s="0">
        <v>477</v>
      </c>
      <c r="AS308" t="s" s="0">
        <v>478</v>
      </c>
      <c r="AT308" t="s" s="0">
        <v>81</v>
      </c>
      <c r="AU308" t="s" s="0">
        <v>7368</v>
      </c>
      <c r="AV308" t="s" s="0">
        <v>81</v>
      </c>
      <c r="AW308" t="s" s="0">
        <v>7363</v>
      </c>
      <c r="AX308" t="s" s="0">
        <v>7358</v>
      </c>
      <c r="AY308" t="s" s="0">
        <v>3905</v>
      </c>
      <c r="AZ308" t="s" s="0">
        <v>104</v>
      </c>
      <c r="BA308" t="s" s="0">
        <v>228</v>
      </c>
      <c r="BB308" t="s" s="0">
        <v>253</v>
      </c>
      <c r="BC308" t="s" s="0">
        <v>81</v>
      </c>
      <c r="BD308" t="s" s="0">
        <v>81</v>
      </c>
      <c r="BE308" t="s" s="0">
        <v>81</v>
      </c>
      <c r="BF308" t="s" s="0">
        <v>81</v>
      </c>
      <c r="BG308" t="s" s="0">
        <v>81</v>
      </c>
      <c r="BH308" t="s" s="0">
        <v>81</v>
      </c>
      <c r="BI308" t="s" s="0">
        <v>7369</v>
      </c>
      <c r="BJ308" t="s" s="0">
        <v>7370</v>
      </c>
      <c r="BK308" t="s" s="612">
        <f>HYPERLINK("http://dx.doi.org/10.3390/biomedicines14051129","http://dx.doi.org/10.3390/biomedicines14051129")</f>
        <v>7371</v>
      </c>
      <c r="BL308" t="s" s="0">
        <v>81</v>
      </c>
      <c r="BM308" t="s" s="0">
        <v>203</v>
      </c>
      <c r="BN308" t="s" s="0">
        <v>258</v>
      </c>
      <c r="BO308" t="s" s="0">
        <v>7372</v>
      </c>
      <c r="BP308" t="s" s="0">
        <v>7373</v>
      </c>
      <c r="BQ308" t="s" s="0">
        <v>7374</v>
      </c>
      <c r="BR308" t="s" s="0">
        <v>7375</v>
      </c>
      <c r="BS308" t="s" s="0">
        <v>7376</v>
      </c>
      <c r="BT308" t="s" s="613">
        <f>HYPERLINK("https://www.webofscience.com/wos/woscc/full-record/WOS:001776479700001","View Record in Web of Science")</f>
        <v>114</v>
      </c>
      <c r="BU308" t="s" s="0">
        <v>3605</v>
      </c>
      <c r="BV308" t="s" s="0">
        <v>81</v>
      </c>
      <c r="BW308" t="s" s="0">
        <v>81</v>
      </c>
      <c r="BX308" t="s" s="0">
        <v>116</v>
      </c>
    </row>
    <row r="309">
      <c r="A309" t="s" s="0">
        <v>77</v>
      </c>
      <c r="B309" t="s" s="0">
        <v>77</v>
      </c>
      <c r="C309" t="s" s="0">
        <v>77</v>
      </c>
      <c r="D309" t="s" s="0">
        <v>77</v>
      </c>
      <c r="E309" t="s" s="0">
        <v>7377</v>
      </c>
      <c r="F309" t="s" s="0">
        <v>7378</v>
      </c>
      <c r="G309" t="s" s="0">
        <v>7379</v>
      </c>
      <c r="H309" t="s" s="0">
        <v>81</v>
      </c>
      <c r="I309" t="s" s="0">
        <v>213</v>
      </c>
      <c r="J309" t="s" s="0">
        <v>7380</v>
      </c>
      <c r="K309" t="s" s="0">
        <v>7381</v>
      </c>
      <c r="L309" t="s" s="0">
        <v>7382</v>
      </c>
      <c r="M309" t="s" s="0">
        <v>7382</v>
      </c>
      <c r="N309" t="s" s="0">
        <v>7383</v>
      </c>
      <c r="O309" t="s" s="0">
        <v>7384</v>
      </c>
      <c r="P309" t="s" s="0">
        <v>7385</v>
      </c>
      <c r="Q309" t="s" s="0">
        <v>90</v>
      </c>
      <c r="R309" t="s" s="0">
        <v>81</v>
      </c>
      <c r="S309" t="s" s="0">
        <v>81</v>
      </c>
      <c r="T309" t="s" s="0">
        <v>81</v>
      </c>
      <c r="U309" t="s" s="0">
        <v>81</v>
      </c>
      <c r="V309" t="s" s="0">
        <v>7386</v>
      </c>
      <c r="W309" t="s" s="0">
        <v>7387</v>
      </c>
      <c r="X309" t="s" s="0">
        <v>81</v>
      </c>
      <c r="Y309" t="s" s="0">
        <v>81</v>
      </c>
      <c r="Z309" t="s" s="0">
        <v>93</v>
      </c>
      <c r="AA309" t="s" s="0">
        <v>94</v>
      </c>
      <c r="AB309" t="s" s="0">
        <v>81</v>
      </c>
      <c r="AC309" t="s" s="0">
        <v>81</v>
      </c>
      <c r="AD309" t="s" s="0">
        <v>81</v>
      </c>
      <c r="AE309" t="s" s="0">
        <v>81</v>
      </c>
      <c r="AF309" t="s" s="0">
        <v>81</v>
      </c>
      <c r="AG309" t="s" s="0">
        <v>7388</v>
      </c>
      <c r="AH309" t="s" s="0">
        <v>81</v>
      </c>
      <c r="AI309" t="s" s="0">
        <v>7389</v>
      </c>
      <c r="AJ309" t="s" s="0">
        <v>7390</v>
      </c>
      <c r="AK309" t="s" s="0">
        <v>81</v>
      </c>
      <c r="AL309" t="s" s="0">
        <v>541</v>
      </c>
      <c r="AM309" t="s" s="0">
        <v>130</v>
      </c>
      <c r="AN309" t="s" s="0">
        <v>130</v>
      </c>
      <c r="AO309" t="s" s="0">
        <v>77</v>
      </c>
      <c r="AP309" t="s" s="0">
        <v>131</v>
      </c>
      <c r="AQ309" t="s" s="0">
        <v>162</v>
      </c>
      <c r="AR309" t="s" s="0">
        <v>163</v>
      </c>
      <c r="AS309" t="s" s="0">
        <v>164</v>
      </c>
      <c r="AT309" t="s" s="0">
        <v>81</v>
      </c>
      <c r="AU309" t="s" s="0">
        <v>7391</v>
      </c>
      <c r="AV309" t="s" s="0">
        <v>81</v>
      </c>
      <c r="AW309" t="s" s="0">
        <v>7392</v>
      </c>
      <c r="AX309" t="s" s="0">
        <v>7393</v>
      </c>
      <c r="AY309" t="s" s="0">
        <v>573</v>
      </c>
      <c r="AZ309" t="s" s="0">
        <v>573</v>
      </c>
      <c r="BA309" t="s" s="0">
        <v>253</v>
      </c>
      <c r="BB309" t="s" s="0">
        <v>81</v>
      </c>
      <c r="BC309" t="s" s="0">
        <v>81</v>
      </c>
      <c r="BD309" t="s" s="0">
        <v>81</v>
      </c>
      <c r="BE309" t="s" s="0">
        <v>81</v>
      </c>
      <c r="BF309" t="s" s="0">
        <v>81</v>
      </c>
      <c r="BG309" t="s" s="0">
        <v>7394</v>
      </c>
      <c r="BH309" t="s" s="0">
        <v>7395</v>
      </c>
      <c r="BI309" t="s" s="0">
        <v>81</v>
      </c>
      <c r="BJ309" t="s" s="0">
        <v>7396</v>
      </c>
      <c r="BK309" t="s" s="614">
        <f>HYPERLINK("http://dx.doi.org/10.1109/OJEMB.2024.3403948","http://dx.doi.org/10.1109/OJEMB.2024.3403948")</f>
        <v>7397</v>
      </c>
      <c r="BL309" t="s" s="0">
        <v>81</v>
      </c>
      <c r="BM309" t="s" s="0">
        <v>81</v>
      </c>
      <c r="BN309" t="s" s="0">
        <v>128</v>
      </c>
      <c r="BO309" t="s" s="0">
        <v>238</v>
      </c>
      <c r="BP309" t="s" s="0">
        <v>239</v>
      </c>
      <c r="BQ309" t="s" s="0">
        <v>7398</v>
      </c>
      <c r="BR309" t="s" s="0">
        <v>7399</v>
      </c>
      <c r="BS309" t="s" s="0">
        <v>7400</v>
      </c>
      <c r="BT309" t="s" s="615">
        <f>HYPERLINK("https://www.webofscience.com/wos/woscc/full-record/WOS:001351909400003","View Record in Web of Science")</f>
        <v>114</v>
      </c>
      <c r="BU309" t="s" s="0">
        <v>145</v>
      </c>
      <c r="BV309" t="s" s="0">
        <v>81</v>
      </c>
      <c r="BW309" t="s" s="0">
        <v>81</v>
      </c>
      <c r="BX309" t="s" s="0">
        <v>116</v>
      </c>
    </row>
    <row r="310">
      <c r="A310" t="s" s="0">
        <v>77</v>
      </c>
      <c r="B310" t="s" s="0">
        <v>77</v>
      </c>
      <c r="C310" t="s" s="0">
        <v>77</v>
      </c>
      <c r="D310" t="s" s="0">
        <v>77</v>
      </c>
      <c r="E310" t="s" s="0">
        <v>7401</v>
      </c>
      <c r="F310" t="s" s="0">
        <v>7402</v>
      </c>
      <c r="G310" t="s" s="0">
        <v>7403</v>
      </c>
      <c r="H310" t="s" s="0">
        <v>81</v>
      </c>
      <c r="I310" t="s" s="0">
        <v>82</v>
      </c>
      <c r="J310" t="s" s="0">
        <v>7404</v>
      </c>
      <c r="K310" t="s" s="0">
        <v>7405</v>
      </c>
      <c r="L310" t="s" s="0">
        <v>7406</v>
      </c>
      <c r="M310" t="s" s="0">
        <v>7407</v>
      </c>
      <c r="N310" t="s" s="0">
        <v>7408</v>
      </c>
      <c r="O310" t="s" s="0">
        <v>7409</v>
      </c>
      <c r="P310" t="s" s="0">
        <v>7410</v>
      </c>
      <c r="Q310" t="s" s="0">
        <v>90</v>
      </c>
      <c r="R310" t="s" s="0">
        <v>81</v>
      </c>
      <c r="S310" t="s" s="0">
        <v>81</v>
      </c>
      <c r="T310" t="s" s="0">
        <v>81</v>
      </c>
      <c r="U310" t="s" s="0">
        <v>81</v>
      </c>
      <c r="V310" t="s" s="0">
        <v>7411</v>
      </c>
      <c r="W310" t="s" s="0">
        <v>7412</v>
      </c>
      <c r="X310" t="s" s="0">
        <v>81</v>
      </c>
      <c r="Y310" t="s" s="0">
        <v>81</v>
      </c>
      <c r="Z310" t="s" s="0">
        <v>93</v>
      </c>
      <c r="AA310" t="s" s="0">
        <v>190</v>
      </c>
      <c r="AB310" t="s" s="0">
        <v>81</v>
      </c>
      <c r="AC310" t="s" s="0">
        <v>81</v>
      </c>
      <c r="AD310" t="s" s="0">
        <v>81</v>
      </c>
      <c r="AE310" t="s" s="0">
        <v>81</v>
      </c>
      <c r="AF310" t="s" s="0">
        <v>81</v>
      </c>
      <c r="AG310" t="s" s="0">
        <v>7413</v>
      </c>
      <c r="AH310" t="s" s="0">
        <v>7414</v>
      </c>
      <c r="AI310" t="s" s="0">
        <v>7415</v>
      </c>
      <c r="AJ310" t="s" s="0">
        <v>81</v>
      </c>
      <c r="AK310" t="s" s="0">
        <v>81</v>
      </c>
      <c r="AL310" t="s" s="0">
        <v>159</v>
      </c>
      <c r="AM310" t="s" s="0">
        <v>77</v>
      </c>
      <c r="AN310" t="s" s="0">
        <v>77</v>
      </c>
      <c r="AO310" t="s" s="0">
        <v>117</v>
      </c>
      <c r="AP310" t="s" s="0">
        <v>117</v>
      </c>
      <c r="AQ310" t="s" s="0">
        <v>7416</v>
      </c>
      <c r="AR310" t="s" s="0">
        <v>7417</v>
      </c>
      <c r="AS310" t="s" s="0">
        <v>7418</v>
      </c>
      <c r="AT310" t="s" s="0">
        <v>7419</v>
      </c>
      <c r="AU310" t="s" s="0">
        <v>7420</v>
      </c>
      <c r="AV310" t="s" s="0">
        <v>81</v>
      </c>
      <c r="AW310" t="s" s="0">
        <v>7421</v>
      </c>
      <c r="AX310" t="s" s="0">
        <v>7422</v>
      </c>
      <c r="AY310" t="s" s="0">
        <v>81</v>
      </c>
      <c r="AZ310" t="s" s="0">
        <v>104</v>
      </c>
      <c r="BA310" t="s" s="0">
        <v>81</v>
      </c>
      <c r="BB310" t="s" s="0">
        <v>81</v>
      </c>
      <c r="BC310" t="s" s="0">
        <v>81</v>
      </c>
      <c r="BD310" t="s" s="0">
        <v>81</v>
      </c>
      <c r="BE310" t="s" s="0">
        <v>81</v>
      </c>
      <c r="BF310" t="s" s="0">
        <v>81</v>
      </c>
      <c r="BG310" t="s" s="0">
        <v>81</v>
      </c>
      <c r="BH310" t="s" s="0">
        <v>81</v>
      </c>
      <c r="BI310" t="s" s="0">
        <v>81</v>
      </c>
      <c r="BJ310" t="s" s="0">
        <v>7423</v>
      </c>
      <c r="BK310" t="s" s="616">
        <f>HYPERLINK("http://dx.doi.org/10.2174/0113862073484389260528213445","http://dx.doi.org/10.2174/0113862073484389260528213445")</f>
        <v>7424</v>
      </c>
      <c r="BL310" t="s" s="0">
        <v>81</v>
      </c>
      <c r="BM310" t="s" s="0">
        <v>445</v>
      </c>
      <c r="BN310" t="s" s="0">
        <v>109</v>
      </c>
      <c r="BO310" t="s" s="0">
        <v>7425</v>
      </c>
      <c r="BP310" t="s" s="0">
        <v>7426</v>
      </c>
      <c r="BQ310" t="s" s="0">
        <v>7427</v>
      </c>
      <c r="BR310" t="s" s="0">
        <v>7428</v>
      </c>
      <c r="BS310" t="s" s="0">
        <v>7429</v>
      </c>
      <c r="BT310" t="s" s="617">
        <f>HYPERLINK("https://www.webofscience.com/wos/woscc/full-record/WOS:001796074900001","View Record in Web of Science")</f>
        <v>114</v>
      </c>
      <c r="BU310" t="s" s="0">
        <v>81</v>
      </c>
      <c r="BV310" t="s" s="0">
        <v>81</v>
      </c>
      <c r="BW310" t="s" s="0">
        <v>81</v>
      </c>
      <c r="BX310" t="s" s="0">
        <v>116</v>
      </c>
    </row>
    <row r="311">
      <c r="A311" t="s" s="0">
        <v>77</v>
      </c>
      <c r="B311" t="s" s="0">
        <v>77</v>
      </c>
      <c r="C311" t="s" s="0">
        <v>77</v>
      </c>
      <c r="D311" t="s" s="0">
        <v>77</v>
      </c>
      <c r="E311" t="s" s="0">
        <v>7430</v>
      </c>
      <c r="F311" t="s" s="0">
        <v>7431</v>
      </c>
      <c r="G311" t="s" s="0">
        <v>7432</v>
      </c>
      <c r="H311" t="s" s="0">
        <v>81</v>
      </c>
      <c r="I311" t="s" s="0">
        <v>82</v>
      </c>
      <c r="J311" t="s" s="0">
        <v>7433</v>
      </c>
      <c r="K311" t="s" s="0">
        <v>7434</v>
      </c>
      <c r="L311" t="s" s="0">
        <v>7435</v>
      </c>
      <c r="M311" t="s" s="0">
        <v>7436</v>
      </c>
      <c r="N311" t="s" s="0">
        <v>7437</v>
      </c>
      <c r="O311" t="s" s="0">
        <v>7438</v>
      </c>
      <c r="P311" t="s" s="0">
        <v>3158</v>
      </c>
      <c r="Q311" t="s" s="0">
        <v>90</v>
      </c>
      <c r="R311" t="s" s="0">
        <v>81</v>
      </c>
      <c r="S311" t="s" s="0">
        <v>81</v>
      </c>
      <c r="T311" t="s" s="0">
        <v>81</v>
      </c>
      <c r="U311" t="s" s="0">
        <v>81</v>
      </c>
      <c r="V311" t="s" s="0">
        <v>7439</v>
      </c>
      <c r="W311" t="s" s="0">
        <v>7440</v>
      </c>
      <c r="X311" t="s" s="0">
        <v>81</v>
      </c>
      <c r="Y311" t="s" s="0">
        <v>81</v>
      </c>
      <c r="Z311" t="s" s="0">
        <v>93</v>
      </c>
      <c r="AA311" t="s" s="0">
        <v>94</v>
      </c>
      <c r="AB311" t="s" s="0">
        <v>81</v>
      </c>
      <c r="AC311" t="s" s="0">
        <v>81</v>
      </c>
      <c r="AD311" t="s" s="0">
        <v>81</v>
      </c>
      <c r="AE311" t="s" s="0">
        <v>81</v>
      </c>
      <c r="AF311" t="s" s="0">
        <v>81</v>
      </c>
      <c r="AG311" t="s" s="0">
        <v>7441</v>
      </c>
      <c r="AH311" t="s" s="0">
        <v>81</v>
      </c>
      <c r="AI311" t="s" s="0">
        <v>7442</v>
      </c>
      <c r="AJ311" t="s" s="0">
        <v>81</v>
      </c>
      <c r="AK311" t="s" s="0">
        <v>81</v>
      </c>
      <c r="AL311" t="s" s="0">
        <v>252</v>
      </c>
      <c r="AM311" t="s" s="0">
        <v>117</v>
      </c>
      <c r="AN311" t="s" s="0">
        <v>117</v>
      </c>
      <c r="AO311" t="s" s="0">
        <v>160</v>
      </c>
      <c r="AP311" t="s" s="0">
        <v>160</v>
      </c>
      <c r="AQ311" t="s" s="0">
        <v>370</v>
      </c>
      <c r="AR311" t="s" s="0">
        <v>1099</v>
      </c>
      <c r="AS311" t="s" s="0">
        <v>1873</v>
      </c>
      <c r="AT311" t="s" s="0">
        <v>7443</v>
      </c>
      <c r="AU311" t="s" s="0">
        <v>7444</v>
      </c>
      <c r="AV311" t="s" s="0">
        <v>81</v>
      </c>
      <c r="AW311" t="s" s="0">
        <v>7445</v>
      </c>
      <c r="AX311" t="s" s="0">
        <v>7446</v>
      </c>
      <c r="AY311" t="s" s="0">
        <v>7447</v>
      </c>
      <c r="AZ311" t="s" s="0">
        <v>104</v>
      </c>
      <c r="BA311" t="s" s="0">
        <v>159</v>
      </c>
      <c r="BB311" t="s" s="0">
        <v>117</v>
      </c>
      <c r="BC311" t="s" s="0">
        <v>81</v>
      </c>
      <c r="BD311" t="s" s="0">
        <v>81</v>
      </c>
      <c r="BE311" t="s" s="0">
        <v>81</v>
      </c>
      <c r="BF311" t="s" s="0">
        <v>81</v>
      </c>
      <c r="BG311" t="s" s="0">
        <v>81</v>
      </c>
      <c r="BH311" t="s" s="0">
        <v>81</v>
      </c>
      <c r="BI311" t="s" s="0">
        <v>878</v>
      </c>
      <c r="BJ311" t="s" s="0">
        <v>7448</v>
      </c>
      <c r="BK311" t="s" s="618">
        <f>HYPERLINK("http://dx.doi.org/10.1007/s10916-026-02368-3","http://dx.doi.org/10.1007/s10916-026-02368-3")</f>
        <v>7449</v>
      </c>
      <c r="BL311" t="s" s="0">
        <v>81</v>
      </c>
      <c r="BM311" t="s" s="0">
        <v>349</v>
      </c>
      <c r="BN311" t="s" s="0">
        <v>564</v>
      </c>
      <c r="BO311" t="s" s="0">
        <v>1172</v>
      </c>
      <c r="BP311" t="s" s="0">
        <v>1172</v>
      </c>
      <c r="BQ311" t="s" s="0">
        <v>7450</v>
      </c>
      <c r="BR311" t="s" s="0">
        <v>7451</v>
      </c>
      <c r="BS311" t="s" s="0">
        <v>7452</v>
      </c>
      <c r="BT311" t="s" s="619">
        <f>HYPERLINK("https://www.webofscience.com/wos/woscc/full-record/WOS:001737295200002","View Record in Web of Science")</f>
        <v>114</v>
      </c>
      <c r="BU311" t="s" s="0">
        <v>457</v>
      </c>
      <c r="BV311" t="s" s="0">
        <v>81</v>
      </c>
      <c r="BW311" t="s" s="0">
        <v>81</v>
      </c>
      <c r="BX311" t="s" s="0">
        <v>116</v>
      </c>
    </row>
    <row r="312">
      <c r="A312" t="s" s="0">
        <v>77</v>
      </c>
      <c r="B312" t="s" s="0">
        <v>77</v>
      </c>
      <c r="C312" t="s" s="0">
        <v>130</v>
      </c>
      <c r="D312" t="s" s="0">
        <v>77</v>
      </c>
      <c r="E312" t="s" s="0">
        <v>7453</v>
      </c>
      <c r="F312" t="s" s="0">
        <v>7454</v>
      </c>
      <c r="G312" t="s" s="0">
        <v>7455</v>
      </c>
      <c r="H312" t="s" s="0">
        <v>81</v>
      </c>
      <c r="I312" t="s" s="0">
        <v>82</v>
      </c>
      <c r="J312" t="s" s="0">
        <v>7456</v>
      </c>
      <c r="K312" t="s" s="0">
        <v>7457</v>
      </c>
      <c r="L312" t="s" s="0">
        <v>7458</v>
      </c>
      <c r="M312" t="s" s="0">
        <v>7459</v>
      </c>
      <c r="N312" t="s" s="0">
        <v>7460</v>
      </c>
      <c r="O312" t="s" s="0">
        <v>7461</v>
      </c>
      <c r="P312" t="s" s="0">
        <v>7462</v>
      </c>
      <c r="Q312" t="s" s="0">
        <v>90</v>
      </c>
      <c r="R312" t="s" s="0">
        <v>81</v>
      </c>
      <c r="S312" t="s" s="0">
        <v>81</v>
      </c>
      <c r="T312" t="s" s="0">
        <v>81</v>
      </c>
      <c r="U312" t="s" s="0">
        <v>81</v>
      </c>
      <c r="V312" t="s" s="0">
        <v>7463</v>
      </c>
      <c r="W312" t="s" s="0">
        <v>7464</v>
      </c>
      <c r="X312" t="s" s="0">
        <v>81</v>
      </c>
      <c r="Y312" t="s" s="0">
        <v>81</v>
      </c>
      <c r="Z312" t="s" s="0">
        <v>93</v>
      </c>
      <c r="AA312" t="s" s="0">
        <v>94</v>
      </c>
      <c r="AB312" t="s" s="0">
        <v>81</v>
      </c>
      <c r="AC312" t="s" s="0">
        <v>81</v>
      </c>
      <c r="AD312" t="s" s="0">
        <v>81</v>
      </c>
      <c r="AE312" t="s" s="0">
        <v>81</v>
      </c>
      <c r="AF312" t="s" s="0">
        <v>81</v>
      </c>
      <c r="AG312" t="s" s="0">
        <v>7465</v>
      </c>
      <c r="AH312" t="s" s="0">
        <v>81</v>
      </c>
      <c r="AI312" t="s" s="0">
        <v>81</v>
      </c>
      <c r="AJ312" t="s" s="0">
        <v>7466</v>
      </c>
      <c r="AK312" t="s" s="0">
        <v>81</v>
      </c>
      <c r="AL312" t="s" s="0">
        <v>193</v>
      </c>
      <c r="AM312" t="s" s="0">
        <v>253</v>
      </c>
      <c r="AN312" t="s" s="0">
        <v>253</v>
      </c>
      <c r="AO312" t="s" s="0">
        <v>77</v>
      </c>
      <c r="AP312" t="s" s="0">
        <v>77</v>
      </c>
      <c r="AQ312" t="s" s="0">
        <v>406</v>
      </c>
      <c r="AR312" t="s" s="0">
        <v>407</v>
      </c>
      <c r="AS312" t="s" s="0">
        <v>408</v>
      </c>
      <c r="AT312" t="s" s="0">
        <v>81</v>
      </c>
      <c r="AU312" t="s" s="0">
        <v>7467</v>
      </c>
      <c r="AV312" t="s" s="0">
        <v>81</v>
      </c>
      <c r="AW312" t="s" s="0">
        <v>7464</v>
      </c>
      <c r="AX312" t="s" s="0">
        <v>7468</v>
      </c>
      <c r="AY312" t="s" s="0">
        <v>3082</v>
      </c>
      <c r="AZ312" t="s" s="0">
        <v>136</v>
      </c>
      <c r="BA312" t="s" s="0">
        <v>129</v>
      </c>
      <c r="BB312" t="s" s="0">
        <v>129</v>
      </c>
      <c r="BC312" t="s" s="0">
        <v>81</v>
      </c>
      <c r="BD312" t="s" s="0">
        <v>81</v>
      </c>
      <c r="BE312" t="s" s="0">
        <v>81</v>
      </c>
      <c r="BF312" t="s" s="0">
        <v>81</v>
      </c>
      <c r="BG312" t="s" s="0">
        <v>81</v>
      </c>
      <c r="BH312" t="s" s="0">
        <v>81</v>
      </c>
      <c r="BI312" t="s" s="0">
        <v>7469</v>
      </c>
      <c r="BJ312" t="s" s="0">
        <v>7470</v>
      </c>
      <c r="BK312" t="s" s="620">
        <f>HYPERLINK("http://dx.doi.org/10.1016/j.esmoop.2025.105809","http://dx.doi.org/10.1016/j.esmoop.2025.105809")</f>
        <v>7471</v>
      </c>
      <c r="BL312" t="s" s="0">
        <v>81</v>
      </c>
      <c r="BM312" t="s" s="0">
        <v>1080</v>
      </c>
      <c r="BN312" t="s" s="0">
        <v>128</v>
      </c>
      <c r="BO312" t="s" s="0">
        <v>939</v>
      </c>
      <c r="BP312" t="s" s="0">
        <v>939</v>
      </c>
      <c r="BQ312" t="s" s="0">
        <v>7472</v>
      </c>
      <c r="BR312" t="s" s="0">
        <v>7473</v>
      </c>
      <c r="BS312" t="s" s="0">
        <v>7474</v>
      </c>
      <c r="BT312" t="s" s="621">
        <f>HYPERLINK("https://www.webofscience.com/wos/woscc/full-record/WOS:001585731400001","View Record in Web of Science")</f>
        <v>114</v>
      </c>
      <c r="BU312" t="s" s="0">
        <v>145</v>
      </c>
      <c r="BV312" t="s" s="0">
        <v>81</v>
      </c>
      <c r="BW312" t="s" s="0">
        <v>81</v>
      </c>
      <c r="BX312" t="s" s="0">
        <v>116</v>
      </c>
    </row>
    <row r="313">
      <c r="A313" t="s" s="0">
        <v>77</v>
      </c>
      <c r="B313" t="s" s="0">
        <v>77</v>
      </c>
      <c r="C313" t="s" s="0">
        <v>204</v>
      </c>
      <c r="D313" t="s" s="0">
        <v>77</v>
      </c>
      <c r="E313" t="s" s="0">
        <v>7475</v>
      </c>
      <c r="F313" t="s" s="0">
        <v>7476</v>
      </c>
      <c r="G313" t="s" s="0">
        <v>7477</v>
      </c>
      <c r="H313" t="s" s="0">
        <v>81</v>
      </c>
      <c r="I313" t="s" s="0">
        <v>82</v>
      </c>
      <c r="J313" t="s" s="0">
        <v>7478</v>
      </c>
      <c r="K313" t="s" s="0">
        <v>7479</v>
      </c>
      <c r="L313" t="s" s="0">
        <v>5882</v>
      </c>
      <c r="M313" t="s" s="0">
        <v>5883</v>
      </c>
      <c r="N313" t="s" s="0">
        <v>7480</v>
      </c>
      <c r="O313" t="s" s="0">
        <v>7481</v>
      </c>
      <c r="P313" t="s" s="0">
        <v>7482</v>
      </c>
      <c r="Q313" t="s" s="0">
        <v>90</v>
      </c>
      <c r="R313" t="s" s="0">
        <v>81</v>
      </c>
      <c r="S313" t="s" s="0">
        <v>81</v>
      </c>
      <c r="T313" t="s" s="0">
        <v>81</v>
      </c>
      <c r="U313" t="s" s="0">
        <v>81</v>
      </c>
      <c r="V313" t="s" s="0">
        <v>7483</v>
      </c>
      <c r="W313" t="s" s="0">
        <v>271</v>
      </c>
      <c r="X313" t="s" s="0">
        <v>81</v>
      </c>
      <c r="Y313" t="s" s="0">
        <v>81</v>
      </c>
      <c r="Z313" t="s" s="0">
        <v>93</v>
      </c>
      <c r="AA313" t="s" s="0">
        <v>94</v>
      </c>
      <c r="AB313" t="s" s="0">
        <v>81</v>
      </c>
      <c r="AC313" t="s" s="0">
        <v>81</v>
      </c>
      <c r="AD313" t="s" s="0">
        <v>81</v>
      </c>
      <c r="AE313" t="s" s="0">
        <v>81</v>
      </c>
      <c r="AF313" t="s" s="0">
        <v>81</v>
      </c>
      <c r="AG313" t="s" s="0">
        <v>7484</v>
      </c>
      <c r="AH313" t="s" s="0">
        <v>81</v>
      </c>
      <c r="AI313" t="s" s="0">
        <v>7485</v>
      </c>
      <c r="AJ313" t="s" s="0">
        <v>7486</v>
      </c>
      <c r="AK313" t="s" s="0">
        <v>81</v>
      </c>
      <c r="AL313" t="s" s="0">
        <v>474</v>
      </c>
      <c r="AM313" t="s" s="0">
        <v>193</v>
      </c>
      <c r="AN313" t="s" s="0">
        <v>405</v>
      </c>
      <c r="AO313" t="s" s="0">
        <v>253</v>
      </c>
      <c r="AP313" t="s" s="0">
        <v>109</v>
      </c>
      <c r="AQ313" t="s" s="0">
        <v>274</v>
      </c>
      <c r="AR313" t="s" s="0">
        <v>275</v>
      </c>
      <c r="AS313" t="s" s="0">
        <v>276</v>
      </c>
      <c r="AT313" t="s" s="0">
        <v>277</v>
      </c>
      <c r="AU313" t="s" s="0">
        <v>81</v>
      </c>
      <c r="AV313" t="s" s="0">
        <v>81</v>
      </c>
      <c r="AW313" t="s" s="0">
        <v>278</v>
      </c>
      <c r="AX313" t="s" s="0">
        <v>279</v>
      </c>
      <c r="AY313" t="s" s="0">
        <v>7487</v>
      </c>
      <c r="AZ313" t="s" s="0">
        <v>573</v>
      </c>
      <c r="BA313" t="s" s="0">
        <v>228</v>
      </c>
      <c r="BB313" t="s" s="0">
        <v>117</v>
      </c>
      <c r="BC313" t="s" s="0">
        <v>81</v>
      </c>
      <c r="BD313" t="s" s="0">
        <v>81</v>
      </c>
      <c r="BE313" t="s" s="0">
        <v>81</v>
      </c>
      <c r="BF313" t="s" s="0">
        <v>81</v>
      </c>
      <c r="BG313" t="s" s="0">
        <v>81</v>
      </c>
      <c r="BH313" t="s" s="0">
        <v>81</v>
      </c>
      <c r="BI313" t="s" s="0">
        <v>7488</v>
      </c>
      <c r="BJ313" t="s" s="0">
        <v>7489</v>
      </c>
      <c r="BK313" t="s" s="622">
        <f>HYPERLINK("http://dx.doi.org/10.1038/s41598-024-56172-5","http://dx.doi.org/10.1038/s41598-024-56172-5")</f>
        <v>7490</v>
      </c>
      <c r="BL313" t="s" s="0">
        <v>81</v>
      </c>
      <c r="BM313" t="s" s="0">
        <v>81</v>
      </c>
      <c r="BN313" t="s" s="0">
        <v>228</v>
      </c>
      <c r="BO313" t="s" s="0">
        <v>285</v>
      </c>
      <c r="BP313" t="s" s="0">
        <v>286</v>
      </c>
      <c r="BQ313" t="s" s="0">
        <v>7491</v>
      </c>
      <c r="BR313" t="s" s="0">
        <v>7492</v>
      </c>
      <c r="BS313" t="s" s="0">
        <v>7493</v>
      </c>
      <c r="BT313" t="s" s="623">
        <f>HYPERLINK("https://www.webofscience.com/wos/woscc/full-record/WOS:001185083700054","View Record in Web of Science")</f>
        <v>114</v>
      </c>
      <c r="BU313" t="s" s="0">
        <v>145</v>
      </c>
      <c r="BV313" t="s" s="0">
        <v>81</v>
      </c>
      <c r="BW313" t="s" s="0">
        <v>81</v>
      </c>
      <c r="BX313" t="s" s="0">
        <v>116</v>
      </c>
    </row>
    <row r="314">
      <c r="A314" t="s" s="0">
        <v>77</v>
      </c>
      <c r="B314" t="s" s="0">
        <v>77</v>
      </c>
      <c r="C314" t="s" s="0">
        <v>117</v>
      </c>
      <c r="D314" t="s" s="0">
        <v>77</v>
      </c>
      <c r="E314" t="s" s="0">
        <v>7494</v>
      </c>
      <c r="F314" t="s" s="0">
        <v>7495</v>
      </c>
      <c r="G314" t="s" s="0">
        <v>7496</v>
      </c>
      <c r="H314" t="s" s="0">
        <v>81</v>
      </c>
      <c r="I314" t="s" s="0">
        <v>82</v>
      </c>
      <c r="J314" t="s" s="0">
        <v>7497</v>
      </c>
      <c r="K314" t="s" s="0">
        <v>7498</v>
      </c>
      <c r="L314" t="s" s="0">
        <v>7499</v>
      </c>
      <c r="M314" t="s" s="0">
        <v>7500</v>
      </c>
      <c r="N314" t="s" s="0">
        <v>7501</v>
      </c>
      <c r="O314" t="s" s="0">
        <v>7502</v>
      </c>
      <c r="P314" t="s" s="0">
        <v>7503</v>
      </c>
      <c r="Q314" t="s" s="0">
        <v>90</v>
      </c>
      <c r="R314" t="s" s="0">
        <v>81</v>
      </c>
      <c r="S314" t="s" s="0">
        <v>81</v>
      </c>
      <c r="T314" t="s" s="0">
        <v>81</v>
      </c>
      <c r="U314" t="s" s="0">
        <v>81</v>
      </c>
      <c r="V314" t="s" s="0">
        <v>7504</v>
      </c>
      <c r="W314" t="s" s="0">
        <v>154</v>
      </c>
      <c r="X314" t="s" s="0">
        <v>81</v>
      </c>
      <c r="Y314" t="s" s="0">
        <v>81</v>
      </c>
      <c r="Z314" t="s" s="0">
        <v>93</v>
      </c>
      <c r="AA314" t="s" s="0">
        <v>94</v>
      </c>
      <c r="AB314" t="s" s="0">
        <v>81</v>
      </c>
      <c r="AC314" t="s" s="0">
        <v>81</v>
      </c>
      <c r="AD314" t="s" s="0">
        <v>81</v>
      </c>
      <c r="AE314" t="s" s="0">
        <v>81</v>
      </c>
      <c r="AF314" t="s" s="0">
        <v>81</v>
      </c>
      <c r="AG314" t="s" s="0">
        <v>7505</v>
      </c>
      <c r="AH314" t="s" s="0">
        <v>7506</v>
      </c>
      <c r="AI314" t="s" s="0">
        <v>7507</v>
      </c>
      <c r="AJ314" t="s" s="0">
        <v>7508</v>
      </c>
      <c r="AK314" t="s" s="0">
        <v>81</v>
      </c>
      <c r="AL314" t="s" s="0">
        <v>798</v>
      </c>
      <c r="AM314" t="s" s="0">
        <v>117</v>
      </c>
      <c r="AN314" t="s" s="0">
        <v>117</v>
      </c>
      <c r="AO314" t="s" s="0">
        <v>160</v>
      </c>
      <c r="AP314" t="s" s="0">
        <v>128</v>
      </c>
      <c r="AQ314" t="s" s="0">
        <v>162</v>
      </c>
      <c r="AR314" t="s" s="0">
        <v>163</v>
      </c>
      <c r="AS314" t="s" s="0">
        <v>164</v>
      </c>
      <c r="AT314" t="s" s="0">
        <v>165</v>
      </c>
      <c r="AU314" t="s" s="0">
        <v>81</v>
      </c>
      <c r="AV314" t="s" s="0">
        <v>81</v>
      </c>
      <c r="AW314" t="s" s="0">
        <v>154</v>
      </c>
      <c r="AX314" t="s" s="0">
        <v>166</v>
      </c>
      <c r="AY314" t="s" s="0">
        <v>136</v>
      </c>
      <c r="AZ314" t="s" s="0">
        <v>136</v>
      </c>
      <c r="BA314" t="s" s="0">
        <v>167</v>
      </c>
      <c r="BB314" t="s" s="0">
        <v>81</v>
      </c>
      <c r="BC314" t="s" s="0">
        <v>81</v>
      </c>
      <c r="BD314" t="s" s="0">
        <v>81</v>
      </c>
      <c r="BE314" t="s" s="0">
        <v>81</v>
      </c>
      <c r="BF314" t="s" s="0">
        <v>81</v>
      </c>
      <c r="BG314" t="s" s="0">
        <v>7509</v>
      </c>
      <c r="BH314" t="s" s="0">
        <v>7510</v>
      </c>
      <c r="BI314" t="s" s="0">
        <v>81</v>
      </c>
      <c r="BJ314" t="s" s="0">
        <v>7511</v>
      </c>
      <c r="BK314" t="s" s="624">
        <f>HYPERLINK("http://dx.doi.org/10.1109/ACCESS.2025.3610860","http://dx.doi.org/10.1109/ACCESS.2025.3610860")</f>
        <v>7512</v>
      </c>
      <c r="BL314" t="s" s="0">
        <v>81</v>
      </c>
      <c r="BM314" t="s" s="0">
        <v>81</v>
      </c>
      <c r="BN314" t="s" s="0">
        <v>204</v>
      </c>
      <c r="BO314" t="s" s="0">
        <v>173</v>
      </c>
      <c r="BP314" t="s" s="0">
        <v>174</v>
      </c>
      <c r="BQ314" t="s" s="0">
        <v>7513</v>
      </c>
      <c r="BR314" t="s" s="0">
        <v>81</v>
      </c>
      <c r="BS314" t="s" s="0">
        <v>7514</v>
      </c>
      <c r="BT314" t="s" s="625">
        <f>HYPERLINK("https://www.webofscience.com/wos/woscc/full-record/WOS:001579058900019","View Record in Web of Science")</f>
        <v>114</v>
      </c>
      <c r="BU314" t="s" s="0">
        <v>145</v>
      </c>
      <c r="BV314" t="s" s="0">
        <v>81</v>
      </c>
      <c r="BW314" t="s" s="0">
        <v>81</v>
      </c>
      <c r="BX314" t="s" s="0">
        <v>116</v>
      </c>
    </row>
    <row r="315">
      <c r="A315" t="s" s="0">
        <v>77</v>
      </c>
      <c r="B315" t="s" s="0">
        <v>77</v>
      </c>
      <c r="C315" t="s" s="0">
        <v>77</v>
      </c>
      <c r="D315" t="s" s="0">
        <v>77</v>
      </c>
      <c r="E315" t="s" s="0">
        <v>7515</v>
      </c>
      <c r="F315" t="s" s="0">
        <v>7516</v>
      </c>
      <c r="G315" t="s" s="0">
        <v>7517</v>
      </c>
      <c r="H315" t="s" s="0">
        <v>81</v>
      </c>
      <c r="I315" t="s" s="0">
        <v>82</v>
      </c>
      <c r="J315" t="s" s="0">
        <v>7518</v>
      </c>
      <c r="K315" t="s" s="0">
        <v>7519</v>
      </c>
      <c r="L315" t="s" s="0">
        <v>81</v>
      </c>
      <c r="M315" t="s" s="0">
        <v>81</v>
      </c>
      <c r="N315" t="s" s="0">
        <v>81</v>
      </c>
      <c r="O315" t="s" s="0">
        <v>7520</v>
      </c>
      <c r="P315" t="s" s="0">
        <v>7521</v>
      </c>
      <c r="Q315" t="s" s="0">
        <v>90</v>
      </c>
      <c r="R315" t="s" s="0">
        <v>81</v>
      </c>
      <c r="S315" t="s" s="0">
        <v>81</v>
      </c>
      <c r="T315" t="s" s="0">
        <v>81</v>
      </c>
      <c r="U315" t="s" s="0">
        <v>81</v>
      </c>
      <c r="V315" t="s" s="0">
        <v>7522</v>
      </c>
      <c r="W315" t="s" s="0">
        <v>7523</v>
      </c>
      <c r="X315" t="s" s="0">
        <v>81</v>
      </c>
      <c r="Y315" t="s" s="0">
        <v>81</v>
      </c>
      <c r="Z315" t="s" s="0">
        <v>93</v>
      </c>
      <c r="AA315" t="s" s="0">
        <v>94</v>
      </c>
      <c r="AB315" t="s" s="0">
        <v>81</v>
      </c>
      <c r="AC315" t="s" s="0">
        <v>81</v>
      </c>
      <c r="AD315" t="s" s="0">
        <v>81</v>
      </c>
      <c r="AE315" t="s" s="0">
        <v>81</v>
      </c>
      <c r="AF315" t="s" s="0">
        <v>81</v>
      </c>
      <c r="AG315" t="s" s="0">
        <v>7524</v>
      </c>
      <c r="AH315" t="s" s="0">
        <v>81</v>
      </c>
      <c r="AI315" t="s" s="0">
        <v>7525</v>
      </c>
      <c r="AJ315" t="s" s="0">
        <v>81</v>
      </c>
      <c r="AK315" t="s" s="0">
        <v>81</v>
      </c>
      <c r="AL315" t="s" s="0">
        <v>1538</v>
      </c>
      <c r="AM315" t="s" s="0">
        <v>77</v>
      </c>
      <c r="AN315" t="s" s="0">
        <v>77</v>
      </c>
      <c r="AO315" t="s" s="0">
        <v>117</v>
      </c>
      <c r="AP315" t="s" s="0">
        <v>117</v>
      </c>
      <c r="AQ315" t="s" s="0">
        <v>3832</v>
      </c>
      <c r="AR315" t="s" s="0">
        <v>3833</v>
      </c>
      <c r="AS315" t="s" s="0">
        <v>3834</v>
      </c>
      <c r="AT315" t="s" s="0">
        <v>7526</v>
      </c>
      <c r="AU315" t="s" s="0">
        <v>7527</v>
      </c>
      <c r="AV315" t="s" s="0">
        <v>81</v>
      </c>
      <c r="AW315" t="s" s="0">
        <v>7528</v>
      </c>
      <c r="AX315" t="s" s="0">
        <v>7529</v>
      </c>
      <c r="AY315" t="s" s="0">
        <v>7530</v>
      </c>
      <c r="AZ315" t="s" s="0">
        <v>104</v>
      </c>
      <c r="BA315" t="s" s="0">
        <v>7531</v>
      </c>
      <c r="BB315" t="s" s="0">
        <v>227</v>
      </c>
      <c r="BC315" t="s" s="0">
        <v>81</v>
      </c>
      <c r="BD315" t="s" s="0">
        <v>81</v>
      </c>
      <c r="BE315" t="s" s="0">
        <v>81</v>
      </c>
      <c r="BF315" t="s" s="0">
        <v>81</v>
      </c>
      <c r="BG315" t="s" s="0">
        <v>81</v>
      </c>
      <c r="BH315" t="s" s="0">
        <v>81</v>
      </c>
      <c r="BI315" t="s" s="0">
        <v>7532</v>
      </c>
      <c r="BJ315" t="s" s="0">
        <v>7533</v>
      </c>
      <c r="BK315" t="s" s="626">
        <f>HYPERLINK("http://dx.doi.org/10.1088/1873-4030/ae449b","http://dx.doi.org/10.1088/1873-4030/ae449b")</f>
        <v>7534</v>
      </c>
      <c r="BL315" t="s" s="0">
        <v>81</v>
      </c>
      <c r="BM315" t="s" s="0">
        <v>81</v>
      </c>
      <c r="BN315" t="s" s="0">
        <v>105</v>
      </c>
      <c r="BO315" t="s" s="0">
        <v>238</v>
      </c>
      <c r="BP315" t="s" s="0">
        <v>239</v>
      </c>
      <c r="BQ315" t="s" s="0">
        <v>7535</v>
      </c>
      <c r="BR315" t="s" s="0">
        <v>7536</v>
      </c>
      <c r="BS315" t="s" s="0">
        <v>7537</v>
      </c>
      <c r="BT315" t="s" s="627">
        <f>HYPERLINK("https://www.webofscience.com/wos/woscc/full-record/WOS:001751399300001","View Record in Web of Science")</f>
        <v>114</v>
      </c>
      <c r="BU315" t="s" s="0">
        <v>81</v>
      </c>
      <c r="BV315" t="s" s="0">
        <v>81</v>
      </c>
      <c r="BW315" t="s" s="0">
        <v>81</v>
      </c>
      <c r="BX315" t="s" s="0">
        <v>116</v>
      </c>
    </row>
    <row r="316">
      <c r="A316" t="s" s="0">
        <v>160</v>
      </c>
      <c r="B316" t="s" s="0">
        <v>77</v>
      </c>
      <c r="C316" t="s" s="0">
        <v>227</v>
      </c>
      <c r="D316" t="s" s="0">
        <v>77</v>
      </c>
      <c r="E316" t="s" s="0">
        <v>7538</v>
      </c>
      <c r="F316" t="s" s="0">
        <v>7539</v>
      </c>
      <c r="G316" t="s" s="0">
        <v>7540</v>
      </c>
      <c r="H316" t="s" s="0">
        <v>81</v>
      </c>
      <c r="I316" t="s" s="0">
        <v>82</v>
      </c>
      <c r="J316" t="s" s="0">
        <v>7541</v>
      </c>
      <c r="K316" t="s" s="0">
        <v>7542</v>
      </c>
      <c r="L316" t="s" s="0">
        <v>7543</v>
      </c>
      <c r="M316" t="s" s="0">
        <v>7543</v>
      </c>
      <c r="N316" t="s" s="0">
        <v>7544</v>
      </c>
      <c r="O316" t="s" s="0">
        <v>7545</v>
      </c>
      <c r="P316" t="s" s="0">
        <v>7546</v>
      </c>
      <c r="Q316" t="s" s="0">
        <v>90</v>
      </c>
      <c r="R316" t="s" s="0">
        <v>81</v>
      </c>
      <c r="S316" t="s" s="0">
        <v>81</v>
      </c>
      <c r="T316" t="s" s="0">
        <v>81</v>
      </c>
      <c r="U316" t="s" s="0">
        <v>81</v>
      </c>
      <c r="V316" t="s" s="0">
        <v>7547</v>
      </c>
      <c r="W316" t="s" s="0">
        <v>6445</v>
      </c>
      <c r="X316" t="s" s="0">
        <v>81</v>
      </c>
      <c r="Y316" t="s" s="0">
        <v>81</v>
      </c>
      <c r="Z316" t="s" s="0">
        <v>93</v>
      </c>
      <c r="AA316" t="s" s="0">
        <v>94</v>
      </c>
      <c r="AB316" t="s" s="0">
        <v>81</v>
      </c>
      <c r="AC316" t="s" s="0">
        <v>81</v>
      </c>
      <c r="AD316" t="s" s="0">
        <v>81</v>
      </c>
      <c r="AE316" t="s" s="0">
        <v>81</v>
      </c>
      <c r="AF316" t="s" s="0">
        <v>81</v>
      </c>
      <c r="AG316" t="s" s="0">
        <v>7548</v>
      </c>
      <c r="AH316" t="s" s="0">
        <v>7549</v>
      </c>
      <c r="AI316" t="s" s="0">
        <v>7550</v>
      </c>
      <c r="AJ316" t="s" s="0">
        <v>81</v>
      </c>
      <c r="AK316" t="s" s="0">
        <v>81</v>
      </c>
      <c r="AL316" t="s" s="0">
        <v>345</v>
      </c>
      <c r="AM316" t="s" s="0">
        <v>167</v>
      </c>
      <c r="AN316" t="s" s="0">
        <v>563</v>
      </c>
      <c r="AO316" t="s" s="0">
        <v>160</v>
      </c>
      <c r="AP316" t="s" s="0">
        <v>564</v>
      </c>
      <c r="AQ316" t="s" s="0">
        <v>930</v>
      </c>
      <c r="AR316" t="s" s="0">
        <v>931</v>
      </c>
      <c r="AS316" t="s" s="0">
        <v>932</v>
      </c>
      <c r="AT316" t="s" s="0">
        <v>6448</v>
      </c>
      <c r="AU316" t="s" s="0">
        <v>6449</v>
      </c>
      <c r="AV316" t="s" s="0">
        <v>81</v>
      </c>
      <c r="AW316" t="s" s="0">
        <v>6450</v>
      </c>
      <c r="AX316" t="s" s="0">
        <v>6451</v>
      </c>
      <c r="AY316" t="s" s="0">
        <v>720</v>
      </c>
      <c r="AZ316" t="s" s="0">
        <v>573</v>
      </c>
      <c r="BA316" t="s" s="0">
        <v>1595</v>
      </c>
      <c r="BB316" t="s" s="0">
        <v>131</v>
      </c>
      <c r="BC316" t="s" s="0">
        <v>81</v>
      </c>
      <c r="BD316" t="s" s="0">
        <v>81</v>
      </c>
      <c r="BE316" t="s" s="0">
        <v>81</v>
      </c>
      <c r="BF316" t="s" s="0">
        <v>81</v>
      </c>
      <c r="BG316" t="s" s="0">
        <v>7551</v>
      </c>
      <c r="BH316" t="s" s="0">
        <v>7552</v>
      </c>
      <c r="BI316" t="s" s="0">
        <v>81</v>
      </c>
      <c r="BJ316" t="s" s="0">
        <v>7553</v>
      </c>
      <c r="BK316" t="s" s="628">
        <f>HYPERLINK("http://dx.doi.org/10.1097/JS9.0000000000001241","http://dx.doi.org/10.1097/JS9.0000000000001241")</f>
        <v>7554</v>
      </c>
      <c r="BL316" t="s" s="0">
        <v>81</v>
      </c>
      <c r="BM316" t="s" s="0">
        <v>81</v>
      </c>
      <c r="BN316" t="s" s="0">
        <v>226</v>
      </c>
      <c r="BO316" t="s" s="0">
        <v>2819</v>
      </c>
      <c r="BP316" t="s" s="0">
        <v>2819</v>
      </c>
      <c r="BQ316" t="s" s="0">
        <v>7555</v>
      </c>
      <c r="BR316" t="s" s="0">
        <v>7556</v>
      </c>
      <c r="BS316" t="s" s="0">
        <v>7557</v>
      </c>
      <c r="BT316" t="s" s="629">
        <f>HYPERLINK("https://www.webofscience.com/wos/woscc/full-record/WOS:001248212000009","View Record in Web of Science")</f>
        <v>114</v>
      </c>
      <c r="BU316" t="s" s="0">
        <v>457</v>
      </c>
      <c r="BV316" t="s" s="0">
        <v>81</v>
      </c>
      <c r="BW316" t="s" s="0">
        <v>81</v>
      </c>
      <c r="BX316" t="s" s="0">
        <v>116</v>
      </c>
    </row>
    <row r="317">
      <c r="A317" t="s" s="0">
        <v>77</v>
      </c>
      <c r="B317" t="s" s="0">
        <v>77</v>
      </c>
      <c r="C317" t="s" s="0">
        <v>77</v>
      </c>
      <c r="D317" t="s" s="0">
        <v>77</v>
      </c>
      <c r="E317" t="s" s="0">
        <v>7558</v>
      </c>
      <c r="F317" t="s" s="0">
        <v>7559</v>
      </c>
      <c r="G317" t="s" s="0">
        <v>7560</v>
      </c>
      <c r="H317" t="s" s="0">
        <v>81</v>
      </c>
      <c r="I317" t="s" s="0">
        <v>82</v>
      </c>
      <c r="J317" t="s" s="0">
        <v>7561</v>
      </c>
      <c r="K317" t="s" s="0">
        <v>7562</v>
      </c>
      <c r="L317" t="s" s="0">
        <v>7563</v>
      </c>
      <c r="M317" t="s" s="0">
        <v>7564</v>
      </c>
      <c r="N317" t="s" s="0">
        <v>7565</v>
      </c>
      <c r="O317" t="s" s="0">
        <v>7566</v>
      </c>
      <c r="P317" t="s" s="0">
        <v>7567</v>
      </c>
      <c r="Q317" t="s" s="0">
        <v>90</v>
      </c>
      <c r="R317" t="s" s="0">
        <v>81</v>
      </c>
      <c r="S317" t="s" s="0">
        <v>81</v>
      </c>
      <c r="T317" t="s" s="0">
        <v>81</v>
      </c>
      <c r="U317" t="s" s="0">
        <v>81</v>
      </c>
      <c r="V317" t="s" s="0">
        <v>7568</v>
      </c>
      <c r="W317" t="s" s="0">
        <v>7569</v>
      </c>
      <c r="X317" t="s" s="0">
        <v>81</v>
      </c>
      <c r="Y317" t="s" s="0">
        <v>81</v>
      </c>
      <c r="Z317" t="s" s="0">
        <v>93</v>
      </c>
      <c r="AA317" t="s" s="0">
        <v>94</v>
      </c>
      <c r="AB317" t="s" s="0">
        <v>81</v>
      </c>
      <c r="AC317" t="s" s="0">
        <v>81</v>
      </c>
      <c r="AD317" t="s" s="0">
        <v>81</v>
      </c>
      <c r="AE317" t="s" s="0">
        <v>81</v>
      </c>
      <c r="AF317" t="s" s="0">
        <v>81</v>
      </c>
      <c r="AG317" t="s" s="0">
        <v>7570</v>
      </c>
      <c r="AH317" t="s" s="0">
        <v>7571</v>
      </c>
      <c r="AI317" t="s" s="0">
        <v>7572</v>
      </c>
      <c r="AJ317" t="s" s="0">
        <v>81</v>
      </c>
      <c r="AK317" t="s" s="0">
        <v>81</v>
      </c>
      <c r="AL317" t="s" s="0">
        <v>625</v>
      </c>
      <c r="AM317" t="s" s="0">
        <v>77</v>
      </c>
      <c r="AN317" t="s" s="0">
        <v>77</v>
      </c>
      <c r="AO317" t="s" s="0">
        <v>130</v>
      </c>
      <c r="AP317" t="s" s="0">
        <v>130</v>
      </c>
      <c r="AQ317" t="s" s="0">
        <v>738</v>
      </c>
      <c r="AR317" t="s" s="0">
        <v>306</v>
      </c>
      <c r="AS317" t="s" s="0">
        <v>739</v>
      </c>
      <c r="AT317" t="s" s="0">
        <v>7573</v>
      </c>
      <c r="AU317" t="s" s="0">
        <v>7574</v>
      </c>
      <c r="AV317" t="s" s="0">
        <v>81</v>
      </c>
      <c r="AW317" t="s" s="0">
        <v>7575</v>
      </c>
      <c r="AX317" t="s" s="0">
        <v>7576</v>
      </c>
      <c r="AY317" t="s" s="0">
        <v>104</v>
      </c>
      <c r="AZ317" t="s" s="0">
        <v>104</v>
      </c>
      <c r="BA317" t="s" s="0">
        <v>562</v>
      </c>
      <c r="BB317" t="s" s="0">
        <v>204</v>
      </c>
      <c r="BC317" t="s" s="0">
        <v>81</v>
      </c>
      <c r="BD317" t="s" s="0">
        <v>81</v>
      </c>
      <c r="BE317" t="s" s="0">
        <v>81</v>
      </c>
      <c r="BF317" t="s" s="0">
        <v>81</v>
      </c>
      <c r="BG317" t="s" s="0">
        <v>81</v>
      </c>
      <c r="BH317" t="s" s="0">
        <v>81</v>
      </c>
      <c r="BI317" t="s" s="0">
        <v>7577</v>
      </c>
      <c r="BJ317" t="s" s="0">
        <v>7578</v>
      </c>
      <c r="BK317" t="s" s="630">
        <f>HYPERLINK("http://dx.doi.org/10.1093/hmg/ddag040","http://dx.doi.org/10.1093/hmg/ddag040")</f>
        <v>7579</v>
      </c>
      <c r="BL317" t="s" s="0">
        <v>81</v>
      </c>
      <c r="BM317" t="s" s="0">
        <v>81</v>
      </c>
      <c r="BN317" t="s" s="0">
        <v>226</v>
      </c>
      <c r="BO317" t="s" s="0">
        <v>7580</v>
      </c>
      <c r="BP317" t="s" s="0">
        <v>7580</v>
      </c>
      <c r="BQ317" t="s" s="0">
        <v>7581</v>
      </c>
      <c r="BR317" t="s" s="0">
        <v>7582</v>
      </c>
      <c r="BS317" t="s" s="0">
        <v>7583</v>
      </c>
      <c r="BT317" t="s" s="631">
        <f>HYPERLINK("https://www.webofscience.com/wos/woscc/full-record/WOS:001787981200002","View Record in Web of Science")</f>
        <v>114</v>
      </c>
      <c r="BU317" t="s" s="0">
        <v>81</v>
      </c>
      <c r="BV317" t="s" s="0">
        <v>81</v>
      </c>
      <c r="BW317" t="s" s="0">
        <v>81</v>
      </c>
      <c r="BX317" t="s" s="0">
        <v>116</v>
      </c>
    </row>
    <row r="318">
      <c r="A318" t="s" s="0">
        <v>77</v>
      </c>
      <c r="B318" t="s" s="0">
        <v>77</v>
      </c>
      <c r="C318" t="s" s="0">
        <v>77</v>
      </c>
      <c r="D318" t="s" s="0">
        <v>77</v>
      </c>
      <c r="E318" t="s" s="0">
        <v>7584</v>
      </c>
      <c r="F318" t="s" s="0">
        <v>7585</v>
      </c>
      <c r="G318" t="s" s="0">
        <v>7586</v>
      </c>
      <c r="H318" t="s" s="0">
        <v>81</v>
      </c>
      <c r="I318" t="s" s="0">
        <v>82</v>
      </c>
      <c r="J318" t="s" s="0">
        <v>7587</v>
      </c>
      <c r="K318" t="s" s="0">
        <v>7588</v>
      </c>
      <c r="L318" t="s" s="0">
        <v>81</v>
      </c>
      <c r="M318" t="s" s="0">
        <v>81</v>
      </c>
      <c r="N318" t="s" s="0">
        <v>81</v>
      </c>
      <c r="O318" t="s" s="0">
        <v>7589</v>
      </c>
      <c r="P318" t="s" s="0">
        <v>81</v>
      </c>
      <c r="Q318" t="s" s="0">
        <v>90</v>
      </c>
      <c r="R318" t="s" s="0">
        <v>81</v>
      </c>
      <c r="S318" t="s" s="0">
        <v>81</v>
      </c>
      <c r="T318" t="s" s="0">
        <v>81</v>
      </c>
      <c r="U318" t="s" s="0">
        <v>81</v>
      </c>
      <c r="V318" t="s" s="0">
        <v>7590</v>
      </c>
      <c r="W318" t="s" s="0">
        <v>7591</v>
      </c>
      <c r="X318" t="s" s="0">
        <v>81</v>
      </c>
      <c r="Y318" t="s" s="0">
        <v>81</v>
      </c>
      <c r="Z318" t="s" s="0">
        <v>93</v>
      </c>
      <c r="AA318" t="s" s="0">
        <v>94</v>
      </c>
      <c r="AB318" t="s" s="0">
        <v>81</v>
      </c>
      <c r="AC318" t="s" s="0">
        <v>81</v>
      </c>
      <c r="AD318" t="s" s="0">
        <v>81</v>
      </c>
      <c r="AE318" t="s" s="0">
        <v>81</v>
      </c>
      <c r="AF318" t="s" s="0">
        <v>81</v>
      </c>
      <c r="AG318" t="s" s="0">
        <v>7592</v>
      </c>
      <c r="AH318" t="s" s="0">
        <v>7593</v>
      </c>
      <c r="AI318" t="s" s="0">
        <v>81</v>
      </c>
      <c r="AJ318" t="s" s="0">
        <v>81</v>
      </c>
      <c r="AK318" t="s" s="0">
        <v>81</v>
      </c>
      <c r="AL318" t="s" s="0">
        <v>1538</v>
      </c>
      <c r="AM318" t="s" s="0">
        <v>77</v>
      </c>
      <c r="AN318" t="s" s="0">
        <v>77</v>
      </c>
      <c r="AO318" t="s" s="0">
        <v>117</v>
      </c>
      <c r="AP318" t="s" s="0">
        <v>130</v>
      </c>
      <c r="AQ318" t="s" s="0">
        <v>97</v>
      </c>
      <c r="AR318" t="s" s="0">
        <v>98</v>
      </c>
      <c r="AS318" t="s" s="0">
        <v>99</v>
      </c>
      <c r="AT318" t="s" s="0">
        <v>7594</v>
      </c>
      <c r="AU318" t="s" s="0">
        <v>81</v>
      </c>
      <c r="AV318" t="s" s="0">
        <v>81</v>
      </c>
      <c r="AW318" t="s" s="0">
        <v>7595</v>
      </c>
      <c r="AX318" t="s" s="0">
        <v>7596</v>
      </c>
      <c r="AY318" t="s" s="0">
        <v>4476</v>
      </c>
      <c r="AZ318" t="s" s="0">
        <v>104</v>
      </c>
      <c r="BA318" t="s" s="0">
        <v>167</v>
      </c>
      <c r="BB318" t="s" s="0">
        <v>81</v>
      </c>
      <c r="BC318" t="s" s="0">
        <v>81</v>
      </c>
      <c r="BD318" t="s" s="0">
        <v>81</v>
      </c>
      <c r="BE318" t="s" s="0">
        <v>81</v>
      </c>
      <c r="BF318" t="s" s="0">
        <v>81</v>
      </c>
      <c r="BG318" t="s" s="0">
        <v>81</v>
      </c>
      <c r="BH318" t="s" s="0">
        <v>81</v>
      </c>
      <c r="BI318" t="s" s="0">
        <v>7597</v>
      </c>
      <c r="BJ318" t="s" s="0">
        <v>7598</v>
      </c>
      <c r="BK318" t="s" s="632">
        <f>HYPERLINK("http://dx.doi.org/10.3389/fbioe.2025.1712390","http://dx.doi.org/10.3389/fbioe.2025.1712390")</f>
        <v>7599</v>
      </c>
      <c r="BL318" t="s" s="0">
        <v>81</v>
      </c>
      <c r="BM318" t="s" s="0">
        <v>81</v>
      </c>
      <c r="BN318" t="s" s="0">
        <v>129</v>
      </c>
      <c r="BO318" t="s" s="0">
        <v>3862</v>
      </c>
      <c r="BP318" t="s" s="0">
        <v>3863</v>
      </c>
      <c r="BQ318" t="s" s="0">
        <v>7600</v>
      </c>
      <c r="BR318" t="s" s="0">
        <v>7601</v>
      </c>
      <c r="BS318" t="s" s="0">
        <v>7602</v>
      </c>
      <c r="BT318" t="s" s="633">
        <f>HYPERLINK("https://www.webofscience.com/wos/woscc/full-record/WOS:001669014200001","View Record in Web of Science")</f>
        <v>114</v>
      </c>
      <c r="BU318" t="s" s="0">
        <v>145</v>
      </c>
      <c r="BV318" t="s" s="0">
        <v>81</v>
      </c>
      <c r="BW318" t="s" s="0">
        <v>81</v>
      </c>
      <c r="BX318" t="s" s="0">
        <v>116</v>
      </c>
    </row>
    <row r="319">
      <c r="A319" t="s" s="0">
        <v>77</v>
      </c>
      <c r="B319" t="s" s="0">
        <v>77</v>
      </c>
      <c r="C319" t="s" s="0">
        <v>117</v>
      </c>
      <c r="D319" t="s" s="0">
        <v>77</v>
      </c>
      <c r="E319" t="s" s="0">
        <v>7603</v>
      </c>
      <c r="F319" t="s" s="0">
        <v>7604</v>
      </c>
      <c r="G319" t="s" s="0">
        <v>7605</v>
      </c>
      <c r="H319" t="s" s="0">
        <v>81</v>
      </c>
      <c r="I319" t="s" s="0">
        <v>82</v>
      </c>
      <c r="J319" t="s" s="0">
        <v>7606</v>
      </c>
      <c r="K319" t="s" s="0">
        <v>7607</v>
      </c>
      <c r="L319" t="s" s="0">
        <v>7608</v>
      </c>
      <c r="M319" t="s" s="0">
        <v>7609</v>
      </c>
      <c r="N319" t="s" s="0">
        <v>7610</v>
      </c>
      <c r="O319" t="s" s="0">
        <v>7611</v>
      </c>
      <c r="P319" t="s" s="0">
        <v>7612</v>
      </c>
      <c r="Q319" t="s" s="0">
        <v>90</v>
      </c>
      <c r="R319" t="s" s="0">
        <v>81</v>
      </c>
      <c r="S319" t="s" s="0">
        <v>81</v>
      </c>
      <c r="T319" t="s" s="0">
        <v>81</v>
      </c>
      <c r="U319" t="s" s="0">
        <v>81</v>
      </c>
      <c r="V319" t="s" s="0">
        <v>7613</v>
      </c>
      <c r="W319" t="s" s="0">
        <v>1391</v>
      </c>
      <c r="X319" t="s" s="0">
        <v>81</v>
      </c>
      <c r="Y319" t="s" s="0">
        <v>81</v>
      </c>
      <c r="Z319" t="s" s="0">
        <v>93</v>
      </c>
      <c r="AA319" t="s" s="0">
        <v>94</v>
      </c>
      <c r="AB319" t="s" s="0">
        <v>81</v>
      </c>
      <c r="AC319" t="s" s="0">
        <v>81</v>
      </c>
      <c r="AD319" t="s" s="0">
        <v>81</v>
      </c>
      <c r="AE319" t="s" s="0">
        <v>81</v>
      </c>
      <c r="AF319" t="s" s="0">
        <v>81</v>
      </c>
      <c r="AG319" t="s" s="0">
        <v>81</v>
      </c>
      <c r="AH319" t="s" s="0">
        <v>7614</v>
      </c>
      <c r="AI319" t="s" s="0">
        <v>7615</v>
      </c>
      <c r="AJ319" t="s" s="0">
        <v>7616</v>
      </c>
      <c r="AK319" t="s" s="0">
        <v>81</v>
      </c>
      <c r="AL319" t="s" s="0">
        <v>117</v>
      </c>
      <c r="AM319" t="s" s="0">
        <v>160</v>
      </c>
      <c r="AN319" t="s" s="0">
        <v>253</v>
      </c>
      <c r="AO319" t="s" s="0">
        <v>225</v>
      </c>
      <c r="AP319" t="s" s="0">
        <v>228</v>
      </c>
      <c r="AQ319" t="s" s="0">
        <v>274</v>
      </c>
      <c r="AR319" t="s" s="0">
        <v>275</v>
      </c>
      <c r="AS319" t="s" s="0">
        <v>276</v>
      </c>
      <c r="AT319" t="s" s="0">
        <v>1395</v>
      </c>
      <c r="AU319" t="s" s="0">
        <v>81</v>
      </c>
      <c r="AV319" t="s" s="0">
        <v>81</v>
      </c>
      <c r="AW319" t="s" s="0">
        <v>1396</v>
      </c>
      <c r="AX319" t="s" s="0">
        <v>1397</v>
      </c>
      <c r="AY319" t="s" s="0">
        <v>7617</v>
      </c>
      <c r="AZ319" t="s" s="0">
        <v>136</v>
      </c>
      <c r="BA319" t="s" s="0">
        <v>225</v>
      </c>
      <c r="BB319" t="s" s="0">
        <v>117</v>
      </c>
      <c r="BC319" t="s" s="0">
        <v>81</v>
      </c>
      <c r="BD319" t="s" s="0">
        <v>81</v>
      </c>
      <c r="BE319" t="s" s="0">
        <v>81</v>
      </c>
      <c r="BF319" t="s" s="0">
        <v>81</v>
      </c>
      <c r="BG319" t="s" s="0">
        <v>81</v>
      </c>
      <c r="BH319" t="s" s="0">
        <v>81</v>
      </c>
      <c r="BI319" t="s" s="0">
        <v>7618</v>
      </c>
      <c r="BJ319" t="s" s="0">
        <v>7619</v>
      </c>
      <c r="BK319" t="s" s="634">
        <f>HYPERLINK("http://dx.doi.org/10.1038/s41746-025-02034-x","http://dx.doi.org/10.1038/s41746-025-02034-x")</f>
        <v>7620</v>
      </c>
      <c r="BL319" t="s" s="0">
        <v>81</v>
      </c>
      <c r="BM319" t="s" s="0">
        <v>81</v>
      </c>
      <c r="BN319" t="s" s="0">
        <v>228</v>
      </c>
      <c r="BO319" t="s" s="0">
        <v>1172</v>
      </c>
      <c r="BP319" t="s" s="0">
        <v>1172</v>
      </c>
      <c r="BQ319" t="s" s="0">
        <v>7621</v>
      </c>
      <c r="BR319" t="s" s="0">
        <v>7622</v>
      </c>
      <c r="BS319" t="s" s="0">
        <v>7623</v>
      </c>
      <c r="BT319" t="s" s="635">
        <f>HYPERLINK("https://www.webofscience.com/wos/woscc/full-record/WOS:001618214900001","View Record in Web of Science")</f>
        <v>114</v>
      </c>
      <c r="BU319" t="s" s="0">
        <v>145</v>
      </c>
      <c r="BV319" t="s" s="0">
        <v>81</v>
      </c>
      <c r="BW319" t="s" s="0">
        <v>81</v>
      </c>
      <c r="BX319" t="s" s="0">
        <v>116</v>
      </c>
    </row>
    <row r="320">
      <c r="A320" t="s" s="0">
        <v>77</v>
      </c>
      <c r="B320" t="s" s="0">
        <v>77</v>
      </c>
      <c r="C320" t="s" s="0">
        <v>130</v>
      </c>
      <c r="D320" t="s" s="0">
        <v>77</v>
      </c>
      <c r="E320" t="s" s="0">
        <v>7624</v>
      </c>
      <c r="F320" t="s" s="0">
        <v>7625</v>
      </c>
      <c r="G320" t="s" s="0">
        <v>7626</v>
      </c>
      <c r="H320" t="s" s="0">
        <v>81</v>
      </c>
      <c r="I320" t="s" s="0">
        <v>82</v>
      </c>
      <c r="J320" t="s" s="0">
        <v>7627</v>
      </c>
      <c r="K320" t="s" s="0">
        <v>7628</v>
      </c>
      <c r="L320" t="s" s="0">
        <v>81</v>
      </c>
      <c r="M320" t="s" s="0">
        <v>81</v>
      </c>
      <c r="N320" t="s" s="0">
        <v>81</v>
      </c>
      <c r="O320" t="s" s="0">
        <v>7629</v>
      </c>
      <c r="P320" t="s" s="0">
        <v>7630</v>
      </c>
      <c r="Q320" t="s" s="0">
        <v>90</v>
      </c>
      <c r="R320" t="s" s="0">
        <v>81</v>
      </c>
      <c r="S320" t="s" s="0">
        <v>81</v>
      </c>
      <c r="T320" t="s" s="0">
        <v>81</v>
      </c>
      <c r="U320" t="s" s="0">
        <v>81</v>
      </c>
      <c r="V320" t="s" s="0">
        <v>7631</v>
      </c>
      <c r="W320" t="s" s="0">
        <v>7632</v>
      </c>
      <c r="X320" t="s" s="0">
        <v>81</v>
      </c>
      <c r="Y320" t="s" s="0">
        <v>81</v>
      </c>
      <c r="Z320" t="s" s="0">
        <v>93</v>
      </c>
      <c r="AA320" t="s" s="0">
        <v>94</v>
      </c>
      <c r="AB320" t="s" s="0">
        <v>81</v>
      </c>
      <c r="AC320" t="s" s="0">
        <v>81</v>
      </c>
      <c r="AD320" t="s" s="0">
        <v>81</v>
      </c>
      <c r="AE320" t="s" s="0">
        <v>81</v>
      </c>
      <c r="AF320" t="s" s="0">
        <v>81</v>
      </c>
      <c r="AG320" t="s" s="0">
        <v>7633</v>
      </c>
      <c r="AH320" t="s" s="0">
        <v>81</v>
      </c>
      <c r="AI320" t="s" s="0">
        <v>7634</v>
      </c>
      <c r="AJ320" t="s" s="0">
        <v>7635</v>
      </c>
      <c r="AK320" t="s" s="0">
        <v>81</v>
      </c>
      <c r="AL320" t="s" s="0">
        <v>625</v>
      </c>
      <c r="AM320" t="s" s="0">
        <v>131</v>
      </c>
      <c r="AN320" t="s" s="0">
        <v>225</v>
      </c>
      <c r="AO320" t="s" s="0">
        <v>131</v>
      </c>
      <c r="AP320" t="s" s="0">
        <v>228</v>
      </c>
      <c r="AQ320" t="s" s="0">
        <v>7636</v>
      </c>
      <c r="AR320" t="s" s="0">
        <v>7637</v>
      </c>
      <c r="AS320" t="s" s="0">
        <v>7638</v>
      </c>
      <c r="AT320" t="s" s="0">
        <v>7639</v>
      </c>
      <c r="AU320" t="s" s="0">
        <v>7640</v>
      </c>
      <c r="AV320" t="s" s="0">
        <v>81</v>
      </c>
      <c r="AW320" t="s" s="0">
        <v>7641</v>
      </c>
      <c r="AX320" t="s" s="0">
        <v>7642</v>
      </c>
      <c r="AY320" t="s" s="0">
        <v>1080</v>
      </c>
      <c r="AZ320" t="s" s="0">
        <v>136</v>
      </c>
      <c r="BA320" t="s" s="0">
        <v>2623</v>
      </c>
      <c r="BB320" t="s" s="0">
        <v>128</v>
      </c>
      <c r="BC320" t="s" s="0">
        <v>81</v>
      </c>
      <c r="BD320" t="s" s="0">
        <v>81</v>
      </c>
      <c r="BE320" t="s" s="0">
        <v>81</v>
      </c>
      <c r="BF320" t="s" s="0">
        <v>81</v>
      </c>
      <c r="BG320" t="s" s="0">
        <v>7643</v>
      </c>
      <c r="BH320" t="s" s="0">
        <v>7644</v>
      </c>
      <c r="BI320" t="s" s="0">
        <v>81</v>
      </c>
      <c r="BJ320" t="s" s="0">
        <v>7645</v>
      </c>
      <c r="BK320" t="s" s="636">
        <f>HYPERLINK("http://dx.doi.org/10.1007/s11517-025-03353-7","http://dx.doi.org/10.1007/s11517-025-03353-7")</f>
        <v>7646</v>
      </c>
      <c r="BL320" t="s" s="0">
        <v>81</v>
      </c>
      <c r="BM320" t="s" s="0">
        <v>377</v>
      </c>
      <c r="BN320" t="s" s="0">
        <v>167</v>
      </c>
      <c r="BO320" t="s" s="0">
        <v>7647</v>
      </c>
      <c r="BP320" t="s" s="0">
        <v>7648</v>
      </c>
      <c r="BQ320" t="s" s="0">
        <v>7649</v>
      </c>
      <c r="BR320" t="s" s="0">
        <v>7650</v>
      </c>
      <c r="BS320" t="s" s="0">
        <v>7651</v>
      </c>
      <c r="BT320" t="s" s="637">
        <f>HYPERLINK("https://www.webofscience.com/wos/woscc/full-record/WOS:001456465100001","View Record in Web of Science")</f>
        <v>114</v>
      </c>
      <c r="BU320" t="s" s="0">
        <v>81</v>
      </c>
      <c r="BV320" t="s" s="0">
        <v>81</v>
      </c>
      <c r="BW320" t="s" s="0">
        <v>81</v>
      </c>
      <c r="BX320" t="s" s="0">
        <v>116</v>
      </c>
    </row>
    <row r="321">
      <c r="A321" t="s" s="0">
        <v>77</v>
      </c>
      <c r="B321" t="s" s="0">
        <v>77</v>
      </c>
      <c r="C321" t="s" s="0">
        <v>77</v>
      </c>
      <c r="D321" t="s" s="0">
        <v>77</v>
      </c>
      <c r="E321" t="s" s="0">
        <v>7652</v>
      </c>
      <c r="F321" t="s" s="0">
        <v>7653</v>
      </c>
      <c r="G321" t="s" s="0">
        <v>7654</v>
      </c>
      <c r="H321" t="s" s="0">
        <v>81</v>
      </c>
      <c r="I321" t="s" s="0">
        <v>82</v>
      </c>
      <c r="J321" t="s" s="0">
        <v>7655</v>
      </c>
      <c r="K321" t="s" s="0">
        <v>7656</v>
      </c>
      <c r="L321" t="s" s="0">
        <v>7657</v>
      </c>
      <c r="M321" t="s" s="0">
        <v>7658</v>
      </c>
      <c r="N321" t="s" s="0">
        <v>7659</v>
      </c>
      <c r="O321" t="s" s="0">
        <v>7660</v>
      </c>
      <c r="P321" t="s" s="0">
        <v>7661</v>
      </c>
      <c r="Q321" t="s" s="0">
        <v>90</v>
      </c>
      <c r="R321" t="s" s="0">
        <v>81</v>
      </c>
      <c r="S321" t="s" s="0">
        <v>81</v>
      </c>
      <c r="T321" t="s" s="0">
        <v>81</v>
      </c>
      <c r="U321" t="s" s="0">
        <v>81</v>
      </c>
      <c r="V321" t="s" s="0">
        <v>7662</v>
      </c>
      <c r="W321" t="s" s="0">
        <v>7663</v>
      </c>
      <c r="X321" t="s" s="0">
        <v>81</v>
      </c>
      <c r="Y321" t="s" s="0">
        <v>81</v>
      </c>
      <c r="Z321" t="s" s="0">
        <v>93</v>
      </c>
      <c r="AA321" t="s" s="0">
        <v>94</v>
      </c>
      <c r="AB321" t="s" s="0">
        <v>81</v>
      </c>
      <c r="AC321" t="s" s="0">
        <v>81</v>
      </c>
      <c r="AD321" t="s" s="0">
        <v>81</v>
      </c>
      <c r="AE321" t="s" s="0">
        <v>81</v>
      </c>
      <c r="AF321" t="s" s="0">
        <v>81</v>
      </c>
      <c r="AG321" t="s" s="0">
        <v>7664</v>
      </c>
      <c r="AH321" t="s" s="0">
        <v>7665</v>
      </c>
      <c r="AI321" t="s" s="0">
        <v>7666</v>
      </c>
      <c r="AJ321" t="s" s="0">
        <v>81</v>
      </c>
      <c r="AK321" t="s" s="0">
        <v>81</v>
      </c>
      <c r="AL321" t="s" s="0">
        <v>2178</v>
      </c>
      <c r="AM321" t="s" s="0">
        <v>117</v>
      </c>
      <c r="AN321" t="s" s="0">
        <v>117</v>
      </c>
      <c r="AO321" t="s" s="0">
        <v>77</v>
      </c>
      <c r="AP321" t="s" s="0">
        <v>77</v>
      </c>
      <c r="AQ321" t="s" s="0">
        <v>97</v>
      </c>
      <c r="AR321" t="s" s="0">
        <v>98</v>
      </c>
      <c r="AS321" t="s" s="0">
        <v>99</v>
      </c>
      <c r="AT321" t="s" s="0">
        <v>7667</v>
      </c>
      <c r="AU321" t="s" s="0">
        <v>81</v>
      </c>
      <c r="AV321" t="s" s="0">
        <v>81</v>
      </c>
      <c r="AW321" t="s" s="0">
        <v>7668</v>
      </c>
      <c r="AX321" t="s" s="0">
        <v>7669</v>
      </c>
      <c r="AY321" t="s" s="0">
        <v>7670</v>
      </c>
      <c r="AZ321" t="s" s="0">
        <v>104</v>
      </c>
      <c r="BA321" t="s" s="0">
        <v>563</v>
      </c>
      <c r="BB321" t="s" s="0">
        <v>81</v>
      </c>
      <c r="BC321" t="s" s="0">
        <v>81</v>
      </c>
      <c r="BD321" t="s" s="0">
        <v>81</v>
      </c>
      <c r="BE321" t="s" s="0">
        <v>81</v>
      </c>
      <c r="BF321" t="s" s="0">
        <v>81</v>
      </c>
      <c r="BG321" t="s" s="0">
        <v>81</v>
      </c>
      <c r="BH321" t="s" s="0">
        <v>81</v>
      </c>
      <c r="BI321" t="s" s="0">
        <v>7671</v>
      </c>
      <c r="BJ321" t="s" s="0">
        <v>7672</v>
      </c>
      <c r="BK321" t="s" s="638">
        <f>HYPERLINK("http://dx.doi.org/10.3389/fendo.2026.1832468","http://dx.doi.org/10.3389/fendo.2026.1832468")</f>
        <v>7673</v>
      </c>
      <c r="BL321" t="s" s="0">
        <v>81</v>
      </c>
      <c r="BM321" t="s" s="0">
        <v>203</v>
      </c>
      <c r="BN321" t="s" s="0">
        <v>475</v>
      </c>
      <c r="BO321" t="s" s="0">
        <v>2016</v>
      </c>
      <c r="BP321" t="s" s="0">
        <v>2016</v>
      </c>
      <c r="BQ321" t="s" s="0">
        <v>7674</v>
      </c>
      <c r="BR321" t="s" s="0">
        <v>7675</v>
      </c>
      <c r="BS321" t="s" s="0">
        <v>7676</v>
      </c>
      <c r="BT321" t="s" s="639">
        <f>HYPERLINK("https://www.webofscience.com/wos/woscc/full-record/WOS:001780377800001","View Record in Web of Science")</f>
        <v>114</v>
      </c>
      <c r="BU321" t="s" s="0">
        <v>145</v>
      </c>
      <c r="BV321" t="s" s="0">
        <v>81</v>
      </c>
      <c r="BW321" t="s" s="0">
        <v>81</v>
      </c>
      <c r="BX321" t="s" s="0">
        <v>116</v>
      </c>
    </row>
    <row r="322">
      <c r="A322" t="s" s="0">
        <v>77</v>
      </c>
      <c r="B322" t="s" s="0">
        <v>77</v>
      </c>
      <c r="C322" t="s" s="0">
        <v>77</v>
      </c>
      <c r="D322" t="s" s="0">
        <v>77</v>
      </c>
      <c r="E322" t="s" s="0">
        <v>7677</v>
      </c>
      <c r="F322" t="s" s="0">
        <v>7678</v>
      </c>
      <c r="G322" t="s" s="0">
        <v>7679</v>
      </c>
      <c r="H322" t="s" s="0">
        <v>81</v>
      </c>
      <c r="I322" t="s" s="0">
        <v>82</v>
      </c>
      <c r="J322" t="s" s="0">
        <v>7680</v>
      </c>
      <c r="K322" t="s" s="0">
        <v>7681</v>
      </c>
      <c r="L322" t="s" s="0">
        <v>7682</v>
      </c>
      <c r="M322" t="s" s="0">
        <v>7683</v>
      </c>
      <c r="N322" t="s" s="0">
        <v>81</v>
      </c>
      <c r="O322" t="s" s="0">
        <v>7684</v>
      </c>
      <c r="P322" t="s" s="0">
        <v>7685</v>
      </c>
      <c r="Q322" t="s" s="0">
        <v>90</v>
      </c>
      <c r="R322" t="s" s="0">
        <v>81</v>
      </c>
      <c r="S322" t="s" s="0">
        <v>81</v>
      </c>
      <c r="T322" t="s" s="0">
        <v>81</v>
      </c>
      <c r="U322" t="s" s="0">
        <v>81</v>
      </c>
      <c r="V322" t="s" s="0">
        <v>7686</v>
      </c>
      <c r="W322" t="s" s="0">
        <v>1510</v>
      </c>
      <c r="X322" t="s" s="0">
        <v>81</v>
      </c>
      <c r="Y322" t="s" s="0">
        <v>81</v>
      </c>
      <c r="Z322" t="s" s="0">
        <v>93</v>
      </c>
      <c r="AA322" t="s" s="0">
        <v>94</v>
      </c>
      <c r="AB322" t="s" s="0">
        <v>81</v>
      </c>
      <c r="AC322" t="s" s="0">
        <v>81</v>
      </c>
      <c r="AD322" t="s" s="0">
        <v>81</v>
      </c>
      <c r="AE322" t="s" s="0">
        <v>81</v>
      </c>
      <c r="AF322" t="s" s="0">
        <v>81</v>
      </c>
      <c r="AG322" t="s" s="0">
        <v>7687</v>
      </c>
      <c r="AH322" t="s" s="0">
        <v>81</v>
      </c>
      <c r="AI322" t="s" s="0">
        <v>7688</v>
      </c>
      <c r="AJ322" t="s" s="0">
        <v>7689</v>
      </c>
      <c r="AK322" t="s" s="0">
        <v>81</v>
      </c>
      <c r="AL322" t="s" s="0">
        <v>846</v>
      </c>
      <c r="AM322" t="s" s="0">
        <v>160</v>
      </c>
      <c r="AN322" t="s" s="0">
        <v>253</v>
      </c>
      <c r="AO322" t="s" s="0">
        <v>160</v>
      </c>
      <c r="AP322" t="s" s="0">
        <v>161</v>
      </c>
      <c r="AQ322" t="s" s="0">
        <v>476</v>
      </c>
      <c r="AR322" t="s" s="0">
        <v>477</v>
      </c>
      <c r="AS322" t="s" s="0">
        <v>478</v>
      </c>
      <c r="AT322" t="s" s="0">
        <v>81</v>
      </c>
      <c r="AU322" t="s" s="0">
        <v>1516</v>
      </c>
      <c r="AV322" t="s" s="0">
        <v>81</v>
      </c>
      <c r="AW322" t="s" s="0">
        <v>1510</v>
      </c>
      <c r="AX322" t="s" s="0">
        <v>1517</v>
      </c>
      <c r="AY322" t="s" s="0">
        <v>7690</v>
      </c>
      <c r="AZ322" t="s" s="0">
        <v>136</v>
      </c>
      <c r="BA322" t="s" s="0">
        <v>563</v>
      </c>
      <c r="BB322" t="s" s="0">
        <v>167</v>
      </c>
      <c r="BC322" t="s" s="0">
        <v>81</v>
      </c>
      <c r="BD322" t="s" s="0">
        <v>81</v>
      </c>
      <c r="BE322" t="s" s="0">
        <v>81</v>
      </c>
      <c r="BF322" t="s" s="0">
        <v>81</v>
      </c>
      <c r="BG322" t="s" s="0">
        <v>81</v>
      </c>
      <c r="BH322" t="s" s="0">
        <v>81</v>
      </c>
      <c r="BI322" t="s" s="0">
        <v>7691</v>
      </c>
      <c r="BJ322" t="s" s="0">
        <v>7692</v>
      </c>
      <c r="BK322" t="s" s="640">
        <f>HYPERLINK("http://dx.doi.org/10.3390/cancers17132115","http://dx.doi.org/10.3390/cancers17132115")</f>
        <v>7693</v>
      </c>
      <c r="BL322" t="s" s="0">
        <v>81</v>
      </c>
      <c r="BM322" t="s" s="0">
        <v>81</v>
      </c>
      <c r="BN322" t="s" s="0">
        <v>228</v>
      </c>
      <c r="BO322" t="s" s="0">
        <v>939</v>
      </c>
      <c r="BP322" t="s" s="0">
        <v>939</v>
      </c>
      <c r="BQ322" t="s" s="0">
        <v>7694</v>
      </c>
      <c r="BR322" t="s" s="0">
        <v>7695</v>
      </c>
      <c r="BS322" t="s" s="0">
        <v>7696</v>
      </c>
      <c r="BT322" t="s" s="641">
        <f>HYPERLINK("https://www.webofscience.com/wos/woscc/full-record/WOS:001527122500001","View Record in Web of Science")</f>
        <v>114</v>
      </c>
      <c r="BU322" t="s" s="0">
        <v>145</v>
      </c>
      <c r="BV322" t="s" s="0">
        <v>81</v>
      </c>
      <c r="BW322" t="s" s="0">
        <v>81</v>
      </c>
      <c r="BX322" t="s" s="0">
        <v>116</v>
      </c>
    </row>
    <row r="323">
      <c r="A323" t="s" s="0">
        <v>77</v>
      </c>
      <c r="B323" t="s" s="0">
        <v>77</v>
      </c>
      <c r="C323" t="s" s="0">
        <v>77</v>
      </c>
      <c r="D323" t="s" s="0">
        <v>77</v>
      </c>
      <c r="E323" t="s" s="0">
        <v>7697</v>
      </c>
      <c r="F323" t="s" s="0">
        <v>7698</v>
      </c>
      <c r="G323" t="s" s="0">
        <v>7699</v>
      </c>
      <c r="H323" t="s" s="0">
        <v>81</v>
      </c>
      <c r="I323" t="s" s="0">
        <v>2702</v>
      </c>
      <c r="J323" t="s" s="0">
        <v>7700</v>
      </c>
      <c r="K323" t="s" s="0">
        <v>7701</v>
      </c>
      <c r="L323" t="s" s="0">
        <v>7702</v>
      </c>
      <c r="M323" t="s" s="0">
        <v>5175</v>
      </c>
      <c r="N323" t="s" s="0">
        <v>7703</v>
      </c>
      <c r="O323" t="s" s="0">
        <v>7704</v>
      </c>
      <c r="P323" t="s" s="0">
        <v>7705</v>
      </c>
      <c r="Q323" t="s" s="0">
        <v>90</v>
      </c>
      <c r="R323" t="s" s="0">
        <v>81</v>
      </c>
      <c r="S323" t="s" s="0">
        <v>81</v>
      </c>
      <c r="T323" t="s" s="0">
        <v>81</v>
      </c>
      <c r="U323" t="s" s="0">
        <v>81</v>
      </c>
      <c r="V323" t="s" s="0">
        <v>7706</v>
      </c>
      <c r="W323" t="s" s="0">
        <v>7707</v>
      </c>
      <c r="X323" t="s" s="0">
        <v>81</v>
      </c>
      <c r="Y323" t="s" s="0">
        <v>81</v>
      </c>
      <c r="Z323" t="s" s="0">
        <v>93</v>
      </c>
      <c r="AA323" t="s" s="0">
        <v>94</v>
      </c>
      <c r="AB323" t="s" s="0">
        <v>81</v>
      </c>
      <c r="AC323" t="s" s="0">
        <v>81</v>
      </c>
      <c r="AD323" t="s" s="0">
        <v>81</v>
      </c>
      <c r="AE323" t="s" s="0">
        <v>81</v>
      </c>
      <c r="AF323" t="s" s="0">
        <v>81</v>
      </c>
      <c r="AG323" t="s" s="0">
        <v>7708</v>
      </c>
      <c r="AH323" t="s" s="0">
        <v>7709</v>
      </c>
      <c r="AI323" t="s" s="0">
        <v>81</v>
      </c>
      <c r="AJ323" t="s" s="0">
        <v>7710</v>
      </c>
      <c r="AK323" t="s" s="0">
        <v>81</v>
      </c>
      <c r="AL323" t="s" s="0">
        <v>794</v>
      </c>
      <c r="AM323" t="s" s="0">
        <v>77</v>
      </c>
      <c r="AN323" t="s" s="0">
        <v>77</v>
      </c>
      <c r="AO323" t="s" s="0">
        <v>77</v>
      </c>
      <c r="AP323" t="s" s="0">
        <v>77</v>
      </c>
      <c r="AQ323" t="s" s="0">
        <v>7711</v>
      </c>
      <c r="AR323" t="s" s="0">
        <v>4553</v>
      </c>
      <c r="AS323" t="s" s="0">
        <v>7712</v>
      </c>
      <c r="AT323" t="s" s="0">
        <v>7713</v>
      </c>
      <c r="AU323" t="s" s="0">
        <v>7714</v>
      </c>
      <c r="AV323" t="s" s="0">
        <v>81</v>
      </c>
      <c r="AW323" t="s" s="0">
        <v>7715</v>
      </c>
      <c r="AX323" t="s" s="0">
        <v>7716</v>
      </c>
      <c r="AY323" t="s" s="0">
        <v>7717</v>
      </c>
      <c r="AZ323" t="s" s="0">
        <v>104</v>
      </c>
      <c r="BA323" t="s" s="0">
        <v>1350</v>
      </c>
      <c r="BB323" t="s" s="0">
        <v>117</v>
      </c>
      <c r="BC323" t="s" s="0">
        <v>81</v>
      </c>
      <c r="BD323" t="s" s="0">
        <v>81</v>
      </c>
      <c r="BE323" t="s" s="0">
        <v>81</v>
      </c>
      <c r="BF323" t="s" s="0">
        <v>81</v>
      </c>
      <c r="BG323" t="s" s="0">
        <v>81</v>
      </c>
      <c r="BH323" t="s" s="0">
        <v>81</v>
      </c>
      <c r="BI323" t="s" s="0">
        <v>7718</v>
      </c>
      <c r="BJ323" t="s" s="0">
        <v>7719</v>
      </c>
      <c r="BK323" t="s" s="642">
        <f>HYPERLINK("http://dx.doi.org/10.1192/j.eurpsy.2026.12225","http://dx.doi.org/10.1192/j.eurpsy.2026.12225")</f>
        <v>7720</v>
      </c>
      <c r="BL323" t="s" s="0">
        <v>81</v>
      </c>
      <c r="BM323" t="s" s="0">
        <v>203</v>
      </c>
      <c r="BN323" t="s" s="0">
        <v>129</v>
      </c>
      <c r="BO323" t="s" s="0">
        <v>7721</v>
      </c>
      <c r="BP323" t="s" s="0">
        <v>7721</v>
      </c>
      <c r="BQ323" t="s" s="0">
        <v>7722</v>
      </c>
      <c r="BR323" t="s" s="0">
        <v>7723</v>
      </c>
      <c r="BS323" t="s" s="0">
        <v>7724</v>
      </c>
      <c r="BT323" t="s" s="643">
        <f>HYPERLINK("https://www.webofscience.com/wos/woscc/full-record/WOS:001793523000001","View Record in Web of Science")</f>
        <v>114</v>
      </c>
      <c r="BU323" t="s" s="0">
        <v>145</v>
      </c>
      <c r="BV323" t="s" s="0">
        <v>81</v>
      </c>
      <c r="BW323" t="s" s="0">
        <v>81</v>
      </c>
      <c r="BX323" t="s" s="0">
        <v>116</v>
      </c>
    </row>
    <row r="324">
      <c r="A324" t="s" s="0">
        <v>77</v>
      </c>
      <c r="B324" t="s" s="0">
        <v>77</v>
      </c>
      <c r="C324" t="s" s="0">
        <v>77</v>
      </c>
      <c r="D324" t="s" s="0">
        <v>77</v>
      </c>
      <c r="E324" t="s" s="0">
        <v>7725</v>
      </c>
      <c r="F324" t="s" s="0">
        <v>7726</v>
      </c>
      <c r="G324" t="s" s="0">
        <v>7727</v>
      </c>
      <c r="H324" t="s" s="0">
        <v>81</v>
      </c>
      <c r="I324" t="s" s="0">
        <v>82</v>
      </c>
      <c r="J324" t="s" s="0">
        <v>7728</v>
      </c>
      <c r="K324" t="s" s="0">
        <v>7729</v>
      </c>
      <c r="L324" t="s" s="0">
        <v>7730</v>
      </c>
      <c r="M324" t="s" s="0">
        <v>7731</v>
      </c>
      <c r="N324" t="s" s="0">
        <v>7732</v>
      </c>
      <c r="O324" t="s" s="0">
        <v>7733</v>
      </c>
      <c r="P324" t="s" s="0">
        <v>7734</v>
      </c>
      <c r="Q324" t="s" s="0">
        <v>90</v>
      </c>
      <c r="R324" t="s" s="0">
        <v>81</v>
      </c>
      <c r="S324" t="s" s="0">
        <v>81</v>
      </c>
      <c r="T324" t="s" s="0">
        <v>81</v>
      </c>
      <c r="U324" t="s" s="0">
        <v>81</v>
      </c>
      <c r="V324" t="s" s="0">
        <v>7735</v>
      </c>
      <c r="W324" t="s" s="0">
        <v>595</v>
      </c>
      <c r="X324" t="s" s="0">
        <v>81</v>
      </c>
      <c r="Y324" t="s" s="0">
        <v>81</v>
      </c>
      <c r="Z324" t="s" s="0">
        <v>93</v>
      </c>
      <c r="AA324" t="s" s="0">
        <v>94</v>
      </c>
      <c r="AB324" t="s" s="0">
        <v>81</v>
      </c>
      <c r="AC324" t="s" s="0">
        <v>81</v>
      </c>
      <c r="AD324" t="s" s="0">
        <v>81</v>
      </c>
      <c r="AE324" t="s" s="0">
        <v>81</v>
      </c>
      <c r="AF324" t="s" s="0">
        <v>81</v>
      </c>
      <c r="AG324" t="s" s="0">
        <v>7736</v>
      </c>
      <c r="AH324" t="s" s="0">
        <v>7737</v>
      </c>
      <c r="AI324" t="s" s="0">
        <v>81</v>
      </c>
      <c r="AJ324" t="s" s="0">
        <v>81</v>
      </c>
      <c r="AK324" t="s" s="0">
        <v>81</v>
      </c>
      <c r="AL324" t="s" s="0">
        <v>109</v>
      </c>
      <c r="AM324" t="s" s="0">
        <v>77</v>
      </c>
      <c r="AN324" t="s" s="0">
        <v>77</v>
      </c>
      <c r="AO324" t="s" s="0">
        <v>117</v>
      </c>
      <c r="AP324" t="s" s="0">
        <v>117</v>
      </c>
      <c r="AQ324" t="s" s="0">
        <v>598</v>
      </c>
      <c r="AR324" t="s" s="0">
        <v>599</v>
      </c>
      <c r="AS324" t="s" s="0">
        <v>600</v>
      </c>
      <c r="AT324" t="s" s="0">
        <v>601</v>
      </c>
      <c r="AU324" t="s" s="0">
        <v>81</v>
      </c>
      <c r="AV324" t="s" s="0">
        <v>81</v>
      </c>
      <c r="AW324" t="s" s="0">
        <v>602</v>
      </c>
      <c r="AX324" t="s" s="0">
        <v>603</v>
      </c>
      <c r="AY324" t="s" s="0">
        <v>2583</v>
      </c>
      <c r="AZ324" t="s" s="0">
        <v>104</v>
      </c>
      <c r="BA324" t="s" s="0">
        <v>172</v>
      </c>
      <c r="BB324" t="s" s="0">
        <v>130</v>
      </c>
      <c r="BC324" t="s" s="0">
        <v>81</v>
      </c>
      <c r="BD324" t="s" s="0">
        <v>81</v>
      </c>
      <c r="BE324" t="s" s="0">
        <v>81</v>
      </c>
      <c r="BF324" t="s" s="0">
        <v>81</v>
      </c>
      <c r="BG324" t="s" s="0">
        <v>81</v>
      </c>
      <c r="BH324" t="s" s="0">
        <v>81</v>
      </c>
      <c r="BI324" t="s" s="0">
        <v>345</v>
      </c>
      <c r="BJ324" t="s" s="0">
        <v>7738</v>
      </c>
      <c r="BK324" t="s" s="644">
        <f>HYPERLINK("http://dx.doi.org/10.1167/tvst.15.2.26","http://dx.doi.org/10.1167/tvst.15.2.26")</f>
        <v>7739</v>
      </c>
      <c r="BL324" t="s" s="0">
        <v>81</v>
      </c>
      <c r="BM324" t="s" s="0">
        <v>81</v>
      </c>
      <c r="BN324" t="s" s="0">
        <v>204</v>
      </c>
      <c r="BO324" t="s" s="0">
        <v>606</v>
      </c>
      <c r="BP324" t="s" s="0">
        <v>606</v>
      </c>
      <c r="BQ324" t="s" s="0">
        <v>7740</v>
      </c>
      <c r="BR324" t="s" s="0">
        <v>7741</v>
      </c>
      <c r="BS324" t="s" s="0">
        <v>7742</v>
      </c>
      <c r="BT324" t="s" s="645">
        <f>HYPERLINK("https://www.webofscience.com/wos/woscc/full-record/WOS:001730576500004","View Record in Web of Science")</f>
        <v>114</v>
      </c>
      <c r="BU324" t="s" s="0">
        <v>145</v>
      </c>
      <c r="BV324" t="s" s="0">
        <v>81</v>
      </c>
      <c r="BW324" t="s" s="0">
        <v>81</v>
      </c>
      <c r="BX324" t="s" s="0">
        <v>116</v>
      </c>
    </row>
    <row r="325">
      <c r="A325" t="s" s="0">
        <v>77</v>
      </c>
      <c r="B325" t="s" s="0">
        <v>77</v>
      </c>
      <c r="C325" t="s" s="0">
        <v>161</v>
      </c>
      <c r="D325" t="s" s="0">
        <v>77</v>
      </c>
      <c r="E325" t="s" s="0">
        <v>7743</v>
      </c>
      <c r="F325" t="s" s="0">
        <v>7744</v>
      </c>
      <c r="G325" t="s" s="0">
        <v>7745</v>
      </c>
      <c r="H325" t="s" s="0">
        <v>81</v>
      </c>
      <c r="I325" t="s" s="0">
        <v>82</v>
      </c>
      <c r="J325" t="s" s="0">
        <v>7746</v>
      </c>
      <c r="K325" t="s" s="0">
        <v>7747</v>
      </c>
      <c r="L325" t="s" s="0">
        <v>7748</v>
      </c>
      <c r="M325" t="s" s="0">
        <v>7749</v>
      </c>
      <c r="N325" t="s" s="0">
        <v>7750</v>
      </c>
      <c r="O325" t="s" s="0">
        <v>7751</v>
      </c>
      <c r="P325" t="s" s="0">
        <v>7752</v>
      </c>
      <c r="Q325" t="s" s="0">
        <v>90</v>
      </c>
      <c r="R325" t="s" s="0">
        <v>81</v>
      </c>
      <c r="S325" t="s" s="0">
        <v>81</v>
      </c>
      <c r="T325" t="s" s="0">
        <v>81</v>
      </c>
      <c r="U325" t="s" s="0">
        <v>81</v>
      </c>
      <c r="V325" t="s" s="0">
        <v>7753</v>
      </c>
      <c r="W325" t="s" s="0">
        <v>4876</v>
      </c>
      <c r="X325" t="s" s="0">
        <v>81</v>
      </c>
      <c r="Y325" t="s" s="0">
        <v>81</v>
      </c>
      <c r="Z325" t="s" s="0">
        <v>93</v>
      </c>
      <c r="AA325" t="s" s="0">
        <v>94</v>
      </c>
      <c r="AB325" t="s" s="0">
        <v>81</v>
      </c>
      <c r="AC325" t="s" s="0">
        <v>81</v>
      </c>
      <c r="AD325" t="s" s="0">
        <v>81</v>
      </c>
      <c r="AE325" t="s" s="0">
        <v>81</v>
      </c>
      <c r="AF325" t="s" s="0">
        <v>81</v>
      </c>
      <c r="AG325" t="s" s="0">
        <v>7754</v>
      </c>
      <c r="AH325" t="s" s="0">
        <v>7755</v>
      </c>
      <c r="AI325" t="s" s="0">
        <v>7756</v>
      </c>
      <c r="AJ325" t="s" s="0">
        <v>7757</v>
      </c>
      <c r="AK325" t="s" s="0">
        <v>81</v>
      </c>
      <c r="AL325" t="s" s="0">
        <v>6817</v>
      </c>
      <c r="AM325" t="s" s="0">
        <v>228</v>
      </c>
      <c r="AN325" t="s" s="0">
        <v>563</v>
      </c>
      <c r="AO325" t="s" s="0">
        <v>77</v>
      </c>
      <c r="AP325" t="s" s="0">
        <v>129</v>
      </c>
      <c r="AQ325" t="s" s="0">
        <v>338</v>
      </c>
      <c r="AR325" t="s" s="0">
        <v>339</v>
      </c>
      <c r="AS325" t="s" s="0">
        <v>340</v>
      </c>
      <c r="AT325" t="s" s="0">
        <v>4880</v>
      </c>
      <c r="AU325" t="s" s="0">
        <v>81</v>
      </c>
      <c r="AV325" t="s" s="0">
        <v>81</v>
      </c>
      <c r="AW325" t="s" s="0">
        <v>4881</v>
      </c>
      <c r="AX325" t="s" s="0">
        <v>4882</v>
      </c>
      <c r="AY325" t="s" s="0">
        <v>7758</v>
      </c>
      <c r="AZ325" t="s" s="0">
        <v>1519</v>
      </c>
      <c r="BA325" t="s" s="0">
        <v>137</v>
      </c>
      <c r="BB325" t="s" s="0">
        <v>117</v>
      </c>
      <c r="BC325" t="s" s="0">
        <v>81</v>
      </c>
      <c r="BD325" t="s" s="0">
        <v>81</v>
      </c>
      <c r="BE325" t="s" s="0">
        <v>81</v>
      </c>
      <c r="BF325" t="s" s="0">
        <v>81</v>
      </c>
      <c r="BG325" t="s" s="0">
        <v>81</v>
      </c>
      <c r="BH325" t="s" s="0">
        <v>81</v>
      </c>
      <c r="BI325" t="s" s="0">
        <v>541</v>
      </c>
      <c r="BJ325" t="s" s="0">
        <v>7759</v>
      </c>
      <c r="BK325" t="s" s="646">
        <f>HYPERLINK("http://dx.doi.org/10.1186/s13040-023-00338-w","http://dx.doi.org/10.1186/s13040-023-00338-w")</f>
        <v>7760</v>
      </c>
      <c r="BL325" t="s" s="0">
        <v>81</v>
      </c>
      <c r="BM325" t="s" s="0">
        <v>81</v>
      </c>
      <c r="BN325" t="s" s="0">
        <v>337</v>
      </c>
      <c r="BO325" t="s" s="0">
        <v>4886</v>
      </c>
      <c r="BP325" t="s" s="0">
        <v>4886</v>
      </c>
      <c r="BQ325" t="s" s="0">
        <v>7761</v>
      </c>
      <c r="BR325" t="s" s="0">
        <v>7762</v>
      </c>
      <c r="BS325" t="s" s="0">
        <v>7763</v>
      </c>
      <c r="BT325" t="s" s="647">
        <f>HYPERLINK("https://www.webofscience.com/wos/woscc/full-record/WOS:001079365600001","View Record in Web of Science")</f>
        <v>114</v>
      </c>
      <c r="BU325" t="s" s="0">
        <v>145</v>
      </c>
      <c r="BV325" t="s" s="0">
        <v>81</v>
      </c>
      <c r="BW325" t="s" s="0">
        <v>81</v>
      </c>
      <c r="BX325" t="s" s="0">
        <v>116</v>
      </c>
    </row>
    <row r="326">
      <c r="A326" t="s" s="0">
        <v>77</v>
      </c>
      <c r="B326" t="s" s="0">
        <v>77</v>
      </c>
      <c r="C326" t="s" s="0">
        <v>77</v>
      </c>
      <c r="D326" t="s" s="0">
        <v>77</v>
      </c>
      <c r="E326" t="s" s="0">
        <v>7764</v>
      </c>
      <c r="F326" t="s" s="0">
        <v>7765</v>
      </c>
      <c r="G326" t="s" s="0">
        <v>7766</v>
      </c>
      <c r="H326" t="s" s="0">
        <v>81</v>
      </c>
      <c r="I326" t="s" s="0">
        <v>213</v>
      </c>
      <c r="J326" t="s" s="0">
        <v>7767</v>
      </c>
      <c r="K326" t="s" s="0">
        <v>7768</v>
      </c>
      <c r="L326" t="s" s="0">
        <v>7769</v>
      </c>
      <c r="M326" t="s" s="0">
        <v>7770</v>
      </c>
      <c r="N326" t="s" s="0">
        <v>7771</v>
      </c>
      <c r="O326" t="s" s="0">
        <v>7772</v>
      </c>
      <c r="P326" t="s" s="0">
        <v>7773</v>
      </c>
      <c r="Q326" t="s" s="0">
        <v>90</v>
      </c>
      <c r="R326" t="s" s="0">
        <v>81</v>
      </c>
      <c r="S326" t="s" s="0">
        <v>81</v>
      </c>
      <c r="T326" t="s" s="0">
        <v>81</v>
      </c>
      <c r="U326" t="s" s="0">
        <v>81</v>
      </c>
      <c r="V326" t="s" s="0">
        <v>7774</v>
      </c>
      <c r="W326" t="s" s="0">
        <v>7775</v>
      </c>
      <c r="X326" t="s" s="0">
        <v>81</v>
      </c>
      <c r="Y326" t="s" s="0">
        <v>81</v>
      </c>
      <c r="Z326" t="s" s="0">
        <v>93</v>
      </c>
      <c r="AA326" t="s" s="0">
        <v>94</v>
      </c>
      <c r="AB326" t="s" s="0">
        <v>81</v>
      </c>
      <c r="AC326" t="s" s="0">
        <v>81</v>
      </c>
      <c r="AD326" t="s" s="0">
        <v>81</v>
      </c>
      <c r="AE326" t="s" s="0">
        <v>81</v>
      </c>
      <c r="AF326" t="s" s="0">
        <v>81</v>
      </c>
      <c r="AG326" t="s" s="0">
        <v>7776</v>
      </c>
      <c r="AH326" t="s" s="0">
        <v>7777</v>
      </c>
      <c r="AI326" t="s" s="0">
        <v>7778</v>
      </c>
      <c r="AJ326" t="s" s="0">
        <v>7779</v>
      </c>
      <c r="AK326" t="s" s="0">
        <v>81</v>
      </c>
      <c r="AL326" t="s" s="0">
        <v>1900</v>
      </c>
      <c r="AM326" t="s" s="0">
        <v>130</v>
      </c>
      <c r="AN326" t="s" s="0">
        <v>130</v>
      </c>
      <c r="AO326" t="s" s="0">
        <v>77</v>
      </c>
      <c r="AP326" t="s" s="0">
        <v>77</v>
      </c>
      <c r="AQ326" t="s" s="0">
        <v>406</v>
      </c>
      <c r="AR326" t="s" s="0">
        <v>407</v>
      </c>
      <c r="AS326" t="s" s="0">
        <v>408</v>
      </c>
      <c r="AT326" t="s" s="0">
        <v>81</v>
      </c>
      <c r="AU326" t="s" s="0">
        <v>7780</v>
      </c>
      <c r="AV326" t="s" s="0">
        <v>81</v>
      </c>
      <c r="AW326" t="s" s="0">
        <v>7781</v>
      </c>
      <c r="AX326" t="s" s="0">
        <v>7782</v>
      </c>
      <c r="AY326" t="s" s="0">
        <v>3082</v>
      </c>
      <c r="AZ326" t="s" s="0">
        <v>136</v>
      </c>
      <c r="BA326" t="s" s="0">
        <v>160</v>
      </c>
      <c r="BB326" t="s" s="0">
        <v>129</v>
      </c>
      <c r="BC326" t="s" s="0">
        <v>81</v>
      </c>
      <c r="BD326" t="s" s="0">
        <v>81</v>
      </c>
      <c r="BE326" t="s" s="0">
        <v>81</v>
      </c>
      <c r="BF326" t="s" s="0">
        <v>81</v>
      </c>
      <c r="BG326" t="s" s="0">
        <v>81</v>
      </c>
      <c r="BH326" t="s" s="0">
        <v>81</v>
      </c>
      <c r="BI326" t="s" s="0">
        <v>7783</v>
      </c>
      <c r="BJ326" t="s" s="0">
        <v>7784</v>
      </c>
      <c r="BK326" t="s" s="648">
        <f>HYPERLINK("http://dx.doi.org/10.1016/j.jacadv.2025.102168","http://dx.doi.org/10.1016/j.jacadv.2025.102168")</f>
        <v>7785</v>
      </c>
      <c r="BL326" t="s" s="0">
        <v>81</v>
      </c>
      <c r="BM326" t="s" s="0">
        <v>1080</v>
      </c>
      <c r="BN326" t="s" s="0">
        <v>228</v>
      </c>
      <c r="BO326" t="s" s="0">
        <v>515</v>
      </c>
      <c r="BP326" t="s" s="0">
        <v>516</v>
      </c>
      <c r="BQ326" t="s" s="0">
        <v>7786</v>
      </c>
      <c r="BR326" t="s" s="0">
        <v>7787</v>
      </c>
      <c r="BS326" t="s" s="0">
        <v>7788</v>
      </c>
      <c r="BT326" t="s" s="649">
        <f>HYPERLINK("https://www.webofscience.com/wos/woscc/full-record/WOS:001578701300001","View Record in Web of Science")</f>
        <v>114</v>
      </c>
      <c r="BU326" t="s" s="0">
        <v>145</v>
      </c>
      <c r="BV326" t="s" s="0">
        <v>81</v>
      </c>
      <c r="BW326" t="s" s="0">
        <v>81</v>
      </c>
      <c r="BX326" t="s" s="0">
        <v>116</v>
      </c>
    </row>
    <row r="327">
      <c r="A327" t="s" s="0">
        <v>77</v>
      </c>
      <c r="B327" t="s" s="0">
        <v>77</v>
      </c>
      <c r="C327" t="s" s="0">
        <v>77</v>
      </c>
      <c r="D327" t="s" s="0">
        <v>77</v>
      </c>
      <c r="E327" t="s" s="0">
        <v>7789</v>
      </c>
      <c r="F327" t="s" s="0">
        <v>7790</v>
      </c>
      <c r="G327" t="s" s="0">
        <v>7791</v>
      </c>
      <c r="H327" t="s" s="0">
        <v>81</v>
      </c>
      <c r="I327" t="s" s="0">
        <v>82</v>
      </c>
      <c r="J327" t="s" s="0">
        <v>7792</v>
      </c>
      <c r="K327" t="s" s="0">
        <v>7793</v>
      </c>
      <c r="L327" t="s" s="0">
        <v>7794</v>
      </c>
      <c r="M327" t="s" s="0">
        <v>7795</v>
      </c>
      <c r="N327" t="s" s="0">
        <v>7796</v>
      </c>
      <c r="O327" t="s" s="0">
        <v>7797</v>
      </c>
      <c r="P327" t="s" s="0">
        <v>7798</v>
      </c>
      <c r="Q327" t="s" s="0">
        <v>90</v>
      </c>
      <c r="R327" t="s" s="0">
        <v>81</v>
      </c>
      <c r="S327" t="s" s="0">
        <v>81</v>
      </c>
      <c r="T327" t="s" s="0">
        <v>81</v>
      </c>
      <c r="U327" t="s" s="0">
        <v>81</v>
      </c>
      <c r="V327" t="s" s="0">
        <v>7799</v>
      </c>
      <c r="W327" t="s" s="0">
        <v>7363</v>
      </c>
      <c r="X327" t="s" s="0">
        <v>81</v>
      </c>
      <c r="Y327" t="s" s="0">
        <v>81</v>
      </c>
      <c r="Z327" t="s" s="0">
        <v>93</v>
      </c>
      <c r="AA327" t="s" s="0">
        <v>94</v>
      </c>
      <c r="AB327" t="s" s="0">
        <v>81</v>
      </c>
      <c r="AC327" t="s" s="0">
        <v>81</v>
      </c>
      <c r="AD327" t="s" s="0">
        <v>81</v>
      </c>
      <c r="AE327" t="s" s="0">
        <v>81</v>
      </c>
      <c r="AF327" t="s" s="0">
        <v>81</v>
      </c>
      <c r="AG327" t="s" s="0">
        <v>7800</v>
      </c>
      <c r="AH327" t="s" s="0">
        <v>7801</v>
      </c>
      <c r="AI327" t="s" s="0">
        <v>7802</v>
      </c>
      <c r="AJ327" t="s" s="0">
        <v>7803</v>
      </c>
      <c r="AK327" t="s" s="0">
        <v>81</v>
      </c>
      <c r="AL327" t="s" s="0">
        <v>368</v>
      </c>
      <c r="AM327" t="s" s="0">
        <v>77</v>
      </c>
      <c r="AN327" t="s" s="0">
        <v>77</v>
      </c>
      <c r="AO327" t="s" s="0">
        <v>130</v>
      </c>
      <c r="AP327" t="s" s="0">
        <v>130</v>
      </c>
      <c r="AQ327" t="s" s="0">
        <v>476</v>
      </c>
      <c r="AR327" t="s" s="0">
        <v>477</v>
      </c>
      <c r="AS327" t="s" s="0">
        <v>478</v>
      </c>
      <c r="AT327" t="s" s="0">
        <v>81</v>
      </c>
      <c r="AU327" t="s" s="0">
        <v>7368</v>
      </c>
      <c r="AV327" t="s" s="0">
        <v>81</v>
      </c>
      <c r="AW327" t="s" s="0">
        <v>7363</v>
      </c>
      <c r="AX327" t="s" s="0">
        <v>7358</v>
      </c>
      <c r="AY327" t="s" s="0">
        <v>7804</v>
      </c>
      <c r="AZ327" t="s" s="0">
        <v>104</v>
      </c>
      <c r="BA327" t="s" s="0">
        <v>228</v>
      </c>
      <c r="BB327" t="s" s="0">
        <v>130</v>
      </c>
      <c r="BC327" t="s" s="0">
        <v>81</v>
      </c>
      <c r="BD327" t="s" s="0">
        <v>81</v>
      </c>
      <c r="BE327" t="s" s="0">
        <v>81</v>
      </c>
      <c r="BF327" t="s" s="0">
        <v>81</v>
      </c>
      <c r="BG327" t="s" s="0">
        <v>81</v>
      </c>
      <c r="BH327" t="s" s="0">
        <v>81</v>
      </c>
      <c r="BI327" t="s" s="0">
        <v>772</v>
      </c>
      <c r="BJ327" t="s" s="0">
        <v>7805</v>
      </c>
      <c r="BK327" t="s" s="650">
        <f>HYPERLINK("http://dx.doi.org/10.3390/biomedicines14020348","http://dx.doi.org/10.3390/biomedicines14020348")</f>
        <v>7806</v>
      </c>
      <c r="BL327" t="s" s="0">
        <v>81</v>
      </c>
      <c r="BM327" t="s" s="0">
        <v>81</v>
      </c>
      <c r="BN327" t="s" s="0">
        <v>475</v>
      </c>
      <c r="BO327" t="s" s="0">
        <v>7372</v>
      </c>
      <c r="BP327" t="s" s="0">
        <v>7373</v>
      </c>
      <c r="BQ327" t="s" s="0">
        <v>7807</v>
      </c>
      <c r="BR327" t="s" s="0">
        <v>7808</v>
      </c>
      <c r="BS327" t="s" s="0">
        <v>7809</v>
      </c>
      <c r="BT327" t="s" s="651">
        <f>HYPERLINK("https://www.webofscience.com/wos/woscc/full-record/WOS:001700679100001","View Record in Web of Science")</f>
        <v>114</v>
      </c>
      <c r="BU327" t="s" s="0">
        <v>145</v>
      </c>
      <c r="BV327" t="s" s="0">
        <v>81</v>
      </c>
      <c r="BW327" t="s" s="0">
        <v>81</v>
      </c>
      <c r="BX327" t="s" s="0">
        <v>116</v>
      </c>
    </row>
    <row r="328">
      <c r="A328" t="s" s="0">
        <v>130</v>
      </c>
      <c r="B328" t="s" s="0">
        <v>77</v>
      </c>
      <c r="C328" t="s" s="0">
        <v>225</v>
      </c>
      <c r="D328" t="s" s="0">
        <v>77</v>
      </c>
      <c r="E328" t="s" s="0">
        <v>7810</v>
      </c>
      <c r="F328" t="s" s="0">
        <v>7811</v>
      </c>
      <c r="G328" t="s" s="0">
        <v>7812</v>
      </c>
      <c r="H328" t="s" s="0">
        <v>81</v>
      </c>
      <c r="I328" t="s" s="0">
        <v>82</v>
      </c>
      <c r="J328" t="s" s="0">
        <v>7813</v>
      </c>
      <c r="K328" t="s" s="0">
        <v>7814</v>
      </c>
      <c r="L328" t="s" s="0">
        <v>7815</v>
      </c>
      <c r="M328" t="s" s="0">
        <v>7816</v>
      </c>
      <c r="N328" t="s" s="0">
        <v>7817</v>
      </c>
      <c r="O328" t="s" s="0">
        <v>7818</v>
      </c>
      <c r="P328" t="s" s="0">
        <v>7819</v>
      </c>
      <c r="Q328" t="s" s="0">
        <v>90</v>
      </c>
      <c r="R328" t="s" s="0">
        <v>81</v>
      </c>
      <c r="S328" t="s" s="0">
        <v>81</v>
      </c>
      <c r="T328" t="s" s="0">
        <v>81</v>
      </c>
      <c r="U328" t="s" s="0">
        <v>81</v>
      </c>
      <c r="V328" t="s" s="0">
        <v>7820</v>
      </c>
      <c r="W328" t="s" s="0">
        <v>7821</v>
      </c>
      <c r="X328" t="s" s="0">
        <v>81</v>
      </c>
      <c r="Y328" t="s" s="0">
        <v>81</v>
      </c>
      <c r="Z328" t="s" s="0">
        <v>93</v>
      </c>
      <c r="AA328" t="s" s="0">
        <v>94</v>
      </c>
      <c r="AB328" t="s" s="0">
        <v>81</v>
      </c>
      <c r="AC328" t="s" s="0">
        <v>81</v>
      </c>
      <c r="AD328" t="s" s="0">
        <v>81</v>
      </c>
      <c r="AE328" t="s" s="0">
        <v>81</v>
      </c>
      <c r="AF328" t="s" s="0">
        <v>81</v>
      </c>
      <c r="AG328" t="s" s="0">
        <v>7822</v>
      </c>
      <c r="AH328" t="s" s="0">
        <v>7823</v>
      </c>
      <c r="AI328" t="s" s="0">
        <v>7824</v>
      </c>
      <c r="AJ328" t="s" s="0">
        <v>7825</v>
      </c>
      <c r="AK328" t="s" s="0">
        <v>81</v>
      </c>
      <c r="AL328" t="s" s="0">
        <v>541</v>
      </c>
      <c r="AM328" t="s" s="0">
        <v>846</v>
      </c>
      <c r="AN328" t="s" s="0">
        <v>1421</v>
      </c>
      <c r="AO328" t="s" s="0">
        <v>77</v>
      </c>
      <c r="AP328" t="s" s="0">
        <v>130</v>
      </c>
      <c r="AQ328" t="s" s="0">
        <v>406</v>
      </c>
      <c r="AR328" t="s" s="0">
        <v>407</v>
      </c>
      <c r="AS328" t="s" s="0">
        <v>408</v>
      </c>
      <c r="AT328" t="s" s="0">
        <v>81</v>
      </c>
      <c r="AU328" t="s" s="0">
        <v>7826</v>
      </c>
      <c r="AV328" t="s" s="0">
        <v>81</v>
      </c>
      <c r="AW328" t="s" s="0">
        <v>7827</v>
      </c>
      <c r="AX328" t="s" s="0">
        <v>7828</v>
      </c>
      <c r="AY328" t="s" s="0">
        <v>572</v>
      </c>
      <c r="AZ328" t="s" s="0">
        <v>573</v>
      </c>
      <c r="BA328" t="s" s="0">
        <v>161</v>
      </c>
      <c r="BB328" t="s" s="0">
        <v>253</v>
      </c>
      <c r="BC328" t="s" s="0">
        <v>81</v>
      </c>
      <c r="BD328" t="s" s="0">
        <v>81</v>
      </c>
      <c r="BE328" t="s" s="0">
        <v>81</v>
      </c>
      <c r="BF328" t="s" s="0">
        <v>81</v>
      </c>
      <c r="BG328" t="s" s="0">
        <v>7829</v>
      </c>
      <c r="BH328" t="s" s="0">
        <v>7830</v>
      </c>
      <c r="BI328" t="s" s="0">
        <v>81</v>
      </c>
      <c r="BJ328" t="s" s="0">
        <v>7831</v>
      </c>
      <c r="BK328" t="s" s="652">
        <f>HYPERLINK("http://dx.doi.org/10.1016/j.euo.2024.01.004","http://dx.doi.org/10.1016/j.euo.2024.01.004")</f>
        <v>7832</v>
      </c>
      <c r="BL328" t="s" s="0">
        <v>81</v>
      </c>
      <c r="BM328" t="s" s="0">
        <v>81</v>
      </c>
      <c r="BN328" t="s" s="0">
        <v>129</v>
      </c>
      <c r="BO328" t="s" s="0">
        <v>7833</v>
      </c>
      <c r="BP328" t="s" s="0">
        <v>7833</v>
      </c>
      <c r="BQ328" t="s" s="0">
        <v>7834</v>
      </c>
      <c r="BR328" t="s" s="0">
        <v>7835</v>
      </c>
      <c r="BS328" t="s" s="0">
        <v>7836</v>
      </c>
      <c r="BT328" t="s" s="653">
        <f>HYPERLINK("https://www.webofscience.com/wos/woscc/full-record/WOS:001325348000001","View Record in Web of Science")</f>
        <v>114</v>
      </c>
      <c r="BU328" t="s" s="0">
        <v>973</v>
      </c>
      <c r="BV328" t="s" s="0">
        <v>81</v>
      </c>
      <c r="BW328" t="s" s="0">
        <v>81</v>
      </c>
      <c r="BX328" t="s" s="0">
        <v>116</v>
      </c>
    </row>
    <row r="329">
      <c r="A329" t="s" s="0">
        <v>117</v>
      </c>
      <c r="B329" t="s" s="0">
        <v>77</v>
      </c>
      <c r="C329" t="s" s="0">
        <v>253</v>
      </c>
      <c r="D329" t="s" s="0">
        <v>77</v>
      </c>
      <c r="E329" t="s" s="0">
        <v>7837</v>
      </c>
      <c r="F329" t="s" s="0">
        <v>7838</v>
      </c>
      <c r="G329" t="s" s="0">
        <v>7839</v>
      </c>
      <c r="H329" t="s" s="0">
        <v>81</v>
      </c>
      <c r="I329" t="s" s="0">
        <v>82</v>
      </c>
      <c r="J329" t="s" s="0">
        <v>7840</v>
      </c>
      <c r="K329" t="s" s="0">
        <v>7841</v>
      </c>
      <c r="L329" t="s" s="0">
        <v>7842</v>
      </c>
      <c r="M329" t="s" s="0">
        <v>7843</v>
      </c>
      <c r="N329" t="s" s="0">
        <v>7844</v>
      </c>
      <c r="O329" t="s" s="0">
        <v>7845</v>
      </c>
      <c r="P329" t="s" s="0">
        <v>7846</v>
      </c>
      <c r="Q329" t="s" s="0">
        <v>90</v>
      </c>
      <c r="R329" t="s" s="0">
        <v>81</v>
      </c>
      <c r="S329" t="s" s="0">
        <v>81</v>
      </c>
      <c r="T329" t="s" s="0">
        <v>81</v>
      </c>
      <c r="U329" t="s" s="0">
        <v>81</v>
      </c>
      <c r="V329" t="s" s="0">
        <v>7847</v>
      </c>
      <c r="W329" t="s" s="0">
        <v>7848</v>
      </c>
      <c r="X329" t="s" s="0">
        <v>81</v>
      </c>
      <c r="Y329" t="s" s="0">
        <v>81</v>
      </c>
      <c r="Z329" t="s" s="0">
        <v>93</v>
      </c>
      <c r="AA329" t="s" s="0">
        <v>94</v>
      </c>
      <c r="AB329" t="s" s="0">
        <v>81</v>
      </c>
      <c r="AC329" t="s" s="0">
        <v>81</v>
      </c>
      <c r="AD329" t="s" s="0">
        <v>81</v>
      </c>
      <c r="AE329" t="s" s="0">
        <v>81</v>
      </c>
      <c r="AF329" t="s" s="0">
        <v>81</v>
      </c>
      <c r="AG329" t="s" s="0">
        <v>7849</v>
      </c>
      <c r="AH329" t="s" s="0">
        <v>81</v>
      </c>
      <c r="AI329" t="s" s="0">
        <v>7850</v>
      </c>
      <c r="AJ329" t="s" s="0">
        <v>81</v>
      </c>
      <c r="AK329" t="s" s="0">
        <v>81</v>
      </c>
      <c r="AL329" t="s" s="0">
        <v>1538</v>
      </c>
      <c r="AM329" t="s" s="0">
        <v>564</v>
      </c>
      <c r="AN329" t="s" s="0">
        <v>237</v>
      </c>
      <c r="AO329" t="s" s="0">
        <v>131</v>
      </c>
      <c r="AP329" t="s" s="0">
        <v>451</v>
      </c>
      <c r="AQ329" t="s" s="0">
        <v>7851</v>
      </c>
      <c r="AR329" t="s" s="0">
        <v>339</v>
      </c>
      <c r="AS329" t="s" s="0">
        <v>7852</v>
      </c>
      <c r="AT329" t="s" s="0">
        <v>7853</v>
      </c>
      <c r="AU329" t="s" s="0">
        <v>7854</v>
      </c>
      <c r="AV329" t="s" s="0">
        <v>81</v>
      </c>
      <c r="AW329" t="s" s="0">
        <v>7855</v>
      </c>
      <c r="AX329" t="s" s="0">
        <v>7856</v>
      </c>
      <c r="AY329" t="s" s="0">
        <v>413</v>
      </c>
      <c r="AZ329" t="s" s="0">
        <v>136</v>
      </c>
      <c r="BA329" t="s" s="0">
        <v>7857</v>
      </c>
      <c r="BB329" t="s" s="0">
        <v>81</v>
      </c>
      <c r="BC329" t="s" s="0">
        <v>81</v>
      </c>
      <c r="BD329" t="s" s="0">
        <v>81</v>
      </c>
      <c r="BE329" t="s" s="0">
        <v>81</v>
      </c>
      <c r="BF329" t="s" s="0">
        <v>81</v>
      </c>
      <c r="BG329" t="s" s="0">
        <v>81</v>
      </c>
      <c r="BH329" t="s" s="0">
        <v>81</v>
      </c>
      <c r="BI329" t="s" s="0">
        <v>7858</v>
      </c>
      <c r="BJ329" t="s" s="0">
        <v>7859</v>
      </c>
      <c r="BK329" t="s" s="654">
        <f>HYPERLINK("http://dx.doi.org/10.1016/j.phrs.2025.107765","http://dx.doi.org/10.1016/j.phrs.2025.107765")</f>
        <v>7860</v>
      </c>
      <c r="BL329" t="s" s="0">
        <v>81</v>
      </c>
      <c r="BM329" t="s" s="0">
        <v>636</v>
      </c>
      <c r="BN329" t="s" s="0">
        <v>129</v>
      </c>
      <c r="BO329" t="s" s="0">
        <v>7861</v>
      </c>
      <c r="BP329" t="s" s="0">
        <v>7861</v>
      </c>
      <c r="BQ329" t="s" s="0">
        <v>7862</v>
      </c>
      <c r="BR329" t="s" s="0">
        <v>7863</v>
      </c>
      <c r="BS329" t="s" s="0">
        <v>7864</v>
      </c>
      <c r="BT329" t="s" s="655">
        <f>HYPERLINK("https://www.webofscience.com/wos/woscc/full-record/WOS:001492916700001","View Record in Web of Science")</f>
        <v>114</v>
      </c>
      <c r="BU329" t="s" s="0">
        <v>145</v>
      </c>
      <c r="BV329" t="s" s="0">
        <v>81</v>
      </c>
      <c r="BW329" t="s" s="0">
        <v>81</v>
      </c>
      <c r="BX329" t="s" s="0">
        <v>116</v>
      </c>
    </row>
    <row r="330">
      <c r="A330" t="s" s="0">
        <v>77</v>
      </c>
      <c r="B330" t="s" s="0">
        <v>77</v>
      </c>
      <c r="C330" t="s" s="0">
        <v>77</v>
      </c>
      <c r="D330" t="s" s="0">
        <v>77</v>
      </c>
      <c r="E330" t="s" s="0">
        <v>7865</v>
      </c>
      <c r="F330" t="s" s="0">
        <v>7866</v>
      </c>
      <c r="G330" t="s" s="0">
        <v>7867</v>
      </c>
      <c r="H330" t="s" s="0">
        <v>81</v>
      </c>
      <c r="I330" t="s" s="0">
        <v>82</v>
      </c>
      <c r="J330" t="s" s="0">
        <v>7868</v>
      </c>
      <c r="K330" t="s" s="0">
        <v>7869</v>
      </c>
      <c r="L330" t="s" s="0">
        <v>7870</v>
      </c>
      <c r="M330" t="s" s="0">
        <v>7871</v>
      </c>
      <c r="N330" t="s" s="0">
        <v>7872</v>
      </c>
      <c r="O330" t="s" s="0">
        <v>7873</v>
      </c>
      <c r="P330" t="s" s="0">
        <v>7874</v>
      </c>
      <c r="Q330" t="s" s="0">
        <v>90</v>
      </c>
      <c r="R330" t="s" s="0">
        <v>81</v>
      </c>
      <c r="S330" t="s" s="0">
        <v>81</v>
      </c>
      <c r="T330" t="s" s="0">
        <v>81</v>
      </c>
      <c r="U330" t="s" s="0">
        <v>81</v>
      </c>
      <c r="V330" t="s" s="0">
        <v>7875</v>
      </c>
      <c r="W330" t="s" s="0">
        <v>3878</v>
      </c>
      <c r="X330" t="s" s="0">
        <v>81</v>
      </c>
      <c r="Y330" t="s" s="0">
        <v>81</v>
      </c>
      <c r="Z330" t="s" s="0">
        <v>93</v>
      </c>
      <c r="AA330" t="s" s="0">
        <v>94</v>
      </c>
      <c r="AB330" t="s" s="0">
        <v>81</v>
      </c>
      <c r="AC330" t="s" s="0">
        <v>81</v>
      </c>
      <c r="AD330" t="s" s="0">
        <v>81</v>
      </c>
      <c r="AE330" t="s" s="0">
        <v>81</v>
      </c>
      <c r="AF330" t="s" s="0">
        <v>81</v>
      </c>
      <c r="AG330" t="s" s="0">
        <v>7876</v>
      </c>
      <c r="AH330" t="s" s="0">
        <v>7877</v>
      </c>
      <c r="AI330" t="s" s="0">
        <v>7878</v>
      </c>
      <c r="AJ330" t="s" s="0">
        <v>7879</v>
      </c>
      <c r="AK330" t="s" s="0">
        <v>81</v>
      </c>
      <c r="AL330" t="s" s="0">
        <v>846</v>
      </c>
      <c r="AM330" t="s" s="0">
        <v>253</v>
      </c>
      <c r="AN330" t="s" s="0">
        <v>253</v>
      </c>
      <c r="AO330" t="s" s="0">
        <v>130</v>
      </c>
      <c r="AP330" t="s" s="0">
        <v>204</v>
      </c>
      <c r="AQ330" t="s" s="0">
        <v>370</v>
      </c>
      <c r="AR330" t="s" s="0">
        <v>1099</v>
      </c>
      <c r="AS330" t="s" s="0">
        <v>1873</v>
      </c>
      <c r="AT330" t="s" s="0">
        <v>3881</v>
      </c>
      <c r="AU330" t="s" s="0">
        <v>3882</v>
      </c>
      <c r="AV330" t="s" s="0">
        <v>81</v>
      </c>
      <c r="AW330" t="s" s="0">
        <v>3883</v>
      </c>
      <c r="AX330" t="s" s="0">
        <v>3884</v>
      </c>
      <c r="AY330" t="s" s="0">
        <v>1880</v>
      </c>
      <c r="AZ330" t="s" s="0">
        <v>136</v>
      </c>
      <c r="BA330" t="s" s="0">
        <v>562</v>
      </c>
      <c r="BB330" t="s" s="0">
        <v>226</v>
      </c>
      <c r="BC330" t="s" s="0">
        <v>81</v>
      </c>
      <c r="BD330" t="s" s="0">
        <v>81</v>
      </c>
      <c r="BE330" t="s" s="0">
        <v>81</v>
      </c>
      <c r="BF330" t="s" s="0">
        <v>81</v>
      </c>
      <c r="BG330" t="s" s="0">
        <v>7880</v>
      </c>
      <c r="BH330" t="s" s="0">
        <v>7881</v>
      </c>
      <c r="BI330" t="s" s="0">
        <v>81</v>
      </c>
      <c r="BJ330" t="s" s="0">
        <v>7882</v>
      </c>
      <c r="BK330" t="s" s="656">
        <f>HYPERLINK("http://dx.doi.org/10.1007/s00330-025-11694-y","http://dx.doi.org/10.1007/s00330-025-11694-y")</f>
        <v>7883</v>
      </c>
      <c r="BL330" t="s" s="0">
        <v>81</v>
      </c>
      <c r="BM330" t="s" s="0">
        <v>636</v>
      </c>
      <c r="BN330" t="s" s="0">
        <v>226</v>
      </c>
      <c r="BO330" t="s" s="0">
        <v>1881</v>
      </c>
      <c r="BP330" t="s" s="0">
        <v>1881</v>
      </c>
      <c r="BQ330" t="s" s="0">
        <v>7884</v>
      </c>
      <c r="BR330" t="s" s="0">
        <v>7885</v>
      </c>
      <c r="BS330" t="s" s="0">
        <v>7886</v>
      </c>
      <c r="BT330" t="s" s="657">
        <f>HYPERLINK("https://www.webofscience.com/wos/woscc/full-record/WOS:001494290500001","View Record in Web of Science")</f>
        <v>114</v>
      </c>
      <c r="BU330" t="s" s="0">
        <v>666</v>
      </c>
      <c r="BV330" t="s" s="0">
        <v>81</v>
      </c>
      <c r="BW330" t="s" s="0">
        <v>81</v>
      </c>
      <c r="BX330" t="s" s="0">
        <v>116</v>
      </c>
    </row>
    <row r="331">
      <c r="A331" t="s" s="0">
        <v>77</v>
      </c>
      <c r="B331" t="s" s="0">
        <v>77</v>
      </c>
      <c r="C331" t="s" s="0">
        <v>77</v>
      </c>
      <c r="D331" t="s" s="0">
        <v>77</v>
      </c>
      <c r="E331" t="s" s="0">
        <v>7887</v>
      </c>
      <c r="F331" t="s" s="0">
        <v>7888</v>
      </c>
      <c r="G331" t="s" s="0">
        <v>7889</v>
      </c>
      <c r="H331" t="s" s="0">
        <v>81</v>
      </c>
      <c r="I331" t="s" s="0">
        <v>213</v>
      </c>
      <c r="J331" t="s" s="0">
        <v>7890</v>
      </c>
      <c r="K331" t="s" s="0">
        <v>7891</v>
      </c>
      <c r="L331" t="s" s="0">
        <v>7892</v>
      </c>
      <c r="M331" t="s" s="0">
        <v>7893</v>
      </c>
      <c r="N331" t="s" s="0">
        <v>7894</v>
      </c>
      <c r="O331" t="s" s="0">
        <v>7895</v>
      </c>
      <c r="P331" t="s" s="0">
        <v>7896</v>
      </c>
      <c r="Q331" t="s" s="0">
        <v>90</v>
      </c>
      <c r="R331" t="s" s="0">
        <v>81</v>
      </c>
      <c r="S331" t="s" s="0">
        <v>81</v>
      </c>
      <c r="T331" t="s" s="0">
        <v>81</v>
      </c>
      <c r="U331" t="s" s="0">
        <v>81</v>
      </c>
      <c r="V331" t="s" s="0">
        <v>7897</v>
      </c>
      <c r="W331" t="s" s="0">
        <v>7898</v>
      </c>
      <c r="X331" t="s" s="0">
        <v>81</v>
      </c>
      <c r="Y331" t="s" s="0">
        <v>81</v>
      </c>
      <c r="Z331" t="s" s="0">
        <v>93</v>
      </c>
      <c r="AA331" t="s" s="0">
        <v>94</v>
      </c>
      <c r="AB331" t="s" s="0">
        <v>81</v>
      </c>
      <c r="AC331" t="s" s="0">
        <v>81</v>
      </c>
      <c r="AD331" t="s" s="0">
        <v>81</v>
      </c>
      <c r="AE331" t="s" s="0">
        <v>81</v>
      </c>
      <c r="AF331" t="s" s="0">
        <v>81</v>
      </c>
      <c r="AG331" t="s" s="0">
        <v>7899</v>
      </c>
      <c r="AH331" t="s" s="0">
        <v>7900</v>
      </c>
      <c r="AI331" t="s" s="0">
        <v>7901</v>
      </c>
      <c r="AJ331" t="s" s="0">
        <v>81</v>
      </c>
      <c r="AK331" t="s" s="0">
        <v>81</v>
      </c>
      <c r="AL331" t="s" s="0">
        <v>237</v>
      </c>
      <c r="AM331" t="s" s="0">
        <v>117</v>
      </c>
      <c r="AN331" t="s" s="0">
        <v>117</v>
      </c>
      <c r="AO331" t="s" s="0">
        <v>77</v>
      </c>
      <c r="AP331" t="s" s="0">
        <v>77</v>
      </c>
      <c r="AQ331" t="s" s="0">
        <v>406</v>
      </c>
      <c r="AR331" t="s" s="0">
        <v>407</v>
      </c>
      <c r="AS331" t="s" s="0">
        <v>408</v>
      </c>
      <c r="AT331" t="s" s="0">
        <v>81</v>
      </c>
      <c r="AU331" t="s" s="0">
        <v>7902</v>
      </c>
      <c r="AV331" t="s" s="0">
        <v>81</v>
      </c>
      <c r="AW331" t="s" s="0">
        <v>7903</v>
      </c>
      <c r="AX331" t="s" s="0">
        <v>7904</v>
      </c>
      <c r="AY331" t="s" s="0">
        <v>3121</v>
      </c>
      <c r="AZ331" t="s" s="0">
        <v>104</v>
      </c>
      <c r="BA331" t="s" s="0">
        <v>563</v>
      </c>
      <c r="BB331" t="s" s="0">
        <v>81</v>
      </c>
      <c r="BC331" t="s" s="0">
        <v>81</v>
      </c>
      <c r="BD331" t="s" s="0">
        <v>81</v>
      </c>
      <c r="BE331" t="s" s="0">
        <v>81</v>
      </c>
      <c r="BF331" t="s" s="0">
        <v>81</v>
      </c>
      <c r="BG331" t="s" s="0">
        <v>81</v>
      </c>
      <c r="BH331" t="s" s="0">
        <v>81</v>
      </c>
      <c r="BI331" t="s" s="0">
        <v>7905</v>
      </c>
      <c r="BJ331" t="s" s="0">
        <v>7906</v>
      </c>
      <c r="BK331" t="s" s="658">
        <f>HYPERLINK("http://dx.doi.org/10.1016/j.ejro.2026.100796","http://dx.doi.org/10.1016/j.ejro.2026.100796")</f>
        <v>7907</v>
      </c>
      <c r="BL331" t="s" s="0">
        <v>81</v>
      </c>
      <c r="BM331" t="s" s="0">
        <v>317</v>
      </c>
      <c r="BN331" t="s" s="0">
        <v>128</v>
      </c>
      <c r="BO331" t="s" s="0">
        <v>1881</v>
      </c>
      <c r="BP331" t="s" s="0">
        <v>1881</v>
      </c>
      <c r="BQ331" t="s" s="0">
        <v>7908</v>
      </c>
      <c r="BR331" t="s" s="0">
        <v>7909</v>
      </c>
      <c r="BS331" t="s" s="0">
        <v>7910</v>
      </c>
      <c r="BT331" t="s" s="659">
        <f>HYPERLINK("https://www.webofscience.com/wos/woscc/full-record/WOS:001820540200001","View Record in Web of Science")</f>
        <v>114</v>
      </c>
      <c r="BU331" t="s" s="0">
        <v>145</v>
      </c>
      <c r="BV331" t="s" s="0">
        <v>81</v>
      </c>
      <c r="BW331" t="s" s="0">
        <v>81</v>
      </c>
      <c r="BX331" t="s" s="0">
        <v>116</v>
      </c>
    </row>
    <row r="332">
      <c r="A332" t="s" s="0">
        <v>77</v>
      </c>
      <c r="B332" t="s" s="0">
        <v>77</v>
      </c>
      <c r="C332" t="s" s="0">
        <v>117</v>
      </c>
      <c r="D332" t="s" s="0">
        <v>77</v>
      </c>
      <c r="E332" t="s" s="0">
        <v>7911</v>
      </c>
      <c r="F332" t="s" s="0">
        <v>7912</v>
      </c>
      <c r="G332" t="s" s="0">
        <v>7913</v>
      </c>
      <c r="H332" t="s" s="0">
        <v>81</v>
      </c>
      <c r="I332" t="s" s="0">
        <v>2702</v>
      </c>
      <c r="J332" t="s" s="0">
        <v>7914</v>
      </c>
      <c r="K332" t="s" s="0">
        <v>7915</v>
      </c>
      <c r="L332" t="s" s="0">
        <v>7916</v>
      </c>
      <c r="M332" t="s" s="0">
        <v>7917</v>
      </c>
      <c r="N332" t="s" s="0">
        <v>7918</v>
      </c>
      <c r="O332" t="s" s="0">
        <v>7919</v>
      </c>
      <c r="P332" t="s" s="0">
        <v>7920</v>
      </c>
      <c r="Q332" t="s" s="0">
        <v>90</v>
      </c>
      <c r="R332" t="s" s="0">
        <v>81</v>
      </c>
      <c r="S332" t="s" s="0">
        <v>81</v>
      </c>
      <c r="T332" t="s" s="0">
        <v>81</v>
      </c>
      <c r="U332" t="s" s="0">
        <v>81</v>
      </c>
      <c r="V332" t="s" s="0">
        <v>7921</v>
      </c>
      <c r="W332" t="s" s="0">
        <v>3307</v>
      </c>
      <c r="X332" t="s" s="0">
        <v>81</v>
      </c>
      <c r="Y332" t="s" s="0">
        <v>81</v>
      </c>
      <c r="Z332" t="s" s="0">
        <v>93</v>
      </c>
      <c r="AA332" t="s" s="0">
        <v>94</v>
      </c>
      <c r="AB332" t="s" s="0">
        <v>81</v>
      </c>
      <c r="AC332" t="s" s="0">
        <v>81</v>
      </c>
      <c r="AD332" t="s" s="0">
        <v>81</v>
      </c>
      <c r="AE332" t="s" s="0">
        <v>81</v>
      </c>
      <c r="AF332" t="s" s="0">
        <v>81</v>
      </c>
      <c r="AG332" t="s" s="0">
        <v>7922</v>
      </c>
      <c r="AH332" t="s" s="0">
        <v>81</v>
      </c>
      <c r="AI332" t="s" s="0">
        <v>7923</v>
      </c>
      <c r="AJ332" t="s" s="0">
        <v>81</v>
      </c>
      <c r="AK332" t="s" s="0">
        <v>81</v>
      </c>
      <c r="AL332" t="s" s="0">
        <v>1421</v>
      </c>
      <c r="AM332" t="s" s="0">
        <v>227</v>
      </c>
      <c r="AN332" t="s" s="0">
        <v>227</v>
      </c>
      <c r="AO332" t="s" s="0">
        <v>227</v>
      </c>
      <c r="AP332" t="s" s="0">
        <v>227</v>
      </c>
      <c r="AQ332" t="s" s="0">
        <v>97</v>
      </c>
      <c r="AR332" t="s" s="0">
        <v>98</v>
      </c>
      <c r="AS332" t="s" s="0">
        <v>99</v>
      </c>
      <c r="AT332" t="s" s="0">
        <v>81</v>
      </c>
      <c r="AU332" t="s" s="0">
        <v>3311</v>
      </c>
      <c r="AV332" t="s" s="0">
        <v>81</v>
      </c>
      <c r="AW332" t="s" s="0">
        <v>3312</v>
      </c>
      <c r="AX332" t="s" s="0">
        <v>3313</v>
      </c>
      <c r="AY332" t="s" s="0">
        <v>540</v>
      </c>
      <c r="AZ332" t="s" s="0">
        <v>104</v>
      </c>
      <c r="BA332" t="s" s="0">
        <v>167</v>
      </c>
      <c r="BB332" t="s" s="0">
        <v>81</v>
      </c>
      <c r="BC332" t="s" s="0">
        <v>81</v>
      </c>
      <c r="BD332" t="s" s="0">
        <v>81</v>
      </c>
      <c r="BE332" t="s" s="0">
        <v>81</v>
      </c>
      <c r="BF332" t="s" s="0">
        <v>81</v>
      </c>
      <c r="BG332" t="s" s="0">
        <v>81</v>
      </c>
      <c r="BH332" t="s" s="0">
        <v>81</v>
      </c>
      <c r="BI332" t="s" s="0">
        <v>7924</v>
      </c>
      <c r="BJ332" t="s" s="0">
        <v>7925</v>
      </c>
      <c r="BK332" t="s" s="660">
        <f>HYPERLINK("http://dx.doi.org/10.3389/fpubh.2025.1687335","http://dx.doi.org/10.3389/fpubh.2025.1687335")</f>
        <v>7926</v>
      </c>
      <c r="BL332" t="s" s="0">
        <v>81</v>
      </c>
      <c r="BM332" t="s" s="0">
        <v>81</v>
      </c>
      <c r="BN332" t="s" s="0">
        <v>563</v>
      </c>
      <c r="BO332" t="s" s="0">
        <v>3318</v>
      </c>
      <c r="BP332" t="s" s="0">
        <v>3318</v>
      </c>
      <c r="BQ332" t="s" s="0">
        <v>7927</v>
      </c>
      <c r="BR332" t="s" s="0">
        <v>7928</v>
      </c>
      <c r="BS332" t="s" s="0">
        <v>7929</v>
      </c>
      <c r="BT332" t="s" s="661">
        <f>HYPERLINK("https://www.webofscience.com/wos/woscc/full-record/WOS:001663671900001","View Record in Web of Science")</f>
        <v>114</v>
      </c>
      <c r="BU332" t="s" s="0">
        <v>145</v>
      </c>
      <c r="BV332" t="s" s="0">
        <v>81</v>
      </c>
      <c r="BW332" t="s" s="0">
        <v>81</v>
      </c>
      <c r="BX332" t="s" s="0">
        <v>116</v>
      </c>
    </row>
    <row r="333">
      <c r="A333" t="s" s="0">
        <v>77</v>
      </c>
      <c r="B333" t="s" s="0">
        <v>77</v>
      </c>
      <c r="C333" t="s" s="0">
        <v>77</v>
      </c>
      <c r="D333" t="s" s="0">
        <v>77</v>
      </c>
      <c r="E333" t="s" s="0">
        <v>7930</v>
      </c>
      <c r="F333" t="s" s="0">
        <v>7931</v>
      </c>
      <c r="G333" t="s" s="0">
        <v>7932</v>
      </c>
      <c r="H333" t="s" s="0">
        <v>81</v>
      </c>
      <c r="I333" t="s" s="0">
        <v>82</v>
      </c>
      <c r="J333" t="s" s="0">
        <v>7933</v>
      </c>
      <c r="K333" t="s" s="0">
        <v>7934</v>
      </c>
      <c r="L333" t="s" s="0">
        <v>7935</v>
      </c>
      <c r="M333" t="s" s="0">
        <v>7936</v>
      </c>
      <c r="N333" t="s" s="0">
        <v>7937</v>
      </c>
      <c r="O333" t="s" s="0">
        <v>7938</v>
      </c>
      <c r="P333" t="s" s="0">
        <v>7939</v>
      </c>
      <c r="Q333" t="s" s="0">
        <v>90</v>
      </c>
      <c r="R333" t="s" s="0">
        <v>81</v>
      </c>
      <c r="S333" t="s" s="0">
        <v>81</v>
      </c>
      <c r="T333" t="s" s="0">
        <v>81</v>
      </c>
      <c r="U333" t="s" s="0">
        <v>81</v>
      </c>
      <c r="V333" t="s" s="0">
        <v>7940</v>
      </c>
      <c r="W333" t="s" s="0">
        <v>7941</v>
      </c>
      <c r="X333" t="s" s="0">
        <v>81</v>
      </c>
      <c r="Y333" t="s" s="0">
        <v>81</v>
      </c>
      <c r="Z333" t="s" s="0">
        <v>93</v>
      </c>
      <c r="AA333" t="s" s="0">
        <v>94</v>
      </c>
      <c r="AB333" t="s" s="0">
        <v>81</v>
      </c>
      <c r="AC333" t="s" s="0">
        <v>81</v>
      </c>
      <c r="AD333" t="s" s="0">
        <v>81</v>
      </c>
      <c r="AE333" t="s" s="0">
        <v>81</v>
      </c>
      <c r="AF333" t="s" s="0">
        <v>81</v>
      </c>
      <c r="AG333" t="s" s="0">
        <v>7942</v>
      </c>
      <c r="AH333" t="s" s="0">
        <v>7943</v>
      </c>
      <c r="AI333" t="s" s="0">
        <v>7944</v>
      </c>
      <c r="AJ333" t="s" s="0">
        <v>81</v>
      </c>
      <c r="AK333" t="s" s="0">
        <v>81</v>
      </c>
      <c r="AL333" t="s" s="0">
        <v>2178</v>
      </c>
      <c r="AM333" t="s" s="0">
        <v>117</v>
      </c>
      <c r="AN333" t="s" s="0">
        <v>117</v>
      </c>
      <c r="AO333" t="s" s="0">
        <v>160</v>
      </c>
      <c r="AP333" t="s" s="0">
        <v>160</v>
      </c>
      <c r="AQ333" t="s" s="0">
        <v>370</v>
      </c>
      <c r="AR333" t="s" s="0">
        <v>371</v>
      </c>
      <c r="AS333" t="s" s="0">
        <v>372</v>
      </c>
      <c r="AT333" t="s" s="0">
        <v>7945</v>
      </c>
      <c r="AU333" t="s" s="0">
        <v>7946</v>
      </c>
      <c r="AV333" t="s" s="0">
        <v>81</v>
      </c>
      <c r="AW333" t="s" s="0">
        <v>7947</v>
      </c>
      <c r="AX333" t="s" s="0">
        <v>7948</v>
      </c>
      <c r="AY333" t="s" s="0">
        <v>349</v>
      </c>
      <c r="AZ333" t="s" s="0">
        <v>104</v>
      </c>
      <c r="BA333" t="s" s="0">
        <v>7949</v>
      </c>
      <c r="BB333" t="s" s="0">
        <v>160</v>
      </c>
      <c r="BC333" t="s" s="0">
        <v>81</v>
      </c>
      <c r="BD333" t="s" s="0">
        <v>81</v>
      </c>
      <c r="BE333" t="s" s="0">
        <v>81</v>
      </c>
      <c r="BF333" t="s" s="0">
        <v>81</v>
      </c>
      <c r="BG333" t="s" s="0">
        <v>81</v>
      </c>
      <c r="BH333" t="s" s="0">
        <v>81</v>
      </c>
      <c r="BI333" t="s" s="0">
        <v>7950</v>
      </c>
      <c r="BJ333" t="s" s="0">
        <v>7951</v>
      </c>
      <c r="BK333" t="s" s="662">
        <f>HYPERLINK("http://dx.doi.org/10.1007/s10994-026-07033-x","http://dx.doi.org/10.1007/s10994-026-07033-x")</f>
        <v>7952</v>
      </c>
      <c r="BL333" t="s" s="0">
        <v>81</v>
      </c>
      <c r="BM333" t="s" s="0">
        <v>81</v>
      </c>
      <c r="BN333" t="s" s="0">
        <v>706</v>
      </c>
      <c r="BO333" t="s" s="0">
        <v>1351</v>
      </c>
      <c r="BP333" t="s" s="0">
        <v>420</v>
      </c>
      <c r="BQ333" t="s" s="0">
        <v>7953</v>
      </c>
      <c r="BR333" t="s" s="0">
        <v>81</v>
      </c>
      <c r="BS333" t="s" s="0">
        <v>7954</v>
      </c>
      <c r="BT333" t="s" s="663">
        <f>HYPERLINK("https://www.webofscience.com/wos/woscc/full-record/WOS:001732916300001","View Record in Web of Science")</f>
        <v>114</v>
      </c>
      <c r="BU333" t="s" s="0">
        <v>804</v>
      </c>
      <c r="BV333" t="s" s="0">
        <v>81</v>
      </c>
      <c r="BW333" t="s" s="0">
        <v>81</v>
      </c>
      <c r="BX333" t="s" s="0">
        <v>116</v>
      </c>
    </row>
    <row r="334">
      <c r="A334" t="s" s="0">
        <v>77</v>
      </c>
      <c r="B334" t="s" s="0">
        <v>77</v>
      </c>
      <c r="C334" t="s" s="0">
        <v>225</v>
      </c>
      <c r="D334" t="s" s="0">
        <v>77</v>
      </c>
      <c r="E334" t="s" s="0">
        <v>7955</v>
      </c>
      <c r="F334" t="s" s="0">
        <v>7956</v>
      </c>
      <c r="G334" t="s" s="0">
        <v>7957</v>
      </c>
      <c r="H334" t="s" s="0">
        <v>81</v>
      </c>
      <c r="I334" t="s" s="0">
        <v>82</v>
      </c>
      <c r="J334" t="s" s="0">
        <v>7958</v>
      </c>
      <c r="K334" t="s" s="0">
        <v>7959</v>
      </c>
      <c r="L334" t="s" s="0">
        <v>4079</v>
      </c>
      <c r="M334" t="s" s="0">
        <v>184</v>
      </c>
      <c r="N334" t="s" s="0">
        <v>1632</v>
      </c>
      <c r="O334" t="s" s="0">
        <v>7960</v>
      </c>
      <c r="P334" t="s" s="0">
        <v>7961</v>
      </c>
      <c r="Q334" t="s" s="0">
        <v>90</v>
      </c>
      <c r="R334" t="s" s="0">
        <v>81</v>
      </c>
      <c r="S334" t="s" s="0">
        <v>81</v>
      </c>
      <c r="T334" t="s" s="0">
        <v>81</v>
      </c>
      <c r="U334" t="s" s="0">
        <v>81</v>
      </c>
      <c r="V334" t="s" s="0">
        <v>7962</v>
      </c>
      <c r="W334" t="s" s="0">
        <v>7963</v>
      </c>
      <c r="X334" t="s" s="0">
        <v>81</v>
      </c>
      <c r="Y334" t="s" s="0">
        <v>81</v>
      </c>
      <c r="Z334" t="s" s="0">
        <v>93</v>
      </c>
      <c r="AA334" t="s" s="0">
        <v>94</v>
      </c>
      <c r="AB334" t="s" s="0">
        <v>81</v>
      </c>
      <c r="AC334" t="s" s="0">
        <v>81</v>
      </c>
      <c r="AD334" t="s" s="0">
        <v>81</v>
      </c>
      <c r="AE334" t="s" s="0">
        <v>81</v>
      </c>
      <c r="AF334" t="s" s="0">
        <v>81</v>
      </c>
      <c r="AG334" t="s" s="0">
        <v>7964</v>
      </c>
      <c r="AH334" t="s" s="0">
        <v>7965</v>
      </c>
      <c r="AI334" t="s" s="0">
        <v>7966</v>
      </c>
      <c r="AJ334" t="s" s="0">
        <v>7967</v>
      </c>
      <c r="AK334" t="s" s="0">
        <v>81</v>
      </c>
      <c r="AL334" t="s" s="0">
        <v>252</v>
      </c>
      <c r="AM334" t="s" s="0">
        <v>541</v>
      </c>
      <c r="AN334" t="s" s="0">
        <v>318</v>
      </c>
      <c r="AO334" t="s" s="0">
        <v>117</v>
      </c>
      <c r="AP334" t="s" s="0">
        <v>137</v>
      </c>
      <c r="AQ334" t="s" s="0">
        <v>7968</v>
      </c>
      <c r="AR334" t="s" s="0">
        <v>7969</v>
      </c>
      <c r="AS334" t="s" s="0">
        <v>7970</v>
      </c>
      <c r="AT334" t="s" s="0">
        <v>7971</v>
      </c>
      <c r="AU334" t="s" s="0">
        <v>81</v>
      </c>
      <c r="AV334" t="s" s="0">
        <v>81</v>
      </c>
      <c r="AW334" t="s" s="0">
        <v>7972</v>
      </c>
      <c r="AX334" t="s" s="0">
        <v>7973</v>
      </c>
      <c r="AY334" t="s" s="0">
        <v>7974</v>
      </c>
      <c r="AZ334" t="s" s="0">
        <v>573</v>
      </c>
      <c r="BA334" t="s" s="0">
        <v>172</v>
      </c>
      <c r="BB334" t="s" s="0">
        <v>117</v>
      </c>
      <c r="BC334" t="s" s="0">
        <v>81</v>
      </c>
      <c r="BD334" t="s" s="0">
        <v>81</v>
      </c>
      <c r="BE334" t="s" s="0">
        <v>81</v>
      </c>
      <c r="BF334" t="s" s="0">
        <v>81</v>
      </c>
      <c r="BG334" t="s" s="0">
        <v>81</v>
      </c>
      <c r="BH334" t="s" s="0">
        <v>81</v>
      </c>
      <c r="BI334" t="s" s="0">
        <v>5305</v>
      </c>
      <c r="BJ334" t="s" s="0">
        <v>7975</v>
      </c>
      <c r="BK334" t="s" s="664">
        <f>HYPERLINK("http://dx.doi.org/10.1186/s13244-024-01784-8","http://dx.doi.org/10.1186/s13244-024-01784-8")</f>
        <v>7976</v>
      </c>
      <c r="BL334" t="s" s="0">
        <v>81</v>
      </c>
      <c r="BM334" t="s" s="0">
        <v>81</v>
      </c>
      <c r="BN334" t="s" s="0">
        <v>167</v>
      </c>
      <c r="BO334" t="s" s="0">
        <v>1881</v>
      </c>
      <c r="BP334" t="s" s="0">
        <v>1881</v>
      </c>
      <c r="BQ334" t="s" s="0">
        <v>7977</v>
      </c>
      <c r="BR334" t="s" s="0">
        <v>7978</v>
      </c>
      <c r="BS334" t="s" s="0">
        <v>7979</v>
      </c>
      <c r="BT334" t="s" s="665">
        <f>HYPERLINK("https://www.webofscience.com/wos/woscc/full-record/WOS:001298806400001","View Record in Web of Science")</f>
        <v>114</v>
      </c>
      <c r="BU334" t="s" s="0">
        <v>145</v>
      </c>
      <c r="BV334" t="s" s="0">
        <v>81</v>
      </c>
      <c r="BW334" t="s" s="0">
        <v>81</v>
      </c>
      <c r="BX334" t="s" s="0">
        <v>116</v>
      </c>
    </row>
    <row r="335">
      <c r="A335" t="s" s="0">
        <v>77</v>
      </c>
      <c r="B335" t="s" s="0">
        <v>77</v>
      </c>
      <c r="C335" t="s" s="0">
        <v>227</v>
      </c>
      <c r="D335" t="s" s="0">
        <v>77</v>
      </c>
      <c r="E335" t="s" s="0">
        <v>7980</v>
      </c>
      <c r="F335" t="s" s="0">
        <v>7981</v>
      </c>
      <c r="G335" t="s" s="0">
        <v>7982</v>
      </c>
      <c r="H335" t="s" s="0">
        <v>81</v>
      </c>
      <c r="I335" t="s" s="0">
        <v>82</v>
      </c>
      <c r="J335" t="s" s="0">
        <v>7983</v>
      </c>
      <c r="K335" t="s" s="0">
        <v>7984</v>
      </c>
      <c r="L335" t="s" s="0">
        <v>7985</v>
      </c>
      <c r="M335" t="s" s="0">
        <v>7986</v>
      </c>
      <c r="N335" t="s" s="0">
        <v>7987</v>
      </c>
      <c r="O335" t="s" s="0">
        <v>7988</v>
      </c>
      <c r="P335" t="s" s="0">
        <v>7989</v>
      </c>
      <c r="Q335" t="s" s="0">
        <v>90</v>
      </c>
      <c r="R335" t="s" s="0">
        <v>81</v>
      </c>
      <c r="S335" t="s" s="0">
        <v>81</v>
      </c>
      <c r="T335" t="s" s="0">
        <v>81</v>
      </c>
      <c r="U335" t="s" s="0">
        <v>81</v>
      </c>
      <c r="V335" t="s" s="0">
        <v>7990</v>
      </c>
      <c r="W335" t="s" s="0">
        <v>271</v>
      </c>
      <c r="X335" t="s" s="0">
        <v>81</v>
      </c>
      <c r="Y335" t="s" s="0">
        <v>81</v>
      </c>
      <c r="Z335" t="s" s="0">
        <v>93</v>
      </c>
      <c r="AA335" t="s" s="0">
        <v>94</v>
      </c>
      <c r="AB335" t="s" s="0">
        <v>81</v>
      </c>
      <c r="AC335" t="s" s="0">
        <v>81</v>
      </c>
      <c r="AD335" t="s" s="0">
        <v>81</v>
      </c>
      <c r="AE335" t="s" s="0">
        <v>81</v>
      </c>
      <c r="AF335" t="s" s="0">
        <v>81</v>
      </c>
      <c r="AG335" t="s" s="0">
        <v>81</v>
      </c>
      <c r="AH335" t="s" s="0">
        <v>7991</v>
      </c>
      <c r="AI335" t="s" s="0">
        <v>7992</v>
      </c>
      <c r="AJ335" t="s" s="0">
        <v>7993</v>
      </c>
      <c r="AK335" t="s" s="0">
        <v>81</v>
      </c>
      <c r="AL335" t="s" s="0">
        <v>252</v>
      </c>
      <c r="AM335" t="s" s="0">
        <v>193</v>
      </c>
      <c r="AN335" t="s" s="0">
        <v>1097</v>
      </c>
      <c r="AO335" t="s" s="0">
        <v>130</v>
      </c>
      <c r="AP335" t="s" s="0">
        <v>167</v>
      </c>
      <c r="AQ335" t="s" s="0">
        <v>274</v>
      </c>
      <c r="AR335" t="s" s="0">
        <v>275</v>
      </c>
      <c r="AS335" t="s" s="0">
        <v>276</v>
      </c>
      <c r="AT335" t="s" s="0">
        <v>277</v>
      </c>
      <c r="AU335" t="s" s="0">
        <v>81</v>
      </c>
      <c r="AV335" t="s" s="0">
        <v>81</v>
      </c>
      <c r="AW335" t="s" s="0">
        <v>278</v>
      </c>
      <c r="AX335" t="s" s="0">
        <v>279</v>
      </c>
      <c r="AY335" t="s" s="0">
        <v>7994</v>
      </c>
      <c r="AZ335" t="s" s="0">
        <v>573</v>
      </c>
      <c r="BA335" t="s" s="0">
        <v>228</v>
      </c>
      <c r="BB335" t="s" s="0">
        <v>117</v>
      </c>
      <c r="BC335" t="s" s="0">
        <v>81</v>
      </c>
      <c r="BD335" t="s" s="0">
        <v>81</v>
      </c>
      <c r="BE335" t="s" s="0">
        <v>81</v>
      </c>
      <c r="BF335" t="s" s="0">
        <v>81</v>
      </c>
      <c r="BG335" t="s" s="0">
        <v>81</v>
      </c>
      <c r="BH335" t="s" s="0">
        <v>81</v>
      </c>
      <c r="BI335" t="s" s="0">
        <v>7995</v>
      </c>
      <c r="BJ335" t="s" s="0">
        <v>7996</v>
      </c>
      <c r="BK335" t="s" s="666">
        <f>HYPERLINK("http://dx.doi.org/10.1038/s41598-024-60134-2","http://dx.doi.org/10.1038/s41598-024-60134-2")</f>
        <v>7997</v>
      </c>
      <c r="BL335" t="s" s="0">
        <v>81</v>
      </c>
      <c r="BM335" t="s" s="0">
        <v>81</v>
      </c>
      <c r="BN335" t="s" s="0">
        <v>129</v>
      </c>
      <c r="BO335" t="s" s="0">
        <v>285</v>
      </c>
      <c r="BP335" t="s" s="0">
        <v>286</v>
      </c>
      <c r="BQ335" t="s" s="0">
        <v>7998</v>
      </c>
      <c r="BR335" t="s" s="0">
        <v>7999</v>
      </c>
      <c r="BS335" t="s" s="0">
        <v>8000</v>
      </c>
      <c r="BT335" t="s" s="667">
        <f>HYPERLINK("https://www.webofscience.com/wos/woscc/full-record/WOS:001234127600003","View Record in Web of Science")</f>
        <v>114</v>
      </c>
      <c r="BU335" t="s" s="0">
        <v>145</v>
      </c>
      <c r="BV335" t="s" s="0">
        <v>81</v>
      </c>
      <c r="BW335" t="s" s="0">
        <v>81</v>
      </c>
      <c r="BX335" t="s" s="0">
        <v>116</v>
      </c>
    </row>
    <row r="336">
      <c r="A336" t="s" s="0">
        <v>77</v>
      </c>
      <c r="B336" t="s" s="0">
        <v>77</v>
      </c>
      <c r="C336" t="s" s="0">
        <v>77</v>
      </c>
      <c r="D336" t="s" s="0">
        <v>77</v>
      </c>
      <c r="E336" t="s" s="0">
        <v>8001</v>
      </c>
      <c r="F336" t="s" s="0">
        <v>8002</v>
      </c>
      <c r="G336" t="s" s="0">
        <v>8003</v>
      </c>
      <c r="H336" t="s" s="0">
        <v>81</v>
      </c>
      <c r="I336" t="s" s="0">
        <v>82</v>
      </c>
      <c r="J336" t="s" s="0">
        <v>8004</v>
      </c>
      <c r="K336" t="s" s="0">
        <v>8005</v>
      </c>
      <c r="L336" t="s" s="0">
        <v>8006</v>
      </c>
      <c r="M336" t="s" s="0">
        <v>8007</v>
      </c>
      <c r="N336" t="s" s="0">
        <v>8008</v>
      </c>
      <c r="O336" t="s" s="0">
        <v>8009</v>
      </c>
      <c r="P336" t="s" s="0">
        <v>8010</v>
      </c>
      <c r="Q336" t="s" s="0">
        <v>90</v>
      </c>
      <c r="R336" t="s" s="0">
        <v>81</v>
      </c>
      <c r="S336" t="s" s="0">
        <v>81</v>
      </c>
      <c r="T336" t="s" s="0">
        <v>81</v>
      </c>
      <c r="U336" t="s" s="0">
        <v>81</v>
      </c>
      <c r="V336" t="s" s="0">
        <v>8011</v>
      </c>
      <c r="W336" t="s" s="0">
        <v>1233</v>
      </c>
      <c r="X336" t="s" s="0">
        <v>81</v>
      </c>
      <c r="Y336" t="s" s="0">
        <v>81</v>
      </c>
      <c r="Z336" t="s" s="0">
        <v>93</v>
      </c>
      <c r="AA336" t="s" s="0">
        <v>94</v>
      </c>
      <c r="AB336" t="s" s="0">
        <v>81</v>
      </c>
      <c r="AC336" t="s" s="0">
        <v>81</v>
      </c>
      <c r="AD336" t="s" s="0">
        <v>81</v>
      </c>
      <c r="AE336" t="s" s="0">
        <v>81</v>
      </c>
      <c r="AF336" t="s" s="0">
        <v>81</v>
      </c>
      <c r="AG336" t="s" s="0">
        <v>81</v>
      </c>
      <c r="AH336" t="s" s="0">
        <v>8012</v>
      </c>
      <c r="AI336" t="s" s="0">
        <v>81</v>
      </c>
      <c r="AJ336" t="s" s="0">
        <v>81</v>
      </c>
      <c r="AK336" t="s" s="0">
        <v>81</v>
      </c>
      <c r="AL336" t="s" s="0">
        <v>1900</v>
      </c>
      <c r="AM336" t="s" s="0">
        <v>77</v>
      </c>
      <c r="AN336" t="s" s="0">
        <v>77</v>
      </c>
      <c r="AO336" t="s" s="0">
        <v>77</v>
      </c>
      <c r="AP336" t="s" s="0">
        <v>77</v>
      </c>
      <c r="AQ336" t="s" s="0">
        <v>1235</v>
      </c>
      <c r="AR336" t="s" s="0">
        <v>1236</v>
      </c>
      <c r="AS336" t="s" s="0">
        <v>1237</v>
      </c>
      <c r="AT336" t="s" s="0">
        <v>1238</v>
      </c>
      <c r="AU336" t="s" s="0">
        <v>1239</v>
      </c>
      <c r="AV336" t="s" s="0">
        <v>81</v>
      </c>
      <c r="AW336" t="s" s="0">
        <v>1240</v>
      </c>
      <c r="AX336" t="s" s="0">
        <v>1241</v>
      </c>
      <c r="AY336" t="s" s="0">
        <v>8013</v>
      </c>
      <c r="AZ336" t="s" s="0">
        <v>104</v>
      </c>
      <c r="BA336" t="s" s="0">
        <v>128</v>
      </c>
      <c r="BB336" t="s" s="0">
        <v>81</v>
      </c>
      <c r="BC336" t="s" s="0">
        <v>81</v>
      </c>
      <c r="BD336" t="s" s="0">
        <v>81</v>
      </c>
      <c r="BE336" t="s" s="0">
        <v>81</v>
      </c>
      <c r="BF336" t="s" s="0">
        <v>81</v>
      </c>
      <c r="BG336" t="s" s="0">
        <v>81</v>
      </c>
      <c r="BH336" t="s" s="0">
        <v>81</v>
      </c>
      <c r="BI336" t="s" s="0">
        <v>8014</v>
      </c>
      <c r="BJ336" t="s" s="0">
        <v>8015</v>
      </c>
      <c r="BK336" t="s" s="668">
        <f>HYPERLINK("http://dx.doi.org/10.34133/research.1337","http://dx.doi.org/10.34133/research.1337")</f>
        <v>8016</v>
      </c>
      <c r="BL336" t="s" s="0">
        <v>81</v>
      </c>
      <c r="BM336" t="s" s="0">
        <v>445</v>
      </c>
      <c r="BN336" t="s" s="0">
        <v>172</v>
      </c>
      <c r="BO336" t="s" s="0">
        <v>285</v>
      </c>
      <c r="BP336" t="s" s="0">
        <v>286</v>
      </c>
      <c r="BQ336" t="s" s="0">
        <v>8017</v>
      </c>
      <c r="BR336" t="s" s="0">
        <v>8018</v>
      </c>
      <c r="BS336" t="s" s="0">
        <v>8019</v>
      </c>
      <c r="BT336" t="s" s="669">
        <f>HYPERLINK("https://www.webofscience.com/wos/woscc/full-record/WOS:001806635100001","View Record in Web of Science")</f>
        <v>114</v>
      </c>
      <c r="BU336" t="s" s="0">
        <v>145</v>
      </c>
      <c r="BV336" t="s" s="0">
        <v>81</v>
      </c>
      <c r="BW336" t="s" s="0">
        <v>81</v>
      </c>
      <c r="BX336" t="s" s="0">
        <v>116</v>
      </c>
    </row>
    <row r="337">
      <c r="A337" t="s" s="0">
        <v>77</v>
      </c>
      <c r="B337" t="s" s="0">
        <v>77</v>
      </c>
      <c r="C337" t="s" s="0">
        <v>77</v>
      </c>
      <c r="D337" t="s" s="0">
        <v>77</v>
      </c>
      <c r="E337" t="s" s="0">
        <v>8020</v>
      </c>
      <c r="F337" t="s" s="0">
        <v>8021</v>
      </c>
      <c r="G337" t="s" s="0">
        <v>8022</v>
      </c>
      <c r="H337" t="s" s="0">
        <v>81</v>
      </c>
      <c r="I337" t="s" s="0">
        <v>82</v>
      </c>
      <c r="J337" t="s" s="0">
        <v>8023</v>
      </c>
      <c r="K337" t="s" s="0">
        <v>8024</v>
      </c>
      <c r="L337" t="s" s="0">
        <v>8025</v>
      </c>
      <c r="M337" t="s" s="0">
        <v>8026</v>
      </c>
      <c r="N337" t="s" s="0">
        <v>8027</v>
      </c>
      <c r="O337" t="s" s="0">
        <v>8028</v>
      </c>
      <c r="P337" t="s" s="0">
        <v>8029</v>
      </c>
      <c r="Q337" t="s" s="0">
        <v>90</v>
      </c>
      <c r="R337" t="s" s="0">
        <v>81</v>
      </c>
      <c r="S337" t="s" s="0">
        <v>81</v>
      </c>
      <c r="T337" t="s" s="0">
        <v>81</v>
      </c>
      <c r="U337" t="s" s="0">
        <v>81</v>
      </c>
      <c r="V337" t="s" s="0">
        <v>8030</v>
      </c>
      <c r="W337" t="s" s="0">
        <v>8031</v>
      </c>
      <c r="X337" t="s" s="0">
        <v>81</v>
      </c>
      <c r="Y337" t="s" s="0">
        <v>81</v>
      </c>
      <c r="Z337" t="s" s="0">
        <v>93</v>
      </c>
      <c r="AA337" t="s" s="0">
        <v>94</v>
      </c>
      <c r="AB337" t="s" s="0">
        <v>81</v>
      </c>
      <c r="AC337" t="s" s="0">
        <v>81</v>
      </c>
      <c r="AD337" t="s" s="0">
        <v>81</v>
      </c>
      <c r="AE337" t="s" s="0">
        <v>81</v>
      </c>
      <c r="AF337" t="s" s="0">
        <v>81</v>
      </c>
      <c r="AG337" t="s" s="0">
        <v>8032</v>
      </c>
      <c r="AH337" t="s" s="0">
        <v>8033</v>
      </c>
      <c r="AI337" t="s" s="0">
        <v>8034</v>
      </c>
      <c r="AJ337" t="s" s="0">
        <v>8035</v>
      </c>
      <c r="AK337" t="s" s="0">
        <v>81</v>
      </c>
      <c r="AL337" t="s" s="0">
        <v>1421</v>
      </c>
      <c r="AM337" t="s" s="0">
        <v>77</v>
      </c>
      <c r="AN337" t="s" s="0">
        <v>77</v>
      </c>
      <c r="AO337" t="s" s="0">
        <v>160</v>
      </c>
      <c r="AP337" t="s" s="0">
        <v>160</v>
      </c>
      <c r="AQ337" t="s" s="0">
        <v>370</v>
      </c>
      <c r="AR337" t="s" s="0">
        <v>1099</v>
      </c>
      <c r="AS337" t="s" s="0">
        <v>1873</v>
      </c>
      <c r="AT337" t="s" s="0">
        <v>8036</v>
      </c>
      <c r="AU337" t="s" s="0">
        <v>8037</v>
      </c>
      <c r="AV337" t="s" s="0">
        <v>81</v>
      </c>
      <c r="AW337" t="s" s="0">
        <v>8038</v>
      </c>
      <c r="AX337" t="s" s="0">
        <v>8039</v>
      </c>
      <c r="AY337" t="s" s="0">
        <v>5487</v>
      </c>
      <c r="AZ337" t="s" s="0">
        <v>104</v>
      </c>
      <c r="BA337" t="s" s="0">
        <v>304</v>
      </c>
      <c r="BB337" t="s" s="0">
        <v>117</v>
      </c>
      <c r="BC337" t="s" s="0">
        <v>81</v>
      </c>
      <c r="BD337" t="s" s="0">
        <v>81</v>
      </c>
      <c r="BE337" t="s" s="0">
        <v>81</v>
      </c>
      <c r="BF337" t="s" s="0">
        <v>81</v>
      </c>
      <c r="BG337" t="s" s="0">
        <v>81</v>
      </c>
      <c r="BH337" t="s" s="0">
        <v>81</v>
      </c>
      <c r="BI337" t="s" s="0">
        <v>1723</v>
      </c>
      <c r="BJ337" t="s" s="0">
        <v>8040</v>
      </c>
      <c r="BK337" t="s" s="670">
        <f>HYPERLINK("http://dx.doi.org/10.1007/s00384-026-05132-8","http://dx.doi.org/10.1007/s00384-026-05132-8")</f>
        <v>8041</v>
      </c>
      <c r="BL337" t="s" s="0">
        <v>81</v>
      </c>
      <c r="BM337" t="s" s="0">
        <v>203</v>
      </c>
      <c r="BN337" t="s" s="0">
        <v>172</v>
      </c>
      <c r="BO337" t="s" s="0">
        <v>8042</v>
      </c>
      <c r="BP337" t="s" s="0">
        <v>8042</v>
      </c>
      <c r="BQ337" t="s" s="0">
        <v>8043</v>
      </c>
      <c r="BR337" t="s" s="0">
        <v>8044</v>
      </c>
      <c r="BS337" t="s" s="0">
        <v>8045</v>
      </c>
      <c r="BT337" t="s" s="671">
        <f>HYPERLINK("https://www.webofscience.com/wos/woscc/full-record/WOS:001796377600001","View Record in Web of Science")</f>
        <v>114</v>
      </c>
      <c r="BU337" t="s" s="0">
        <v>457</v>
      </c>
      <c r="BV337" t="s" s="0">
        <v>81</v>
      </c>
      <c r="BW337" t="s" s="0">
        <v>81</v>
      </c>
      <c r="BX337" t="s" s="0">
        <v>116</v>
      </c>
    </row>
    <row r="338">
      <c r="A338" t="s" s="0">
        <v>77</v>
      </c>
      <c r="B338" t="s" s="0">
        <v>77</v>
      </c>
      <c r="C338" t="s" s="0">
        <v>117</v>
      </c>
      <c r="D338" t="s" s="0">
        <v>77</v>
      </c>
      <c r="E338" t="s" s="0">
        <v>8046</v>
      </c>
      <c r="F338" t="s" s="0">
        <v>8047</v>
      </c>
      <c r="G338" t="s" s="0">
        <v>8048</v>
      </c>
      <c r="H338" t="s" s="0">
        <v>81</v>
      </c>
      <c r="I338" t="s" s="0">
        <v>82</v>
      </c>
      <c r="J338" t="s" s="0">
        <v>8049</v>
      </c>
      <c r="K338" t="s" s="0">
        <v>8050</v>
      </c>
      <c r="L338" t="s" s="0">
        <v>8051</v>
      </c>
      <c r="M338" t="s" s="0">
        <v>8051</v>
      </c>
      <c r="N338" t="s" s="0">
        <v>8052</v>
      </c>
      <c r="O338" t="s" s="0">
        <v>8053</v>
      </c>
      <c r="P338" t="s" s="0">
        <v>8054</v>
      </c>
      <c r="Q338" t="s" s="0">
        <v>90</v>
      </c>
      <c r="R338" t="s" s="0">
        <v>81</v>
      </c>
      <c r="S338" t="s" s="0">
        <v>81</v>
      </c>
      <c r="T338" t="s" s="0">
        <v>81</v>
      </c>
      <c r="U338" t="s" s="0">
        <v>81</v>
      </c>
      <c r="V338" t="s" s="0">
        <v>8055</v>
      </c>
      <c r="W338" t="s" s="0">
        <v>8056</v>
      </c>
      <c r="X338" t="s" s="0">
        <v>81</v>
      </c>
      <c r="Y338" t="s" s="0">
        <v>81</v>
      </c>
      <c r="Z338" t="s" s="0">
        <v>93</v>
      </c>
      <c r="AA338" t="s" s="0">
        <v>94</v>
      </c>
      <c r="AB338" t="s" s="0">
        <v>81</v>
      </c>
      <c r="AC338" t="s" s="0">
        <v>81</v>
      </c>
      <c r="AD338" t="s" s="0">
        <v>81</v>
      </c>
      <c r="AE338" t="s" s="0">
        <v>81</v>
      </c>
      <c r="AF338" t="s" s="0">
        <v>81</v>
      </c>
      <c r="AG338" t="s" s="0">
        <v>8057</v>
      </c>
      <c r="AH338" t="s" s="0">
        <v>8058</v>
      </c>
      <c r="AI338" t="s" s="0">
        <v>8059</v>
      </c>
      <c r="AJ338" t="s" s="0">
        <v>8060</v>
      </c>
      <c r="AK338" t="s" s="0">
        <v>81</v>
      </c>
      <c r="AL338" t="s" s="0">
        <v>1067</v>
      </c>
      <c r="AM338" t="s" s="0">
        <v>117</v>
      </c>
      <c r="AN338" t="s" s="0">
        <v>117</v>
      </c>
      <c r="AO338" t="s" s="0">
        <v>77</v>
      </c>
      <c r="AP338" t="s" s="0">
        <v>77</v>
      </c>
      <c r="AQ338" t="s" s="0">
        <v>370</v>
      </c>
      <c r="AR338" t="s" s="0">
        <v>1099</v>
      </c>
      <c r="AS338" t="s" s="0">
        <v>1873</v>
      </c>
      <c r="AT338" t="s" s="0">
        <v>8061</v>
      </c>
      <c r="AU338" t="s" s="0">
        <v>8062</v>
      </c>
      <c r="AV338" t="s" s="0">
        <v>81</v>
      </c>
      <c r="AW338" t="s" s="0">
        <v>8063</v>
      </c>
      <c r="AX338" t="s" s="0">
        <v>8064</v>
      </c>
      <c r="AY338" t="s" s="0">
        <v>349</v>
      </c>
      <c r="AZ338" t="s" s="0">
        <v>104</v>
      </c>
      <c r="BA338" t="s" s="0">
        <v>5139</v>
      </c>
      <c r="BB338" t="s" s="0">
        <v>160</v>
      </c>
      <c r="BC338" t="s" s="0">
        <v>81</v>
      </c>
      <c r="BD338" t="s" s="0">
        <v>81</v>
      </c>
      <c r="BE338" t="s" s="0">
        <v>81</v>
      </c>
      <c r="BF338" t="s" s="0">
        <v>81</v>
      </c>
      <c r="BG338" t="s" s="0">
        <v>8065</v>
      </c>
      <c r="BH338" t="s" s="0">
        <v>8066</v>
      </c>
      <c r="BI338" t="s" s="0">
        <v>81</v>
      </c>
      <c r="BJ338" t="s" s="0">
        <v>8067</v>
      </c>
      <c r="BK338" t="s" s="672">
        <f>HYPERLINK("http://dx.doi.org/10.1007/s00595-025-03152-5","http://dx.doi.org/10.1007/s00595-025-03152-5")</f>
        <v>8068</v>
      </c>
      <c r="BL338" t="s" s="0">
        <v>81</v>
      </c>
      <c r="BM338" t="s" s="0">
        <v>3082</v>
      </c>
      <c r="BN338" t="s" s="0">
        <v>225</v>
      </c>
      <c r="BO338" t="s" s="0">
        <v>2819</v>
      </c>
      <c r="BP338" t="s" s="0">
        <v>2819</v>
      </c>
      <c r="BQ338" t="s" s="0">
        <v>8069</v>
      </c>
      <c r="BR338" t="s" s="0">
        <v>8070</v>
      </c>
      <c r="BS338" t="s" s="0">
        <v>8071</v>
      </c>
      <c r="BT338" t="s" s="673">
        <f>HYPERLINK("https://www.webofscience.com/wos/woscc/full-record/WOS:001595842000001","View Record in Web of Science")</f>
        <v>114</v>
      </c>
      <c r="BU338" t="s" s="0">
        <v>457</v>
      </c>
      <c r="BV338" t="s" s="0">
        <v>81</v>
      </c>
      <c r="BW338" t="s" s="0">
        <v>81</v>
      </c>
      <c r="BX338" t="s" s="0">
        <v>116</v>
      </c>
    </row>
    <row r="339">
      <c r="A339" t="s" s="0">
        <v>77</v>
      </c>
      <c r="B339" t="s" s="0">
        <v>77</v>
      </c>
      <c r="C339" t="s" s="0">
        <v>77</v>
      </c>
      <c r="D339" t="s" s="0">
        <v>77</v>
      </c>
      <c r="E339" t="s" s="0">
        <v>8072</v>
      </c>
      <c r="F339" t="s" s="0">
        <v>8073</v>
      </c>
      <c r="G339" t="s" s="0">
        <v>8074</v>
      </c>
      <c r="H339" t="s" s="0">
        <v>81</v>
      </c>
      <c r="I339" t="s" s="0">
        <v>82</v>
      </c>
      <c r="J339" t="s" s="0">
        <v>8075</v>
      </c>
      <c r="K339" t="s" s="0">
        <v>8076</v>
      </c>
      <c r="L339" t="s" s="0">
        <v>8077</v>
      </c>
      <c r="M339" t="s" s="0">
        <v>8078</v>
      </c>
      <c r="N339" t="s" s="0">
        <v>8079</v>
      </c>
      <c r="O339" t="s" s="0">
        <v>8080</v>
      </c>
      <c r="P339" t="s" s="0">
        <v>8081</v>
      </c>
      <c r="Q339" t="s" s="0">
        <v>90</v>
      </c>
      <c r="R339" t="s" s="0">
        <v>81</v>
      </c>
      <c r="S339" t="s" s="0">
        <v>81</v>
      </c>
      <c r="T339" t="s" s="0">
        <v>81</v>
      </c>
      <c r="U339" t="s" s="0">
        <v>81</v>
      </c>
      <c r="V339" t="s" s="0">
        <v>8082</v>
      </c>
      <c r="W339" t="s" s="0">
        <v>8083</v>
      </c>
      <c r="X339" t="s" s="0">
        <v>81</v>
      </c>
      <c r="Y339" t="s" s="0">
        <v>81</v>
      </c>
      <c r="Z339" t="s" s="0">
        <v>93</v>
      </c>
      <c r="AA339" t="s" s="0">
        <v>94</v>
      </c>
      <c r="AB339" t="s" s="0">
        <v>81</v>
      </c>
      <c r="AC339" t="s" s="0">
        <v>81</v>
      </c>
      <c r="AD339" t="s" s="0">
        <v>81</v>
      </c>
      <c r="AE339" t="s" s="0">
        <v>81</v>
      </c>
      <c r="AF339" t="s" s="0">
        <v>81</v>
      </c>
      <c r="AG339" t="s" s="0">
        <v>8084</v>
      </c>
      <c r="AH339" t="s" s="0">
        <v>8085</v>
      </c>
      <c r="AI339" t="s" s="0">
        <v>81</v>
      </c>
      <c r="AJ339" t="s" s="0">
        <v>81</v>
      </c>
      <c r="AK339" t="s" s="0">
        <v>81</v>
      </c>
      <c r="AL339" t="s" s="0">
        <v>1161</v>
      </c>
      <c r="AM339" t="s" s="0">
        <v>77</v>
      </c>
      <c r="AN339" t="s" s="0">
        <v>77</v>
      </c>
      <c r="AO339" t="s" s="0">
        <v>130</v>
      </c>
      <c r="AP339" t="s" s="0">
        <v>227</v>
      </c>
      <c r="AQ339" t="s" s="0">
        <v>708</v>
      </c>
      <c r="AR339" t="s" s="0">
        <v>709</v>
      </c>
      <c r="AS339" t="s" s="0">
        <v>710</v>
      </c>
      <c r="AT339" t="s" s="0">
        <v>8086</v>
      </c>
      <c r="AU339" t="s" s="0">
        <v>81</v>
      </c>
      <c r="AV339" t="s" s="0">
        <v>81</v>
      </c>
      <c r="AW339" t="s" s="0">
        <v>8087</v>
      </c>
      <c r="AX339" t="s" s="0">
        <v>8088</v>
      </c>
      <c r="AY339" t="s" s="0">
        <v>8089</v>
      </c>
      <c r="AZ339" t="s" s="0">
        <v>104</v>
      </c>
      <c r="BA339" t="s" s="0">
        <v>237</v>
      </c>
      <c r="BB339" t="s" s="0">
        <v>117</v>
      </c>
      <c r="BC339" t="s" s="0">
        <v>81</v>
      </c>
      <c r="BD339" t="s" s="0">
        <v>81</v>
      </c>
      <c r="BE339" t="s" s="0">
        <v>81</v>
      </c>
      <c r="BF339" t="s" s="0">
        <v>81</v>
      </c>
      <c r="BG339" t="s" s="0">
        <v>81</v>
      </c>
      <c r="BH339" t="s" s="0">
        <v>81</v>
      </c>
      <c r="BI339" t="s" s="0">
        <v>8090</v>
      </c>
      <c r="BJ339" t="s" s="0">
        <v>8091</v>
      </c>
      <c r="BK339" t="s" s="674">
        <f>HYPERLINK("http://dx.doi.org/10.1002/acm2.70464","http://dx.doi.org/10.1002/acm2.70464")</f>
        <v>8092</v>
      </c>
      <c r="BL339" t="s" s="0">
        <v>81</v>
      </c>
      <c r="BM339" t="s" s="0">
        <v>81</v>
      </c>
      <c r="BN339" t="s" s="0">
        <v>167</v>
      </c>
      <c r="BO339" t="s" s="0">
        <v>1881</v>
      </c>
      <c r="BP339" t="s" s="0">
        <v>1881</v>
      </c>
      <c r="BQ339" t="s" s="0">
        <v>8093</v>
      </c>
      <c r="BR339" t="s" s="0">
        <v>8094</v>
      </c>
      <c r="BS339" t="s" s="0">
        <v>8095</v>
      </c>
      <c r="BT339" t="s" s="675">
        <f>HYPERLINK("https://www.webofscience.com/wos/woscc/full-record/WOS:001664131700001","View Record in Web of Science")</f>
        <v>114</v>
      </c>
      <c r="BU339" t="s" s="0">
        <v>145</v>
      </c>
      <c r="BV339" t="s" s="0">
        <v>81</v>
      </c>
      <c r="BW339" t="s" s="0">
        <v>81</v>
      </c>
      <c r="BX339" t="s" s="0">
        <v>116</v>
      </c>
    </row>
    <row r="340">
      <c r="A340" t="s" s="0">
        <v>77</v>
      </c>
      <c r="B340" t="s" s="0">
        <v>77</v>
      </c>
      <c r="C340" t="s" s="0">
        <v>77</v>
      </c>
      <c r="D340" t="s" s="0">
        <v>77</v>
      </c>
      <c r="E340" t="s" s="0">
        <v>8096</v>
      </c>
      <c r="F340" t="s" s="0">
        <v>8097</v>
      </c>
      <c r="G340" t="s" s="0">
        <v>8098</v>
      </c>
      <c r="H340" t="s" s="0">
        <v>81</v>
      </c>
      <c r="I340" t="s" s="0">
        <v>82</v>
      </c>
      <c r="J340" t="s" s="0">
        <v>8099</v>
      </c>
      <c r="K340" t="s" s="0">
        <v>8100</v>
      </c>
      <c r="L340" t="s" s="0">
        <v>8101</v>
      </c>
      <c r="M340" t="s" s="0">
        <v>8101</v>
      </c>
      <c r="N340" t="s" s="0">
        <v>8102</v>
      </c>
      <c r="O340" t="s" s="0">
        <v>8103</v>
      </c>
      <c r="P340" t="s" s="0">
        <v>8104</v>
      </c>
      <c r="Q340" t="s" s="0">
        <v>90</v>
      </c>
      <c r="R340" t="s" s="0">
        <v>81</v>
      </c>
      <c r="S340" t="s" s="0">
        <v>81</v>
      </c>
      <c r="T340" t="s" s="0">
        <v>81</v>
      </c>
      <c r="U340" t="s" s="0">
        <v>81</v>
      </c>
      <c r="V340" t="s" s="0">
        <v>8105</v>
      </c>
      <c r="W340" t="s" s="0">
        <v>5667</v>
      </c>
      <c r="X340" t="s" s="0">
        <v>81</v>
      </c>
      <c r="Y340" t="s" s="0">
        <v>81</v>
      </c>
      <c r="Z340" t="s" s="0">
        <v>93</v>
      </c>
      <c r="AA340" t="s" s="0">
        <v>94</v>
      </c>
      <c r="AB340" t="s" s="0">
        <v>81</v>
      </c>
      <c r="AC340" t="s" s="0">
        <v>81</v>
      </c>
      <c r="AD340" t="s" s="0">
        <v>81</v>
      </c>
      <c r="AE340" t="s" s="0">
        <v>81</v>
      </c>
      <c r="AF340" t="s" s="0">
        <v>81</v>
      </c>
      <c r="AG340" t="s" s="0">
        <v>81</v>
      </c>
      <c r="AH340" t="s" s="0">
        <v>8106</v>
      </c>
      <c r="AI340" t="s" s="0">
        <v>8107</v>
      </c>
      <c r="AJ340" t="s" s="0">
        <v>8108</v>
      </c>
      <c r="AK340" t="s" s="0">
        <v>81</v>
      </c>
      <c r="AL340" t="s" s="0">
        <v>706</v>
      </c>
      <c r="AM340" t="s" s="0">
        <v>77</v>
      </c>
      <c r="AN340" t="s" s="0">
        <v>77</v>
      </c>
      <c r="AO340" t="s" s="0">
        <v>77</v>
      </c>
      <c r="AP340" t="s" s="0">
        <v>130</v>
      </c>
      <c r="AQ340" t="s" s="0">
        <v>1264</v>
      </c>
      <c r="AR340" t="s" s="0">
        <v>1265</v>
      </c>
      <c r="AS340" t="s" s="0">
        <v>1266</v>
      </c>
      <c r="AT340" t="s" s="0">
        <v>81</v>
      </c>
      <c r="AU340" t="s" s="0">
        <v>5670</v>
      </c>
      <c r="AV340" t="s" s="0">
        <v>81</v>
      </c>
      <c r="AW340" t="s" s="0">
        <v>5667</v>
      </c>
      <c r="AX340" t="s" s="0">
        <v>5671</v>
      </c>
      <c r="AY340" t="s" s="0">
        <v>8109</v>
      </c>
      <c r="AZ340" t="s" s="0">
        <v>136</v>
      </c>
      <c r="BA340" t="s" s="0">
        <v>105</v>
      </c>
      <c r="BB340" t="s" s="0">
        <v>129</v>
      </c>
      <c r="BC340" t="s" s="0">
        <v>81</v>
      </c>
      <c r="BD340" t="s" s="0">
        <v>81</v>
      </c>
      <c r="BE340" t="s" s="0">
        <v>81</v>
      </c>
      <c r="BF340" t="s" s="0">
        <v>81</v>
      </c>
      <c r="BG340" t="s" s="0">
        <v>81</v>
      </c>
      <c r="BH340" t="s" s="0">
        <v>81</v>
      </c>
      <c r="BI340" t="s" s="0">
        <v>8110</v>
      </c>
      <c r="BJ340" t="s" s="0">
        <v>8111</v>
      </c>
      <c r="BK340" t="s" s="676">
        <f>HYPERLINK("http://dx.doi.org/10.1371/journal.pone.0334242","http://dx.doi.org/10.1371/journal.pone.0334242")</f>
        <v>8112</v>
      </c>
      <c r="BL340" t="s" s="0">
        <v>81</v>
      </c>
      <c r="BM340" t="s" s="0">
        <v>81</v>
      </c>
      <c r="BN340" t="s" s="0">
        <v>226</v>
      </c>
      <c r="BO340" t="s" s="0">
        <v>285</v>
      </c>
      <c r="BP340" t="s" s="0">
        <v>286</v>
      </c>
      <c r="BQ340" t="s" s="0">
        <v>8113</v>
      </c>
      <c r="BR340" t="s" s="0">
        <v>8114</v>
      </c>
      <c r="BS340" t="s" s="0">
        <v>8115</v>
      </c>
      <c r="BT340" t="s" s="677">
        <f>HYPERLINK("https://www.webofscience.com/wos/woscc/full-record/WOS:001591823300003","View Record in Web of Science")</f>
        <v>114</v>
      </c>
      <c r="BU340" t="s" s="0">
        <v>145</v>
      </c>
      <c r="BV340" t="s" s="0">
        <v>81</v>
      </c>
      <c r="BW340" t="s" s="0">
        <v>81</v>
      </c>
      <c r="BX340" t="s" s="0">
        <v>116</v>
      </c>
    </row>
    <row r="341">
      <c r="A341" t="s" s="0">
        <v>77</v>
      </c>
      <c r="B341" t="s" s="0">
        <v>77</v>
      </c>
      <c r="C341" t="s" s="0">
        <v>77</v>
      </c>
      <c r="D341" t="s" s="0">
        <v>77</v>
      </c>
      <c r="E341" t="s" s="0">
        <v>8116</v>
      </c>
      <c r="F341" t="s" s="0">
        <v>8117</v>
      </c>
      <c r="G341" t="s" s="0">
        <v>8118</v>
      </c>
      <c r="H341" t="s" s="0">
        <v>81</v>
      </c>
      <c r="I341" t="s" s="0">
        <v>82</v>
      </c>
      <c r="J341" t="s" s="0">
        <v>8119</v>
      </c>
      <c r="K341" t="s" s="0">
        <v>8120</v>
      </c>
      <c r="L341" t="s" s="0">
        <v>8121</v>
      </c>
      <c r="M341" t="s" s="0">
        <v>8122</v>
      </c>
      <c r="N341" t="s" s="0">
        <v>8123</v>
      </c>
      <c r="O341" t="s" s="0">
        <v>8124</v>
      </c>
      <c r="P341" t="s" s="0">
        <v>81</v>
      </c>
      <c r="Q341" t="s" s="0">
        <v>90</v>
      </c>
      <c r="R341" t="s" s="0">
        <v>81</v>
      </c>
      <c r="S341" t="s" s="0">
        <v>81</v>
      </c>
      <c r="T341" t="s" s="0">
        <v>81</v>
      </c>
      <c r="U341" t="s" s="0">
        <v>81</v>
      </c>
      <c r="V341" t="s" s="0">
        <v>8125</v>
      </c>
      <c r="W341" t="s" s="0">
        <v>8126</v>
      </c>
      <c r="X341" t="s" s="0">
        <v>81</v>
      </c>
      <c r="Y341" t="s" s="0">
        <v>81</v>
      </c>
      <c r="Z341" t="s" s="0">
        <v>93</v>
      </c>
      <c r="AA341" t="s" s="0">
        <v>94</v>
      </c>
      <c r="AB341" t="s" s="0">
        <v>81</v>
      </c>
      <c r="AC341" t="s" s="0">
        <v>81</v>
      </c>
      <c r="AD341" t="s" s="0">
        <v>81</v>
      </c>
      <c r="AE341" t="s" s="0">
        <v>81</v>
      </c>
      <c r="AF341" t="s" s="0">
        <v>81</v>
      </c>
      <c r="AG341" t="s" s="0">
        <v>8127</v>
      </c>
      <c r="AH341" t="s" s="0">
        <v>8128</v>
      </c>
      <c r="AI341" t="s" s="0">
        <v>8129</v>
      </c>
      <c r="AJ341" t="s" s="0">
        <v>81</v>
      </c>
      <c r="AK341" t="s" s="0">
        <v>81</v>
      </c>
      <c r="AL341" t="s" s="0">
        <v>706</v>
      </c>
      <c r="AM341" t="s" s="0">
        <v>130</v>
      </c>
      <c r="AN341" t="s" s="0">
        <v>130</v>
      </c>
      <c r="AO341" t="s" s="0">
        <v>227</v>
      </c>
      <c r="AP341" t="s" s="0">
        <v>129</v>
      </c>
      <c r="AQ341" t="s" s="0">
        <v>7416</v>
      </c>
      <c r="AR341" t="s" s="0">
        <v>7417</v>
      </c>
      <c r="AS341" t="s" s="0">
        <v>7418</v>
      </c>
      <c r="AT341" t="s" s="0">
        <v>8130</v>
      </c>
      <c r="AU341" t="s" s="0">
        <v>8131</v>
      </c>
      <c r="AV341" t="s" s="0">
        <v>81</v>
      </c>
      <c r="AW341" t="s" s="0">
        <v>8132</v>
      </c>
      <c r="AX341" t="s" s="0">
        <v>8133</v>
      </c>
      <c r="AY341" t="s" s="0">
        <v>573</v>
      </c>
      <c r="AZ341" t="s" s="0">
        <v>573</v>
      </c>
      <c r="BA341" t="s" s="0">
        <v>105</v>
      </c>
      <c r="BB341" t="s" s="0">
        <v>81</v>
      </c>
      <c r="BC341" t="s" s="0">
        <v>81</v>
      </c>
      <c r="BD341" t="s" s="0">
        <v>81</v>
      </c>
      <c r="BE341" t="s" s="0">
        <v>81</v>
      </c>
      <c r="BF341" t="s" s="0">
        <v>81</v>
      </c>
      <c r="BG341" t="s" s="0">
        <v>81</v>
      </c>
      <c r="BH341" t="s" s="0">
        <v>81</v>
      </c>
      <c r="BI341" t="s" s="0">
        <v>8134</v>
      </c>
      <c r="BJ341" t="s" s="0">
        <v>8135</v>
      </c>
      <c r="BK341" t="s" s="678">
        <f>HYPERLINK("http://dx.doi.org/10.2174/0115734056301741240903072017","http://dx.doi.org/10.2174/0115734056301741240903072017")</f>
        <v>8136</v>
      </c>
      <c r="BL341" t="s" s="0">
        <v>81</v>
      </c>
      <c r="BM341" t="s" s="0">
        <v>81</v>
      </c>
      <c r="BN341" t="s" s="0">
        <v>204</v>
      </c>
      <c r="BO341" t="s" s="0">
        <v>1881</v>
      </c>
      <c r="BP341" t="s" s="0">
        <v>1881</v>
      </c>
      <c r="BQ341" t="s" s="0">
        <v>8137</v>
      </c>
      <c r="BR341" t="s" s="0">
        <v>8138</v>
      </c>
      <c r="BS341" t="s" s="0">
        <v>8139</v>
      </c>
      <c r="BT341" t="s" s="679">
        <f>HYPERLINK("https://www.webofscience.com/wos/woscc/full-record/WOS:001310477100001","View Record in Web of Science")</f>
        <v>114</v>
      </c>
      <c r="BU341" t="s" s="0">
        <v>804</v>
      </c>
      <c r="BV341" t="s" s="0">
        <v>81</v>
      </c>
      <c r="BW341" t="s" s="0">
        <v>81</v>
      </c>
      <c r="BX341" t="s" s="0">
        <v>116</v>
      </c>
    </row>
    <row r="342">
      <c r="A342" t="s" s="0">
        <v>77</v>
      </c>
      <c r="B342" t="s" s="0">
        <v>77</v>
      </c>
      <c r="C342" t="s" s="0">
        <v>117</v>
      </c>
      <c r="D342" t="s" s="0">
        <v>77</v>
      </c>
      <c r="E342" t="s" s="0">
        <v>8140</v>
      </c>
      <c r="F342" t="s" s="0">
        <v>8141</v>
      </c>
      <c r="G342" t="s" s="0">
        <v>8142</v>
      </c>
      <c r="H342" t="s" s="0">
        <v>81</v>
      </c>
      <c r="I342" t="s" s="0">
        <v>82</v>
      </c>
      <c r="J342" t="s" s="0">
        <v>8143</v>
      </c>
      <c r="K342" t="s" s="0">
        <v>8144</v>
      </c>
      <c r="L342" t="s" s="0">
        <v>8145</v>
      </c>
      <c r="M342" t="s" s="0">
        <v>8146</v>
      </c>
      <c r="N342" t="s" s="0">
        <v>8147</v>
      </c>
      <c r="O342" t="s" s="0">
        <v>8148</v>
      </c>
      <c r="P342" t="s" s="0">
        <v>8149</v>
      </c>
      <c r="Q342" t="s" s="0">
        <v>90</v>
      </c>
      <c r="R342" t="s" s="0">
        <v>81</v>
      </c>
      <c r="S342" t="s" s="0">
        <v>81</v>
      </c>
      <c r="T342" t="s" s="0">
        <v>81</v>
      </c>
      <c r="U342" t="s" s="0">
        <v>81</v>
      </c>
      <c r="V342" t="s" s="0">
        <v>8150</v>
      </c>
      <c r="W342" t="s" s="0">
        <v>3333</v>
      </c>
      <c r="X342" t="s" s="0">
        <v>81</v>
      </c>
      <c r="Y342" t="s" s="0">
        <v>81</v>
      </c>
      <c r="Z342" t="s" s="0">
        <v>93</v>
      </c>
      <c r="AA342" t="s" s="0">
        <v>94</v>
      </c>
      <c r="AB342" t="s" s="0">
        <v>81</v>
      </c>
      <c r="AC342" t="s" s="0">
        <v>81</v>
      </c>
      <c r="AD342" t="s" s="0">
        <v>81</v>
      </c>
      <c r="AE342" t="s" s="0">
        <v>81</v>
      </c>
      <c r="AF342" t="s" s="0">
        <v>81</v>
      </c>
      <c r="AG342" t="s" s="0">
        <v>8151</v>
      </c>
      <c r="AH342" t="s" s="0">
        <v>8152</v>
      </c>
      <c r="AI342" t="s" s="0">
        <v>8153</v>
      </c>
      <c r="AJ342" t="s" s="0">
        <v>8154</v>
      </c>
      <c r="AK342" t="s" s="0">
        <v>81</v>
      </c>
      <c r="AL342" t="s" s="0">
        <v>846</v>
      </c>
      <c r="AM342" t="s" s="0">
        <v>172</v>
      </c>
      <c r="AN342" t="s" s="0">
        <v>563</v>
      </c>
      <c r="AO342" t="s" s="0">
        <v>130</v>
      </c>
      <c r="AP342" t="s" s="0">
        <v>167</v>
      </c>
      <c r="AQ342" t="s" s="0">
        <v>1098</v>
      </c>
      <c r="AR342" t="s" s="0">
        <v>1099</v>
      </c>
      <c r="AS342" t="s" s="0">
        <v>1100</v>
      </c>
      <c r="AT342" t="s" s="0">
        <v>3335</v>
      </c>
      <c r="AU342" t="s" s="0">
        <v>3336</v>
      </c>
      <c r="AV342" t="s" s="0">
        <v>81</v>
      </c>
      <c r="AW342" t="s" s="0">
        <v>3337</v>
      </c>
      <c r="AX342" t="s" s="0">
        <v>3338</v>
      </c>
      <c r="AY342" t="s" s="0">
        <v>2231</v>
      </c>
      <c r="AZ342" t="s" s="0">
        <v>573</v>
      </c>
      <c r="BA342" t="s" s="0">
        <v>369</v>
      </c>
      <c r="BB342" t="s" s="0">
        <v>226</v>
      </c>
      <c r="BC342" t="s" s="0">
        <v>81</v>
      </c>
      <c r="BD342" t="s" s="0">
        <v>81</v>
      </c>
      <c r="BE342" t="s" s="0">
        <v>81</v>
      </c>
      <c r="BF342" t="s" s="0">
        <v>81</v>
      </c>
      <c r="BG342" t="s" s="0">
        <v>8155</v>
      </c>
      <c r="BH342" t="s" s="0">
        <v>8156</v>
      </c>
      <c r="BI342" t="s" s="0">
        <v>81</v>
      </c>
      <c r="BJ342" t="s" s="0">
        <v>8157</v>
      </c>
      <c r="BK342" t="s" s="680">
        <f>HYPERLINK("http://dx.doi.org/10.1016/j.acra.2024.06.026","http://dx.doi.org/10.1016/j.acra.2024.06.026")</f>
        <v>8158</v>
      </c>
      <c r="BL342" t="s" s="0">
        <v>81</v>
      </c>
      <c r="BM342" t="s" s="0">
        <v>1798</v>
      </c>
      <c r="BN342" t="s" s="0">
        <v>225</v>
      </c>
      <c r="BO342" t="s" s="0">
        <v>1881</v>
      </c>
      <c r="BP342" t="s" s="0">
        <v>1881</v>
      </c>
      <c r="BQ342" t="s" s="0">
        <v>8159</v>
      </c>
      <c r="BR342" t="s" s="0">
        <v>8160</v>
      </c>
      <c r="BS342" t="s" s="0">
        <v>8161</v>
      </c>
      <c r="BT342" t="s" s="681">
        <f>HYPERLINK("https://www.webofscience.com/wos/woscc/full-record/WOS:001367901300001","View Record in Web of Science")</f>
        <v>114</v>
      </c>
      <c r="BU342" t="s" s="0">
        <v>457</v>
      </c>
      <c r="BV342" t="s" s="0">
        <v>81</v>
      </c>
      <c r="BW342" t="s" s="0">
        <v>81</v>
      </c>
      <c r="BX342" t="s" s="0">
        <v>116</v>
      </c>
    </row>
    <row r="343">
      <c r="A343" t="s" s="0">
        <v>77</v>
      </c>
      <c r="B343" t="s" s="0">
        <v>77</v>
      </c>
      <c r="C343" t="s" s="0">
        <v>77</v>
      </c>
      <c r="D343" t="s" s="0">
        <v>77</v>
      </c>
      <c r="E343" t="s" s="0">
        <v>8162</v>
      </c>
      <c r="F343" t="s" s="0">
        <v>8163</v>
      </c>
      <c r="G343" t="s" s="0">
        <v>8164</v>
      </c>
      <c r="H343" t="s" s="0">
        <v>81</v>
      </c>
      <c r="I343" t="s" s="0">
        <v>213</v>
      </c>
      <c r="J343" t="s" s="0">
        <v>8165</v>
      </c>
      <c r="K343" t="s" s="0">
        <v>8166</v>
      </c>
      <c r="L343" t="s" s="0">
        <v>8167</v>
      </c>
      <c r="M343" t="s" s="0">
        <v>8167</v>
      </c>
      <c r="N343" t="s" s="0">
        <v>8168</v>
      </c>
      <c r="O343" t="s" s="0">
        <v>8169</v>
      </c>
      <c r="P343" t="s" s="0">
        <v>8170</v>
      </c>
      <c r="Q343" t="s" s="0">
        <v>90</v>
      </c>
      <c r="R343" t="s" s="0">
        <v>81</v>
      </c>
      <c r="S343" t="s" s="0">
        <v>81</v>
      </c>
      <c r="T343" t="s" s="0">
        <v>81</v>
      </c>
      <c r="U343" t="s" s="0">
        <v>81</v>
      </c>
      <c r="V343" t="s" s="0">
        <v>8171</v>
      </c>
      <c r="W343" t="s" s="0">
        <v>928</v>
      </c>
      <c r="X343" t="s" s="0">
        <v>81</v>
      </c>
      <c r="Y343" t="s" s="0">
        <v>81</v>
      </c>
      <c r="Z343" t="s" s="0">
        <v>93</v>
      </c>
      <c r="AA343" t="s" s="0">
        <v>94</v>
      </c>
      <c r="AB343" t="s" s="0">
        <v>81</v>
      </c>
      <c r="AC343" t="s" s="0">
        <v>81</v>
      </c>
      <c r="AD343" t="s" s="0">
        <v>81</v>
      </c>
      <c r="AE343" t="s" s="0">
        <v>81</v>
      </c>
      <c r="AF343" t="s" s="0">
        <v>81</v>
      </c>
      <c r="AG343" t="s" s="0">
        <v>81</v>
      </c>
      <c r="AH343" t="s" s="0">
        <v>8172</v>
      </c>
      <c r="AI343" t="s" s="0">
        <v>8173</v>
      </c>
      <c r="AJ343" t="s" s="0">
        <v>8174</v>
      </c>
      <c r="AK343" t="s" s="0">
        <v>81</v>
      </c>
      <c r="AL343" t="s" s="0">
        <v>1421</v>
      </c>
      <c r="AM343" t="s" s="0">
        <v>77</v>
      </c>
      <c r="AN343" t="s" s="0">
        <v>77</v>
      </c>
      <c r="AO343" t="s" s="0">
        <v>77</v>
      </c>
      <c r="AP343" t="s" s="0">
        <v>77</v>
      </c>
      <c r="AQ343" t="s" s="0">
        <v>930</v>
      </c>
      <c r="AR343" t="s" s="0">
        <v>931</v>
      </c>
      <c r="AS343" t="s" s="0">
        <v>932</v>
      </c>
      <c r="AT343" t="s" s="0">
        <v>933</v>
      </c>
      <c r="AU343" t="s" s="0">
        <v>81</v>
      </c>
      <c r="AV343" t="s" s="0">
        <v>81</v>
      </c>
      <c r="AW343" t="s" s="0">
        <v>934</v>
      </c>
      <c r="AX343" t="s" s="0">
        <v>935</v>
      </c>
      <c r="AY343" t="s" s="0">
        <v>450</v>
      </c>
      <c r="AZ343" t="s" s="0">
        <v>136</v>
      </c>
      <c r="BA343" t="s" s="0">
        <v>128</v>
      </c>
      <c r="BB343" t="s" s="0">
        <v>81</v>
      </c>
      <c r="BC343" t="s" s="0">
        <v>81</v>
      </c>
      <c r="BD343" t="s" s="0">
        <v>81</v>
      </c>
      <c r="BE343" t="s" s="0">
        <v>81</v>
      </c>
      <c r="BF343" t="s" s="0">
        <v>81</v>
      </c>
      <c r="BG343" t="s" s="0">
        <v>81</v>
      </c>
      <c r="BH343" t="s" s="0">
        <v>81</v>
      </c>
      <c r="BI343" t="s" s="0">
        <v>8175</v>
      </c>
      <c r="BJ343" t="s" s="0">
        <v>8176</v>
      </c>
      <c r="BK343" t="s" s="682">
        <f>HYPERLINK("http://dx.doi.org/10.1200/CCI-24-00287","http://dx.doi.org/10.1200/CCI-24-00287")</f>
        <v>8177</v>
      </c>
      <c r="BL343" t="s" s="0">
        <v>81</v>
      </c>
      <c r="BM343" t="s" s="0">
        <v>81</v>
      </c>
      <c r="BN343" t="s" s="0">
        <v>172</v>
      </c>
      <c r="BO343" t="s" s="0">
        <v>939</v>
      </c>
      <c r="BP343" t="s" s="0">
        <v>939</v>
      </c>
      <c r="BQ343" t="s" s="0">
        <v>8178</v>
      </c>
      <c r="BR343" t="s" s="0">
        <v>8179</v>
      </c>
      <c r="BS343" t="s" s="0">
        <v>8180</v>
      </c>
      <c r="BT343" t="s" s="683">
        <f>HYPERLINK("https://www.webofscience.com/wos/woscc/full-record/WOS:001620201000001","View Record in Web of Science")</f>
        <v>114</v>
      </c>
      <c r="BU343" t="s" s="0">
        <v>81</v>
      </c>
      <c r="BV343" t="s" s="0">
        <v>81</v>
      </c>
      <c r="BW343" t="s" s="0">
        <v>81</v>
      </c>
      <c r="BX343" t="s" s="0">
        <v>116</v>
      </c>
    </row>
    <row r="344">
      <c r="A344" t="s" s="0">
        <v>117</v>
      </c>
      <c r="B344" t="s" s="0">
        <v>77</v>
      </c>
      <c r="C344" t="s" s="0">
        <v>130</v>
      </c>
      <c r="D344" t="s" s="0">
        <v>77</v>
      </c>
      <c r="E344" t="s" s="0">
        <v>8181</v>
      </c>
      <c r="F344" t="s" s="0">
        <v>8182</v>
      </c>
      <c r="G344" t="s" s="0">
        <v>8183</v>
      </c>
      <c r="H344" t="s" s="0">
        <v>81</v>
      </c>
      <c r="I344" t="s" s="0">
        <v>82</v>
      </c>
      <c r="J344" t="s" s="0">
        <v>8184</v>
      </c>
      <c r="K344" t="s" s="0">
        <v>8185</v>
      </c>
      <c r="L344" t="s" s="0">
        <v>8186</v>
      </c>
      <c r="M344" t="s" s="0">
        <v>8187</v>
      </c>
      <c r="N344" t="s" s="0">
        <v>8188</v>
      </c>
      <c r="O344" t="s" s="0">
        <v>8189</v>
      </c>
      <c r="P344" t="s" s="0">
        <v>8190</v>
      </c>
      <c r="Q344" t="s" s="0">
        <v>90</v>
      </c>
      <c r="R344" t="s" s="0">
        <v>81</v>
      </c>
      <c r="S344" t="s" s="0">
        <v>81</v>
      </c>
      <c r="T344" t="s" s="0">
        <v>81</v>
      </c>
      <c r="U344" t="s" s="0">
        <v>81</v>
      </c>
      <c r="V344" t="s" s="0">
        <v>8191</v>
      </c>
      <c r="W344" t="s" s="0">
        <v>8192</v>
      </c>
      <c r="X344" t="s" s="0">
        <v>81</v>
      </c>
      <c r="Y344" t="s" s="0">
        <v>81</v>
      </c>
      <c r="Z344" t="s" s="0">
        <v>93</v>
      </c>
      <c r="AA344" t="s" s="0">
        <v>94</v>
      </c>
      <c r="AB344" t="s" s="0">
        <v>81</v>
      </c>
      <c r="AC344" t="s" s="0">
        <v>81</v>
      </c>
      <c r="AD344" t="s" s="0">
        <v>81</v>
      </c>
      <c r="AE344" t="s" s="0">
        <v>81</v>
      </c>
      <c r="AF344" t="s" s="0">
        <v>81</v>
      </c>
      <c r="AG344" t="s" s="0">
        <v>81</v>
      </c>
      <c r="AH344" t="s" s="0">
        <v>8193</v>
      </c>
      <c r="AI344" t="s" s="0">
        <v>8194</v>
      </c>
      <c r="AJ344" t="s" s="0">
        <v>8195</v>
      </c>
      <c r="AK344" t="s" s="0">
        <v>81</v>
      </c>
      <c r="AL344" t="s" s="0">
        <v>1900</v>
      </c>
      <c r="AM344" t="s" s="0">
        <v>225</v>
      </c>
      <c r="AN344" t="s" s="0">
        <v>128</v>
      </c>
      <c r="AO344" t="s" s="0">
        <v>130</v>
      </c>
      <c r="AP344" t="s" s="0">
        <v>161</v>
      </c>
      <c r="AQ344" t="s" s="0">
        <v>1098</v>
      </c>
      <c r="AR344" t="s" s="0">
        <v>1099</v>
      </c>
      <c r="AS344" t="s" s="0">
        <v>2052</v>
      </c>
      <c r="AT344" t="s" s="0">
        <v>8196</v>
      </c>
      <c r="AU344" t="s" s="0">
        <v>8197</v>
      </c>
      <c r="AV344" t="s" s="0">
        <v>81</v>
      </c>
      <c r="AW344" t="s" s="0">
        <v>8198</v>
      </c>
      <c r="AX344" t="s" s="0">
        <v>8199</v>
      </c>
      <c r="AY344" t="s" s="0">
        <v>3082</v>
      </c>
      <c r="AZ344" t="s" s="0">
        <v>136</v>
      </c>
      <c r="BA344" t="s" s="0">
        <v>8200</v>
      </c>
      <c r="BB344" t="s" s="0">
        <v>129</v>
      </c>
      <c r="BC344" t="s" s="0">
        <v>81</v>
      </c>
      <c r="BD344" t="s" s="0">
        <v>81</v>
      </c>
      <c r="BE344" t="s" s="0">
        <v>81</v>
      </c>
      <c r="BF344" t="s" s="0">
        <v>81</v>
      </c>
      <c r="BG344" t="s" s="0">
        <v>81</v>
      </c>
      <c r="BH344" t="s" s="0">
        <v>81</v>
      </c>
      <c r="BI344" t="s" s="0">
        <v>81</v>
      </c>
      <c r="BJ344" t="s" s="0">
        <v>8201</v>
      </c>
      <c r="BK344" t="s" s="684">
        <f>HYPERLINK("http://dx.doi.org/10.1016/j.ajpath.2025.06.006","http://dx.doi.org/10.1016/j.ajpath.2025.06.006")</f>
        <v>8202</v>
      </c>
      <c r="BL344" t="s" s="0">
        <v>81</v>
      </c>
      <c r="BM344" t="s" s="0">
        <v>1080</v>
      </c>
      <c r="BN344" t="s" s="0">
        <v>137</v>
      </c>
      <c r="BO344" t="s" s="0">
        <v>8203</v>
      </c>
      <c r="BP344" t="s" s="0">
        <v>8203</v>
      </c>
      <c r="BQ344" t="s" s="0">
        <v>8204</v>
      </c>
      <c r="BR344" t="s" s="0">
        <v>8205</v>
      </c>
      <c r="BS344" t="s" s="0">
        <v>8206</v>
      </c>
      <c r="BT344" t="s" s="685">
        <f>HYPERLINK("https://www.webofscience.com/wos/woscc/full-record/WOS:001583484100007","View Record in Web of Science")</f>
        <v>114</v>
      </c>
      <c r="BU344" t="s" s="0">
        <v>81</v>
      </c>
      <c r="BV344" t="s" s="0">
        <v>81</v>
      </c>
      <c r="BW344" t="s" s="0">
        <v>81</v>
      </c>
      <c r="BX344" t="s" s="0">
        <v>116</v>
      </c>
    </row>
    <row r="345">
      <c r="A345" t="s" s="0">
        <v>77</v>
      </c>
      <c r="B345" t="s" s="0">
        <v>77</v>
      </c>
      <c r="C345" t="s" s="0">
        <v>160</v>
      </c>
      <c r="D345" t="s" s="0">
        <v>77</v>
      </c>
      <c r="E345" t="s" s="0">
        <v>8207</v>
      </c>
      <c r="F345" t="s" s="0">
        <v>8208</v>
      </c>
      <c r="G345" t="s" s="0">
        <v>8209</v>
      </c>
      <c r="H345" t="s" s="0">
        <v>81</v>
      </c>
      <c r="I345" t="s" s="0">
        <v>82</v>
      </c>
      <c r="J345" t="s" s="0">
        <v>8210</v>
      </c>
      <c r="K345" t="s" s="0">
        <v>8211</v>
      </c>
      <c r="L345" t="s" s="0">
        <v>81</v>
      </c>
      <c r="M345" t="s" s="0">
        <v>81</v>
      </c>
      <c r="N345" t="s" s="0">
        <v>81</v>
      </c>
      <c r="O345" t="s" s="0">
        <v>8212</v>
      </c>
      <c r="P345" t="s" s="0">
        <v>8213</v>
      </c>
      <c r="Q345" t="s" s="0">
        <v>90</v>
      </c>
      <c r="R345" t="s" s="0">
        <v>81</v>
      </c>
      <c r="S345" t="s" s="0">
        <v>81</v>
      </c>
      <c r="T345" t="s" s="0">
        <v>81</v>
      </c>
      <c r="U345" t="s" s="0">
        <v>81</v>
      </c>
      <c r="V345" t="s" s="0">
        <v>8214</v>
      </c>
      <c r="W345" t="s" s="0">
        <v>8215</v>
      </c>
      <c r="X345" t="s" s="0">
        <v>81</v>
      </c>
      <c r="Y345" t="s" s="0">
        <v>81</v>
      </c>
      <c r="Z345" t="s" s="0">
        <v>93</v>
      </c>
      <c r="AA345" t="s" s="0">
        <v>94</v>
      </c>
      <c r="AB345" t="s" s="0">
        <v>81</v>
      </c>
      <c r="AC345" t="s" s="0">
        <v>81</v>
      </c>
      <c r="AD345" t="s" s="0">
        <v>81</v>
      </c>
      <c r="AE345" t="s" s="0">
        <v>81</v>
      </c>
      <c r="AF345" t="s" s="0">
        <v>81</v>
      </c>
      <c r="AG345" t="s" s="0">
        <v>8216</v>
      </c>
      <c r="AH345" t="s" s="0">
        <v>8217</v>
      </c>
      <c r="AI345" t="s" s="0">
        <v>8218</v>
      </c>
      <c r="AJ345" t="s" s="0">
        <v>81</v>
      </c>
      <c r="AK345" t="s" s="0">
        <v>81</v>
      </c>
      <c r="AL345" t="s" s="0">
        <v>224</v>
      </c>
      <c r="AM345" t="s" s="0">
        <v>228</v>
      </c>
      <c r="AN345" t="s" s="0">
        <v>258</v>
      </c>
      <c r="AO345" t="s" s="0">
        <v>131</v>
      </c>
      <c r="AP345" t="s" s="0">
        <v>541</v>
      </c>
      <c r="AQ345" t="s" s="0">
        <v>406</v>
      </c>
      <c r="AR345" t="s" s="0">
        <v>407</v>
      </c>
      <c r="AS345" t="s" s="0">
        <v>408</v>
      </c>
      <c r="AT345" t="s" s="0">
        <v>8219</v>
      </c>
      <c r="AU345" t="s" s="0">
        <v>8220</v>
      </c>
      <c r="AV345" t="s" s="0">
        <v>81</v>
      </c>
      <c r="AW345" t="s" s="0">
        <v>8221</v>
      </c>
      <c r="AX345" t="s" s="0">
        <v>8222</v>
      </c>
      <c r="AY345" t="s" s="0">
        <v>377</v>
      </c>
      <c r="AZ345" t="s" s="0">
        <v>136</v>
      </c>
      <c r="BA345" t="s" s="0">
        <v>4961</v>
      </c>
      <c r="BB345" t="s" s="0">
        <v>81</v>
      </c>
      <c r="BC345" t="s" s="0">
        <v>81</v>
      </c>
      <c r="BD345" t="s" s="0">
        <v>81</v>
      </c>
      <c r="BE345" t="s" s="0">
        <v>81</v>
      </c>
      <c r="BF345" t="s" s="0">
        <v>81</v>
      </c>
      <c r="BG345" t="s" s="0">
        <v>81</v>
      </c>
      <c r="BH345" t="s" s="0">
        <v>81</v>
      </c>
      <c r="BI345" t="s" s="0">
        <v>8223</v>
      </c>
      <c r="BJ345" t="s" s="0">
        <v>8224</v>
      </c>
      <c r="BK345" t="s" s="686">
        <f>HYPERLINK("http://dx.doi.org/10.1016/j.jneumeth.2025.110363","http://dx.doi.org/10.1016/j.jneumeth.2025.110363")</f>
        <v>8225</v>
      </c>
      <c r="BL345" t="s" s="0">
        <v>81</v>
      </c>
      <c r="BM345" t="s" s="0">
        <v>382</v>
      </c>
      <c r="BN345" t="s" s="0">
        <v>172</v>
      </c>
      <c r="BO345" t="s" s="0">
        <v>8226</v>
      </c>
      <c r="BP345" t="s" s="0">
        <v>8227</v>
      </c>
      <c r="BQ345" t="s" s="0">
        <v>8228</v>
      </c>
      <c r="BR345" t="s" s="0">
        <v>8229</v>
      </c>
      <c r="BS345" t="s" s="0">
        <v>8230</v>
      </c>
      <c r="BT345" t="s" s="687">
        <f>HYPERLINK("https://www.webofscience.com/wos/woscc/full-record/WOS:001407301100001","View Record in Web of Science")</f>
        <v>114</v>
      </c>
      <c r="BU345" t="s" s="0">
        <v>81</v>
      </c>
      <c r="BV345" t="s" s="0">
        <v>81</v>
      </c>
      <c r="BW345" t="s" s="0">
        <v>81</v>
      </c>
      <c r="BX345" t="s" s="0">
        <v>116</v>
      </c>
    </row>
    <row r="346">
      <c r="A346" t="s" s="0">
        <v>77</v>
      </c>
      <c r="B346" t="s" s="0">
        <v>77</v>
      </c>
      <c r="C346" t="s" s="0">
        <v>77</v>
      </c>
      <c r="D346" t="s" s="0">
        <v>77</v>
      </c>
      <c r="E346" t="s" s="0">
        <v>8231</v>
      </c>
      <c r="F346" t="s" s="0">
        <v>8232</v>
      </c>
      <c r="G346" t="s" s="0">
        <v>8233</v>
      </c>
      <c r="H346" t="s" s="0">
        <v>81</v>
      </c>
      <c r="I346" t="s" s="0">
        <v>82</v>
      </c>
      <c r="J346" t="s" s="0">
        <v>8234</v>
      </c>
      <c r="K346" t="s" s="0">
        <v>8235</v>
      </c>
      <c r="L346" t="s" s="0">
        <v>8236</v>
      </c>
      <c r="M346" t="s" s="0">
        <v>8236</v>
      </c>
      <c r="N346" t="s" s="0">
        <v>8237</v>
      </c>
      <c r="O346" t="s" s="0">
        <v>8238</v>
      </c>
      <c r="P346" t="s" s="0">
        <v>8239</v>
      </c>
      <c r="Q346" t="s" s="0">
        <v>90</v>
      </c>
      <c r="R346" t="s" s="0">
        <v>81</v>
      </c>
      <c r="S346" t="s" s="0">
        <v>81</v>
      </c>
      <c r="T346" t="s" s="0">
        <v>81</v>
      </c>
      <c r="U346" t="s" s="0">
        <v>81</v>
      </c>
      <c r="V346" t="s" s="0">
        <v>8240</v>
      </c>
      <c r="W346" t="s" s="0">
        <v>8241</v>
      </c>
      <c r="X346" t="s" s="0">
        <v>81</v>
      </c>
      <c r="Y346" t="s" s="0">
        <v>81</v>
      </c>
      <c r="Z346" t="s" s="0">
        <v>93</v>
      </c>
      <c r="AA346" t="s" s="0">
        <v>94</v>
      </c>
      <c r="AB346" t="s" s="0">
        <v>81</v>
      </c>
      <c r="AC346" t="s" s="0">
        <v>81</v>
      </c>
      <c r="AD346" t="s" s="0">
        <v>81</v>
      </c>
      <c r="AE346" t="s" s="0">
        <v>81</v>
      </c>
      <c r="AF346" t="s" s="0">
        <v>81</v>
      </c>
      <c r="AG346" t="s" s="0">
        <v>81</v>
      </c>
      <c r="AH346" t="s" s="0">
        <v>81</v>
      </c>
      <c r="AI346" t="s" s="0">
        <v>81</v>
      </c>
      <c r="AJ346" t="s" s="0">
        <v>81</v>
      </c>
      <c r="AK346" t="s" s="0">
        <v>81</v>
      </c>
      <c r="AL346" t="s" s="0">
        <v>228</v>
      </c>
      <c r="AM346" t="s" s="0">
        <v>77</v>
      </c>
      <c r="AN346" t="s" s="0">
        <v>77</v>
      </c>
      <c r="AO346" t="s" s="0">
        <v>160</v>
      </c>
      <c r="AP346" t="s" s="0">
        <v>160</v>
      </c>
      <c r="AQ346" t="s" s="0">
        <v>439</v>
      </c>
      <c r="AR346" t="s" s="0">
        <v>339</v>
      </c>
      <c r="AS346" t="s" s="0">
        <v>820</v>
      </c>
      <c r="AT346" t="s" s="0">
        <v>8242</v>
      </c>
      <c r="AU346" t="s" s="0">
        <v>8243</v>
      </c>
      <c r="AV346" t="s" s="0">
        <v>81</v>
      </c>
      <c r="AW346" t="s" s="0">
        <v>8241</v>
      </c>
      <c r="AX346" t="s" s="0">
        <v>8244</v>
      </c>
      <c r="AY346" t="s" s="0">
        <v>317</v>
      </c>
      <c r="AZ346" t="s" s="0">
        <v>104</v>
      </c>
      <c r="BA346" t="s" s="0">
        <v>252</v>
      </c>
      <c r="BB346" t="s" s="0">
        <v>129</v>
      </c>
      <c r="BC346" t="s" s="0">
        <v>81</v>
      </c>
      <c r="BD346" t="s" s="0">
        <v>81</v>
      </c>
      <c r="BE346" t="s" s="0">
        <v>81</v>
      </c>
      <c r="BF346" t="s" s="0">
        <v>81</v>
      </c>
      <c r="BG346" t="s" s="0">
        <v>8245</v>
      </c>
      <c r="BH346" t="s" s="0">
        <v>8246</v>
      </c>
      <c r="BI346" t="s" s="0">
        <v>81</v>
      </c>
      <c r="BJ346" t="s" s="0">
        <v>8247</v>
      </c>
      <c r="BK346" t="s" s="688">
        <f>HYPERLINK("http://dx.doi.org/10.1038/s41433-026-04505-1","http://dx.doi.org/10.1038/s41433-026-04505-1")</f>
        <v>8248</v>
      </c>
      <c r="BL346" t="s" s="0">
        <v>81</v>
      </c>
      <c r="BM346" t="s" s="0">
        <v>203</v>
      </c>
      <c r="BN346" t="s" s="0">
        <v>161</v>
      </c>
      <c r="BO346" t="s" s="0">
        <v>606</v>
      </c>
      <c r="BP346" t="s" s="0">
        <v>606</v>
      </c>
      <c r="BQ346" t="s" s="0">
        <v>8249</v>
      </c>
      <c r="BR346" t="s" s="0">
        <v>8250</v>
      </c>
      <c r="BS346" t="s" s="0">
        <v>8251</v>
      </c>
      <c r="BT346" t="s" s="689">
        <f>HYPERLINK("https://www.webofscience.com/wos/woscc/full-record/WOS:001757694400001","View Record in Web of Science")</f>
        <v>114</v>
      </c>
      <c r="BU346" t="s" s="0">
        <v>1908</v>
      </c>
      <c r="BV346" t="s" s="0">
        <v>81</v>
      </c>
      <c r="BW346" t="s" s="0">
        <v>81</v>
      </c>
      <c r="BX346" t="s" s="0">
        <v>116</v>
      </c>
    </row>
    <row r="347">
      <c r="A347" t="s" s="0">
        <v>77</v>
      </c>
      <c r="B347" t="s" s="0">
        <v>77</v>
      </c>
      <c r="C347" t="s" s="0">
        <v>77</v>
      </c>
      <c r="D347" t="s" s="0">
        <v>77</v>
      </c>
      <c r="E347" t="s" s="0">
        <v>8252</v>
      </c>
      <c r="F347" t="s" s="0">
        <v>8253</v>
      </c>
      <c r="G347" t="s" s="0">
        <v>8254</v>
      </c>
      <c r="H347" t="s" s="0">
        <v>81</v>
      </c>
      <c r="I347" t="s" s="0">
        <v>82</v>
      </c>
      <c r="J347" t="s" s="0">
        <v>8255</v>
      </c>
      <c r="K347" t="s" s="0">
        <v>8256</v>
      </c>
      <c r="L347" t="s" s="0">
        <v>81</v>
      </c>
      <c r="M347" t="s" s="0">
        <v>81</v>
      </c>
      <c r="N347" t="s" s="0">
        <v>81</v>
      </c>
      <c r="O347" t="s" s="0">
        <v>8257</v>
      </c>
      <c r="P347" t="s" s="0">
        <v>8258</v>
      </c>
      <c r="Q347" t="s" s="0">
        <v>90</v>
      </c>
      <c r="R347" t="s" s="0">
        <v>81</v>
      </c>
      <c r="S347" t="s" s="0">
        <v>81</v>
      </c>
      <c r="T347" t="s" s="0">
        <v>81</v>
      </c>
      <c r="U347" t="s" s="0">
        <v>81</v>
      </c>
      <c r="V347" t="s" s="0">
        <v>8259</v>
      </c>
      <c r="W347" t="s" s="0">
        <v>154</v>
      </c>
      <c r="X347" t="s" s="0">
        <v>81</v>
      </c>
      <c r="Y347" t="s" s="0">
        <v>81</v>
      </c>
      <c r="Z347" t="s" s="0">
        <v>93</v>
      </c>
      <c r="AA347" t="s" s="0">
        <v>94</v>
      </c>
      <c r="AB347" t="s" s="0">
        <v>81</v>
      </c>
      <c r="AC347" t="s" s="0">
        <v>81</v>
      </c>
      <c r="AD347" t="s" s="0">
        <v>81</v>
      </c>
      <c r="AE347" t="s" s="0">
        <v>81</v>
      </c>
      <c r="AF347" t="s" s="0">
        <v>81</v>
      </c>
      <c r="AG347" t="s" s="0">
        <v>8260</v>
      </c>
      <c r="AH347" t="s" s="0">
        <v>81</v>
      </c>
      <c r="AI347" t="s" s="0">
        <v>8261</v>
      </c>
      <c r="AJ347" t="s" s="0">
        <v>8262</v>
      </c>
      <c r="AK347" t="s" s="0">
        <v>81</v>
      </c>
      <c r="AL347" t="s" s="0">
        <v>1538</v>
      </c>
      <c r="AM347" t="s" s="0">
        <v>130</v>
      </c>
      <c r="AN347" t="s" s="0">
        <v>160</v>
      </c>
      <c r="AO347" t="s" s="0">
        <v>130</v>
      </c>
      <c r="AP347" t="s" s="0">
        <v>204</v>
      </c>
      <c r="AQ347" t="s" s="0">
        <v>162</v>
      </c>
      <c r="AR347" t="s" s="0">
        <v>163</v>
      </c>
      <c r="AS347" t="s" s="0">
        <v>164</v>
      </c>
      <c r="AT347" t="s" s="0">
        <v>165</v>
      </c>
      <c r="AU347" t="s" s="0">
        <v>81</v>
      </c>
      <c r="AV347" t="s" s="0">
        <v>81</v>
      </c>
      <c r="AW347" t="s" s="0">
        <v>154</v>
      </c>
      <c r="AX347" t="s" s="0">
        <v>166</v>
      </c>
      <c r="AY347" t="s" s="0">
        <v>136</v>
      </c>
      <c r="AZ347" t="s" s="0">
        <v>136</v>
      </c>
      <c r="BA347" t="s" s="0">
        <v>167</v>
      </c>
      <c r="BB347" t="s" s="0">
        <v>81</v>
      </c>
      <c r="BC347" t="s" s="0">
        <v>81</v>
      </c>
      <c r="BD347" t="s" s="0">
        <v>81</v>
      </c>
      <c r="BE347" t="s" s="0">
        <v>81</v>
      </c>
      <c r="BF347" t="s" s="0">
        <v>81</v>
      </c>
      <c r="BG347" t="s" s="0">
        <v>8263</v>
      </c>
      <c r="BH347" t="s" s="0">
        <v>8264</v>
      </c>
      <c r="BI347" t="s" s="0">
        <v>81</v>
      </c>
      <c r="BJ347" t="s" s="0">
        <v>8265</v>
      </c>
      <c r="BK347" t="s" s="690">
        <f>HYPERLINK("http://dx.doi.org/10.1109/ACCESS.2025.3557533","http://dx.doi.org/10.1109/ACCESS.2025.3557533")</f>
        <v>8266</v>
      </c>
      <c r="BL347" t="s" s="0">
        <v>81</v>
      </c>
      <c r="BM347" t="s" s="0">
        <v>81</v>
      </c>
      <c r="BN347" t="s" s="0">
        <v>167</v>
      </c>
      <c r="BO347" t="s" s="0">
        <v>173</v>
      </c>
      <c r="BP347" t="s" s="0">
        <v>174</v>
      </c>
      <c r="BQ347" t="s" s="0">
        <v>8267</v>
      </c>
      <c r="BR347" t="s" s="0">
        <v>81</v>
      </c>
      <c r="BS347" t="s" s="0">
        <v>8268</v>
      </c>
      <c r="BT347" t="s" s="691">
        <f>HYPERLINK("https://www.webofscience.com/wos/woscc/full-record/WOS:001469012900016","View Record in Web of Science")</f>
        <v>114</v>
      </c>
      <c r="BU347" t="s" s="0">
        <v>145</v>
      </c>
      <c r="BV347" t="s" s="0">
        <v>81</v>
      </c>
      <c r="BW347" t="s" s="0">
        <v>81</v>
      </c>
      <c r="BX347" t="s" s="0">
        <v>116</v>
      </c>
    </row>
    <row r="348">
      <c r="A348" t="s" s="0">
        <v>117</v>
      </c>
      <c r="B348" t="s" s="0">
        <v>77</v>
      </c>
      <c r="C348" t="s" s="0">
        <v>204</v>
      </c>
      <c r="D348" t="s" s="0">
        <v>77</v>
      </c>
      <c r="E348" t="s" s="0">
        <v>8269</v>
      </c>
      <c r="F348" t="s" s="0">
        <v>8270</v>
      </c>
      <c r="G348" t="s" s="0">
        <v>8271</v>
      </c>
      <c r="H348" t="s" s="0">
        <v>81</v>
      </c>
      <c r="I348" t="s" s="0">
        <v>2702</v>
      </c>
      <c r="J348" t="s" s="0">
        <v>8272</v>
      </c>
      <c r="K348" t="s" s="0">
        <v>8273</v>
      </c>
      <c r="L348" t="s" s="0">
        <v>8274</v>
      </c>
      <c r="M348" t="s" s="0">
        <v>8275</v>
      </c>
      <c r="N348" t="s" s="0">
        <v>8276</v>
      </c>
      <c r="O348" t="s" s="0">
        <v>8277</v>
      </c>
      <c r="P348" t="s" s="0">
        <v>8278</v>
      </c>
      <c r="Q348" t="s" s="0">
        <v>90</v>
      </c>
      <c r="R348" t="s" s="0">
        <v>81</v>
      </c>
      <c r="S348" t="s" s="0">
        <v>8279</v>
      </c>
      <c r="T348" t="s" s="0">
        <v>81</v>
      </c>
      <c r="U348" t="s" s="0">
        <v>81</v>
      </c>
      <c r="V348" t="s" s="0">
        <v>8280</v>
      </c>
      <c r="W348" t="s" s="0">
        <v>8281</v>
      </c>
      <c r="X348" t="s" s="0">
        <v>81</v>
      </c>
      <c r="Y348" t="s" s="0">
        <v>81</v>
      </c>
      <c r="Z348" t="s" s="0">
        <v>93</v>
      </c>
      <c r="AA348" t="s" s="0">
        <v>94</v>
      </c>
      <c r="AB348" t="s" s="0">
        <v>81</v>
      </c>
      <c r="AC348" t="s" s="0">
        <v>81</v>
      </c>
      <c r="AD348" t="s" s="0">
        <v>81</v>
      </c>
      <c r="AE348" t="s" s="0">
        <v>81</v>
      </c>
      <c r="AF348" t="s" s="0">
        <v>81</v>
      </c>
      <c r="AG348" t="s" s="0">
        <v>81</v>
      </c>
      <c r="AH348" t="s" s="0">
        <v>8282</v>
      </c>
      <c r="AI348" t="s" s="0">
        <v>8283</v>
      </c>
      <c r="AJ348" t="s" s="0">
        <v>8284</v>
      </c>
      <c r="AK348" t="s" s="0">
        <v>81</v>
      </c>
      <c r="AL348" t="s" s="0">
        <v>1568</v>
      </c>
      <c r="AM348" t="s" s="0">
        <v>193</v>
      </c>
      <c r="AN348" t="s" s="0">
        <v>405</v>
      </c>
      <c r="AO348" t="s" s="0">
        <v>77</v>
      </c>
      <c r="AP348" t="s" s="0">
        <v>1900</v>
      </c>
      <c r="AQ348" t="s" s="0">
        <v>1694</v>
      </c>
      <c r="AR348" t="s" s="0">
        <v>1695</v>
      </c>
      <c r="AS348" t="s" s="0">
        <v>1696</v>
      </c>
      <c r="AT348" t="s" s="0">
        <v>8285</v>
      </c>
      <c r="AU348" t="s" s="0">
        <v>8286</v>
      </c>
      <c r="AV348" t="s" s="0">
        <v>81</v>
      </c>
      <c r="AW348" t="s" s="0">
        <v>8287</v>
      </c>
      <c r="AX348" t="s" s="0">
        <v>8288</v>
      </c>
      <c r="AY348" t="s" s="0">
        <v>3646</v>
      </c>
      <c r="AZ348" t="s" s="0">
        <v>482</v>
      </c>
      <c r="BA348" t="s" s="0">
        <v>2965</v>
      </c>
      <c r="BB348" t="s" s="0">
        <v>128</v>
      </c>
      <c r="BC348" t="s" s="0">
        <v>81</v>
      </c>
      <c r="BD348" t="s" s="0">
        <v>81</v>
      </c>
      <c r="BE348" t="s" s="0">
        <v>81</v>
      </c>
      <c r="BF348" t="s" s="0">
        <v>81</v>
      </c>
      <c r="BG348" t="s" s="0">
        <v>8289</v>
      </c>
      <c r="BH348" t="s" s="0">
        <v>8290</v>
      </c>
      <c r="BI348" t="s" s="0">
        <v>81</v>
      </c>
      <c r="BJ348" t="s" s="0">
        <v>8291</v>
      </c>
      <c r="BK348" t="s" s="692">
        <f>HYPERLINK("http://dx.doi.org/10.1001/jamapsychiatry.2022.2075","http://dx.doi.org/10.1001/jamapsychiatry.2022.2075")</f>
        <v>8292</v>
      </c>
      <c r="BL348" t="s" s="0">
        <v>81</v>
      </c>
      <c r="BM348" t="s" s="0">
        <v>4563</v>
      </c>
      <c r="BN348" t="s" s="0">
        <v>167</v>
      </c>
      <c r="BO348" t="s" s="0">
        <v>7721</v>
      </c>
      <c r="BP348" t="s" s="0">
        <v>7721</v>
      </c>
      <c r="BQ348" t="s" s="0">
        <v>8293</v>
      </c>
      <c r="BR348" t="s" s="0">
        <v>8294</v>
      </c>
      <c r="BS348" t="s" s="0">
        <v>8295</v>
      </c>
      <c r="BT348" t="s" s="693">
        <f>HYPERLINK("https://www.webofscience.com/wos/woscc/full-record/WOS:000836399700004","View Record in Web of Science")</f>
        <v>114</v>
      </c>
      <c r="BU348" t="s" s="0">
        <v>8296</v>
      </c>
      <c r="BV348" t="s" s="0">
        <v>81</v>
      </c>
      <c r="BW348" t="s" s="0">
        <v>81</v>
      </c>
      <c r="BX348" t="s" s="0">
        <v>116</v>
      </c>
    </row>
    <row r="349">
      <c r="A349" t="s" s="0">
        <v>77</v>
      </c>
      <c r="B349" t="s" s="0">
        <v>77</v>
      </c>
      <c r="C349" t="s" s="0">
        <v>227</v>
      </c>
      <c r="D349" t="s" s="0">
        <v>77</v>
      </c>
      <c r="E349" t="s" s="0">
        <v>8297</v>
      </c>
      <c r="F349" t="s" s="0">
        <v>8298</v>
      </c>
      <c r="G349" t="s" s="0">
        <v>8299</v>
      </c>
      <c r="H349" t="s" s="0">
        <v>81</v>
      </c>
      <c r="I349" t="s" s="0">
        <v>82</v>
      </c>
      <c r="J349" t="s" s="0">
        <v>8300</v>
      </c>
      <c r="K349" t="s" s="0">
        <v>8301</v>
      </c>
      <c r="L349" t="s" s="0">
        <v>8302</v>
      </c>
      <c r="M349" t="s" s="0">
        <v>8303</v>
      </c>
      <c r="N349" t="s" s="0">
        <v>8304</v>
      </c>
      <c r="O349" t="s" s="0">
        <v>8305</v>
      </c>
      <c r="P349" t="s" s="0">
        <v>8306</v>
      </c>
      <c r="Q349" t="s" s="0">
        <v>90</v>
      </c>
      <c r="R349" t="s" s="0">
        <v>81</v>
      </c>
      <c r="S349" t="s" s="0">
        <v>81</v>
      </c>
      <c r="T349" t="s" s="0">
        <v>81</v>
      </c>
      <c r="U349" t="s" s="0">
        <v>81</v>
      </c>
      <c r="V349" t="s" s="0">
        <v>8307</v>
      </c>
      <c r="W349" t="s" s="0">
        <v>2142</v>
      </c>
      <c r="X349" t="s" s="0">
        <v>81</v>
      </c>
      <c r="Y349" t="s" s="0">
        <v>81</v>
      </c>
      <c r="Z349" t="s" s="0">
        <v>93</v>
      </c>
      <c r="AA349" t="s" s="0">
        <v>94</v>
      </c>
      <c r="AB349" t="s" s="0">
        <v>81</v>
      </c>
      <c r="AC349" t="s" s="0">
        <v>81</v>
      </c>
      <c r="AD349" t="s" s="0">
        <v>81</v>
      </c>
      <c r="AE349" t="s" s="0">
        <v>81</v>
      </c>
      <c r="AF349" t="s" s="0">
        <v>81</v>
      </c>
      <c r="AG349" t="s" s="0">
        <v>8308</v>
      </c>
      <c r="AH349" t="s" s="0">
        <v>8309</v>
      </c>
      <c r="AI349" t="s" s="0">
        <v>81</v>
      </c>
      <c r="AJ349" t="s" s="0">
        <v>8310</v>
      </c>
      <c r="AK349" t="s" s="0">
        <v>81</v>
      </c>
      <c r="AL349" t="s" s="0">
        <v>127</v>
      </c>
      <c r="AM349" t="s" s="0">
        <v>128</v>
      </c>
      <c r="AN349" t="s" s="0">
        <v>128</v>
      </c>
      <c r="AO349" t="s" s="0">
        <v>77</v>
      </c>
      <c r="AP349" t="s" s="0">
        <v>161</v>
      </c>
      <c r="AQ349" t="s" s="0">
        <v>370</v>
      </c>
      <c r="AR349" t="s" s="0">
        <v>1099</v>
      </c>
      <c r="AS349" t="s" s="0">
        <v>1873</v>
      </c>
      <c r="AT349" t="s" s="0">
        <v>2147</v>
      </c>
      <c r="AU349" t="s" s="0">
        <v>2148</v>
      </c>
      <c r="AV349" t="s" s="0">
        <v>81</v>
      </c>
      <c r="AW349" t="s" s="0">
        <v>2149</v>
      </c>
      <c r="AX349" t="s" s="0">
        <v>2150</v>
      </c>
      <c r="AY349" t="s" s="0">
        <v>6183</v>
      </c>
      <c r="AZ349" t="s" s="0">
        <v>573</v>
      </c>
      <c r="BA349" t="s" s="0">
        <v>474</v>
      </c>
      <c r="BB349" t="s" s="0">
        <v>161</v>
      </c>
      <c r="BC349" t="s" s="0">
        <v>81</v>
      </c>
      <c r="BD349" t="s" s="0">
        <v>81</v>
      </c>
      <c r="BE349" t="s" s="0">
        <v>81</v>
      </c>
      <c r="BF349" t="s" s="0">
        <v>81</v>
      </c>
      <c r="BG349" t="s" s="0">
        <v>8311</v>
      </c>
      <c r="BH349" t="s" s="0">
        <v>8312</v>
      </c>
      <c r="BI349" t="s" s="0">
        <v>81</v>
      </c>
      <c r="BJ349" t="s" s="0">
        <v>8313</v>
      </c>
      <c r="BK349" t="s" s="694">
        <f>HYPERLINK("http://dx.doi.org/10.1007/s00261-024-04418-1","http://dx.doi.org/10.1007/s00261-024-04418-1")</f>
        <v>8314</v>
      </c>
      <c r="BL349" t="s" s="0">
        <v>81</v>
      </c>
      <c r="BM349" t="s" s="0">
        <v>720</v>
      </c>
      <c r="BN349" t="s" s="0">
        <v>228</v>
      </c>
      <c r="BO349" t="s" s="0">
        <v>1881</v>
      </c>
      <c r="BP349" t="s" s="0">
        <v>1881</v>
      </c>
      <c r="BQ349" t="s" s="0">
        <v>8315</v>
      </c>
      <c r="BR349" t="s" s="0">
        <v>8316</v>
      </c>
      <c r="BS349" t="s" s="0">
        <v>8317</v>
      </c>
      <c r="BT349" t="s" s="695">
        <f>HYPERLINK("https://www.webofscience.com/wos/woscc/full-record/WOS:001247958700001","View Record in Web of Science")</f>
        <v>114</v>
      </c>
      <c r="BU349" t="s" s="0">
        <v>81</v>
      </c>
      <c r="BV349" t="s" s="0">
        <v>81</v>
      </c>
      <c r="BW349" t="s" s="0">
        <v>81</v>
      </c>
      <c r="BX349" t="s" s="0">
        <v>116</v>
      </c>
    </row>
    <row r="350">
      <c r="A350" t="s" s="0">
        <v>77</v>
      </c>
      <c r="B350" t="s" s="0">
        <v>77</v>
      </c>
      <c r="C350" t="s" s="0">
        <v>160</v>
      </c>
      <c r="D350" t="s" s="0">
        <v>77</v>
      </c>
      <c r="E350" t="s" s="0">
        <v>8318</v>
      </c>
      <c r="F350" t="s" s="0">
        <v>8319</v>
      </c>
      <c r="G350" t="s" s="0">
        <v>8320</v>
      </c>
      <c r="H350" t="s" s="0">
        <v>81</v>
      </c>
      <c r="I350" t="s" s="0">
        <v>82</v>
      </c>
      <c r="J350" t="s" s="0">
        <v>8321</v>
      </c>
      <c r="K350" t="s" s="0">
        <v>8322</v>
      </c>
      <c r="L350" t="s" s="0">
        <v>8323</v>
      </c>
      <c r="M350" t="s" s="0">
        <v>8324</v>
      </c>
      <c r="N350" t="s" s="0">
        <v>8325</v>
      </c>
      <c r="O350" t="s" s="0">
        <v>8326</v>
      </c>
      <c r="P350" t="s" s="0">
        <v>8327</v>
      </c>
      <c r="Q350" t="s" s="0">
        <v>90</v>
      </c>
      <c r="R350" t="s" s="0">
        <v>81</v>
      </c>
      <c r="S350" t="s" s="0">
        <v>81</v>
      </c>
      <c r="T350" t="s" s="0">
        <v>81</v>
      </c>
      <c r="U350" t="s" s="0">
        <v>81</v>
      </c>
      <c r="V350" t="s" s="0">
        <v>8328</v>
      </c>
      <c r="W350" t="s" s="0">
        <v>8329</v>
      </c>
      <c r="X350" t="s" s="0">
        <v>81</v>
      </c>
      <c r="Y350" t="s" s="0">
        <v>81</v>
      </c>
      <c r="Z350" t="s" s="0">
        <v>93</v>
      </c>
      <c r="AA350" t="s" s="0">
        <v>94</v>
      </c>
      <c r="AB350" t="s" s="0">
        <v>81</v>
      </c>
      <c r="AC350" t="s" s="0">
        <v>81</v>
      </c>
      <c r="AD350" t="s" s="0">
        <v>81</v>
      </c>
      <c r="AE350" t="s" s="0">
        <v>81</v>
      </c>
      <c r="AF350" t="s" s="0">
        <v>81</v>
      </c>
      <c r="AG350" t="s" s="0">
        <v>8330</v>
      </c>
      <c r="AH350" t="s" s="0">
        <v>8331</v>
      </c>
      <c r="AI350" t="s" s="0">
        <v>8332</v>
      </c>
      <c r="AJ350" t="s" s="0">
        <v>8333</v>
      </c>
      <c r="AK350" t="s" s="0">
        <v>81</v>
      </c>
      <c r="AL350" t="s" s="0">
        <v>846</v>
      </c>
      <c r="AM350" t="s" s="0">
        <v>128</v>
      </c>
      <c r="AN350" t="s" s="0">
        <v>128</v>
      </c>
      <c r="AO350" t="s" s="0">
        <v>130</v>
      </c>
      <c r="AP350" t="s" s="0">
        <v>225</v>
      </c>
      <c r="AQ350" t="s" s="0">
        <v>708</v>
      </c>
      <c r="AR350" t="s" s="0">
        <v>709</v>
      </c>
      <c r="AS350" t="s" s="0">
        <v>710</v>
      </c>
      <c r="AT350" t="s" s="0">
        <v>8334</v>
      </c>
      <c r="AU350" t="s" s="0">
        <v>8335</v>
      </c>
      <c r="AV350" t="s" s="0">
        <v>81</v>
      </c>
      <c r="AW350" t="s" s="0">
        <v>8329</v>
      </c>
      <c r="AX350" t="s" s="0">
        <v>8336</v>
      </c>
      <c r="AY350" t="s" s="0">
        <v>632</v>
      </c>
      <c r="AZ350" t="s" s="0">
        <v>136</v>
      </c>
      <c r="BA350" t="s" s="0">
        <v>846</v>
      </c>
      <c r="BB350" t="s" s="0">
        <v>225</v>
      </c>
      <c r="BC350" t="s" s="0">
        <v>81</v>
      </c>
      <c r="BD350" t="s" s="0">
        <v>81</v>
      </c>
      <c r="BE350" t="s" s="0">
        <v>81</v>
      </c>
      <c r="BF350" t="s" s="0">
        <v>81</v>
      </c>
      <c r="BG350" t="s" s="0">
        <v>8337</v>
      </c>
      <c r="BH350" t="s" s="0">
        <v>8338</v>
      </c>
      <c r="BI350" t="s" s="0">
        <v>81</v>
      </c>
      <c r="BJ350" t="s" s="0">
        <v>8339</v>
      </c>
      <c r="BK350" t="s" s="696">
        <f>HYPERLINK("http://dx.doi.org/10.1111/resp.70036","http://dx.doi.org/10.1111/resp.70036")</f>
        <v>8340</v>
      </c>
      <c r="BL350" t="s" s="0">
        <v>81</v>
      </c>
      <c r="BM350" t="s" s="0">
        <v>81</v>
      </c>
      <c r="BN350" t="s" s="0">
        <v>129</v>
      </c>
      <c r="BO350" t="s" s="0">
        <v>1830</v>
      </c>
      <c r="BP350" t="s" s="0">
        <v>1830</v>
      </c>
      <c r="BQ350" t="s" s="0">
        <v>8341</v>
      </c>
      <c r="BR350" t="s" s="0">
        <v>8342</v>
      </c>
      <c r="BS350" t="s" s="0">
        <v>8343</v>
      </c>
      <c r="BT350" t="s" s="697">
        <f>HYPERLINK("https://www.webofscience.com/wos/woscc/full-record/WOS:001544817200009","View Record in Web of Science")</f>
        <v>114</v>
      </c>
      <c r="BU350" t="s" s="0">
        <v>457</v>
      </c>
      <c r="BV350" t="s" s="0">
        <v>81</v>
      </c>
      <c r="BW350" t="s" s="0">
        <v>81</v>
      </c>
      <c r="BX350" t="s" s="0">
        <v>116</v>
      </c>
    </row>
    <row r="351">
      <c r="A351" t="s" s="0">
        <v>77</v>
      </c>
      <c r="B351" t="s" s="0">
        <v>77</v>
      </c>
      <c r="C351" t="s" s="0">
        <v>77</v>
      </c>
      <c r="D351" t="s" s="0">
        <v>77</v>
      </c>
      <c r="E351" t="s" s="0">
        <v>8344</v>
      </c>
      <c r="F351" t="s" s="0">
        <v>8345</v>
      </c>
      <c r="G351" t="s" s="0">
        <v>8346</v>
      </c>
      <c r="H351" t="s" s="0">
        <v>81</v>
      </c>
      <c r="I351" t="s" s="0">
        <v>82</v>
      </c>
      <c r="J351" t="s" s="0">
        <v>8347</v>
      </c>
      <c r="K351" t="s" s="0">
        <v>8348</v>
      </c>
      <c r="L351" t="s" s="0">
        <v>81</v>
      </c>
      <c r="M351" t="s" s="0">
        <v>81</v>
      </c>
      <c r="N351" t="s" s="0">
        <v>81</v>
      </c>
      <c r="O351" t="s" s="0">
        <v>8349</v>
      </c>
      <c r="P351" t="s" s="0">
        <v>8350</v>
      </c>
      <c r="Q351" t="s" s="0">
        <v>90</v>
      </c>
      <c r="R351" t="s" s="0">
        <v>81</v>
      </c>
      <c r="S351" t="s" s="0">
        <v>81</v>
      </c>
      <c r="T351" t="s" s="0">
        <v>81</v>
      </c>
      <c r="U351" t="s" s="0">
        <v>81</v>
      </c>
      <c r="V351" t="s" s="0">
        <v>8351</v>
      </c>
      <c r="W351" t="s" s="0">
        <v>5954</v>
      </c>
      <c r="X351" t="s" s="0">
        <v>81</v>
      </c>
      <c r="Y351" t="s" s="0">
        <v>81</v>
      </c>
      <c r="Z351" t="s" s="0">
        <v>93</v>
      </c>
      <c r="AA351" t="s" s="0">
        <v>94</v>
      </c>
      <c r="AB351" t="s" s="0">
        <v>81</v>
      </c>
      <c r="AC351" t="s" s="0">
        <v>81</v>
      </c>
      <c r="AD351" t="s" s="0">
        <v>81</v>
      </c>
      <c r="AE351" t="s" s="0">
        <v>81</v>
      </c>
      <c r="AF351" t="s" s="0">
        <v>81</v>
      </c>
      <c r="AG351" t="s" s="0">
        <v>8352</v>
      </c>
      <c r="AH351" t="s" s="0">
        <v>81</v>
      </c>
      <c r="AI351" t="s" s="0">
        <v>8353</v>
      </c>
      <c r="AJ351" t="s" s="0">
        <v>81</v>
      </c>
      <c r="AK351" t="s" s="0">
        <v>81</v>
      </c>
      <c r="AL351" t="s" s="0">
        <v>1421</v>
      </c>
      <c r="AM351" t="s" s="0">
        <v>77</v>
      </c>
      <c r="AN351" t="s" s="0">
        <v>77</v>
      </c>
      <c r="AO351" t="s" s="0">
        <v>77</v>
      </c>
      <c r="AP351" t="s" s="0">
        <v>77</v>
      </c>
      <c r="AQ351" t="s" s="0">
        <v>476</v>
      </c>
      <c r="AR351" t="s" s="0">
        <v>477</v>
      </c>
      <c r="AS351" t="s" s="0">
        <v>478</v>
      </c>
      <c r="AT351" t="s" s="0">
        <v>81</v>
      </c>
      <c r="AU351" t="s" s="0">
        <v>5959</v>
      </c>
      <c r="AV351" t="s" s="0">
        <v>81</v>
      </c>
      <c r="AW351" t="s" s="0">
        <v>5960</v>
      </c>
      <c r="AX351" t="s" s="0">
        <v>5961</v>
      </c>
      <c r="AY351" t="s" s="0">
        <v>8354</v>
      </c>
      <c r="AZ351" t="s" s="0">
        <v>104</v>
      </c>
      <c r="BA351" t="s" s="0">
        <v>172</v>
      </c>
      <c r="BB351" t="s" s="0">
        <v>204</v>
      </c>
      <c r="BC351" t="s" s="0">
        <v>81</v>
      </c>
      <c r="BD351" t="s" s="0">
        <v>81</v>
      </c>
      <c r="BE351" t="s" s="0">
        <v>81</v>
      </c>
      <c r="BF351" t="s" s="0">
        <v>81</v>
      </c>
      <c r="BG351" t="s" s="0">
        <v>81</v>
      </c>
      <c r="BH351" t="s" s="0">
        <v>81</v>
      </c>
      <c r="BI351" t="s" s="0">
        <v>8355</v>
      </c>
      <c r="BJ351" t="s" s="0">
        <v>8356</v>
      </c>
      <c r="BK351" t="s" s="698">
        <f>HYPERLINK("http://dx.doi.org/10.3390/jcm15114391","http://dx.doi.org/10.3390/jcm15114391")</f>
        <v>8357</v>
      </c>
      <c r="BL351" t="s" s="0">
        <v>81</v>
      </c>
      <c r="BM351" t="s" s="0">
        <v>81</v>
      </c>
      <c r="BN351" t="s" s="0">
        <v>228</v>
      </c>
      <c r="BO351" t="s" s="0">
        <v>486</v>
      </c>
      <c r="BP351" t="s" s="0">
        <v>487</v>
      </c>
      <c r="BQ351" t="s" s="0">
        <v>8358</v>
      </c>
      <c r="BR351" t="s" s="0">
        <v>8359</v>
      </c>
      <c r="BS351" t="s" s="0">
        <v>8360</v>
      </c>
      <c r="BT351" t="s" s="699">
        <f>HYPERLINK("https://www.webofscience.com/wos/woscc/full-record/WOS:001790505600001","View Record in Web of Science")</f>
        <v>114</v>
      </c>
      <c r="BU351" t="s" s="0">
        <v>145</v>
      </c>
      <c r="BV351" t="s" s="0">
        <v>81</v>
      </c>
      <c r="BW351" t="s" s="0">
        <v>81</v>
      </c>
      <c r="BX351" t="s" s="0">
        <v>116</v>
      </c>
    </row>
    <row r="352">
      <c r="A352" t="s" s="0">
        <v>77</v>
      </c>
      <c r="B352" t="s" s="0">
        <v>77</v>
      </c>
      <c r="C352" t="s" s="0">
        <v>77</v>
      </c>
      <c r="D352" t="s" s="0">
        <v>77</v>
      </c>
      <c r="E352" t="s" s="0">
        <v>8361</v>
      </c>
      <c r="F352" t="s" s="0">
        <v>8362</v>
      </c>
      <c r="G352" t="s" s="0">
        <v>8363</v>
      </c>
      <c r="H352" t="s" s="0">
        <v>81</v>
      </c>
      <c r="I352" t="s" s="0">
        <v>82</v>
      </c>
      <c r="J352" t="s" s="0">
        <v>8364</v>
      </c>
      <c r="K352" t="s" s="0">
        <v>8365</v>
      </c>
      <c r="L352" t="s" s="0">
        <v>8366</v>
      </c>
      <c r="M352" t="s" s="0">
        <v>8367</v>
      </c>
      <c r="N352" t="s" s="0">
        <v>8368</v>
      </c>
      <c r="O352" t="s" s="0">
        <v>8369</v>
      </c>
      <c r="P352" t="s" s="0">
        <v>8370</v>
      </c>
      <c r="Q352" t="s" s="0">
        <v>90</v>
      </c>
      <c r="R352" t="s" s="0">
        <v>81</v>
      </c>
      <c r="S352" t="s" s="0">
        <v>81</v>
      </c>
      <c r="T352" t="s" s="0">
        <v>81</v>
      </c>
      <c r="U352" t="s" s="0">
        <v>81</v>
      </c>
      <c r="V352" t="s" s="0">
        <v>8371</v>
      </c>
      <c r="W352" t="s" s="0">
        <v>1868</v>
      </c>
      <c r="X352" t="s" s="0">
        <v>81</v>
      </c>
      <c r="Y352" t="s" s="0">
        <v>81</v>
      </c>
      <c r="Z352" t="s" s="0">
        <v>93</v>
      </c>
      <c r="AA352" t="s" s="0">
        <v>190</v>
      </c>
      <c r="AB352" t="s" s="0">
        <v>81</v>
      </c>
      <c r="AC352" t="s" s="0">
        <v>81</v>
      </c>
      <c r="AD352" t="s" s="0">
        <v>81</v>
      </c>
      <c r="AE352" t="s" s="0">
        <v>81</v>
      </c>
      <c r="AF352" t="s" s="0">
        <v>81</v>
      </c>
      <c r="AG352" t="s" s="0">
        <v>8372</v>
      </c>
      <c r="AH352" t="s" s="0">
        <v>8373</v>
      </c>
      <c r="AI352" t="s" s="0">
        <v>8374</v>
      </c>
      <c r="AJ352" t="s" s="0">
        <v>8375</v>
      </c>
      <c r="AK352" t="s" s="0">
        <v>81</v>
      </c>
      <c r="AL352" t="s" s="0">
        <v>541</v>
      </c>
      <c r="AM352" t="s" s="0">
        <v>77</v>
      </c>
      <c r="AN352" t="s" s="0">
        <v>77</v>
      </c>
      <c r="AO352" t="s" s="0">
        <v>77</v>
      </c>
      <c r="AP352" t="s" s="0">
        <v>130</v>
      </c>
      <c r="AQ352" t="s" s="0">
        <v>370</v>
      </c>
      <c r="AR352" t="s" s="0">
        <v>1099</v>
      </c>
      <c r="AS352" t="s" s="0">
        <v>1873</v>
      </c>
      <c r="AT352" t="s" s="0">
        <v>1874</v>
      </c>
      <c r="AU352" t="s" s="0">
        <v>1875</v>
      </c>
      <c r="AV352" t="s" s="0">
        <v>81</v>
      </c>
      <c r="AW352" t="s" s="0">
        <v>1876</v>
      </c>
      <c r="AX352" t="s" s="0">
        <v>1877</v>
      </c>
      <c r="AY352" t="s" s="0">
        <v>81</v>
      </c>
      <c r="AZ352" t="s" s="0">
        <v>136</v>
      </c>
      <c r="BA352" t="s" s="0">
        <v>81</v>
      </c>
      <c r="BB352" t="s" s="0">
        <v>81</v>
      </c>
      <c r="BC352" t="s" s="0">
        <v>81</v>
      </c>
      <c r="BD352" t="s" s="0">
        <v>81</v>
      </c>
      <c r="BE352" t="s" s="0">
        <v>81</v>
      </c>
      <c r="BF352" t="s" s="0">
        <v>81</v>
      </c>
      <c r="BG352" t="s" s="0">
        <v>81</v>
      </c>
      <c r="BH352" t="s" s="0">
        <v>81</v>
      </c>
      <c r="BI352" t="s" s="0">
        <v>81</v>
      </c>
      <c r="BJ352" t="s" s="0">
        <v>8376</v>
      </c>
      <c r="BK352" t="s" s="700">
        <f>HYPERLINK("http://dx.doi.org/10.1007/s10278-025-01779-x","http://dx.doi.org/10.1007/s10278-025-01779-x")</f>
        <v>8377</v>
      </c>
      <c r="BL352" t="s" s="0">
        <v>81</v>
      </c>
      <c r="BM352" t="s" s="0">
        <v>1880</v>
      </c>
      <c r="BN352" t="s" s="0">
        <v>204</v>
      </c>
      <c r="BO352" t="s" s="0">
        <v>1881</v>
      </c>
      <c r="BP352" t="s" s="0">
        <v>1881</v>
      </c>
      <c r="BQ352" t="s" s="0">
        <v>8378</v>
      </c>
      <c r="BR352" t="s" s="0">
        <v>8379</v>
      </c>
      <c r="BS352" t="s" s="0">
        <v>8380</v>
      </c>
      <c r="BT352" t="s" s="701">
        <f>HYPERLINK("https://www.webofscience.com/wos/woscc/full-record/WOS:001643556100001","View Record in Web of Science")</f>
        <v>114</v>
      </c>
      <c r="BU352" t="s" s="0">
        <v>81</v>
      </c>
      <c r="BV352" t="s" s="0">
        <v>81</v>
      </c>
      <c r="BW352" t="s" s="0">
        <v>81</v>
      </c>
      <c r="BX352" t="s" s="0">
        <v>116</v>
      </c>
    </row>
    <row r="353">
      <c r="A353" t="s" s="0">
        <v>77</v>
      </c>
      <c r="B353" t="s" s="0">
        <v>77</v>
      </c>
      <c r="C353" t="s" s="0">
        <v>77</v>
      </c>
      <c r="D353" t="s" s="0">
        <v>77</v>
      </c>
      <c r="E353" t="s" s="0">
        <v>8381</v>
      </c>
      <c r="F353" t="s" s="0">
        <v>8382</v>
      </c>
      <c r="G353" t="s" s="0">
        <v>8383</v>
      </c>
      <c r="H353" t="s" s="0">
        <v>81</v>
      </c>
      <c r="I353" t="s" s="0">
        <v>82</v>
      </c>
      <c r="J353" t="s" s="0">
        <v>8384</v>
      </c>
      <c r="K353" t="s" s="0">
        <v>8385</v>
      </c>
      <c r="L353" t="s" s="0">
        <v>8386</v>
      </c>
      <c r="M353" t="s" s="0">
        <v>8387</v>
      </c>
      <c r="N353" t="s" s="0">
        <v>8388</v>
      </c>
      <c r="O353" t="s" s="0">
        <v>8389</v>
      </c>
      <c r="P353" t="s" s="0">
        <v>8390</v>
      </c>
      <c r="Q353" t="s" s="0">
        <v>90</v>
      </c>
      <c r="R353" t="s" s="0">
        <v>81</v>
      </c>
      <c r="S353" t="s" s="0">
        <v>81</v>
      </c>
      <c r="T353" t="s" s="0">
        <v>81</v>
      </c>
      <c r="U353" t="s" s="0">
        <v>81</v>
      </c>
      <c r="V353" t="s" s="0">
        <v>8391</v>
      </c>
      <c r="W353" t="s" s="0">
        <v>4364</v>
      </c>
      <c r="X353" t="s" s="0">
        <v>81</v>
      </c>
      <c r="Y353" t="s" s="0">
        <v>81</v>
      </c>
      <c r="Z353" t="s" s="0">
        <v>93</v>
      </c>
      <c r="AA353" t="s" s="0">
        <v>94</v>
      </c>
      <c r="AB353" t="s" s="0">
        <v>81</v>
      </c>
      <c r="AC353" t="s" s="0">
        <v>81</v>
      </c>
      <c r="AD353" t="s" s="0">
        <v>81</v>
      </c>
      <c r="AE353" t="s" s="0">
        <v>81</v>
      </c>
      <c r="AF353" t="s" s="0">
        <v>81</v>
      </c>
      <c r="AG353" t="s" s="0">
        <v>81</v>
      </c>
      <c r="AH353" t="s" s="0">
        <v>8392</v>
      </c>
      <c r="AI353" t="s" s="0">
        <v>8393</v>
      </c>
      <c r="AJ353" t="s" s="0">
        <v>81</v>
      </c>
      <c r="AK353" t="s" s="0">
        <v>81</v>
      </c>
      <c r="AL353" t="s" s="0">
        <v>474</v>
      </c>
      <c r="AM353" t="s" s="0">
        <v>77</v>
      </c>
      <c r="AN353" t="s" s="0">
        <v>77</v>
      </c>
      <c r="AO353" t="s" s="0">
        <v>130</v>
      </c>
      <c r="AP353" t="s" s="0">
        <v>130</v>
      </c>
      <c r="AQ353" t="s" s="0">
        <v>274</v>
      </c>
      <c r="AR353" t="s" s="0">
        <v>275</v>
      </c>
      <c r="AS353" t="s" s="0">
        <v>276</v>
      </c>
      <c r="AT353" t="s" s="0">
        <v>81</v>
      </c>
      <c r="AU353" t="s" s="0">
        <v>4368</v>
      </c>
      <c r="AV353" t="s" s="0">
        <v>81</v>
      </c>
      <c r="AW353" t="s" s="0">
        <v>4369</v>
      </c>
      <c r="AX353" t="s" s="0">
        <v>4370</v>
      </c>
      <c r="AY353" t="s" s="0">
        <v>8394</v>
      </c>
      <c r="AZ353" t="s" s="0">
        <v>104</v>
      </c>
      <c r="BA353" t="s" s="0">
        <v>563</v>
      </c>
      <c r="BB353" t="s" s="0">
        <v>117</v>
      </c>
      <c r="BC353" t="s" s="0">
        <v>81</v>
      </c>
      <c r="BD353" t="s" s="0">
        <v>81</v>
      </c>
      <c r="BE353" t="s" s="0">
        <v>81</v>
      </c>
      <c r="BF353" t="s" s="0">
        <v>81</v>
      </c>
      <c r="BG353" t="s" s="0">
        <v>81</v>
      </c>
      <c r="BH353" t="s" s="0">
        <v>81</v>
      </c>
      <c r="BI353" t="s" s="0">
        <v>8395</v>
      </c>
      <c r="BJ353" t="s" s="0">
        <v>8396</v>
      </c>
      <c r="BK353" t="s" s="702">
        <f>HYPERLINK("http://dx.doi.org/10.1038/s41467-026-73813-7","http://dx.doi.org/10.1038/s41467-026-73813-7")</f>
        <v>8397</v>
      </c>
      <c r="BL353" t="s" s="0">
        <v>81</v>
      </c>
      <c r="BM353" t="s" s="0">
        <v>81</v>
      </c>
      <c r="BN353" t="s" s="0">
        <v>167</v>
      </c>
      <c r="BO353" t="s" s="0">
        <v>285</v>
      </c>
      <c r="BP353" t="s" s="0">
        <v>286</v>
      </c>
      <c r="BQ353" t="s" s="0">
        <v>8398</v>
      </c>
      <c r="BR353" t="s" s="0">
        <v>8399</v>
      </c>
      <c r="BS353" t="s" s="0">
        <v>8400</v>
      </c>
      <c r="BT353" t="s" s="703">
        <f>HYPERLINK("https://www.webofscience.com/wos/woscc/full-record/WOS:001839650200001","View Record in Web of Science")</f>
        <v>114</v>
      </c>
      <c r="BU353" t="s" s="0">
        <v>145</v>
      </c>
      <c r="BV353" t="s" s="0">
        <v>81</v>
      </c>
      <c r="BW353" t="s" s="0">
        <v>81</v>
      </c>
      <c r="BX353" t="s" s="0">
        <v>116</v>
      </c>
    </row>
    <row r="354">
      <c r="A354" t="s" s="0">
        <v>77</v>
      </c>
      <c r="B354" t="s" s="0">
        <v>77</v>
      </c>
      <c r="C354" t="s" s="0">
        <v>77</v>
      </c>
      <c r="D354" t="s" s="0">
        <v>77</v>
      </c>
      <c r="E354" t="s" s="0">
        <v>8401</v>
      </c>
      <c r="F354" t="s" s="0">
        <v>8402</v>
      </c>
      <c r="G354" t="s" s="0">
        <v>8403</v>
      </c>
      <c r="H354" t="s" s="0">
        <v>81</v>
      </c>
      <c r="I354" t="s" s="0">
        <v>213</v>
      </c>
      <c r="J354" t="s" s="0">
        <v>8404</v>
      </c>
      <c r="K354" t="s" s="0">
        <v>8405</v>
      </c>
      <c r="L354" t="s" s="0">
        <v>8406</v>
      </c>
      <c r="M354" t="s" s="0">
        <v>8407</v>
      </c>
      <c r="N354" t="s" s="0">
        <v>8408</v>
      </c>
      <c r="O354" t="s" s="0">
        <v>8409</v>
      </c>
      <c r="P354" t="s" s="0">
        <v>8410</v>
      </c>
      <c r="Q354" t="s" s="0">
        <v>90</v>
      </c>
      <c r="R354" t="s" s="0">
        <v>81</v>
      </c>
      <c r="S354" t="s" s="0">
        <v>81</v>
      </c>
      <c r="T354" t="s" s="0">
        <v>81</v>
      </c>
      <c r="U354" t="s" s="0">
        <v>81</v>
      </c>
      <c r="V354" t="s" s="0">
        <v>8411</v>
      </c>
      <c r="W354" t="s" s="0">
        <v>1365</v>
      </c>
      <c r="X354" t="s" s="0">
        <v>81</v>
      </c>
      <c r="Y354" t="s" s="0">
        <v>81</v>
      </c>
      <c r="Z354" t="s" s="0">
        <v>93</v>
      </c>
      <c r="AA354" t="s" s="0">
        <v>94</v>
      </c>
      <c r="AB354" t="s" s="0">
        <v>81</v>
      </c>
      <c r="AC354" t="s" s="0">
        <v>81</v>
      </c>
      <c r="AD354" t="s" s="0">
        <v>81</v>
      </c>
      <c r="AE354" t="s" s="0">
        <v>81</v>
      </c>
      <c r="AF354" t="s" s="0">
        <v>81</v>
      </c>
      <c r="AG354" t="s" s="0">
        <v>8412</v>
      </c>
      <c r="AH354" t="s" s="0">
        <v>81</v>
      </c>
      <c r="AI354" t="s" s="0">
        <v>8413</v>
      </c>
      <c r="AJ354" t="s" s="0">
        <v>8414</v>
      </c>
      <c r="AK354" t="s" s="0">
        <v>81</v>
      </c>
      <c r="AL354" t="s" s="0">
        <v>562</v>
      </c>
      <c r="AM354" t="s" s="0">
        <v>117</v>
      </c>
      <c r="AN354" t="s" s="0">
        <v>117</v>
      </c>
      <c r="AO354" t="s" s="0">
        <v>77</v>
      </c>
      <c r="AP354" t="s" s="0">
        <v>77</v>
      </c>
      <c r="AQ354" t="s" s="0">
        <v>406</v>
      </c>
      <c r="AR354" t="s" s="0">
        <v>407</v>
      </c>
      <c r="AS354" t="s" s="0">
        <v>408</v>
      </c>
      <c r="AT354" t="s" s="0">
        <v>1370</v>
      </c>
      <c r="AU354" t="s" s="0">
        <v>81</v>
      </c>
      <c r="AV354" t="s" s="0">
        <v>81</v>
      </c>
      <c r="AW354" t="s" s="0">
        <v>1371</v>
      </c>
      <c r="AX354" t="s" s="0">
        <v>1372</v>
      </c>
      <c r="AY354" t="s" s="0">
        <v>2583</v>
      </c>
      <c r="AZ354" t="s" s="0">
        <v>104</v>
      </c>
      <c r="BA354" t="s" s="0">
        <v>131</v>
      </c>
      <c r="BB354" t="s" s="0">
        <v>130</v>
      </c>
      <c r="BC354" t="s" s="0">
        <v>81</v>
      </c>
      <c r="BD354" t="s" s="0">
        <v>81</v>
      </c>
      <c r="BE354" t="s" s="0">
        <v>81</v>
      </c>
      <c r="BF354" t="s" s="0">
        <v>81</v>
      </c>
      <c r="BG354" t="s" s="0">
        <v>81</v>
      </c>
      <c r="BH354" t="s" s="0">
        <v>81</v>
      </c>
      <c r="BI354" t="s" s="0">
        <v>8415</v>
      </c>
      <c r="BJ354" t="s" s="0">
        <v>8416</v>
      </c>
      <c r="BK354" t="s" s="704">
        <f>HYPERLINK("http://dx.doi.org/10.1016/j.xops.2025.100985","http://dx.doi.org/10.1016/j.xops.2025.100985")</f>
        <v>8417</v>
      </c>
      <c r="BL354" t="s" s="0">
        <v>81</v>
      </c>
      <c r="BM354" t="s" s="0">
        <v>1880</v>
      </c>
      <c r="BN354" t="s" s="0">
        <v>225</v>
      </c>
      <c r="BO354" t="s" s="0">
        <v>606</v>
      </c>
      <c r="BP354" t="s" s="0">
        <v>606</v>
      </c>
      <c r="BQ354" t="s" s="0">
        <v>8418</v>
      </c>
      <c r="BR354" t="s" s="0">
        <v>8419</v>
      </c>
      <c r="BS354" t="s" s="0">
        <v>8420</v>
      </c>
      <c r="BT354" t="s" s="705">
        <f>HYPERLINK("https://www.webofscience.com/wos/woscc/full-record/WOS:001634635400001","View Record in Web of Science")</f>
        <v>114</v>
      </c>
      <c r="BU354" t="s" s="0">
        <v>145</v>
      </c>
      <c r="BV354" t="s" s="0">
        <v>81</v>
      </c>
      <c r="BW354" t="s" s="0">
        <v>81</v>
      </c>
      <c r="BX354" t="s" s="0">
        <v>116</v>
      </c>
    </row>
    <row r="355">
      <c r="A355" t="s" s="0">
        <v>77</v>
      </c>
      <c r="B355" t="s" s="0">
        <v>77</v>
      </c>
      <c r="C355" t="s" s="0">
        <v>77</v>
      </c>
      <c r="D355" t="s" s="0">
        <v>77</v>
      </c>
      <c r="E355" t="s" s="0">
        <v>8421</v>
      </c>
      <c r="F355" t="s" s="0">
        <v>8422</v>
      </c>
      <c r="G355" t="s" s="0">
        <v>8423</v>
      </c>
      <c r="H355" t="s" s="0">
        <v>81</v>
      </c>
      <c r="I355" t="s" s="0">
        <v>82</v>
      </c>
      <c r="J355" t="s" s="0">
        <v>8424</v>
      </c>
      <c r="K355" t="s" s="0">
        <v>8425</v>
      </c>
      <c r="L355" t="s" s="0">
        <v>81</v>
      </c>
      <c r="M355" t="s" s="0">
        <v>81</v>
      </c>
      <c r="N355" t="s" s="0">
        <v>81</v>
      </c>
      <c r="O355" t="s" s="0">
        <v>8426</v>
      </c>
      <c r="P355" t="s" s="0">
        <v>8427</v>
      </c>
      <c r="Q355" t="s" s="0">
        <v>90</v>
      </c>
      <c r="R355" t="s" s="0">
        <v>81</v>
      </c>
      <c r="S355" t="s" s="0">
        <v>81</v>
      </c>
      <c r="T355" t="s" s="0">
        <v>81</v>
      </c>
      <c r="U355" t="s" s="0">
        <v>81</v>
      </c>
      <c r="V355" t="s" s="0">
        <v>8428</v>
      </c>
      <c r="W355" t="s" s="0">
        <v>8429</v>
      </c>
      <c r="X355" t="s" s="0">
        <v>81</v>
      </c>
      <c r="Y355" t="s" s="0">
        <v>81</v>
      </c>
      <c r="Z355" t="s" s="0">
        <v>93</v>
      </c>
      <c r="AA355" t="s" s="0">
        <v>94</v>
      </c>
      <c r="AB355" t="s" s="0">
        <v>81</v>
      </c>
      <c r="AC355" t="s" s="0">
        <v>81</v>
      </c>
      <c r="AD355" t="s" s="0">
        <v>81</v>
      </c>
      <c r="AE355" t="s" s="0">
        <v>81</v>
      </c>
      <c r="AF355" t="s" s="0">
        <v>81</v>
      </c>
      <c r="AG355" t="s" s="0">
        <v>8430</v>
      </c>
      <c r="AH355" t="s" s="0">
        <v>8431</v>
      </c>
      <c r="AI355" t="s" s="0">
        <v>8432</v>
      </c>
      <c r="AJ355" t="s" s="0">
        <v>8433</v>
      </c>
      <c r="AK355" t="s" s="0">
        <v>81</v>
      </c>
      <c r="AL355" t="s" s="0">
        <v>345</v>
      </c>
      <c r="AM355" t="s" s="0">
        <v>77</v>
      </c>
      <c r="AN355" t="s" s="0">
        <v>77</v>
      </c>
      <c r="AO355" t="s" s="0">
        <v>117</v>
      </c>
      <c r="AP355" t="s" s="0">
        <v>117</v>
      </c>
      <c r="AQ355" t="s" s="0">
        <v>708</v>
      </c>
      <c r="AR355" t="s" s="0">
        <v>709</v>
      </c>
      <c r="AS355" t="s" s="0">
        <v>710</v>
      </c>
      <c r="AT355" t="s" s="0">
        <v>8434</v>
      </c>
      <c r="AU355" t="s" s="0">
        <v>8435</v>
      </c>
      <c r="AV355" t="s" s="0">
        <v>81</v>
      </c>
      <c r="AW355" t="s" s="0">
        <v>8436</v>
      </c>
      <c r="AX355" t="s" s="0">
        <v>8437</v>
      </c>
      <c r="AY355" t="s" s="0">
        <v>8438</v>
      </c>
      <c r="AZ355" t="s" s="0">
        <v>104</v>
      </c>
      <c r="BA355" t="s" s="0">
        <v>1421</v>
      </c>
      <c r="BB355" t="s" s="0">
        <v>161</v>
      </c>
      <c r="BC355" t="s" s="0">
        <v>81</v>
      </c>
      <c r="BD355" t="s" s="0">
        <v>81</v>
      </c>
      <c r="BE355" t="s" s="0">
        <v>81</v>
      </c>
      <c r="BF355" t="s" s="0">
        <v>81</v>
      </c>
      <c r="BG355" t="s" s="0">
        <v>81</v>
      </c>
      <c r="BH355" t="s" s="0">
        <v>81</v>
      </c>
      <c r="BI355" t="s" s="0">
        <v>8439</v>
      </c>
      <c r="BJ355" t="s" s="0">
        <v>8440</v>
      </c>
      <c r="BK355" t="s" s="706">
        <f>HYPERLINK("http://dx.doi.org/10.1002/cns.71047","http://dx.doi.org/10.1002/cns.71047")</f>
        <v>8441</v>
      </c>
      <c r="BL355" t="s" s="0">
        <v>81</v>
      </c>
      <c r="BM355" t="s" s="0">
        <v>81</v>
      </c>
      <c r="BN355" t="s" s="0">
        <v>167</v>
      </c>
      <c r="BO355" t="s" s="0">
        <v>8442</v>
      </c>
      <c r="BP355" t="s" s="0">
        <v>6215</v>
      </c>
      <c r="BQ355" t="s" s="0">
        <v>8443</v>
      </c>
      <c r="BR355" t="s" s="0">
        <v>8444</v>
      </c>
      <c r="BS355" t="s" s="0">
        <v>8445</v>
      </c>
      <c r="BT355" t="s" s="707">
        <f>HYPERLINK("https://www.webofscience.com/wos/woscc/full-record/WOS:001827039900001","View Record in Web of Science")</f>
        <v>114</v>
      </c>
      <c r="BU355" t="s" s="0">
        <v>145</v>
      </c>
      <c r="BV355" t="s" s="0">
        <v>81</v>
      </c>
      <c r="BW355" t="s" s="0">
        <v>81</v>
      </c>
      <c r="BX355" t="s" s="0">
        <v>116</v>
      </c>
    </row>
    <row r="356">
      <c r="A356" t="s" s="0">
        <v>77</v>
      </c>
      <c r="B356" t="s" s="0">
        <v>77</v>
      </c>
      <c r="C356" t="s" s="0">
        <v>227</v>
      </c>
      <c r="D356" t="s" s="0">
        <v>77</v>
      </c>
      <c r="E356" t="s" s="0">
        <v>8446</v>
      </c>
      <c r="F356" t="s" s="0">
        <v>8447</v>
      </c>
      <c r="G356" t="s" s="0">
        <v>8448</v>
      </c>
      <c r="H356" t="s" s="0">
        <v>81</v>
      </c>
      <c r="I356" t="s" s="0">
        <v>213</v>
      </c>
      <c r="J356" t="s" s="0">
        <v>8449</v>
      </c>
      <c r="K356" t="s" s="0">
        <v>8450</v>
      </c>
      <c r="L356" t="s" s="0">
        <v>8451</v>
      </c>
      <c r="M356" t="s" s="0">
        <v>8452</v>
      </c>
      <c r="N356" t="s" s="0">
        <v>8453</v>
      </c>
      <c r="O356" t="s" s="0">
        <v>8454</v>
      </c>
      <c r="P356" t="s" s="0">
        <v>8455</v>
      </c>
      <c r="Q356" t="s" s="0">
        <v>90</v>
      </c>
      <c r="R356" t="s" s="0">
        <v>81</v>
      </c>
      <c r="S356" t="s" s="0">
        <v>81</v>
      </c>
      <c r="T356" t="s" s="0">
        <v>81</v>
      </c>
      <c r="U356" t="s" s="0">
        <v>81</v>
      </c>
      <c r="V356" t="s" s="0">
        <v>8456</v>
      </c>
      <c r="W356" t="s" s="0">
        <v>1365</v>
      </c>
      <c r="X356" t="s" s="0">
        <v>81</v>
      </c>
      <c r="Y356" t="s" s="0">
        <v>81</v>
      </c>
      <c r="Z356" t="s" s="0">
        <v>93</v>
      </c>
      <c r="AA356" t="s" s="0">
        <v>94</v>
      </c>
      <c r="AB356" t="s" s="0">
        <v>81</v>
      </c>
      <c r="AC356" t="s" s="0">
        <v>81</v>
      </c>
      <c r="AD356" t="s" s="0">
        <v>81</v>
      </c>
      <c r="AE356" t="s" s="0">
        <v>81</v>
      </c>
      <c r="AF356" t="s" s="0">
        <v>81</v>
      </c>
      <c r="AG356" t="s" s="0">
        <v>8457</v>
      </c>
      <c r="AH356" t="s" s="0">
        <v>8458</v>
      </c>
      <c r="AI356" t="s" s="0">
        <v>8459</v>
      </c>
      <c r="AJ356" t="s" s="0">
        <v>8460</v>
      </c>
      <c r="AK356" t="s" s="0">
        <v>81</v>
      </c>
      <c r="AL356" t="s" s="0">
        <v>1641</v>
      </c>
      <c r="AM356" t="s" s="0">
        <v>161</v>
      </c>
      <c r="AN356" t="s" s="0">
        <v>129</v>
      </c>
      <c r="AO356" t="s" s="0">
        <v>77</v>
      </c>
      <c r="AP356" t="s" s="0">
        <v>253</v>
      </c>
      <c r="AQ356" t="s" s="0">
        <v>406</v>
      </c>
      <c r="AR356" t="s" s="0">
        <v>407</v>
      </c>
      <c r="AS356" t="s" s="0">
        <v>408</v>
      </c>
      <c r="AT356" t="s" s="0">
        <v>1370</v>
      </c>
      <c r="AU356" t="s" s="0">
        <v>81</v>
      </c>
      <c r="AV356" t="s" s="0">
        <v>81</v>
      </c>
      <c r="AW356" t="s" s="0">
        <v>1371</v>
      </c>
      <c r="AX356" t="s" s="0">
        <v>1372</v>
      </c>
      <c r="AY356" t="s" s="0">
        <v>8461</v>
      </c>
      <c r="AZ356" t="s" s="0">
        <v>1519</v>
      </c>
      <c r="BA356" t="s" s="0">
        <v>227</v>
      </c>
      <c r="BB356" t="s" s="0">
        <v>227</v>
      </c>
      <c r="BC356" t="s" s="0">
        <v>81</v>
      </c>
      <c r="BD356" t="s" s="0">
        <v>81</v>
      </c>
      <c r="BE356" t="s" s="0">
        <v>81</v>
      </c>
      <c r="BF356" t="s" s="0">
        <v>81</v>
      </c>
      <c r="BG356" t="s" s="0">
        <v>81</v>
      </c>
      <c r="BH356" t="s" s="0">
        <v>81</v>
      </c>
      <c r="BI356" t="s" s="0">
        <v>8462</v>
      </c>
      <c r="BJ356" t="s" s="0">
        <v>8463</v>
      </c>
      <c r="BK356" t="s" s="708">
        <f>HYPERLINK("http://dx.doi.org/10.1016/j.xops.2023.100292","http://dx.doi.org/10.1016/j.xops.2023.100292")</f>
        <v>8464</v>
      </c>
      <c r="BL356" t="s" s="0">
        <v>81</v>
      </c>
      <c r="BM356" t="s" s="0">
        <v>1778</v>
      </c>
      <c r="BN356" t="s" s="0">
        <v>172</v>
      </c>
      <c r="BO356" t="s" s="0">
        <v>606</v>
      </c>
      <c r="BP356" t="s" s="0">
        <v>606</v>
      </c>
      <c r="BQ356" t="s" s="0">
        <v>8465</v>
      </c>
      <c r="BR356" t="s" s="0">
        <v>8466</v>
      </c>
      <c r="BS356" t="s" s="0">
        <v>8467</v>
      </c>
      <c r="BT356" t="s" s="709">
        <f>HYPERLINK("https://www.webofscience.com/wos/woscc/full-record/WOS:001033999300001","View Record in Web of Science")</f>
        <v>114</v>
      </c>
      <c r="BU356" t="s" s="0">
        <v>145</v>
      </c>
      <c r="BV356" t="s" s="0">
        <v>81</v>
      </c>
      <c r="BW356" t="s" s="0">
        <v>81</v>
      </c>
      <c r="BX356" t="s" s="0">
        <v>116</v>
      </c>
    </row>
    <row r="357">
      <c r="A357" t="s" s="0">
        <v>77</v>
      </c>
      <c r="B357" t="s" s="0">
        <v>77</v>
      </c>
      <c r="C357" t="s" s="0">
        <v>77</v>
      </c>
      <c r="D357" t="s" s="0">
        <v>77</v>
      </c>
      <c r="E357" t="s" s="0">
        <v>8468</v>
      </c>
      <c r="F357" t="s" s="0">
        <v>8469</v>
      </c>
      <c r="G357" t="s" s="0">
        <v>8470</v>
      </c>
      <c r="H357" t="s" s="0">
        <v>81</v>
      </c>
      <c r="I357" t="s" s="0">
        <v>82</v>
      </c>
      <c r="J357" t="s" s="0">
        <v>8471</v>
      </c>
      <c r="K357" t="s" s="0">
        <v>8472</v>
      </c>
      <c r="L357" t="s" s="0">
        <v>8473</v>
      </c>
      <c r="M357" t="s" s="0">
        <v>8474</v>
      </c>
      <c r="N357" t="s" s="0">
        <v>8475</v>
      </c>
      <c r="O357" t="s" s="0">
        <v>8476</v>
      </c>
      <c r="P357" t="s" s="0">
        <v>8477</v>
      </c>
      <c r="Q357" t="s" s="0">
        <v>90</v>
      </c>
      <c r="R357" t="s" s="0">
        <v>81</v>
      </c>
      <c r="S357" t="s" s="0">
        <v>81</v>
      </c>
      <c r="T357" t="s" s="0">
        <v>81</v>
      </c>
      <c r="U357" t="s" s="0">
        <v>81</v>
      </c>
      <c r="V357" t="s" s="0">
        <v>8478</v>
      </c>
      <c r="W357" t="s" s="0">
        <v>8479</v>
      </c>
      <c r="X357" t="s" s="0">
        <v>81</v>
      </c>
      <c r="Y357" t="s" s="0">
        <v>81</v>
      </c>
      <c r="Z357" t="s" s="0">
        <v>93</v>
      </c>
      <c r="AA357" t="s" s="0">
        <v>94</v>
      </c>
      <c r="AB357" t="s" s="0">
        <v>81</v>
      </c>
      <c r="AC357" t="s" s="0">
        <v>81</v>
      </c>
      <c r="AD357" t="s" s="0">
        <v>81</v>
      </c>
      <c r="AE357" t="s" s="0">
        <v>81</v>
      </c>
      <c r="AF357" t="s" s="0">
        <v>81</v>
      </c>
      <c r="AG357" t="s" s="0">
        <v>8480</v>
      </c>
      <c r="AH357" t="s" s="0">
        <v>8481</v>
      </c>
      <c r="AI357" t="s" s="0">
        <v>81</v>
      </c>
      <c r="AJ357" t="s" s="0">
        <v>81</v>
      </c>
      <c r="AK357" t="s" s="0">
        <v>81</v>
      </c>
      <c r="AL357" t="s" s="0">
        <v>1097</v>
      </c>
      <c r="AM357" t="s" s="0">
        <v>77</v>
      </c>
      <c r="AN357" t="s" s="0">
        <v>77</v>
      </c>
      <c r="AO357" t="s" s="0">
        <v>77</v>
      </c>
      <c r="AP357" t="s" s="0">
        <v>77</v>
      </c>
      <c r="AQ357" t="s" s="0">
        <v>305</v>
      </c>
      <c r="AR357" t="s" s="0">
        <v>306</v>
      </c>
      <c r="AS357" t="s" s="0">
        <v>307</v>
      </c>
      <c r="AT357" t="s" s="0">
        <v>8482</v>
      </c>
      <c r="AU357" t="s" s="0">
        <v>8483</v>
      </c>
      <c r="AV357" t="s" s="0">
        <v>81</v>
      </c>
      <c r="AW357" t="s" s="0">
        <v>8484</v>
      </c>
      <c r="AX357" t="s" s="0">
        <v>8485</v>
      </c>
      <c r="AY357" t="s" s="0">
        <v>1596</v>
      </c>
      <c r="AZ357" t="s" s="0">
        <v>104</v>
      </c>
      <c r="BA357" t="s" s="0">
        <v>8486</v>
      </c>
      <c r="BB357" t="s" s="0">
        <v>81</v>
      </c>
      <c r="BC357" t="s" s="0">
        <v>81</v>
      </c>
      <c r="BD357" t="s" s="0">
        <v>81</v>
      </c>
      <c r="BE357" t="s" s="0">
        <v>81</v>
      </c>
      <c r="BF357" t="s" s="0">
        <v>81</v>
      </c>
      <c r="BG357" t="s" s="0">
        <v>81</v>
      </c>
      <c r="BH357" t="s" s="0">
        <v>81</v>
      </c>
      <c r="BI357" t="s" s="0">
        <v>8487</v>
      </c>
      <c r="BJ357" t="s" s="0">
        <v>8488</v>
      </c>
      <c r="BK357" t="s" s="710">
        <f>HYPERLINK("http://dx.doi.org/10.1016/j.apradiso.2026.112763","http://dx.doi.org/10.1016/j.apradiso.2026.112763")</f>
        <v>8489</v>
      </c>
      <c r="BL357" t="s" s="0">
        <v>81</v>
      </c>
      <c r="BM357" t="s" s="0">
        <v>445</v>
      </c>
      <c r="BN357" t="s" s="0">
        <v>226</v>
      </c>
      <c r="BO357" t="s" s="0">
        <v>8490</v>
      </c>
      <c r="BP357" t="s" s="0">
        <v>8491</v>
      </c>
      <c r="BQ357" t="s" s="0">
        <v>8492</v>
      </c>
      <c r="BR357" t="s" s="0">
        <v>8493</v>
      </c>
      <c r="BS357" t="s" s="0">
        <v>8494</v>
      </c>
      <c r="BT357" t="s" s="711">
        <f>HYPERLINK("https://www.webofscience.com/wos/woscc/full-record/WOS:001814476400001","View Record in Web of Science")</f>
        <v>114</v>
      </c>
      <c r="BU357" t="s" s="0">
        <v>81</v>
      </c>
      <c r="BV357" t="s" s="0">
        <v>81</v>
      </c>
      <c r="BW357" t="s" s="0">
        <v>81</v>
      </c>
      <c r="BX357" t="s" s="0">
        <v>116</v>
      </c>
    </row>
    <row r="358">
      <c r="A358" t="s" s="0">
        <v>130</v>
      </c>
      <c r="B358" t="s" s="0">
        <v>77</v>
      </c>
      <c r="C358" t="s" s="0">
        <v>253</v>
      </c>
      <c r="D358" t="s" s="0">
        <v>77</v>
      </c>
      <c r="E358" t="s" s="0">
        <v>8495</v>
      </c>
      <c r="F358" t="s" s="0">
        <v>8496</v>
      </c>
      <c r="G358" t="s" s="0">
        <v>8497</v>
      </c>
      <c r="H358" t="s" s="0">
        <v>81</v>
      </c>
      <c r="I358" t="s" s="0">
        <v>82</v>
      </c>
      <c r="J358" t="s" s="0">
        <v>8498</v>
      </c>
      <c r="K358" t="s" s="0">
        <v>8499</v>
      </c>
      <c r="L358" t="s" s="0">
        <v>8500</v>
      </c>
      <c r="M358" t="s" s="0">
        <v>8501</v>
      </c>
      <c r="N358" t="s" s="0">
        <v>8502</v>
      </c>
      <c r="O358" t="s" s="0">
        <v>8503</v>
      </c>
      <c r="P358" t="s" s="0">
        <v>8504</v>
      </c>
      <c r="Q358" t="s" s="0">
        <v>90</v>
      </c>
      <c r="R358" t="s" s="0">
        <v>81</v>
      </c>
      <c r="S358" t="s" s="0">
        <v>81</v>
      </c>
      <c r="T358" t="s" s="0">
        <v>81</v>
      </c>
      <c r="U358" t="s" s="0">
        <v>81</v>
      </c>
      <c r="V358" t="s" s="0">
        <v>8505</v>
      </c>
      <c r="W358" t="s" s="0">
        <v>8506</v>
      </c>
      <c r="X358" t="s" s="0">
        <v>81</v>
      </c>
      <c r="Y358" t="s" s="0">
        <v>81</v>
      </c>
      <c r="Z358" t="s" s="0">
        <v>93</v>
      </c>
      <c r="AA358" t="s" s="0">
        <v>94</v>
      </c>
      <c r="AB358" t="s" s="0">
        <v>81</v>
      </c>
      <c r="AC358" t="s" s="0">
        <v>81</v>
      </c>
      <c r="AD358" t="s" s="0">
        <v>81</v>
      </c>
      <c r="AE358" t="s" s="0">
        <v>81</v>
      </c>
      <c r="AF358" t="s" s="0">
        <v>81</v>
      </c>
      <c r="AG358" t="s" s="0">
        <v>8507</v>
      </c>
      <c r="AH358" t="s" s="0">
        <v>8508</v>
      </c>
      <c r="AI358" t="s" s="0">
        <v>81</v>
      </c>
      <c r="AJ358" t="s" s="0">
        <v>8509</v>
      </c>
      <c r="AK358" t="s" s="0">
        <v>81</v>
      </c>
      <c r="AL358" t="s" s="0">
        <v>474</v>
      </c>
      <c r="AM358" t="s" s="0">
        <v>237</v>
      </c>
      <c r="AN358" t="s" s="0">
        <v>405</v>
      </c>
      <c r="AO358" t="s" s="0">
        <v>204</v>
      </c>
      <c r="AP358" t="s" s="0">
        <v>1487</v>
      </c>
      <c r="AQ358" t="s" s="0">
        <v>406</v>
      </c>
      <c r="AR358" t="s" s="0">
        <v>407</v>
      </c>
      <c r="AS358" t="s" s="0">
        <v>408</v>
      </c>
      <c r="AT358" t="s" s="0">
        <v>8510</v>
      </c>
      <c r="AU358" t="s" s="0">
        <v>8511</v>
      </c>
      <c r="AV358" t="s" s="0">
        <v>81</v>
      </c>
      <c r="AW358" t="s" s="0">
        <v>8512</v>
      </c>
      <c r="AX358" t="s" s="0">
        <v>8513</v>
      </c>
      <c r="AY358" t="s" s="0">
        <v>851</v>
      </c>
      <c r="AZ358" t="s" s="0">
        <v>573</v>
      </c>
      <c r="BA358" t="s" s="0">
        <v>7531</v>
      </c>
      <c r="BB358" t="s" s="0">
        <v>81</v>
      </c>
      <c r="BC358" t="s" s="0">
        <v>81</v>
      </c>
      <c r="BD358" t="s" s="0">
        <v>81</v>
      </c>
      <c r="BE358" t="s" s="0">
        <v>81</v>
      </c>
      <c r="BF358" t="s" s="0">
        <v>81</v>
      </c>
      <c r="BG358" t="s" s="0">
        <v>81</v>
      </c>
      <c r="BH358" t="s" s="0">
        <v>81</v>
      </c>
      <c r="BI358" t="s" s="0">
        <v>8514</v>
      </c>
      <c r="BJ358" t="s" s="0">
        <v>8515</v>
      </c>
      <c r="BK358" t="s" s="712">
        <f>HYPERLINK("http://dx.doi.org/10.1016/j.artmed.2023.102719","http://dx.doi.org/10.1016/j.artmed.2023.102719")</f>
        <v>8516</v>
      </c>
      <c r="BL358" t="s" s="0">
        <v>81</v>
      </c>
      <c r="BM358" t="s" s="0">
        <v>856</v>
      </c>
      <c r="BN358" t="s" s="0">
        <v>129</v>
      </c>
      <c r="BO358" t="s" s="0">
        <v>8517</v>
      </c>
      <c r="BP358" t="s" s="0">
        <v>580</v>
      </c>
      <c r="BQ358" t="s" s="0">
        <v>8518</v>
      </c>
      <c r="BR358" t="s" s="0">
        <v>8519</v>
      </c>
      <c r="BS358" t="s" s="0">
        <v>8520</v>
      </c>
      <c r="BT358" t="s" s="713">
        <f>HYPERLINK("https://www.webofscience.com/wos/woscc/full-record/WOS:001125092100001","View Record in Web of Science")</f>
        <v>114</v>
      </c>
      <c r="BU358" t="s" s="0">
        <v>666</v>
      </c>
      <c r="BV358" t="s" s="0">
        <v>81</v>
      </c>
      <c r="BW358" t="s" s="0">
        <v>81</v>
      </c>
      <c r="BX358" t="s" s="0">
        <v>116</v>
      </c>
    </row>
    <row r="359">
      <c r="A359" t="s" s="0">
        <v>77</v>
      </c>
      <c r="B359" t="s" s="0">
        <v>77</v>
      </c>
      <c r="C359" t="s" s="0">
        <v>226</v>
      </c>
      <c r="D359" t="s" s="0">
        <v>77</v>
      </c>
      <c r="E359" t="s" s="0">
        <v>8521</v>
      </c>
      <c r="F359" t="s" s="0">
        <v>8522</v>
      </c>
      <c r="G359" t="s" s="0">
        <v>8523</v>
      </c>
      <c r="H359" t="s" s="0">
        <v>81</v>
      </c>
      <c r="I359" t="s" s="0">
        <v>213</v>
      </c>
      <c r="J359" t="s" s="0">
        <v>8524</v>
      </c>
      <c r="K359" t="s" s="0">
        <v>8525</v>
      </c>
      <c r="L359" t="s" s="0">
        <v>8526</v>
      </c>
      <c r="M359" t="s" s="0">
        <v>8526</v>
      </c>
      <c r="N359" t="s" s="0">
        <v>8527</v>
      </c>
      <c r="O359" t="s" s="0">
        <v>8528</v>
      </c>
      <c r="P359" t="s" s="0">
        <v>8529</v>
      </c>
      <c r="Q359" t="s" s="0">
        <v>90</v>
      </c>
      <c r="R359" t="s" s="0">
        <v>81</v>
      </c>
      <c r="S359" t="s" s="0">
        <v>81</v>
      </c>
      <c r="T359" t="s" s="0">
        <v>81</v>
      </c>
      <c r="U359" t="s" s="0">
        <v>81</v>
      </c>
      <c r="V359" t="s" s="0">
        <v>8530</v>
      </c>
      <c r="W359" t="s" s="0">
        <v>8531</v>
      </c>
      <c r="X359" t="s" s="0">
        <v>81</v>
      </c>
      <c r="Y359" t="s" s="0">
        <v>81</v>
      </c>
      <c r="Z359" t="s" s="0">
        <v>93</v>
      </c>
      <c r="AA359" t="s" s="0">
        <v>94</v>
      </c>
      <c r="AB359" t="s" s="0">
        <v>81</v>
      </c>
      <c r="AC359" t="s" s="0">
        <v>81</v>
      </c>
      <c r="AD359" t="s" s="0">
        <v>81</v>
      </c>
      <c r="AE359" t="s" s="0">
        <v>81</v>
      </c>
      <c r="AF359" t="s" s="0">
        <v>81</v>
      </c>
      <c r="AG359" t="s" s="0">
        <v>8532</v>
      </c>
      <c r="AH359" t="s" s="0">
        <v>8533</v>
      </c>
      <c r="AI359" t="s" s="0">
        <v>8534</v>
      </c>
      <c r="AJ359" t="s" s="0">
        <v>8535</v>
      </c>
      <c r="AK359" t="s" s="0">
        <v>81</v>
      </c>
      <c r="AL359" t="s" s="0">
        <v>536</v>
      </c>
      <c r="AM359" t="s" s="0">
        <v>369</v>
      </c>
      <c r="AN359" t="s" s="0">
        <v>1097</v>
      </c>
      <c r="AO359" t="s" s="0">
        <v>225</v>
      </c>
      <c r="AP359" t="s" s="0">
        <v>137</v>
      </c>
      <c r="AQ359" t="s" s="0">
        <v>738</v>
      </c>
      <c r="AR359" t="s" s="0">
        <v>306</v>
      </c>
      <c r="AS359" t="s" s="0">
        <v>739</v>
      </c>
      <c r="AT359" t="s" s="0">
        <v>81</v>
      </c>
      <c r="AU359" t="s" s="0">
        <v>8536</v>
      </c>
      <c r="AV359" t="s" s="0">
        <v>81</v>
      </c>
      <c r="AW359" t="s" s="0">
        <v>8537</v>
      </c>
      <c r="AX359" t="s" s="0">
        <v>8538</v>
      </c>
      <c r="AY359" t="s" s="0">
        <v>8539</v>
      </c>
      <c r="AZ359" t="s" s="0">
        <v>573</v>
      </c>
      <c r="BA359" t="s" s="0">
        <v>131</v>
      </c>
      <c r="BB359" t="s" s="0">
        <v>117</v>
      </c>
      <c r="BC359" t="s" s="0">
        <v>81</v>
      </c>
      <c r="BD359" t="s" s="0">
        <v>81</v>
      </c>
      <c r="BE359" t="s" s="0">
        <v>81</v>
      </c>
      <c r="BF359" t="s" s="0">
        <v>81</v>
      </c>
      <c r="BG359" t="s" s="0">
        <v>81</v>
      </c>
      <c r="BH359" t="s" s="0">
        <v>81</v>
      </c>
      <c r="BI359" t="s" s="0">
        <v>8540</v>
      </c>
      <c r="BJ359" t="s" s="0">
        <v>8541</v>
      </c>
      <c r="BK359" t="s" s="714">
        <f>HYPERLINK("http://dx.doi.org/10.1093/noajnl/vdae122","http://dx.doi.org/10.1093/noajnl/vdae122")</f>
        <v>8542</v>
      </c>
      <c r="BL359" t="s" s="0">
        <v>81</v>
      </c>
      <c r="BM359" t="s" s="0">
        <v>578</v>
      </c>
      <c r="BN359" t="s" s="0">
        <v>228</v>
      </c>
      <c r="BO359" t="s" s="0">
        <v>3373</v>
      </c>
      <c r="BP359" t="s" s="0">
        <v>3374</v>
      </c>
      <c r="BQ359" t="s" s="0">
        <v>8543</v>
      </c>
      <c r="BR359" t="s" s="0">
        <v>8544</v>
      </c>
      <c r="BS359" t="s" s="0">
        <v>8545</v>
      </c>
      <c r="BT359" t="s" s="715">
        <f>HYPERLINK("https://www.webofscience.com/wos/woscc/full-record/WOS:001291399400001","View Record in Web of Science")</f>
        <v>114</v>
      </c>
      <c r="BU359" t="s" s="0">
        <v>145</v>
      </c>
      <c r="BV359" t="s" s="0">
        <v>81</v>
      </c>
      <c r="BW359" t="s" s="0">
        <v>81</v>
      </c>
      <c r="BX359" t="s" s="0">
        <v>116</v>
      </c>
    </row>
    <row r="360">
      <c r="A360" t="s" s="0">
        <v>77</v>
      </c>
      <c r="B360" t="s" s="0">
        <v>77</v>
      </c>
      <c r="C360" t="s" s="0">
        <v>77</v>
      </c>
      <c r="D360" t="s" s="0">
        <v>77</v>
      </c>
      <c r="E360" t="s" s="0">
        <v>8546</v>
      </c>
      <c r="F360" t="s" s="0">
        <v>8547</v>
      </c>
      <c r="G360" t="s" s="0">
        <v>8548</v>
      </c>
      <c r="H360" t="s" s="0">
        <v>81</v>
      </c>
      <c r="I360" t="s" s="0">
        <v>82</v>
      </c>
      <c r="J360" t="s" s="0">
        <v>8549</v>
      </c>
      <c r="K360" t="s" s="0">
        <v>8550</v>
      </c>
      <c r="L360" t="s" s="0">
        <v>81</v>
      </c>
      <c r="M360" t="s" s="0">
        <v>81</v>
      </c>
      <c r="N360" t="s" s="0">
        <v>81</v>
      </c>
      <c r="O360" t="s" s="0">
        <v>8551</v>
      </c>
      <c r="P360" t="s" s="0">
        <v>81</v>
      </c>
      <c r="Q360" t="s" s="0">
        <v>90</v>
      </c>
      <c r="R360" t="s" s="0">
        <v>81</v>
      </c>
      <c r="S360" t="s" s="0">
        <v>81</v>
      </c>
      <c r="T360" t="s" s="0">
        <v>81</v>
      </c>
      <c r="U360" t="s" s="0">
        <v>81</v>
      </c>
      <c r="V360" t="s" s="0">
        <v>8552</v>
      </c>
      <c r="W360" t="s" s="0">
        <v>2292</v>
      </c>
      <c r="X360" t="s" s="0">
        <v>81</v>
      </c>
      <c r="Y360" t="s" s="0">
        <v>81</v>
      </c>
      <c r="Z360" t="s" s="0">
        <v>93</v>
      </c>
      <c r="AA360" t="s" s="0">
        <v>190</v>
      </c>
      <c r="AB360" t="s" s="0">
        <v>81</v>
      </c>
      <c r="AC360" t="s" s="0">
        <v>81</v>
      </c>
      <c r="AD360" t="s" s="0">
        <v>81</v>
      </c>
      <c r="AE360" t="s" s="0">
        <v>81</v>
      </c>
      <c r="AF360" t="s" s="0">
        <v>81</v>
      </c>
      <c r="AG360" t="s" s="0">
        <v>8553</v>
      </c>
      <c r="AH360" t="s" s="0">
        <v>81</v>
      </c>
      <c r="AI360" t="s" s="0">
        <v>81</v>
      </c>
      <c r="AJ360" t="s" s="0">
        <v>81</v>
      </c>
      <c r="AK360" t="s" s="0">
        <v>81</v>
      </c>
      <c r="AL360" t="s" s="0">
        <v>5139</v>
      </c>
      <c r="AM360" t="s" s="0">
        <v>77</v>
      </c>
      <c r="AN360" t="s" s="0">
        <v>77</v>
      </c>
      <c r="AO360" t="s" s="0">
        <v>77</v>
      </c>
      <c r="AP360" t="s" s="0">
        <v>77</v>
      </c>
      <c r="AQ360" t="s" s="0">
        <v>2295</v>
      </c>
      <c r="AR360" t="s" s="0">
        <v>275</v>
      </c>
      <c r="AS360" t="s" s="0">
        <v>2296</v>
      </c>
      <c r="AT360" t="s" s="0">
        <v>2297</v>
      </c>
      <c r="AU360" t="s" s="0">
        <v>2298</v>
      </c>
      <c r="AV360" t="s" s="0">
        <v>81</v>
      </c>
      <c r="AW360" t="s" s="0">
        <v>2299</v>
      </c>
      <c r="AX360" t="s" s="0">
        <v>2300</v>
      </c>
      <c r="AY360" t="s" s="0">
        <v>81</v>
      </c>
      <c r="AZ360" t="s" s="0">
        <v>104</v>
      </c>
      <c r="BA360" t="s" s="0">
        <v>81</v>
      </c>
      <c r="BB360" t="s" s="0">
        <v>81</v>
      </c>
      <c r="BC360" t="s" s="0">
        <v>81</v>
      </c>
      <c r="BD360" t="s" s="0">
        <v>81</v>
      </c>
      <c r="BE360" t="s" s="0">
        <v>81</v>
      </c>
      <c r="BF360" t="s" s="0">
        <v>81</v>
      </c>
      <c r="BG360" t="s" s="0">
        <v>81</v>
      </c>
      <c r="BH360" t="s" s="0">
        <v>81</v>
      </c>
      <c r="BI360" t="s" s="0">
        <v>81</v>
      </c>
      <c r="BJ360" t="s" s="0">
        <v>8554</v>
      </c>
      <c r="BK360" t="s" s="716">
        <f>HYPERLINK("http://dx.doi.org/10.1515/bmt-2026-0223","http://dx.doi.org/10.1515/bmt-2026-0223")</f>
        <v>8555</v>
      </c>
      <c r="BL360" t="s" s="0">
        <v>81</v>
      </c>
      <c r="BM360" t="s" s="0">
        <v>445</v>
      </c>
      <c r="BN360" t="s" s="0">
        <v>172</v>
      </c>
      <c r="BO360" t="s" s="0">
        <v>2303</v>
      </c>
      <c r="BP360" t="s" s="0">
        <v>2304</v>
      </c>
      <c r="BQ360" t="s" s="0">
        <v>8556</v>
      </c>
      <c r="BR360" t="s" s="0">
        <v>8557</v>
      </c>
      <c r="BS360" t="s" s="0">
        <v>8558</v>
      </c>
      <c r="BT360" t="s" s="717">
        <f>HYPERLINK("https://www.webofscience.com/wos/woscc/full-record/WOS:001803262300001","View Record in Web of Science")</f>
        <v>114</v>
      </c>
      <c r="BU360" t="s" s="0">
        <v>804</v>
      </c>
      <c r="BV360" t="s" s="0">
        <v>81</v>
      </c>
      <c r="BW360" t="s" s="0">
        <v>81</v>
      </c>
      <c r="BX360" t="s" s="0">
        <v>116</v>
      </c>
    </row>
    <row r="361">
      <c r="A361" t="s" s="0">
        <v>77</v>
      </c>
      <c r="B361" t="s" s="0">
        <v>77</v>
      </c>
      <c r="C361" t="s" s="0">
        <v>77</v>
      </c>
      <c r="D361" t="s" s="0">
        <v>77</v>
      </c>
      <c r="E361" t="s" s="0">
        <v>8559</v>
      </c>
      <c r="F361" t="s" s="0">
        <v>8560</v>
      </c>
      <c r="G361" t="s" s="0">
        <v>8561</v>
      </c>
      <c r="H361" t="s" s="0">
        <v>81</v>
      </c>
      <c r="I361" t="s" s="0">
        <v>82</v>
      </c>
      <c r="J361" t="s" s="0">
        <v>8562</v>
      </c>
      <c r="K361" t="s" s="0">
        <v>8563</v>
      </c>
      <c r="L361" t="s" s="0">
        <v>81</v>
      </c>
      <c r="M361" t="s" s="0">
        <v>81</v>
      </c>
      <c r="N361" t="s" s="0">
        <v>81</v>
      </c>
      <c r="O361" t="s" s="0">
        <v>8564</v>
      </c>
      <c r="P361" t="s" s="0">
        <v>8565</v>
      </c>
      <c r="Q361" t="s" s="0">
        <v>90</v>
      </c>
      <c r="R361" t="s" s="0">
        <v>81</v>
      </c>
      <c r="S361" t="s" s="0">
        <v>81</v>
      </c>
      <c r="T361" t="s" s="0">
        <v>81</v>
      </c>
      <c r="U361" t="s" s="0">
        <v>81</v>
      </c>
      <c r="V361" t="s" s="0">
        <v>8566</v>
      </c>
      <c r="W361" t="s" s="0">
        <v>8567</v>
      </c>
      <c r="X361" t="s" s="0">
        <v>81</v>
      </c>
      <c r="Y361" t="s" s="0">
        <v>81</v>
      </c>
      <c r="Z361" t="s" s="0">
        <v>93</v>
      </c>
      <c r="AA361" t="s" s="0">
        <v>94</v>
      </c>
      <c r="AB361" t="s" s="0">
        <v>81</v>
      </c>
      <c r="AC361" t="s" s="0">
        <v>81</v>
      </c>
      <c r="AD361" t="s" s="0">
        <v>81</v>
      </c>
      <c r="AE361" t="s" s="0">
        <v>81</v>
      </c>
      <c r="AF361" t="s" s="0">
        <v>81</v>
      </c>
      <c r="AG361" t="s" s="0">
        <v>8568</v>
      </c>
      <c r="AH361" t="s" s="0">
        <v>8569</v>
      </c>
      <c r="AI361" t="s" s="0">
        <v>8570</v>
      </c>
      <c r="AJ361" t="s" s="0">
        <v>81</v>
      </c>
      <c r="AK361" t="s" s="0">
        <v>81</v>
      </c>
      <c r="AL361" t="s" s="0">
        <v>1421</v>
      </c>
      <c r="AM361" t="s" s="0">
        <v>77</v>
      </c>
      <c r="AN361" t="s" s="0">
        <v>77</v>
      </c>
      <c r="AO361" t="s" s="0">
        <v>117</v>
      </c>
      <c r="AP361" t="s" s="0">
        <v>128</v>
      </c>
      <c r="AQ361" t="s" s="0">
        <v>8571</v>
      </c>
      <c r="AR361" t="s" s="0">
        <v>2172</v>
      </c>
      <c r="AS361" t="s" s="0">
        <v>8572</v>
      </c>
      <c r="AT361" t="s" s="0">
        <v>8573</v>
      </c>
      <c r="AU361" t="s" s="0">
        <v>8574</v>
      </c>
      <c r="AV361" t="s" s="0">
        <v>81</v>
      </c>
      <c r="AW361" t="s" s="0">
        <v>8575</v>
      </c>
      <c r="AX361" t="s" s="0">
        <v>8576</v>
      </c>
      <c r="AY361" t="s" s="0">
        <v>6183</v>
      </c>
      <c r="AZ361" t="s" s="0">
        <v>573</v>
      </c>
      <c r="BA361" t="s" s="0">
        <v>318</v>
      </c>
      <c r="BB361" t="s" s="0">
        <v>161</v>
      </c>
      <c r="BC361" t="s" s="0">
        <v>81</v>
      </c>
      <c r="BD361" t="s" s="0">
        <v>81</v>
      </c>
      <c r="BE361" t="s" s="0">
        <v>81</v>
      </c>
      <c r="BF361" t="s" s="0">
        <v>81</v>
      </c>
      <c r="BG361" t="s" s="0">
        <v>81</v>
      </c>
      <c r="BH361" t="s" s="0">
        <v>81</v>
      </c>
      <c r="BI361" t="s" s="0">
        <v>8577</v>
      </c>
      <c r="BJ361" t="s" s="0">
        <v>8578</v>
      </c>
      <c r="BK361" t="s" s="718">
        <f>HYPERLINK("http://dx.doi.org/10.31083/j.rcm2507258","http://dx.doi.org/10.31083/j.rcm2507258")</f>
        <v>8579</v>
      </c>
      <c r="BL361" t="s" s="0">
        <v>81</v>
      </c>
      <c r="BM361" t="s" s="0">
        <v>81</v>
      </c>
      <c r="BN361" t="s" s="0">
        <v>128</v>
      </c>
      <c r="BO361" t="s" s="0">
        <v>515</v>
      </c>
      <c r="BP361" t="s" s="0">
        <v>516</v>
      </c>
      <c r="BQ361" t="s" s="0">
        <v>8580</v>
      </c>
      <c r="BR361" t="s" s="0">
        <v>8581</v>
      </c>
      <c r="BS361" t="s" s="0">
        <v>8582</v>
      </c>
      <c r="BT361" t="s" s="719">
        <f>HYPERLINK("https://www.webofscience.com/wos/woscc/full-record/WOS:001290190400023","View Record in Web of Science")</f>
        <v>114</v>
      </c>
      <c r="BU361" t="s" s="0">
        <v>145</v>
      </c>
      <c r="BV361" t="s" s="0">
        <v>81</v>
      </c>
      <c r="BW361" t="s" s="0">
        <v>81</v>
      </c>
      <c r="BX361" t="s" s="0">
        <v>116</v>
      </c>
    </row>
    <row r="362">
      <c r="A362" t="s" s="0">
        <v>130</v>
      </c>
      <c r="B362" t="s" s="0">
        <v>77</v>
      </c>
      <c r="C362" t="s" s="0">
        <v>167</v>
      </c>
      <c r="D362" t="s" s="0">
        <v>77</v>
      </c>
      <c r="E362" t="s" s="0">
        <v>8583</v>
      </c>
      <c r="F362" t="s" s="0">
        <v>8584</v>
      </c>
      <c r="G362" t="s" s="0">
        <v>8585</v>
      </c>
      <c r="H362" t="s" s="0">
        <v>81</v>
      </c>
      <c r="I362" t="s" s="0">
        <v>82</v>
      </c>
      <c r="J362" t="s" s="0">
        <v>8586</v>
      </c>
      <c r="K362" t="s" s="0">
        <v>8587</v>
      </c>
      <c r="L362" t="s" s="0">
        <v>81</v>
      </c>
      <c r="M362" t="s" s="0">
        <v>81</v>
      </c>
      <c r="N362" t="s" s="0">
        <v>81</v>
      </c>
      <c r="O362" t="s" s="0">
        <v>8588</v>
      </c>
      <c r="P362" t="s" s="0">
        <v>8589</v>
      </c>
      <c r="Q362" t="s" s="0">
        <v>90</v>
      </c>
      <c r="R362" t="s" s="0">
        <v>81</v>
      </c>
      <c r="S362" t="s" s="0">
        <v>81</v>
      </c>
      <c r="T362" t="s" s="0">
        <v>81</v>
      </c>
      <c r="U362" t="s" s="0">
        <v>81</v>
      </c>
      <c r="V362" t="s" s="0">
        <v>8590</v>
      </c>
      <c r="W362" t="s" s="0">
        <v>8591</v>
      </c>
      <c r="X362" t="s" s="0">
        <v>81</v>
      </c>
      <c r="Y362" t="s" s="0">
        <v>81</v>
      </c>
      <c r="Z362" t="s" s="0">
        <v>93</v>
      </c>
      <c r="AA362" t="s" s="0">
        <v>94</v>
      </c>
      <c r="AB362" t="s" s="0">
        <v>81</v>
      </c>
      <c r="AC362" t="s" s="0">
        <v>81</v>
      </c>
      <c r="AD362" t="s" s="0">
        <v>81</v>
      </c>
      <c r="AE362" t="s" s="0">
        <v>81</v>
      </c>
      <c r="AF362" t="s" s="0">
        <v>81</v>
      </c>
      <c r="AG362" t="s" s="0">
        <v>81</v>
      </c>
      <c r="AH362" t="s" s="0">
        <v>8592</v>
      </c>
      <c r="AI362" t="s" s="0">
        <v>8593</v>
      </c>
      <c r="AJ362" t="s" s="0">
        <v>8594</v>
      </c>
      <c r="AK362" t="s" s="0">
        <v>81</v>
      </c>
      <c r="AL362" t="s" s="0">
        <v>438</v>
      </c>
      <c r="AM362" t="s" s="0">
        <v>1421</v>
      </c>
      <c r="AN362" t="s" s="0">
        <v>798</v>
      </c>
      <c r="AO362" t="s" s="0">
        <v>109</v>
      </c>
      <c r="AP362" t="s" s="0">
        <v>237</v>
      </c>
      <c r="AQ362" t="s" s="0">
        <v>4552</v>
      </c>
      <c r="AR362" t="s" s="0">
        <v>4553</v>
      </c>
      <c r="AS362" t="s" s="0">
        <v>4554</v>
      </c>
      <c r="AT362" t="s" s="0">
        <v>8595</v>
      </c>
      <c r="AU362" t="s" s="0">
        <v>8596</v>
      </c>
      <c r="AV362" t="s" s="0">
        <v>81</v>
      </c>
      <c r="AW362" t="s" s="0">
        <v>8591</v>
      </c>
      <c r="AX362" t="s" s="0">
        <v>8597</v>
      </c>
      <c r="AY362" t="s" s="0">
        <v>8598</v>
      </c>
      <c r="AZ362" t="s" s="0">
        <v>104</v>
      </c>
      <c r="BA362" t="s" s="0">
        <v>5184</v>
      </c>
      <c r="BB362" t="s" s="0">
        <v>130</v>
      </c>
      <c r="BC362" t="s" s="0">
        <v>81</v>
      </c>
      <c r="BD362" t="s" s="0">
        <v>81</v>
      </c>
      <c r="BE362" t="s" s="0">
        <v>81</v>
      </c>
      <c r="BF362" t="s" s="0">
        <v>81</v>
      </c>
      <c r="BG362" t="s" s="0">
        <v>81</v>
      </c>
      <c r="BH362" t="s" s="0">
        <v>81</v>
      </c>
      <c r="BI362" t="s" s="0">
        <v>81</v>
      </c>
      <c r="BJ362" t="s" s="0">
        <v>8599</v>
      </c>
      <c r="BK362" t="s" s="720">
        <f>HYPERLINK("http://dx.doi.org/10.1016/j.cell.2025.11.016","http://dx.doi.org/10.1016/j.cell.2025.11.016")</f>
        <v>8600</v>
      </c>
      <c r="BL362" t="s" s="0">
        <v>81</v>
      </c>
      <c r="BM362" t="s" s="0">
        <v>3439</v>
      </c>
      <c r="BN362" t="s" s="0">
        <v>562</v>
      </c>
      <c r="BO362" t="s" s="0">
        <v>4614</v>
      </c>
      <c r="BP362" t="s" s="0">
        <v>4614</v>
      </c>
      <c r="BQ362" t="s" s="0">
        <v>8601</v>
      </c>
      <c r="BR362" t="s" s="0">
        <v>8602</v>
      </c>
      <c r="BS362" t="s" s="0">
        <v>8603</v>
      </c>
      <c r="BT362" t="s" s="721">
        <f>HYPERLINK("https://www.webofscience.com/wos/woscc/full-record/WOS:001677642200003","View Record in Web of Science")</f>
        <v>114</v>
      </c>
      <c r="BU362" t="s" s="0">
        <v>804</v>
      </c>
      <c r="BV362" t="s" s="0">
        <v>915</v>
      </c>
      <c r="BW362" t="s" s="0">
        <v>916</v>
      </c>
      <c r="BX362" t="s" s="0">
        <v>116</v>
      </c>
    </row>
    <row r="363">
      <c r="A363" t="s" s="0">
        <v>77</v>
      </c>
      <c r="B363" t="s" s="0">
        <v>77</v>
      </c>
      <c r="C363" t="s" s="0">
        <v>77</v>
      </c>
      <c r="D363" t="s" s="0">
        <v>77</v>
      </c>
      <c r="E363" t="s" s="0">
        <v>8604</v>
      </c>
      <c r="F363" t="s" s="0">
        <v>8605</v>
      </c>
      <c r="G363" t="s" s="0">
        <v>8606</v>
      </c>
      <c r="H363" t="s" s="0">
        <v>81</v>
      </c>
      <c r="I363" t="s" s="0">
        <v>82</v>
      </c>
      <c r="J363" t="s" s="0">
        <v>8607</v>
      </c>
      <c r="K363" t="s" s="0">
        <v>8608</v>
      </c>
      <c r="L363" t="s" s="0">
        <v>8609</v>
      </c>
      <c r="M363" t="s" s="0">
        <v>8610</v>
      </c>
      <c r="N363" t="s" s="0">
        <v>8611</v>
      </c>
      <c r="O363" t="s" s="0">
        <v>8612</v>
      </c>
      <c r="P363" t="s" s="0">
        <v>8613</v>
      </c>
      <c r="Q363" t="s" s="0">
        <v>90</v>
      </c>
      <c r="R363" t="s" s="0">
        <v>81</v>
      </c>
      <c r="S363" t="s" s="0">
        <v>81</v>
      </c>
      <c r="T363" t="s" s="0">
        <v>81</v>
      </c>
      <c r="U363" t="s" s="0">
        <v>81</v>
      </c>
      <c r="V363" t="s" s="0">
        <v>8614</v>
      </c>
      <c r="W363" t="s" s="0">
        <v>676</v>
      </c>
      <c r="X363" t="s" s="0">
        <v>81</v>
      </c>
      <c r="Y363" t="s" s="0">
        <v>81</v>
      </c>
      <c r="Z363" t="s" s="0">
        <v>93</v>
      </c>
      <c r="AA363" t="s" s="0">
        <v>94</v>
      </c>
      <c r="AB363" t="s" s="0">
        <v>81</v>
      </c>
      <c r="AC363" t="s" s="0">
        <v>81</v>
      </c>
      <c r="AD363" t="s" s="0">
        <v>81</v>
      </c>
      <c r="AE363" t="s" s="0">
        <v>81</v>
      </c>
      <c r="AF363" t="s" s="0">
        <v>81</v>
      </c>
      <c r="AG363" t="s" s="0">
        <v>8615</v>
      </c>
      <c r="AH363" t="s" s="0">
        <v>81</v>
      </c>
      <c r="AI363" t="s" s="0">
        <v>81</v>
      </c>
      <c r="AJ363" t="s" s="0">
        <v>8616</v>
      </c>
      <c r="AK363" t="s" s="0">
        <v>81</v>
      </c>
      <c r="AL363" t="s" s="0">
        <v>1097</v>
      </c>
      <c r="AM363" t="s" s="0">
        <v>77</v>
      </c>
      <c r="AN363" t="s" s="0">
        <v>77</v>
      </c>
      <c r="AO363" t="s" s="0">
        <v>77</v>
      </c>
      <c r="AP363" t="s" s="0">
        <v>77</v>
      </c>
      <c r="AQ363" t="s" s="0">
        <v>97</v>
      </c>
      <c r="AR363" t="s" s="0">
        <v>98</v>
      </c>
      <c r="AS363" t="s" s="0">
        <v>99</v>
      </c>
      <c r="AT363" t="s" s="0">
        <v>678</v>
      </c>
      <c r="AU363" t="s" s="0">
        <v>81</v>
      </c>
      <c r="AV363" t="s" s="0">
        <v>81</v>
      </c>
      <c r="AW363" t="s" s="0">
        <v>679</v>
      </c>
      <c r="AX363" t="s" s="0">
        <v>680</v>
      </c>
      <c r="AY363" t="s" s="0">
        <v>8617</v>
      </c>
      <c r="AZ363" t="s" s="0">
        <v>104</v>
      </c>
      <c r="BA363" t="s" s="0">
        <v>167</v>
      </c>
      <c r="BB363" t="s" s="0">
        <v>81</v>
      </c>
      <c r="BC363" t="s" s="0">
        <v>81</v>
      </c>
      <c r="BD363" t="s" s="0">
        <v>81</v>
      </c>
      <c r="BE363" t="s" s="0">
        <v>81</v>
      </c>
      <c r="BF363" t="s" s="0">
        <v>81</v>
      </c>
      <c r="BG363" t="s" s="0">
        <v>81</v>
      </c>
      <c r="BH363" t="s" s="0">
        <v>81</v>
      </c>
      <c r="BI363" t="s" s="0">
        <v>8618</v>
      </c>
      <c r="BJ363" t="s" s="0">
        <v>8619</v>
      </c>
      <c r="BK363" t="s" s="722">
        <f>HYPERLINK("http://dx.doi.org/10.3389/fcvm.2026.1771669","http://dx.doi.org/10.3389/fcvm.2026.1771669")</f>
        <v>8620</v>
      </c>
      <c r="BL363" t="s" s="0">
        <v>81</v>
      </c>
      <c r="BM363" t="s" s="0">
        <v>349</v>
      </c>
      <c r="BN363" t="s" s="0">
        <v>105</v>
      </c>
      <c r="BO363" t="s" s="0">
        <v>515</v>
      </c>
      <c r="BP363" t="s" s="0">
        <v>516</v>
      </c>
      <c r="BQ363" t="s" s="0">
        <v>8621</v>
      </c>
      <c r="BR363" t="s" s="0">
        <v>8622</v>
      </c>
      <c r="BS363" t="s" s="0">
        <v>8623</v>
      </c>
      <c r="BT363" t="s" s="723">
        <f>HYPERLINK("https://www.webofscience.com/wos/woscc/full-record/WOS:001744129000001","View Record in Web of Science")</f>
        <v>114</v>
      </c>
      <c r="BU363" t="s" s="0">
        <v>145</v>
      </c>
      <c r="BV363" t="s" s="0">
        <v>81</v>
      </c>
      <c r="BW363" t="s" s="0">
        <v>81</v>
      </c>
      <c r="BX363" t="s" s="0">
        <v>116</v>
      </c>
    </row>
    <row r="364">
      <c r="A364" t="s" s="0">
        <v>77</v>
      </c>
      <c r="B364" t="s" s="0">
        <v>77</v>
      </c>
      <c r="C364" t="s" s="0">
        <v>77</v>
      </c>
      <c r="D364" t="s" s="0">
        <v>77</v>
      </c>
      <c r="E364" t="s" s="0">
        <v>8624</v>
      </c>
      <c r="F364" t="s" s="0">
        <v>8625</v>
      </c>
      <c r="G364" t="s" s="0">
        <v>8626</v>
      </c>
      <c r="H364" t="s" s="0">
        <v>81</v>
      </c>
      <c r="I364" t="s" s="0">
        <v>82</v>
      </c>
      <c r="J364" t="s" s="0">
        <v>8627</v>
      </c>
      <c r="K364" t="s" s="0">
        <v>8628</v>
      </c>
      <c r="L364" t="s" s="0">
        <v>8629</v>
      </c>
      <c r="M364" t="s" s="0">
        <v>8630</v>
      </c>
      <c r="N364" t="s" s="0">
        <v>8631</v>
      </c>
      <c r="O364" t="s" s="0">
        <v>8632</v>
      </c>
      <c r="P364" t="s" s="0">
        <v>8633</v>
      </c>
      <c r="Q364" t="s" s="0">
        <v>90</v>
      </c>
      <c r="R364" t="s" s="0">
        <v>81</v>
      </c>
      <c r="S364" t="s" s="0">
        <v>81</v>
      </c>
      <c r="T364" t="s" s="0">
        <v>81</v>
      </c>
      <c r="U364" t="s" s="0">
        <v>81</v>
      </c>
      <c r="V364" t="s" s="0">
        <v>8634</v>
      </c>
      <c r="W364" t="s" s="0">
        <v>1563</v>
      </c>
      <c r="X364" t="s" s="0">
        <v>81</v>
      </c>
      <c r="Y364" t="s" s="0">
        <v>81</v>
      </c>
      <c r="Z364" t="s" s="0">
        <v>93</v>
      </c>
      <c r="AA364" t="s" s="0">
        <v>94</v>
      </c>
      <c r="AB364" t="s" s="0">
        <v>81</v>
      </c>
      <c r="AC364" t="s" s="0">
        <v>81</v>
      </c>
      <c r="AD364" t="s" s="0">
        <v>81</v>
      </c>
      <c r="AE364" t="s" s="0">
        <v>81</v>
      </c>
      <c r="AF364" t="s" s="0">
        <v>81</v>
      </c>
      <c r="AG364" t="s" s="0">
        <v>8635</v>
      </c>
      <c r="AH364" t="s" s="0">
        <v>81</v>
      </c>
      <c r="AI364" t="s" s="0">
        <v>81</v>
      </c>
      <c r="AJ364" t="s" s="0">
        <v>81</v>
      </c>
      <c r="AK364" t="s" s="0">
        <v>81</v>
      </c>
      <c r="AL364" t="s" s="0">
        <v>1487</v>
      </c>
      <c r="AM364" t="s" s="0">
        <v>77</v>
      </c>
      <c r="AN364" t="s" s="0">
        <v>117</v>
      </c>
      <c r="AO364" t="s" s="0">
        <v>131</v>
      </c>
      <c r="AP364" t="s" s="0">
        <v>129</v>
      </c>
      <c r="AQ364" t="s" s="0">
        <v>162</v>
      </c>
      <c r="AR364" t="s" s="0">
        <v>163</v>
      </c>
      <c r="AS364" t="s" s="0">
        <v>164</v>
      </c>
      <c r="AT364" t="s" s="0">
        <v>1569</v>
      </c>
      <c r="AU364" t="s" s="0">
        <v>1570</v>
      </c>
      <c r="AV364" t="s" s="0">
        <v>81</v>
      </c>
      <c r="AW364" t="s" s="0">
        <v>1571</v>
      </c>
      <c r="AX364" t="s" s="0">
        <v>1572</v>
      </c>
      <c r="AY364" t="s" s="0">
        <v>284</v>
      </c>
      <c r="AZ364" t="s" s="0">
        <v>104</v>
      </c>
      <c r="BA364" t="s" s="0">
        <v>846</v>
      </c>
      <c r="BB364" t="s" s="0">
        <v>227</v>
      </c>
      <c r="BC364" t="s" s="0">
        <v>81</v>
      </c>
      <c r="BD364" t="s" s="0">
        <v>81</v>
      </c>
      <c r="BE364" t="s" s="0">
        <v>81</v>
      </c>
      <c r="BF364" t="s" s="0">
        <v>81</v>
      </c>
      <c r="BG364" t="s" s="0">
        <v>8636</v>
      </c>
      <c r="BH364" t="s" s="0">
        <v>8637</v>
      </c>
      <c r="BI364" t="s" s="0">
        <v>81</v>
      </c>
      <c r="BJ364" t="s" s="0">
        <v>8638</v>
      </c>
      <c r="BK364" t="s" s="724">
        <f>HYPERLINK("http://dx.doi.org/10.1109/JBHI.2025.3600652","http://dx.doi.org/10.1109/JBHI.2025.3600652")</f>
        <v>8639</v>
      </c>
      <c r="BL364" t="s" s="0">
        <v>81</v>
      </c>
      <c r="BM364" t="s" s="0">
        <v>81</v>
      </c>
      <c r="BN364" t="s" s="0">
        <v>204</v>
      </c>
      <c r="BO364" t="s" s="0">
        <v>1577</v>
      </c>
      <c r="BP364" t="s" s="0">
        <v>1578</v>
      </c>
      <c r="BQ364" t="s" s="0">
        <v>8640</v>
      </c>
      <c r="BR364" t="s" s="0">
        <v>8641</v>
      </c>
      <c r="BS364" t="s" s="0">
        <v>8642</v>
      </c>
      <c r="BT364" t="s" s="725">
        <f>HYPERLINK("https://www.webofscience.com/wos/woscc/full-record/WOS:001708168300024","View Record in Web of Science")</f>
        <v>114</v>
      </c>
      <c r="BU364" t="s" s="0">
        <v>81</v>
      </c>
      <c r="BV364" t="s" s="0">
        <v>81</v>
      </c>
      <c r="BW364" t="s" s="0">
        <v>81</v>
      </c>
      <c r="BX364" t="s" s="0">
        <v>116</v>
      </c>
    </row>
    <row r="365">
      <c r="A365" t="s" s="0">
        <v>77</v>
      </c>
      <c r="B365" t="s" s="0">
        <v>77</v>
      </c>
      <c r="C365" t="s" s="0">
        <v>77</v>
      </c>
      <c r="D365" t="s" s="0">
        <v>77</v>
      </c>
      <c r="E365" t="s" s="0">
        <v>8643</v>
      </c>
      <c r="F365" t="s" s="0">
        <v>8644</v>
      </c>
      <c r="G365" t="s" s="0">
        <v>8645</v>
      </c>
      <c r="H365" t="s" s="0">
        <v>81</v>
      </c>
      <c r="I365" t="s" s="0">
        <v>82</v>
      </c>
      <c r="J365" t="s" s="0">
        <v>8646</v>
      </c>
      <c r="K365" t="s" s="0">
        <v>8647</v>
      </c>
      <c r="L365" t="s" s="0">
        <v>8648</v>
      </c>
      <c r="M365" t="s" s="0">
        <v>8649</v>
      </c>
      <c r="N365" t="s" s="0">
        <v>8650</v>
      </c>
      <c r="O365" t="s" s="0">
        <v>8651</v>
      </c>
      <c r="P365" t="s" s="0">
        <v>8652</v>
      </c>
      <c r="Q365" t="s" s="0">
        <v>90</v>
      </c>
      <c r="R365" t="s" s="0">
        <v>81</v>
      </c>
      <c r="S365" t="s" s="0">
        <v>81</v>
      </c>
      <c r="T365" t="s" s="0">
        <v>81</v>
      </c>
      <c r="U365" t="s" s="0">
        <v>81</v>
      </c>
      <c r="V365" t="s" s="0">
        <v>8653</v>
      </c>
      <c r="W365" t="s" s="0">
        <v>2197</v>
      </c>
      <c r="X365" t="s" s="0">
        <v>81</v>
      </c>
      <c r="Y365" t="s" s="0">
        <v>81</v>
      </c>
      <c r="Z365" t="s" s="0">
        <v>93</v>
      </c>
      <c r="AA365" t="s" s="0">
        <v>94</v>
      </c>
      <c r="AB365" t="s" s="0">
        <v>81</v>
      </c>
      <c r="AC365" t="s" s="0">
        <v>81</v>
      </c>
      <c r="AD365" t="s" s="0">
        <v>81</v>
      </c>
      <c r="AE365" t="s" s="0">
        <v>81</v>
      </c>
      <c r="AF365" t="s" s="0">
        <v>81</v>
      </c>
      <c r="AG365" t="s" s="0">
        <v>8654</v>
      </c>
      <c r="AH365" t="s" s="0">
        <v>8655</v>
      </c>
      <c r="AI365" t="s" s="0">
        <v>81</v>
      </c>
      <c r="AJ365" t="s" s="0">
        <v>81</v>
      </c>
      <c r="AK365" t="s" s="0">
        <v>81</v>
      </c>
      <c r="AL365" t="s" s="0">
        <v>318</v>
      </c>
      <c r="AM365" t="s" s="0">
        <v>77</v>
      </c>
      <c r="AN365" t="s" s="0">
        <v>77</v>
      </c>
      <c r="AO365" t="s" s="0">
        <v>117</v>
      </c>
      <c r="AP365" t="s" s="0">
        <v>117</v>
      </c>
      <c r="AQ365" t="s" s="0">
        <v>97</v>
      </c>
      <c r="AR365" t="s" s="0">
        <v>98</v>
      </c>
      <c r="AS365" t="s" s="0">
        <v>99</v>
      </c>
      <c r="AT365" t="s" s="0">
        <v>81</v>
      </c>
      <c r="AU365" t="s" s="0">
        <v>2200</v>
      </c>
      <c r="AV365" t="s" s="0">
        <v>81</v>
      </c>
      <c r="AW365" t="s" s="0">
        <v>2201</v>
      </c>
      <c r="AX365" t="s" s="0">
        <v>2202</v>
      </c>
      <c r="AY365" t="s" s="0">
        <v>8656</v>
      </c>
      <c r="AZ365" t="s" s="0">
        <v>104</v>
      </c>
      <c r="BA365" t="s" s="0">
        <v>167</v>
      </c>
      <c r="BB365" t="s" s="0">
        <v>81</v>
      </c>
      <c r="BC365" t="s" s="0">
        <v>81</v>
      </c>
      <c r="BD365" t="s" s="0">
        <v>81</v>
      </c>
      <c r="BE365" t="s" s="0">
        <v>81</v>
      </c>
      <c r="BF365" t="s" s="0">
        <v>81</v>
      </c>
      <c r="BG365" t="s" s="0">
        <v>81</v>
      </c>
      <c r="BH365" t="s" s="0">
        <v>81</v>
      </c>
      <c r="BI365" t="s" s="0">
        <v>8657</v>
      </c>
      <c r="BJ365" t="s" s="0">
        <v>8658</v>
      </c>
      <c r="BK365" t="s" s="726">
        <f>HYPERLINK("http://dx.doi.org/10.3389/fmed.2026.1791481","http://dx.doi.org/10.3389/fmed.2026.1791481")</f>
        <v>8659</v>
      </c>
      <c r="BL365" t="s" s="0">
        <v>81</v>
      </c>
      <c r="BM365" t="s" s="0">
        <v>81</v>
      </c>
      <c r="BN365" t="s" s="0">
        <v>228</v>
      </c>
      <c r="BO365" t="s" s="0">
        <v>486</v>
      </c>
      <c r="BP365" t="s" s="0">
        <v>487</v>
      </c>
      <c r="BQ365" t="s" s="0">
        <v>8660</v>
      </c>
      <c r="BR365" t="s" s="0">
        <v>8661</v>
      </c>
      <c r="BS365" t="s" s="0">
        <v>8662</v>
      </c>
      <c r="BT365" t="s" s="727">
        <f>HYPERLINK("https://www.webofscience.com/wos/woscc/full-record/WOS:001723992700001","View Record in Web of Science")</f>
        <v>114</v>
      </c>
      <c r="BU365" t="s" s="0">
        <v>145</v>
      </c>
      <c r="BV365" t="s" s="0">
        <v>81</v>
      </c>
      <c r="BW365" t="s" s="0">
        <v>81</v>
      </c>
      <c r="BX365" t="s" s="0">
        <v>116</v>
      </c>
    </row>
    <row r="366">
      <c r="A366" t="s" s="0">
        <v>117</v>
      </c>
      <c r="B366" t="s" s="0">
        <v>77</v>
      </c>
      <c r="C366" t="s" s="0">
        <v>131</v>
      </c>
      <c r="D366" t="s" s="0">
        <v>77</v>
      </c>
      <c r="E366" t="s" s="0">
        <v>8663</v>
      </c>
      <c r="F366" t="s" s="0">
        <v>8664</v>
      </c>
      <c r="G366" t="s" s="0">
        <v>8665</v>
      </c>
      <c r="H366" t="s" s="0">
        <v>81</v>
      </c>
      <c r="I366" t="s" s="0">
        <v>82</v>
      </c>
      <c r="J366" t="s" s="0">
        <v>8666</v>
      </c>
      <c r="K366" t="s" s="0">
        <v>8667</v>
      </c>
      <c r="L366" t="s" s="0">
        <v>8668</v>
      </c>
      <c r="M366" t="s" s="0">
        <v>8669</v>
      </c>
      <c r="N366" t="s" s="0">
        <v>8670</v>
      </c>
      <c r="O366" t="s" s="0">
        <v>8671</v>
      </c>
      <c r="P366" t="s" s="0">
        <v>8672</v>
      </c>
      <c r="Q366" t="s" s="0">
        <v>90</v>
      </c>
      <c r="R366" t="s" s="0">
        <v>81</v>
      </c>
      <c r="S366" t="s" s="0">
        <v>81</v>
      </c>
      <c r="T366" t="s" s="0">
        <v>81</v>
      </c>
      <c r="U366" t="s" s="0">
        <v>81</v>
      </c>
      <c r="V366" t="s" s="0">
        <v>8673</v>
      </c>
      <c r="W366" t="s" s="0">
        <v>8674</v>
      </c>
      <c r="X366" t="s" s="0">
        <v>81</v>
      </c>
      <c r="Y366" t="s" s="0">
        <v>81</v>
      </c>
      <c r="Z366" t="s" s="0">
        <v>93</v>
      </c>
      <c r="AA366" t="s" s="0">
        <v>94</v>
      </c>
      <c r="AB366" t="s" s="0">
        <v>81</v>
      </c>
      <c r="AC366" t="s" s="0">
        <v>81</v>
      </c>
      <c r="AD366" t="s" s="0">
        <v>81</v>
      </c>
      <c r="AE366" t="s" s="0">
        <v>81</v>
      </c>
      <c r="AF366" t="s" s="0">
        <v>81</v>
      </c>
      <c r="AG366" t="s" s="0">
        <v>8675</v>
      </c>
      <c r="AH366" t="s" s="0">
        <v>8676</v>
      </c>
      <c r="AI366" t="s" s="0">
        <v>8677</v>
      </c>
      <c r="AJ366" t="s" s="0">
        <v>8678</v>
      </c>
      <c r="AK366" t="s" s="0">
        <v>81</v>
      </c>
      <c r="AL366" t="s" s="0">
        <v>224</v>
      </c>
      <c r="AM366" t="s" s="0">
        <v>706</v>
      </c>
      <c r="AN366" t="s" s="0">
        <v>562</v>
      </c>
      <c r="AO366" t="s" s="0">
        <v>227</v>
      </c>
      <c r="AP366" t="s" s="0">
        <v>2178</v>
      </c>
      <c r="AQ366" t="s" s="0">
        <v>406</v>
      </c>
      <c r="AR366" t="s" s="0">
        <v>407</v>
      </c>
      <c r="AS366" t="s" s="0">
        <v>408</v>
      </c>
      <c r="AT366" t="s" s="0">
        <v>8679</v>
      </c>
      <c r="AU366" t="s" s="0">
        <v>8680</v>
      </c>
      <c r="AV366" t="s" s="0">
        <v>81</v>
      </c>
      <c r="AW366" t="s" s="0">
        <v>8681</v>
      </c>
      <c r="AX366" t="s" s="0">
        <v>8682</v>
      </c>
      <c r="AY366" t="s" s="0">
        <v>6406</v>
      </c>
      <c r="AZ366" t="s" s="0">
        <v>482</v>
      </c>
      <c r="BA366" t="s" s="0">
        <v>2965</v>
      </c>
      <c r="BB366" t="s" s="0">
        <v>81</v>
      </c>
      <c r="BC366" t="s" s="0">
        <v>81</v>
      </c>
      <c r="BD366" t="s" s="0">
        <v>81</v>
      </c>
      <c r="BE366" t="s" s="0">
        <v>81</v>
      </c>
      <c r="BF366" t="s" s="0">
        <v>81</v>
      </c>
      <c r="BG366" t="s" s="0">
        <v>81</v>
      </c>
      <c r="BH366" t="s" s="0">
        <v>81</v>
      </c>
      <c r="BI366" t="s" s="0">
        <v>8683</v>
      </c>
      <c r="BJ366" t="s" s="0">
        <v>8684</v>
      </c>
      <c r="BK366" t="s" s="728">
        <f>HYPERLINK("http://dx.doi.org/10.1016/j.media.2022.102465","http://dx.doi.org/10.1016/j.media.2022.102465")</f>
        <v>8685</v>
      </c>
      <c r="BL366" t="s" s="0">
        <v>81</v>
      </c>
      <c r="BM366" t="s" s="0">
        <v>8686</v>
      </c>
      <c r="BN366" t="s" s="0">
        <v>129</v>
      </c>
      <c r="BO366" t="s" s="0">
        <v>8687</v>
      </c>
      <c r="BP366" t="s" s="0">
        <v>8688</v>
      </c>
      <c r="BQ366" t="s" s="0">
        <v>8689</v>
      </c>
      <c r="BR366" t="s" s="0">
        <v>8690</v>
      </c>
      <c r="BS366" t="s" s="0">
        <v>8691</v>
      </c>
      <c r="BT366" t="s" s="729">
        <f>HYPERLINK("https://www.webofscience.com/wos/woscc/full-record/WOS:000806232300002","View Record in Web of Science")</f>
        <v>114</v>
      </c>
      <c r="BU366" t="s" s="0">
        <v>457</v>
      </c>
      <c r="BV366" t="s" s="0">
        <v>81</v>
      </c>
      <c r="BW366" t="s" s="0">
        <v>81</v>
      </c>
      <c r="BX366" t="s" s="0">
        <v>116</v>
      </c>
    </row>
    <row r="367">
      <c r="A367" t="s" s="0">
        <v>77</v>
      </c>
      <c r="B367" t="s" s="0">
        <v>77</v>
      </c>
      <c r="C367" t="s" s="0">
        <v>117</v>
      </c>
      <c r="D367" t="s" s="0">
        <v>77</v>
      </c>
      <c r="E367" t="s" s="0">
        <v>8692</v>
      </c>
      <c r="F367" t="s" s="0">
        <v>8693</v>
      </c>
      <c r="G367" t="s" s="0">
        <v>8694</v>
      </c>
      <c r="H367" t="s" s="0">
        <v>81</v>
      </c>
      <c r="I367" t="s" s="0">
        <v>82</v>
      </c>
      <c r="J367" t="s" s="0">
        <v>8695</v>
      </c>
      <c r="K367" t="s" s="0">
        <v>8696</v>
      </c>
      <c r="L367" t="s" s="0">
        <v>8697</v>
      </c>
      <c r="M367" t="s" s="0">
        <v>8698</v>
      </c>
      <c r="N367" t="s" s="0">
        <v>8699</v>
      </c>
      <c r="O367" t="s" s="0">
        <v>8700</v>
      </c>
      <c r="P367" t="s" s="0">
        <v>8701</v>
      </c>
      <c r="Q367" t="s" s="0">
        <v>90</v>
      </c>
      <c r="R367" t="s" s="0">
        <v>81</v>
      </c>
      <c r="S367" t="s" s="0">
        <v>81</v>
      </c>
      <c r="T367" t="s" s="0">
        <v>81</v>
      </c>
      <c r="U367" t="s" s="0">
        <v>81</v>
      </c>
      <c r="V367" t="s" s="0">
        <v>8702</v>
      </c>
      <c r="W367" t="s" s="0">
        <v>8703</v>
      </c>
      <c r="X367" t="s" s="0">
        <v>81</v>
      </c>
      <c r="Y367" t="s" s="0">
        <v>81</v>
      </c>
      <c r="Z367" t="s" s="0">
        <v>93</v>
      </c>
      <c r="AA367" t="s" s="0">
        <v>94</v>
      </c>
      <c r="AB367" t="s" s="0">
        <v>81</v>
      </c>
      <c r="AC367" t="s" s="0">
        <v>81</v>
      </c>
      <c r="AD367" t="s" s="0">
        <v>81</v>
      </c>
      <c r="AE367" t="s" s="0">
        <v>81</v>
      </c>
      <c r="AF367" t="s" s="0">
        <v>81</v>
      </c>
      <c r="AG367" t="s" s="0">
        <v>8704</v>
      </c>
      <c r="AH367" t="s" s="0">
        <v>8705</v>
      </c>
      <c r="AI367" t="s" s="0">
        <v>8706</v>
      </c>
      <c r="AJ367" t="s" s="0">
        <v>81</v>
      </c>
      <c r="AK367" t="s" s="0">
        <v>81</v>
      </c>
      <c r="AL367" t="s" s="0">
        <v>252</v>
      </c>
      <c r="AM367" t="s" s="0">
        <v>117</v>
      </c>
      <c r="AN367" t="s" s="0">
        <v>117</v>
      </c>
      <c r="AO367" t="s" s="0">
        <v>160</v>
      </c>
      <c r="AP367" t="s" s="0">
        <v>253</v>
      </c>
      <c r="AQ367" t="s" s="0">
        <v>338</v>
      </c>
      <c r="AR367" t="s" s="0">
        <v>339</v>
      </c>
      <c r="AS367" t="s" s="0">
        <v>340</v>
      </c>
      <c r="AT367" t="s" s="0">
        <v>81</v>
      </c>
      <c r="AU367" t="s" s="0">
        <v>8707</v>
      </c>
      <c r="AV367" t="s" s="0">
        <v>81</v>
      </c>
      <c r="AW367" t="s" s="0">
        <v>8708</v>
      </c>
      <c r="AX367" t="s" s="0">
        <v>8709</v>
      </c>
      <c r="AY367" t="s" s="0">
        <v>3838</v>
      </c>
      <c r="AZ367" t="s" s="0">
        <v>136</v>
      </c>
      <c r="BA367" t="s" s="0">
        <v>345</v>
      </c>
      <c r="BB367" t="s" s="0">
        <v>117</v>
      </c>
      <c r="BC367" t="s" s="0">
        <v>81</v>
      </c>
      <c r="BD367" t="s" s="0">
        <v>81</v>
      </c>
      <c r="BE367" t="s" s="0">
        <v>81</v>
      </c>
      <c r="BF367" t="s" s="0">
        <v>81</v>
      </c>
      <c r="BG367" t="s" s="0">
        <v>81</v>
      </c>
      <c r="BH367" t="s" s="0">
        <v>81</v>
      </c>
      <c r="BI367" t="s" s="0">
        <v>8710</v>
      </c>
      <c r="BJ367" t="s" s="0">
        <v>8711</v>
      </c>
      <c r="BK367" t="s" s="730">
        <f>HYPERLINK("http://dx.doi.org/10.1186/s12891-025-09160-3","http://dx.doi.org/10.1186/s12891-025-09160-3")</f>
        <v>8712</v>
      </c>
      <c r="BL367" t="s" s="0">
        <v>81</v>
      </c>
      <c r="BM367" t="s" s="0">
        <v>81</v>
      </c>
      <c r="BN367" t="s" s="0">
        <v>226</v>
      </c>
      <c r="BO367" t="s" s="0">
        <v>8713</v>
      </c>
      <c r="BP367" t="s" s="0">
        <v>8713</v>
      </c>
      <c r="BQ367" t="s" s="0">
        <v>8714</v>
      </c>
      <c r="BR367" t="s" s="0">
        <v>8715</v>
      </c>
      <c r="BS367" t="s" s="0">
        <v>8716</v>
      </c>
      <c r="BT367" t="s" s="731">
        <f>HYPERLINK("https://www.webofscience.com/wos/woscc/full-record/WOS:001586143600002","View Record in Web of Science")</f>
        <v>114</v>
      </c>
      <c r="BU367" t="s" s="0">
        <v>145</v>
      </c>
      <c r="BV367" t="s" s="0">
        <v>81</v>
      </c>
      <c r="BW367" t="s" s="0">
        <v>81</v>
      </c>
      <c r="BX367" t="s" s="0">
        <v>116</v>
      </c>
    </row>
    <row r="368">
      <c r="A368" t="s" s="0">
        <v>77</v>
      </c>
      <c r="B368" t="s" s="0">
        <v>77</v>
      </c>
      <c r="C368" t="s" s="0">
        <v>117</v>
      </c>
      <c r="D368" t="s" s="0">
        <v>77</v>
      </c>
      <c r="E368" t="s" s="0">
        <v>8717</v>
      </c>
      <c r="F368" t="s" s="0">
        <v>8718</v>
      </c>
      <c r="G368" t="s" s="0">
        <v>8719</v>
      </c>
      <c r="H368" t="s" s="0">
        <v>81</v>
      </c>
      <c r="I368" t="s" s="0">
        <v>82</v>
      </c>
      <c r="J368" t="s" s="0">
        <v>8720</v>
      </c>
      <c r="K368" t="s" s="0">
        <v>8721</v>
      </c>
      <c r="L368" t="s" s="0">
        <v>81</v>
      </c>
      <c r="M368" t="s" s="0">
        <v>81</v>
      </c>
      <c r="N368" t="s" s="0">
        <v>81</v>
      </c>
      <c r="O368" t="s" s="0">
        <v>8722</v>
      </c>
      <c r="P368" t="s" s="0">
        <v>8723</v>
      </c>
      <c r="Q368" t="s" s="0">
        <v>90</v>
      </c>
      <c r="R368" t="s" s="0">
        <v>81</v>
      </c>
      <c r="S368" t="s" s="0">
        <v>81</v>
      </c>
      <c r="T368" t="s" s="0">
        <v>81</v>
      </c>
      <c r="U368" t="s" s="0">
        <v>81</v>
      </c>
      <c r="V368" t="s" s="0">
        <v>8724</v>
      </c>
      <c r="W368" t="s" s="0">
        <v>8725</v>
      </c>
      <c r="X368" t="s" s="0">
        <v>81</v>
      </c>
      <c r="Y368" t="s" s="0">
        <v>81</v>
      </c>
      <c r="Z368" t="s" s="0">
        <v>93</v>
      </c>
      <c r="AA368" t="s" s="0">
        <v>94</v>
      </c>
      <c r="AB368" t="s" s="0">
        <v>81</v>
      </c>
      <c r="AC368" t="s" s="0">
        <v>81</v>
      </c>
      <c r="AD368" t="s" s="0">
        <v>81</v>
      </c>
      <c r="AE368" t="s" s="0">
        <v>81</v>
      </c>
      <c r="AF368" t="s" s="0">
        <v>81</v>
      </c>
      <c r="AG368" t="s" s="0">
        <v>8726</v>
      </c>
      <c r="AH368" t="s" s="0">
        <v>8727</v>
      </c>
      <c r="AI368" t="s" s="0">
        <v>8728</v>
      </c>
      <c r="AJ368" t="s" s="0">
        <v>8729</v>
      </c>
      <c r="AK368" t="s" s="0">
        <v>81</v>
      </c>
      <c r="AL368" t="s" s="0">
        <v>706</v>
      </c>
      <c r="AM368" t="s" s="0">
        <v>227</v>
      </c>
      <c r="AN368" t="s" s="0">
        <v>227</v>
      </c>
      <c r="AO368" t="s" s="0">
        <v>77</v>
      </c>
      <c r="AP368" t="s" s="0">
        <v>227</v>
      </c>
      <c r="AQ368" t="s" s="0">
        <v>930</v>
      </c>
      <c r="AR368" t="s" s="0">
        <v>931</v>
      </c>
      <c r="AS368" t="s" s="0">
        <v>932</v>
      </c>
      <c r="AT368" t="s" s="0">
        <v>8730</v>
      </c>
      <c r="AU368" t="s" s="0">
        <v>8731</v>
      </c>
      <c r="AV368" t="s" s="0">
        <v>81</v>
      </c>
      <c r="AW368" t="s" s="0">
        <v>8732</v>
      </c>
      <c r="AX368" t="s" s="0">
        <v>8733</v>
      </c>
      <c r="AY368" t="s" s="0">
        <v>1080</v>
      </c>
      <c r="AZ368" t="s" s="0">
        <v>136</v>
      </c>
      <c r="BA368" t="s" s="0">
        <v>252</v>
      </c>
      <c r="BB368" t="s" s="0">
        <v>253</v>
      </c>
      <c r="BC368" t="s" s="0">
        <v>81</v>
      </c>
      <c r="BD368" t="s" s="0">
        <v>81</v>
      </c>
      <c r="BE368" t="s" s="0">
        <v>81</v>
      </c>
      <c r="BF368" t="s" s="0">
        <v>81</v>
      </c>
      <c r="BG368" t="s" s="0">
        <v>81</v>
      </c>
      <c r="BH368" t="s" s="0">
        <v>81</v>
      </c>
      <c r="BI368" t="s" s="0">
        <v>8734</v>
      </c>
      <c r="BJ368" t="s" s="0">
        <v>8735</v>
      </c>
      <c r="BK368" t="s" s="732">
        <f>HYPERLINK("http://dx.doi.org/10.1097/RTI.0000000000000831","http://dx.doi.org/10.1097/RTI.0000000000000831")</f>
        <v>8736</v>
      </c>
      <c r="BL368" t="s" s="0">
        <v>81</v>
      </c>
      <c r="BM368" t="s" s="0">
        <v>81</v>
      </c>
      <c r="BN368" t="s" s="0">
        <v>225</v>
      </c>
      <c r="BO368" t="s" s="0">
        <v>1881</v>
      </c>
      <c r="BP368" t="s" s="0">
        <v>1881</v>
      </c>
      <c r="BQ368" t="s" s="0">
        <v>8737</v>
      </c>
      <c r="BR368" t="s" s="0">
        <v>8738</v>
      </c>
      <c r="BS368" t="s" s="0">
        <v>8739</v>
      </c>
      <c r="BT368" t="s" s="733">
        <f>HYPERLINK("https://www.webofscience.com/wos/woscc/full-record/WOS:001555619000004","View Record in Web of Science")</f>
        <v>114</v>
      </c>
      <c r="BU368" t="s" s="0">
        <v>81</v>
      </c>
      <c r="BV368" t="s" s="0">
        <v>81</v>
      </c>
      <c r="BW368" t="s" s="0">
        <v>81</v>
      </c>
      <c r="BX368" t="s" s="0">
        <v>116</v>
      </c>
    </row>
    <row r="369">
      <c r="A369" t="s" s="0">
        <v>77</v>
      </c>
      <c r="B369" t="s" s="0">
        <v>77</v>
      </c>
      <c r="C369" t="s" s="0">
        <v>77</v>
      </c>
      <c r="D369" t="s" s="0">
        <v>77</v>
      </c>
      <c r="E369" t="s" s="0">
        <v>8740</v>
      </c>
      <c r="F369" t="s" s="0">
        <v>8741</v>
      </c>
      <c r="G369" t="s" s="0">
        <v>8742</v>
      </c>
      <c r="H369" t="s" s="0">
        <v>81</v>
      </c>
      <c r="I369" t="s" s="0">
        <v>82</v>
      </c>
      <c r="J369" t="s" s="0">
        <v>8743</v>
      </c>
      <c r="K369" t="s" s="0">
        <v>8744</v>
      </c>
      <c r="L369" t="s" s="0">
        <v>8745</v>
      </c>
      <c r="M369" t="s" s="0">
        <v>8746</v>
      </c>
      <c r="N369" t="s" s="0">
        <v>8747</v>
      </c>
      <c r="O369" t="s" s="0">
        <v>8748</v>
      </c>
      <c r="P369" t="s" s="0">
        <v>8749</v>
      </c>
      <c r="Q369" t="s" s="0">
        <v>90</v>
      </c>
      <c r="R369" t="s" s="0">
        <v>81</v>
      </c>
      <c r="S369" t="s" s="0">
        <v>81</v>
      </c>
      <c r="T369" t="s" s="0">
        <v>81</v>
      </c>
      <c r="U369" t="s" s="0">
        <v>81</v>
      </c>
      <c r="V369" t="s" s="0">
        <v>8750</v>
      </c>
      <c r="W369" t="s" s="0">
        <v>271</v>
      </c>
      <c r="X369" t="s" s="0">
        <v>81</v>
      </c>
      <c r="Y369" t="s" s="0">
        <v>81</v>
      </c>
      <c r="Z369" t="s" s="0">
        <v>93</v>
      </c>
      <c r="AA369" t="s" s="0">
        <v>94</v>
      </c>
      <c r="AB369" t="s" s="0">
        <v>81</v>
      </c>
      <c r="AC369" t="s" s="0">
        <v>81</v>
      </c>
      <c r="AD369" t="s" s="0">
        <v>81</v>
      </c>
      <c r="AE369" t="s" s="0">
        <v>81</v>
      </c>
      <c r="AF369" t="s" s="0">
        <v>81</v>
      </c>
      <c r="AG369" t="s" s="0">
        <v>8751</v>
      </c>
      <c r="AH369" t="s" s="0">
        <v>8752</v>
      </c>
      <c r="AI369" t="s" s="0">
        <v>8753</v>
      </c>
      <c r="AJ369" t="s" s="0">
        <v>81</v>
      </c>
      <c r="AK369" t="s" s="0">
        <v>81</v>
      </c>
      <c r="AL369" t="s" s="0">
        <v>252</v>
      </c>
      <c r="AM369" t="s" s="0">
        <v>77</v>
      </c>
      <c r="AN369" t="s" s="0">
        <v>77</v>
      </c>
      <c r="AO369" t="s" s="0">
        <v>130</v>
      </c>
      <c r="AP369" t="s" s="0">
        <v>130</v>
      </c>
      <c r="AQ369" t="s" s="0">
        <v>274</v>
      </c>
      <c r="AR369" t="s" s="0">
        <v>275</v>
      </c>
      <c r="AS369" t="s" s="0">
        <v>276</v>
      </c>
      <c r="AT369" t="s" s="0">
        <v>277</v>
      </c>
      <c r="AU369" t="s" s="0">
        <v>81</v>
      </c>
      <c r="AV369" t="s" s="0">
        <v>81</v>
      </c>
      <c r="AW369" t="s" s="0">
        <v>278</v>
      </c>
      <c r="AX369" t="s" s="0">
        <v>279</v>
      </c>
      <c r="AY369" t="s" s="0">
        <v>8754</v>
      </c>
      <c r="AZ369" t="s" s="0">
        <v>104</v>
      </c>
      <c r="BA369" t="s" s="0">
        <v>137</v>
      </c>
      <c r="BB369" t="s" s="0">
        <v>117</v>
      </c>
      <c r="BC369" t="s" s="0">
        <v>81</v>
      </c>
      <c r="BD369" t="s" s="0">
        <v>81</v>
      </c>
      <c r="BE369" t="s" s="0">
        <v>81</v>
      </c>
      <c r="BF369" t="s" s="0">
        <v>81</v>
      </c>
      <c r="BG369" t="s" s="0">
        <v>81</v>
      </c>
      <c r="BH369" t="s" s="0">
        <v>81</v>
      </c>
      <c r="BI369" t="s" s="0">
        <v>8755</v>
      </c>
      <c r="BJ369" t="s" s="0">
        <v>8756</v>
      </c>
      <c r="BK369" t="s" s="734">
        <f>HYPERLINK("http://dx.doi.org/10.1038/s41598-026-38687-1","http://dx.doi.org/10.1038/s41598-026-38687-1")</f>
        <v>8757</v>
      </c>
      <c r="BL369" t="s" s="0">
        <v>81</v>
      </c>
      <c r="BM369" t="s" s="0">
        <v>81</v>
      </c>
      <c r="BN369" t="s" s="0">
        <v>204</v>
      </c>
      <c r="BO369" t="s" s="0">
        <v>285</v>
      </c>
      <c r="BP369" t="s" s="0">
        <v>286</v>
      </c>
      <c r="BQ369" t="s" s="0">
        <v>8758</v>
      </c>
      <c r="BR369" t="s" s="0">
        <v>8759</v>
      </c>
      <c r="BS369" t="s" s="0">
        <v>8760</v>
      </c>
      <c r="BT369" t="s" s="735">
        <f>HYPERLINK("https://www.webofscience.com/wos/woscc/full-record/WOS:001724057900009","View Record in Web of Science")</f>
        <v>114</v>
      </c>
      <c r="BU369" t="s" s="0">
        <v>8761</v>
      </c>
      <c r="BV369" t="s" s="0">
        <v>81</v>
      </c>
      <c r="BW369" t="s" s="0">
        <v>81</v>
      </c>
      <c r="BX369" t="s" s="0">
        <v>116</v>
      </c>
    </row>
    <row r="370">
      <c r="A370" t="s" s="0">
        <v>77</v>
      </c>
      <c r="B370" t="s" s="0">
        <v>77</v>
      </c>
      <c r="C370" t="s" s="0">
        <v>117</v>
      </c>
      <c r="D370" t="s" s="0">
        <v>77</v>
      </c>
      <c r="E370" t="s" s="0">
        <v>8762</v>
      </c>
      <c r="F370" t="s" s="0">
        <v>8763</v>
      </c>
      <c r="G370" t="s" s="0">
        <v>8764</v>
      </c>
      <c r="H370" t="s" s="0">
        <v>81</v>
      </c>
      <c r="I370" t="s" s="0">
        <v>82</v>
      </c>
      <c r="J370" t="s" s="0">
        <v>8765</v>
      </c>
      <c r="K370" t="s" s="0">
        <v>8766</v>
      </c>
      <c r="L370" t="s" s="0">
        <v>8767</v>
      </c>
      <c r="M370" t="s" s="0">
        <v>8768</v>
      </c>
      <c r="N370" t="s" s="0">
        <v>8769</v>
      </c>
      <c r="O370" t="s" s="0">
        <v>8770</v>
      </c>
      <c r="P370" t="s" s="0">
        <v>8771</v>
      </c>
      <c r="Q370" t="s" s="0">
        <v>90</v>
      </c>
      <c r="R370" t="s" s="0">
        <v>81</v>
      </c>
      <c r="S370" t="s" s="0">
        <v>81</v>
      </c>
      <c r="T370" t="s" s="0">
        <v>81</v>
      </c>
      <c r="U370" t="s" s="0">
        <v>81</v>
      </c>
      <c r="V370" t="s" s="0">
        <v>8772</v>
      </c>
      <c r="W370" t="s" s="0">
        <v>8773</v>
      </c>
      <c r="X370" t="s" s="0">
        <v>81</v>
      </c>
      <c r="Y370" t="s" s="0">
        <v>81</v>
      </c>
      <c r="Z370" t="s" s="0">
        <v>93</v>
      </c>
      <c r="AA370" t="s" s="0">
        <v>94</v>
      </c>
      <c r="AB370" t="s" s="0">
        <v>81</v>
      </c>
      <c r="AC370" t="s" s="0">
        <v>81</v>
      </c>
      <c r="AD370" t="s" s="0">
        <v>81</v>
      </c>
      <c r="AE370" t="s" s="0">
        <v>81</v>
      </c>
      <c r="AF370" t="s" s="0">
        <v>81</v>
      </c>
      <c r="AG370" t="s" s="0">
        <v>81</v>
      </c>
      <c r="AH370" t="s" s="0">
        <v>81</v>
      </c>
      <c r="AI370" t="s" s="0">
        <v>8774</v>
      </c>
      <c r="AJ370" t="s" s="0">
        <v>8775</v>
      </c>
      <c r="AK370" t="s" s="0">
        <v>81</v>
      </c>
      <c r="AL370" t="s" s="0">
        <v>475</v>
      </c>
      <c r="AM370" t="s" s="0">
        <v>130</v>
      </c>
      <c r="AN370" t="s" s="0">
        <v>130</v>
      </c>
      <c r="AO370" t="s" s="0">
        <v>77</v>
      </c>
      <c r="AP370" t="s" s="0">
        <v>227</v>
      </c>
      <c r="AQ370" t="s" s="0">
        <v>738</v>
      </c>
      <c r="AR370" t="s" s="0">
        <v>306</v>
      </c>
      <c r="AS370" t="s" s="0">
        <v>739</v>
      </c>
      <c r="AT370" t="s" s="0">
        <v>8776</v>
      </c>
      <c r="AU370" t="s" s="0">
        <v>8777</v>
      </c>
      <c r="AV370" t="s" s="0">
        <v>81</v>
      </c>
      <c r="AW370" t="s" s="0">
        <v>8773</v>
      </c>
      <c r="AX370" t="s" s="0">
        <v>8778</v>
      </c>
      <c r="AY370" t="s" s="0">
        <v>8779</v>
      </c>
      <c r="AZ370" t="s" s="0">
        <v>1519</v>
      </c>
      <c r="BA370" t="s" s="0">
        <v>1067</v>
      </c>
      <c r="BB370" t="s" s="0">
        <v>161</v>
      </c>
      <c r="BC370" t="s" s="0">
        <v>81</v>
      </c>
      <c r="BD370" t="s" s="0">
        <v>81</v>
      </c>
      <c r="BE370" t="s" s="0">
        <v>81</v>
      </c>
      <c r="BF370" t="s" s="0">
        <v>81</v>
      </c>
      <c r="BG370" t="s" s="0">
        <v>81</v>
      </c>
      <c r="BH370" t="s" s="0">
        <v>81</v>
      </c>
      <c r="BI370" t="s" s="0">
        <v>8780</v>
      </c>
      <c r="BJ370" t="s" s="0">
        <v>8781</v>
      </c>
      <c r="BK370" t="s" s="736">
        <f>HYPERLINK("http://dx.doi.org/10.1093/bioinformatics/btad420","http://dx.doi.org/10.1093/bioinformatics/btad420")</f>
        <v>8782</v>
      </c>
      <c r="BL370" t="s" s="0">
        <v>81</v>
      </c>
      <c r="BM370" t="s" s="0">
        <v>81</v>
      </c>
      <c r="BN370" t="s" s="0">
        <v>227</v>
      </c>
      <c r="BO370" t="s" s="0">
        <v>8783</v>
      </c>
      <c r="BP370" t="s" s="0">
        <v>8784</v>
      </c>
      <c r="BQ370" t="s" s="0">
        <v>8785</v>
      </c>
      <c r="BR370" t="s" s="0">
        <v>8786</v>
      </c>
      <c r="BS370" t="s" s="0">
        <v>8787</v>
      </c>
      <c r="BT370" t="s" s="737">
        <f>HYPERLINK("https://www.webofscience.com/wos/woscc/full-record/WOS:001027902500002","View Record in Web of Science")</f>
        <v>114</v>
      </c>
      <c r="BU370" t="s" s="0">
        <v>145</v>
      </c>
      <c r="BV370" t="s" s="0">
        <v>81</v>
      </c>
      <c r="BW370" t="s" s="0">
        <v>81</v>
      </c>
      <c r="BX370" t="s" s="0">
        <v>116</v>
      </c>
    </row>
    <row r="371">
      <c r="A371" t="s" s="0">
        <v>77</v>
      </c>
      <c r="B371" t="s" s="0">
        <v>77</v>
      </c>
      <c r="C371" t="s" s="0">
        <v>77</v>
      </c>
      <c r="D371" t="s" s="0">
        <v>77</v>
      </c>
      <c r="E371" t="s" s="0">
        <v>8788</v>
      </c>
      <c r="F371" t="s" s="0">
        <v>8789</v>
      </c>
      <c r="G371" t="s" s="0">
        <v>8790</v>
      </c>
      <c r="H371" t="s" s="0">
        <v>81</v>
      </c>
      <c r="I371" t="s" s="0">
        <v>82</v>
      </c>
      <c r="J371" t="s" s="0">
        <v>8791</v>
      </c>
      <c r="K371" t="s" s="0">
        <v>8792</v>
      </c>
      <c r="L371" t="s" s="0">
        <v>8793</v>
      </c>
      <c r="M371" t="s" s="0">
        <v>8794</v>
      </c>
      <c r="N371" t="s" s="0">
        <v>8795</v>
      </c>
      <c r="O371" t="s" s="0">
        <v>8796</v>
      </c>
      <c r="P371" t="s" s="0">
        <v>8797</v>
      </c>
      <c r="Q371" t="s" s="0">
        <v>90</v>
      </c>
      <c r="R371" t="s" s="0">
        <v>81</v>
      </c>
      <c r="S371" t="s" s="0">
        <v>81</v>
      </c>
      <c r="T371" t="s" s="0">
        <v>81</v>
      </c>
      <c r="U371" t="s" s="0">
        <v>81</v>
      </c>
      <c r="V371" t="s" s="0">
        <v>8798</v>
      </c>
      <c r="W371" t="s" s="0">
        <v>3455</v>
      </c>
      <c r="X371" t="s" s="0">
        <v>81</v>
      </c>
      <c r="Y371" t="s" s="0">
        <v>81</v>
      </c>
      <c r="Z371" t="s" s="0">
        <v>93</v>
      </c>
      <c r="AA371" t="s" s="0">
        <v>94</v>
      </c>
      <c r="AB371" t="s" s="0">
        <v>81</v>
      </c>
      <c r="AC371" t="s" s="0">
        <v>81</v>
      </c>
      <c r="AD371" t="s" s="0">
        <v>81</v>
      </c>
      <c r="AE371" t="s" s="0">
        <v>81</v>
      </c>
      <c r="AF371" t="s" s="0">
        <v>81</v>
      </c>
      <c r="AG371" t="s" s="0">
        <v>8799</v>
      </c>
      <c r="AH371" t="s" s="0">
        <v>2621</v>
      </c>
      <c r="AI371" t="s" s="0">
        <v>81</v>
      </c>
      <c r="AJ371" t="s" s="0">
        <v>8800</v>
      </c>
      <c r="AK371" t="s" s="0">
        <v>81</v>
      </c>
      <c r="AL371" t="s" s="0">
        <v>541</v>
      </c>
      <c r="AM371" t="s" s="0">
        <v>77</v>
      </c>
      <c r="AN371" t="s" s="0">
        <v>77</v>
      </c>
      <c r="AO371" t="s" s="0">
        <v>130</v>
      </c>
      <c r="AP371" t="s" s="0">
        <v>225</v>
      </c>
      <c r="AQ371" t="s" s="0">
        <v>565</v>
      </c>
      <c r="AR371" t="s" s="0">
        <v>566</v>
      </c>
      <c r="AS371" t="s" s="0">
        <v>567</v>
      </c>
      <c r="AT371" t="s" s="0">
        <v>3460</v>
      </c>
      <c r="AU371" t="s" s="0">
        <v>3461</v>
      </c>
      <c r="AV371" t="s" s="0">
        <v>81</v>
      </c>
      <c r="AW371" t="s" s="0">
        <v>3462</v>
      </c>
      <c r="AX371" t="s" s="0">
        <v>3463</v>
      </c>
      <c r="AY371" t="s" s="0">
        <v>450</v>
      </c>
      <c r="AZ371" t="s" s="0">
        <v>136</v>
      </c>
      <c r="BA371" t="s" s="0">
        <v>7327</v>
      </c>
      <c r="BB371" t="s" s="0">
        <v>81</v>
      </c>
      <c r="BC371" t="s" s="0">
        <v>81</v>
      </c>
      <c r="BD371" t="s" s="0">
        <v>81</v>
      </c>
      <c r="BE371" t="s" s="0">
        <v>81</v>
      </c>
      <c r="BF371" t="s" s="0">
        <v>81</v>
      </c>
      <c r="BG371" t="s" s="0">
        <v>81</v>
      </c>
      <c r="BH371" t="s" s="0">
        <v>81</v>
      </c>
      <c r="BI371" t="s" s="0">
        <v>8801</v>
      </c>
      <c r="BJ371" t="s" s="0">
        <v>8802</v>
      </c>
      <c r="BK371" t="s" s="738">
        <f>HYPERLINK("http://dx.doi.org/10.1016/j.ejrad.2025.112377","http://dx.doi.org/10.1016/j.ejrad.2025.112377")</f>
        <v>8803</v>
      </c>
      <c r="BL371" t="s" s="0">
        <v>81</v>
      </c>
      <c r="BM371" t="s" s="0">
        <v>632</v>
      </c>
      <c r="BN371" t="s" s="0">
        <v>226</v>
      </c>
      <c r="BO371" t="s" s="0">
        <v>1881</v>
      </c>
      <c r="BP371" t="s" s="0">
        <v>1881</v>
      </c>
      <c r="BQ371" t="s" s="0">
        <v>8804</v>
      </c>
      <c r="BR371" t="s" s="0">
        <v>8805</v>
      </c>
      <c r="BS371" t="s" s="0">
        <v>8806</v>
      </c>
      <c r="BT371" t="s" s="739">
        <f>HYPERLINK("https://www.webofscience.com/wos/woscc/full-record/WOS:001561228200001","View Record in Web of Science")</f>
        <v>114</v>
      </c>
      <c r="BU371" t="s" s="0">
        <v>81</v>
      </c>
      <c r="BV371" t="s" s="0">
        <v>81</v>
      </c>
      <c r="BW371" t="s" s="0">
        <v>81</v>
      </c>
      <c r="BX371" t="s" s="0">
        <v>116</v>
      </c>
    </row>
    <row r="372">
      <c r="A372" t="s" s="0">
        <v>77</v>
      </c>
      <c r="B372" t="s" s="0">
        <v>77</v>
      </c>
      <c r="C372" t="s" s="0">
        <v>77</v>
      </c>
      <c r="D372" t="s" s="0">
        <v>77</v>
      </c>
      <c r="E372" t="s" s="0">
        <v>8807</v>
      </c>
      <c r="F372" t="s" s="0">
        <v>8808</v>
      </c>
      <c r="G372" t="s" s="0">
        <v>8809</v>
      </c>
      <c r="H372" t="s" s="0">
        <v>81</v>
      </c>
      <c r="I372" t="s" s="0">
        <v>82</v>
      </c>
      <c r="J372" t="s" s="0">
        <v>8810</v>
      </c>
      <c r="K372" t="s" s="0">
        <v>8811</v>
      </c>
      <c r="L372" t="s" s="0">
        <v>81</v>
      </c>
      <c r="M372" t="s" s="0">
        <v>81</v>
      </c>
      <c r="N372" t="s" s="0">
        <v>81</v>
      </c>
      <c r="O372" t="s" s="0">
        <v>8812</v>
      </c>
      <c r="P372" t="s" s="0">
        <v>8813</v>
      </c>
      <c r="Q372" t="s" s="0">
        <v>90</v>
      </c>
      <c r="R372" t="s" s="0">
        <v>81</v>
      </c>
      <c r="S372" t="s" s="0">
        <v>81</v>
      </c>
      <c r="T372" t="s" s="0">
        <v>81</v>
      </c>
      <c r="U372" t="s" s="0">
        <v>81</v>
      </c>
      <c r="V372" t="s" s="0">
        <v>8814</v>
      </c>
      <c r="W372" t="s" s="0">
        <v>5801</v>
      </c>
      <c r="X372" t="s" s="0">
        <v>81</v>
      </c>
      <c r="Y372" t="s" s="0">
        <v>81</v>
      </c>
      <c r="Z372" t="s" s="0">
        <v>93</v>
      </c>
      <c r="AA372" t="s" s="0">
        <v>94</v>
      </c>
      <c r="AB372" t="s" s="0">
        <v>81</v>
      </c>
      <c r="AC372" t="s" s="0">
        <v>81</v>
      </c>
      <c r="AD372" t="s" s="0">
        <v>81</v>
      </c>
      <c r="AE372" t="s" s="0">
        <v>81</v>
      </c>
      <c r="AF372" t="s" s="0">
        <v>81</v>
      </c>
      <c r="AG372" t="s" s="0">
        <v>8815</v>
      </c>
      <c r="AH372" t="s" s="0">
        <v>8816</v>
      </c>
      <c r="AI372" t="s" s="0">
        <v>81</v>
      </c>
      <c r="AJ372" t="s" s="0">
        <v>81</v>
      </c>
      <c r="AK372" t="s" s="0">
        <v>81</v>
      </c>
      <c r="AL372" t="s" s="0">
        <v>798</v>
      </c>
      <c r="AM372" t="s" s="0">
        <v>77</v>
      </c>
      <c r="AN372" t="s" s="0">
        <v>77</v>
      </c>
      <c r="AO372" t="s" s="0">
        <v>77</v>
      </c>
      <c r="AP372" t="s" s="0">
        <v>77</v>
      </c>
      <c r="AQ372" t="s" s="0">
        <v>338</v>
      </c>
      <c r="AR372" t="s" s="0">
        <v>339</v>
      </c>
      <c r="AS372" t="s" s="0">
        <v>340</v>
      </c>
      <c r="AT372" t="s" s="0">
        <v>5804</v>
      </c>
      <c r="AU372" t="s" s="0">
        <v>81</v>
      </c>
      <c r="AV372" t="s" s="0">
        <v>81</v>
      </c>
      <c r="AW372" t="s" s="0">
        <v>5805</v>
      </c>
      <c r="AX372" t="s" s="0">
        <v>5806</v>
      </c>
      <c r="AY372" t="s" s="0">
        <v>6036</v>
      </c>
      <c r="AZ372" t="s" s="0">
        <v>104</v>
      </c>
      <c r="BA372" t="s" s="0">
        <v>345</v>
      </c>
      <c r="BB372" t="s" s="0">
        <v>117</v>
      </c>
      <c r="BC372" t="s" s="0">
        <v>81</v>
      </c>
      <c r="BD372" t="s" s="0">
        <v>81</v>
      </c>
      <c r="BE372" t="s" s="0">
        <v>81</v>
      </c>
      <c r="BF372" t="s" s="0">
        <v>81</v>
      </c>
      <c r="BG372" t="s" s="0">
        <v>81</v>
      </c>
      <c r="BH372" t="s" s="0">
        <v>81</v>
      </c>
      <c r="BI372" t="s" s="0">
        <v>3947</v>
      </c>
      <c r="BJ372" t="s" s="0">
        <v>8817</v>
      </c>
      <c r="BK372" t="s" s="740">
        <f>HYPERLINK("http://dx.doi.org/10.1186/s12880-026-02312-4","http://dx.doi.org/10.1186/s12880-026-02312-4")</f>
        <v>8818</v>
      </c>
      <c r="BL372" t="s" s="0">
        <v>81</v>
      </c>
      <c r="BM372" t="s" s="0">
        <v>349</v>
      </c>
      <c r="BN372" t="s" s="0">
        <v>204</v>
      </c>
      <c r="BO372" t="s" s="0">
        <v>1881</v>
      </c>
      <c r="BP372" t="s" s="0">
        <v>1881</v>
      </c>
      <c r="BQ372" t="s" s="0">
        <v>8819</v>
      </c>
      <c r="BR372" t="s" s="0">
        <v>8820</v>
      </c>
      <c r="BS372" t="s" s="0">
        <v>8821</v>
      </c>
      <c r="BT372" t="s" s="741">
        <f>HYPERLINK("https://www.webofscience.com/wos/woscc/full-record/WOS:001770812600001","View Record in Web of Science")</f>
        <v>114</v>
      </c>
      <c r="BU372" t="s" s="0">
        <v>145</v>
      </c>
      <c r="BV372" t="s" s="0">
        <v>81</v>
      </c>
      <c r="BW372" t="s" s="0">
        <v>81</v>
      </c>
      <c r="BX372" t="s" s="0">
        <v>116</v>
      </c>
    </row>
    <row r="373">
      <c r="A373" t="s" s="0">
        <v>77</v>
      </c>
      <c r="B373" t="s" s="0">
        <v>77</v>
      </c>
      <c r="C373" t="s" s="0">
        <v>77</v>
      </c>
      <c r="D373" t="s" s="0">
        <v>77</v>
      </c>
      <c r="E373" t="s" s="0">
        <v>8822</v>
      </c>
      <c r="F373" t="s" s="0">
        <v>8823</v>
      </c>
      <c r="G373" t="s" s="0">
        <v>8824</v>
      </c>
      <c r="H373" t="s" s="0">
        <v>81</v>
      </c>
      <c r="I373" t="s" s="0">
        <v>82</v>
      </c>
      <c r="J373" t="s" s="0">
        <v>8825</v>
      </c>
      <c r="K373" t="s" s="0">
        <v>8826</v>
      </c>
      <c r="L373" t="s" s="0">
        <v>81</v>
      </c>
      <c r="M373" t="s" s="0">
        <v>81</v>
      </c>
      <c r="N373" t="s" s="0">
        <v>81</v>
      </c>
      <c r="O373" t="s" s="0">
        <v>8827</v>
      </c>
      <c r="P373" t="s" s="0">
        <v>8828</v>
      </c>
      <c r="Q373" t="s" s="0">
        <v>90</v>
      </c>
      <c r="R373" t="s" s="0">
        <v>81</v>
      </c>
      <c r="S373" t="s" s="0">
        <v>81</v>
      </c>
      <c r="T373" t="s" s="0">
        <v>81</v>
      </c>
      <c r="U373" t="s" s="0">
        <v>81</v>
      </c>
      <c r="V373" t="s" s="0">
        <v>8829</v>
      </c>
      <c r="W373" t="s" s="0">
        <v>154</v>
      </c>
      <c r="X373" t="s" s="0">
        <v>81</v>
      </c>
      <c r="Y373" t="s" s="0">
        <v>81</v>
      </c>
      <c r="Z373" t="s" s="0">
        <v>93</v>
      </c>
      <c r="AA373" t="s" s="0">
        <v>94</v>
      </c>
      <c r="AB373" t="s" s="0">
        <v>81</v>
      </c>
      <c r="AC373" t="s" s="0">
        <v>81</v>
      </c>
      <c r="AD373" t="s" s="0">
        <v>81</v>
      </c>
      <c r="AE373" t="s" s="0">
        <v>81</v>
      </c>
      <c r="AF373" t="s" s="0">
        <v>81</v>
      </c>
      <c r="AG373" t="s" s="0">
        <v>8830</v>
      </c>
      <c r="AH373" t="s" s="0">
        <v>8831</v>
      </c>
      <c r="AI373" t="s" s="0">
        <v>8832</v>
      </c>
      <c r="AJ373" t="s" s="0">
        <v>8833</v>
      </c>
      <c r="AK373" t="s" s="0">
        <v>81</v>
      </c>
      <c r="AL373" t="s" s="0">
        <v>1900</v>
      </c>
      <c r="AM373" t="s" s="0">
        <v>160</v>
      </c>
      <c r="AN373" t="s" s="0">
        <v>253</v>
      </c>
      <c r="AO373" t="s" s="0">
        <v>77</v>
      </c>
      <c r="AP373" t="s" s="0">
        <v>129</v>
      </c>
      <c r="AQ373" t="s" s="0">
        <v>162</v>
      </c>
      <c r="AR373" t="s" s="0">
        <v>163</v>
      </c>
      <c r="AS373" t="s" s="0">
        <v>164</v>
      </c>
      <c r="AT373" t="s" s="0">
        <v>165</v>
      </c>
      <c r="AU373" t="s" s="0">
        <v>81</v>
      </c>
      <c r="AV373" t="s" s="0">
        <v>81</v>
      </c>
      <c r="AW373" t="s" s="0">
        <v>154</v>
      </c>
      <c r="AX373" t="s" s="0">
        <v>166</v>
      </c>
      <c r="AY373" t="s" s="0">
        <v>136</v>
      </c>
      <c r="AZ373" t="s" s="0">
        <v>136</v>
      </c>
      <c r="BA373" t="s" s="0">
        <v>167</v>
      </c>
      <c r="BB373" t="s" s="0">
        <v>81</v>
      </c>
      <c r="BC373" t="s" s="0">
        <v>81</v>
      </c>
      <c r="BD373" t="s" s="0">
        <v>81</v>
      </c>
      <c r="BE373" t="s" s="0">
        <v>81</v>
      </c>
      <c r="BF373" t="s" s="0">
        <v>81</v>
      </c>
      <c r="BG373" t="s" s="0">
        <v>8834</v>
      </c>
      <c r="BH373" t="s" s="0">
        <v>8835</v>
      </c>
      <c r="BI373" t="s" s="0">
        <v>81</v>
      </c>
      <c r="BJ373" t="s" s="0">
        <v>8836</v>
      </c>
      <c r="BK373" t="s" s="742">
        <f>HYPERLINK("http://dx.doi.org/10.1109/ACCESS.2025.3621157","http://dx.doi.org/10.1109/ACCESS.2025.3621157")</f>
        <v>8837</v>
      </c>
      <c r="BL373" t="s" s="0">
        <v>81</v>
      </c>
      <c r="BM373" t="s" s="0">
        <v>81</v>
      </c>
      <c r="BN373" t="s" s="0">
        <v>167</v>
      </c>
      <c r="BO373" t="s" s="0">
        <v>173</v>
      </c>
      <c r="BP373" t="s" s="0">
        <v>174</v>
      </c>
      <c r="BQ373" t="s" s="0">
        <v>8838</v>
      </c>
      <c r="BR373" t="s" s="0">
        <v>81</v>
      </c>
      <c r="BS373" t="s" s="0">
        <v>8839</v>
      </c>
      <c r="BT373" t="s" s="743">
        <f>HYPERLINK("https://www.webofscience.com/wos/woscc/full-record/WOS:001606717700020","View Record in Web of Science")</f>
        <v>114</v>
      </c>
      <c r="BU373" t="s" s="0">
        <v>145</v>
      </c>
      <c r="BV373" t="s" s="0">
        <v>81</v>
      </c>
      <c r="BW373" t="s" s="0">
        <v>81</v>
      </c>
      <c r="BX373" t="s" s="0">
        <v>116</v>
      </c>
    </row>
    <row r="374">
      <c r="A374" t="s" s="0">
        <v>77</v>
      </c>
      <c r="B374" t="s" s="0">
        <v>77</v>
      </c>
      <c r="C374" t="s" s="0">
        <v>77</v>
      </c>
      <c r="D374" t="s" s="0">
        <v>77</v>
      </c>
      <c r="E374" t="s" s="0">
        <v>8840</v>
      </c>
      <c r="F374" t="s" s="0">
        <v>8841</v>
      </c>
      <c r="G374" t="s" s="0">
        <v>8842</v>
      </c>
      <c r="H374" t="s" s="0">
        <v>81</v>
      </c>
      <c r="I374" t="s" s="0">
        <v>213</v>
      </c>
      <c r="J374" t="s" s="0">
        <v>8843</v>
      </c>
      <c r="K374" t="s" s="0">
        <v>8844</v>
      </c>
      <c r="L374" t="s" s="0">
        <v>81</v>
      </c>
      <c r="M374" t="s" s="0">
        <v>81</v>
      </c>
      <c r="N374" t="s" s="0">
        <v>81</v>
      </c>
      <c r="O374" t="s" s="0">
        <v>8845</v>
      </c>
      <c r="P374" t="s" s="0">
        <v>8846</v>
      </c>
      <c r="Q374" t="s" s="0">
        <v>90</v>
      </c>
      <c r="R374" t="s" s="0">
        <v>81</v>
      </c>
      <c r="S374" t="s" s="0">
        <v>81</v>
      </c>
      <c r="T374" t="s" s="0">
        <v>81</v>
      </c>
      <c r="U374" t="s" s="0">
        <v>81</v>
      </c>
      <c r="V374" t="s" s="0">
        <v>8847</v>
      </c>
      <c r="W374" t="s" s="0">
        <v>8848</v>
      </c>
      <c r="X374" t="s" s="0">
        <v>81</v>
      </c>
      <c r="Y374" t="s" s="0">
        <v>81</v>
      </c>
      <c r="Z374" t="s" s="0">
        <v>93</v>
      </c>
      <c r="AA374" t="s" s="0">
        <v>94</v>
      </c>
      <c r="AB374" t="s" s="0">
        <v>81</v>
      </c>
      <c r="AC374" t="s" s="0">
        <v>81</v>
      </c>
      <c r="AD374" t="s" s="0">
        <v>81</v>
      </c>
      <c r="AE374" t="s" s="0">
        <v>81</v>
      </c>
      <c r="AF374" t="s" s="0">
        <v>81</v>
      </c>
      <c r="AG374" t="s" s="0">
        <v>81</v>
      </c>
      <c r="AH374" t="s" s="0">
        <v>8849</v>
      </c>
      <c r="AI374" t="s" s="0">
        <v>81</v>
      </c>
      <c r="AJ374" t="s" s="0">
        <v>81</v>
      </c>
      <c r="AK374" t="s" s="0">
        <v>81</v>
      </c>
      <c r="AL374" t="s" s="0">
        <v>1641</v>
      </c>
      <c r="AM374" t="s" s="0">
        <v>77</v>
      </c>
      <c r="AN374" t="s" s="0">
        <v>77</v>
      </c>
      <c r="AO374" t="s" s="0">
        <v>77</v>
      </c>
      <c r="AP374" t="s" s="0">
        <v>77</v>
      </c>
      <c r="AQ374" t="s" s="0">
        <v>738</v>
      </c>
      <c r="AR374" t="s" s="0">
        <v>306</v>
      </c>
      <c r="AS374" t="s" s="0">
        <v>739</v>
      </c>
      <c r="AT374" t="s" s="0">
        <v>81</v>
      </c>
      <c r="AU374" t="s" s="0">
        <v>8850</v>
      </c>
      <c r="AV374" t="s" s="0">
        <v>81</v>
      </c>
      <c r="AW374" t="s" s="0">
        <v>8851</v>
      </c>
      <c r="AX374" t="s" s="0">
        <v>8852</v>
      </c>
      <c r="AY374" t="s" s="0">
        <v>104</v>
      </c>
      <c r="AZ374" t="s" s="0">
        <v>104</v>
      </c>
      <c r="BA374" t="s" s="0">
        <v>131</v>
      </c>
      <c r="BB374" t="s" s="0">
        <v>117</v>
      </c>
      <c r="BC374" t="s" s="0">
        <v>81</v>
      </c>
      <c r="BD374" t="s" s="0">
        <v>81</v>
      </c>
      <c r="BE374" t="s" s="0">
        <v>81</v>
      </c>
      <c r="BF374" t="s" s="0">
        <v>81</v>
      </c>
      <c r="BG374" t="s" s="0">
        <v>81</v>
      </c>
      <c r="BH374" t="s" s="0">
        <v>81</v>
      </c>
      <c r="BI374" t="s" s="0">
        <v>8853</v>
      </c>
      <c r="BJ374" t="s" s="0">
        <v>8854</v>
      </c>
      <c r="BK374" t="s" s="744">
        <f>HYPERLINK("http://dx.doi.org/10.1093/bioadv/vbag214","http://dx.doi.org/10.1093/bioadv/vbag214")</f>
        <v>8855</v>
      </c>
      <c r="BL374" t="s" s="0">
        <v>81</v>
      </c>
      <c r="BM374" t="s" s="0">
        <v>81</v>
      </c>
      <c r="BN374" t="s" s="0">
        <v>137</v>
      </c>
      <c r="BO374" t="s" s="0">
        <v>4886</v>
      </c>
      <c r="BP374" t="s" s="0">
        <v>4886</v>
      </c>
      <c r="BQ374" t="s" s="0">
        <v>8856</v>
      </c>
      <c r="BR374" t="s" s="0">
        <v>81</v>
      </c>
      <c r="BS374" t="s" s="0">
        <v>8857</v>
      </c>
      <c r="BT374" t="s" s="745">
        <f>HYPERLINK("https://www.webofscience.com/wos/woscc/full-record/WOS:001854029800001","View Record in Web of Science")</f>
        <v>114</v>
      </c>
      <c r="BU374" t="s" s="0">
        <v>115</v>
      </c>
      <c r="BV374" t="s" s="0">
        <v>81</v>
      </c>
      <c r="BW374" t="s" s="0">
        <v>81</v>
      </c>
      <c r="BX374" t="s" s="0">
        <v>116</v>
      </c>
    </row>
    <row r="375">
      <c r="A375" t="s" s="0">
        <v>77</v>
      </c>
      <c r="B375" t="s" s="0">
        <v>77</v>
      </c>
      <c r="C375" t="s" s="0">
        <v>160</v>
      </c>
      <c r="D375" t="s" s="0">
        <v>77</v>
      </c>
      <c r="E375" t="s" s="0">
        <v>8858</v>
      </c>
      <c r="F375" t="s" s="0">
        <v>8859</v>
      </c>
      <c r="G375" t="s" s="0">
        <v>8860</v>
      </c>
      <c r="H375" t="s" s="0">
        <v>81</v>
      </c>
      <c r="I375" t="s" s="0">
        <v>82</v>
      </c>
      <c r="J375" t="s" s="0">
        <v>8861</v>
      </c>
      <c r="K375" t="s" s="0">
        <v>8862</v>
      </c>
      <c r="L375" t="s" s="0">
        <v>81</v>
      </c>
      <c r="M375" t="s" s="0">
        <v>81</v>
      </c>
      <c r="N375" t="s" s="0">
        <v>81</v>
      </c>
      <c r="O375" t="s" s="0">
        <v>8863</v>
      </c>
      <c r="P375" t="s" s="0">
        <v>8864</v>
      </c>
      <c r="Q375" t="s" s="0">
        <v>90</v>
      </c>
      <c r="R375" t="s" s="0">
        <v>81</v>
      </c>
      <c r="S375" t="s" s="0">
        <v>81</v>
      </c>
      <c r="T375" t="s" s="0">
        <v>81</v>
      </c>
      <c r="U375" t="s" s="0">
        <v>81</v>
      </c>
      <c r="V375" t="s" s="0">
        <v>8865</v>
      </c>
      <c r="W375" t="s" s="0">
        <v>8866</v>
      </c>
      <c r="X375" t="s" s="0">
        <v>81</v>
      </c>
      <c r="Y375" t="s" s="0">
        <v>81</v>
      </c>
      <c r="Z375" t="s" s="0">
        <v>93</v>
      </c>
      <c r="AA375" t="s" s="0">
        <v>94</v>
      </c>
      <c r="AB375" t="s" s="0">
        <v>81</v>
      </c>
      <c r="AC375" t="s" s="0">
        <v>81</v>
      </c>
      <c r="AD375" t="s" s="0">
        <v>81</v>
      </c>
      <c r="AE375" t="s" s="0">
        <v>81</v>
      </c>
      <c r="AF375" t="s" s="0">
        <v>81</v>
      </c>
      <c r="AG375" t="s" s="0">
        <v>81</v>
      </c>
      <c r="AH375" t="s" s="0">
        <v>8867</v>
      </c>
      <c r="AI375" t="s" s="0">
        <v>8868</v>
      </c>
      <c r="AJ375" t="s" s="0">
        <v>8869</v>
      </c>
      <c r="AK375" t="s" s="0">
        <v>81</v>
      </c>
      <c r="AL375" t="s" s="0">
        <v>228</v>
      </c>
      <c r="AM375" t="s" s="0">
        <v>226</v>
      </c>
      <c r="AN375" t="s" s="0">
        <v>167</v>
      </c>
      <c r="AO375" t="s" s="0">
        <v>77</v>
      </c>
      <c r="AP375" t="s" s="0">
        <v>117</v>
      </c>
      <c r="AQ375" t="s" s="0">
        <v>930</v>
      </c>
      <c r="AR375" t="s" s="0">
        <v>931</v>
      </c>
      <c r="AS375" t="s" s="0">
        <v>932</v>
      </c>
      <c r="AT375" t="s" s="0">
        <v>81</v>
      </c>
      <c r="AU375" t="s" s="0">
        <v>8870</v>
      </c>
      <c r="AV375" t="s" s="0">
        <v>81</v>
      </c>
      <c r="AW375" t="s" s="0">
        <v>8871</v>
      </c>
      <c r="AX375" t="s" s="0">
        <v>8872</v>
      </c>
      <c r="AY375" t="s" s="0">
        <v>382</v>
      </c>
      <c r="AZ375" t="s" s="0">
        <v>136</v>
      </c>
      <c r="BA375" t="s" s="0">
        <v>128</v>
      </c>
      <c r="BB375" t="s" s="0">
        <v>81</v>
      </c>
      <c r="BC375" t="s" s="0">
        <v>81</v>
      </c>
      <c r="BD375" t="s" s="0">
        <v>81</v>
      </c>
      <c r="BE375" t="s" s="0">
        <v>81</v>
      </c>
      <c r="BF375" t="s" s="0">
        <v>81</v>
      </c>
      <c r="BG375" t="s" s="0">
        <v>81</v>
      </c>
      <c r="BH375" t="s" s="0">
        <v>81</v>
      </c>
      <c r="BI375" t="s" s="0">
        <v>8873</v>
      </c>
      <c r="BJ375" t="s" s="0">
        <v>8874</v>
      </c>
      <c r="BK375" t="s" s="746">
        <f>HYPERLINK("http://dx.doi.org/10.1200/PO-24-00653","http://dx.doi.org/10.1200/PO-24-00653")</f>
        <v>8875</v>
      </c>
      <c r="BL375" t="s" s="0">
        <v>81</v>
      </c>
      <c r="BM375" t="s" s="0">
        <v>81</v>
      </c>
      <c r="BN375" t="s" s="0">
        <v>129</v>
      </c>
      <c r="BO375" t="s" s="0">
        <v>939</v>
      </c>
      <c r="BP375" t="s" s="0">
        <v>939</v>
      </c>
      <c r="BQ375" t="s" s="0">
        <v>8876</v>
      </c>
      <c r="BR375" t="s" s="0">
        <v>8877</v>
      </c>
      <c r="BS375" t="s" s="0">
        <v>8878</v>
      </c>
      <c r="BT375" t="s" s="747">
        <f>HYPERLINK("https://www.webofscience.com/wos/woscc/full-record/WOS:001413675000001","View Record in Web of Science")</f>
        <v>114</v>
      </c>
      <c r="BU375" t="s" s="0">
        <v>81</v>
      </c>
      <c r="BV375" t="s" s="0">
        <v>81</v>
      </c>
      <c r="BW375" t="s" s="0">
        <v>81</v>
      </c>
      <c r="BX375" t="s" s="0">
        <v>116</v>
      </c>
    </row>
    <row r="376">
      <c r="A376" t="s" s="0">
        <v>130</v>
      </c>
      <c r="B376" t="s" s="0">
        <v>77</v>
      </c>
      <c r="C376" t="s" s="0">
        <v>227</v>
      </c>
      <c r="D376" t="s" s="0">
        <v>77</v>
      </c>
      <c r="E376" t="s" s="0">
        <v>8879</v>
      </c>
      <c r="F376" t="s" s="0">
        <v>8880</v>
      </c>
      <c r="G376" t="s" s="0">
        <v>8881</v>
      </c>
      <c r="H376" t="s" s="0">
        <v>81</v>
      </c>
      <c r="I376" t="s" s="0">
        <v>82</v>
      </c>
      <c r="J376" t="s" s="0">
        <v>8882</v>
      </c>
      <c r="K376" t="s" s="0">
        <v>8883</v>
      </c>
      <c r="L376" t="s" s="0">
        <v>8884</v>
      </c>
      <c r="M376" t="s" s="0">
        <v>8885</v>
      </c>
      <c r="N376" t="s" s="0">
        <v>81</v>
      </c>
      <c r="O376" t="s" s="0">
        <v>8886</v>
      </c>
      <c r="P376" t="s" s="0">
        <v>8887</v>
      </c>
      <c r="Q376" t="s" s="0">
        <v>90</v>
      </c>
      <c r="R376" t="s" s="0">
        <v>81</v>
      </c>
      <c r="S376" t="s" s="0">
        <v>81</v>
      </c>
      <c r="T376" t="s" s="0">
        <v>81</v>
      </c>
      <c r="U376" t="s" s="0">
        <v>81</v>
      </c>
      <c r="V376" t="s" s="0">
        <v>8888</v>
      </c>
      <c r="W376" t="s" s="0">
        <v>8866</v>
      </c>
      <c r="X376" t="s" s="0">
        <v>81</v>
      </c>
      <c r="Y376" t="s" s="0">
        <v>81</v>
      </c>
      <c r="Z376" t="s" s="0">
        <v>93</v>
      </c>
      <c r="AA376" t="s" s="0">
        <v>94</v>
      </c>
      <c r="AB376" t="s" s="0">
        <v>81</v>
      </c>
      <c r="AC376" t="s" s="0">
        <v>81</v>
      </c>
      <c r="AD376" t="s" s="0">
        <v>81</v>
      </c>
      <c r="AE376" t="s" s="0">
        <v>81</v>
      </c>
      <c r="AF376" t="s" s="0">
        <v>81</v>
      </c>
      <c r="AG376" t="s" s="0">
        <v>81</v>
      </c>
      <c r="AH376" t="s" s="0">
        <v>8889</v>
      </c>
      <c r="AI376" t="s" s="0">
        <v>7824</v>
      </c>
      <c r="AJ376" t="s" s="0">
        <v>8890</v>
      </c>
      <c r="AK376" t="s" s="0">
        <v>81</v>
      </c>
      <c r="AL376" t="s" s="0">
        <v>846</v>
      </c>
      <c r="AM376" t="s" s="0">
        <v>563</v>
      </c>
      <c r="AN376" t="s" s="0">
        <v>475</v>
      </c>
      <c r="AO376" t="s" s="0">
        <v>117</v>
      </c>
      <c r="AP376" t="s" s="0">
        <v>253</v>
      </c>
      <c r="AQ376" t="s" s="0">
        <v>930</v>
      </c>
      <c r="AR376" t="s" s="0">
        <v>931</v>
      </c>
      <c r="AS376" t="s" s="0">
        <v>932</v>
      </c>
      <c r="AT376" t="s" s="0">
        <v>81</v>
      </c>
      <c r="AU376" t="s" s="0">
        <v>8870</v>
      </c>
      <c r="AV376" t="s" s="0">
        <v>81</v>
      </c>
      <c r="AW376" t="s" s="0">
        <v>8871</v>
      </c>
      <c r="AX376" t="s" s="0">
        <v>8872</v>
      </c>
      <c r="AY376" t="s" s="0">
        <v>572</v>
      </c>
      <c r="AZ376" t="s" s="0">
        <v>573</v>
      </c>
      <c r="BA376" t="s" s="0">
        <v>225</v>
      </c>
      <c r="BB376" t="s" s="0">
        <v>81</v>
      </c>
      <c r="BC376" t="s" s="0">
        <v>81</v>
      </c>
      <c r="BD376" t="s" s="0">
        <v>81</v>
      </c>
      <c r="BE376" t="s" s="0">
        <v>81</v>
      </c>
      <c r="BF376" t="s" s="0">
        <v>81</v>
      </c>
      <c r="BG376" t="s" s="0">
        <v>81</v>
      </c>
      <c r="BH376" t="s" s="0">
        <v>81</v>
      </c>
      <c r="BI376" t="s" s="0">
        <v>8891</v>
      </c>
      <c r="BJ376" t="s" s="0">
        <v>8892</v>
      </c>
      <c r="BK376" t="s" s="748">
        <f>HYPERLINK("http://dx.doi.org/10.1200/PO.24.00145","http://dx.doi.org/10.1200/PO.24.00145")</f>
        <v>8893</v>
      </c>
      <c r="BL376" t="s" s="0">
        <v>81</v>
      </c>
      <c r="BM376" t="s" s="0">
        <v>81</v>
      </c>
      <c r="BN376" t="s" s="0">
        <v>204</v>
      </c>
      <c r="BO376" t="s" s="0">
        <v>939</v>
      </c>
      <c r="BP376" t="s" s="0">
        <v>939</v>
      </c>
      <c r="BQ376" t="s" s="0">
        <v>8894</v>
      </c>
      <c r="BR376" t="s" s="0">
        <v>8895</v>
      </c>
      <c r="BS376" t="s" s="0">
        <v>8896</v>
      </c>
      <c r="BT376" t="s" s="749">
        <f>HYPERLINK("https://www.webofscience.com/wos/woscc/full-record/WOS:001376907600001","View Record in Web of Science")</f>
        <v>114</v>
      </c>
      <c r="BU376" t="s" s="0">
        <v>457</v>
      </c>
      <c r="BV376" t="s" s="0">
        <v>81</v>
      </c>
      <c r="BW376" t="s" s="0">
        <v>81</v>
      </c>
      <c r="BX376" t="s" s="0">
        <v>116</v>
      </c>
    </row>
    <row r="377">
      <c r="A377" t="s" s="0">
        <v>77</v>
      </c>
      <c r="B377" t="s" s="0">
        <v>77</v>
      </c>
      <c r="C377" t="s" s="0">
        <v>77</v>
      </c>
      <c r="D377" t="s" s="0">
        <v>77</v>
      </c>
      <c r="E377" t="s" s="0">
        <v>8897</v>
      </c>
      <c r="F377" t="s" s="0">
        <v>8898</v>
      </c>
      <c r="G377" t="s" s="0">
        <v>8899</v>
      </c>
      <c r="H377" t="s" s="0">
        <v>81</v>
      </c>
      <c r="I377" t="s" s="0">
        <v>82</v>
      </c>
      <c r="J377" t="s" s="0">
        <v>8900</v>
      </c>
      <c r="K377" t="s" s="0">
        <v>8901</v>
      </c>
      <c r="L377" t="s" s="0">
        <v>8902</v>
      </c>
      <c r="M377" t="s" s="0">
        <v>8902</v>
      </c>
      <c r="N377" t="s" s="0">
        <v>8903</v>
      </c>
      <c r="O377" t="s" s="0">
        <v>8904</v>
      </c>
      <c r="P377" t="s" s="0">
        <v>8905</v>
      </c>
      <c r="Q377" t="s" s="0">
        <v>90</v>
      </c>
      <c r="R377" t="s" s="0">
        <v>81</v>
      </c>
      <c r="S377" t="s" s="0">
        <v>81</v>
      </c>
      <c r="T377" t="s" s="0">
        <v>81</v>
      </c>
      <c r="U377" t="s" s="0">
        <v>81</v>
      </c>
      <c r="V377" t="s" s="0">
        <v>8906</v>
      </c>
      <c r="W377" t="s" s="0">
        <v>8907</v>
      </c>
      <c r="X377" t="s" s="0">
        <v>81</v>
      </c>
      <c r="Y377" t="s" s="0">
        <v>81</v>
      </c>
      <c r="Z377" t="s" s="0">
        <v>93</v>
      </c>
      <c r="AA377" t="s" s="0">
        <v>94</v>
      </c>
      <c r="AB377" t="s" s="0">
        <v>81</v>
      </c>
      <c r="AC377" t="s" s="0">
        <v>81</v>
      </c>
      <c r="AD377" t="s" s="0">
        <v>81</v>
      </c>
      <c r="AE377" t="s" s="0">
        <v>81</v>
      </c>
      <c r="AF377" t="s" s="0">
        <v>81</v>
      </c>
      <c r="AG377" t="s" s="0">
        <v>8908</v>
      </c>
      <c r="AH377" t="s" s="0">
        <v>8909</v>
      </c>
      <c r="AI377" t="s" s="0">
        <v>8910</v>
      </c>
      <c r="AJ377" t="s" s="0">
        <v>8911</v>
      </c>
      <c r="AK377" t="s" s="0">
        <v>81</v>
      </c>
      <c r="AL377" t="s" s="0">
        <v>5139</v>
      </c>
      <c r="AM377" t="s" s="0">
        <v>130</v>
      </c>
      <c r="AN377" t="s" s="0">
        <v>130</v>
      </c>
      <c r="AO377" t="s" s="0">
        <v>131</v>
      </c>
      <c r="AP377" t="s" s="0">
        <v>225</v>
      </c>
      <c r="AQ377" t="s" s="0">
        <v>8912</v>
      </c>
      <c r="AR377" t="s" s="0">
        <v>98</v>
      </c>
      <c r="AS377" t="s" s="0">
        <v>8913</v>
      </c>
      <c r="AT377" t="s" s="0">
        <v>8914</v>
      </c>
      <c r="AU377" t="s" s="0">
        <v>8915</v>
      </c>
      <c r="AV377" t="s" s="0">
        <v>81</v>
      </c>
      <c r="AW377" t="s" s="0">
        <v>8907</v>
      </c>
      <c r="AX377" t="s" s="0">
        <v>8916</v>
      </c>
      <c r="AY377" t="s" s="0">
        <v>8917</v>
      </c>
      <c r="AZ377" t="s" s="0">
        <v>104</v>
      </c>
      <c r="BA377" t="s" s="0">
        <v>8918</v>
      </c>
      <c r="BB377" t="s" s="0">
        <v>81</v>
      </c>
      <c r="BC377" t="s" s="0">
        <v>81</v>
      </c>
      <c r="BD377" t="s" s="0">
        <v>81</v>
      </c>
      <c r="BE377" t="s" s="0">
        <v>81</v>
      </c>
      <c r="BF377" t="s" s="0">
        <v>81</v>
      </c>
      <c r="BG377" t="s" s="0">
        <v>81</v>
      </c>
      <c r="BH377" t="s" s="0">
        <v>81</v>
      </c>
      <c r="BI377" t="s" s="0">
        <v>8919</v>
      </c>
      <c r="BJ377" t="s" s="0">
        <v>8920</v>
      </c>
      <c r="BK377" t="s" s="750">
        <f>HYPERLINK("http://dx.doi.org/10.1016/j.wear.2025.206484","http://dx.doi.org/10.1016/j.wear.2025.206484")</f>
        <v>8921</v>
      </c>
      <c r="BL377" t="s" s="0">
        <v>81</v>
      </c>
      <c r="BM377" t="s" s="0">
        <v>1880</v>
      </c>
      <c r="BN377" t="s" s="0">
        <v>564</v>
      </c>
      <c r="BO377" t="s" s="0">
        <v>8922</v>
      </c>
      <c r="BP377" t="s" s="0">
        <v>8923</v>
      </c>
      <c r="BQ377" t="s" s="0">
        <v>8924</v>
      </c>
      <c r="BR377" t="s" s="0">
        <v>81</v>
      </c>
      <c r="BS377" t="s" s="0">
        <v>8925</v>
      </c>
      <c r="BT377" t="s" s="751">
        <f>HYPERLINK("https://www.webofscience.com/wos/woscc/full-record/WOS:001652653500001","View Record in Web of Science")</f>
        <v>114</v>
      </c>
      <c r="BU377" t="s" s="0">
        <v>81</v>
      </c>
      <c r="BV377" t="s" s="0">
        <v>81</v>
      </c>
      <c r="BW377" t="s" s="0">
        <v>81</v>
      </c>
      <c r="BX377" t="s" s="0">
        <v>116</v>
      </c>
    </row>
    <row r="378">
      <c r="A378" t="s" s="0">
        <v>77</v>
      </c>
      <c r="B378" t="s" s="0">
        <v>77</v>
      </c>
      <c r="C378" t="s" s="0">
        <v>77</v>
      </c>
      <c r="D378" t="s" s="0">
        <v>77</v>
      </c>
      <c r="E378" t="s" s="0">
        <v>8926</v>
      </c>
      <c r="F378" t="s" s="0">
        <v>8927</v>
      </c>
      <c r="G378" t="s" s="0">
        <v>8928</v>
      </c>
      <c r="H378" t="s" s="0">
        <v>81</v>
      </c>
      <c r="I378" t="s" s="0">
        <v>82</v>
      </c>
      <c r="J378" t="s" s="0">
        <v>8929</v>
      </c>
      <c r="K378" t="s" s="0">
        <v>8930</v>
      </c>
      <c r="L378" t="s" s="0">
        <v>8931</v>
      </c>
      <c r="M378" t="s" s="0">
        <v>8932</v>
      </c>
      <c r="N378" t="s" s="0">
        <v>8933</v>
      </c>
      <c r="O378" t="s" s="0">
        <v>8934</v>
      </c>
      <c r="P378" t="s" s="0">
        <v>8935</v>
      </c>
      <c r="Q378" t="s" s="0">
        <v>90</v>
      </c>
      <c r="R378" t="s" s="0">
        <v>81</v>
      </c>
      <c r="S378" t="s" s="0">
        <v>81</v>
      </c>
      <c r="T378" t="s" s="0">
        <v>81</v>
      </c>
      <c r="U378" t="s" s="0">
        <v>81</v>
      </c>
      <c r="V378" t="s" s="0">
        <v>8936</v>
      </c>
      <c r="W378" t="s" s="0">
        <v>8937</v>
      </c>
      <c r="X378" t="s" s="0">
        <v>81</v>
      </c>
      <c r="Y378" t="s" s="0">
        <v>81</v>
      </c>
      <c r="Z378" t="s" s="0">
        <v>93</v>
      </c>
      <c r="AA378" t="s" s="0">
        <v>190</v>
      </c>
      <c r="AB378" t="s" s="0">
        <v>81</v>
      </c>
      <c r="AC378" t="s" s="0">
        <v>81</v>
      </c>
      <c r="AD378" t="s" s="0">
        <v>81</v>
      </c>
      <c r="AE378" t="s" s="0">
        <v>81</v>
      </c>
      <c r="AF378" t="s" s="0">
        <v>81</v>
      </c>
      <c r="AG378" t="s" s="0">
        <v>8938</v>
      </c>
      <c r="AH378" t="s" s="0">
        <v>8939</v>
      </c>
      <c r="AI378" t="s" s="0">
        <v>8940</v>
      </c>
      <c r="AJ378" t="s" s="0">
        <v>8941</v>
      </c>
      <c r="AK378" t="s" s="0">
        <v>81</v>
      </c>
      <c r="AL378" t="s" s="0">
        <v>369</v>
      </c>
      <c r="AM378" t="s" s="0">
        <v>117</v>
      </c>
      <c r="AN378" t="s" s="0">
        <v>117</v>
      </c>
      <c r="AO378" t="s" s="0">
        <v>227</v>
      </c>
      <c r="AP378" t="s" s="0">
        <v>227</v>
      </c>
      <c r="AQ378" t="s" s="0">
        <v>708</v>
      </c>
      <c r="AR378" t="s" s="0">
        <v>709</v>
      </c>
      <c r="AS378" t="s" s="0">
        <v>710</v>
      </c>
      <c r="AT378" t="s" s="0">
        <v>8942</v>
      </c>
      <c r="AU378" t="s" s="0">
        <v>8943</v>
      </c>
      <c r="AV378" t="s" s="0">
        <v>81</v>
      </c>
      <c r="AW378" t="s" s="0">
        <v>8944</v>
      </c>
      <c r="AX378" t="s" s="0">
        <v>8945</v>
      </c>
      <c r="AY378" t="s" s="0">
        <v>81</v>
      </c>
      <c r="AZ378" t="s" s="0">
        <v>104</v>
      </c>
      <c r="BA378" t="s" s="0">
        <v>81</v>
      </c>
      <c r="BB378" t="s" s="0">
        <v>81</v>
      </c>
      <c r="BC378" t="s" s="0">
        <v>81</v>
      </c>
      <c r="BD378" t="s" s="0">
        <v>81</v>
      </c>
      <c r="BE378" t="s" s="0">
        <v>81</v>
      </c>
      <c r="BF378" t="s" s="0">
        <v>81</v>
      </c>
      <c r="BG378" t="s" s="0">
        <v>81</v>
      </c>
      <c r="BH378" t="s" s="0">
        <v>81</v>
      </c>
      <c r="BI378" t="s" s="0">
        <v>81</v>
      </c>
      <c r="BJ378" t="s" s="0">
        <v>8946</v>
      </c>
      <c r="BK378" t="s" s="752">
        <f>HYPERLINK("http://dx.doi.org/10.1111/odi.70268","http://dx.doi.org/10.1111/odi.70268")</f>
        <v>8947</v>
      </c>
      <c r="BL378" t="s" s="0">
        <v>81</v>
      </c>
      <c r="BM378" t="s" s="0">
        <v>284</v>
      </c>
      <c r="BN378" t="s" s="0">
        <v>128</v>
      </c>
      <c r="BO378" t="s" s="0">
        <v>2181</v>
      </c>
      <c r="BP378" t="s" s="0">
        <v>2181</v>
      </c>
      <c r="BQ378" t="s" s="0">
        <v>8948</v>
      </c>
      <c r="BR378" t="s" s="0">
        <v>8949</v>
      </c>
      <c r="BS378" t="s" s="0">
        <v>8950</v>
      </c>
      <c r="BT378" t="s" s="753">
        <f>HYPERLINK("https://www.webofscience.com/wos/woscc/full-record/WOS:001708440100001","View Record in Web of Science")</f>
        <v>114</v>
      </c>
      <c r="BU378" t="s" s="0">
        <v>81</v>
      </c>
      <c r="BV378" t="s" s="0">
        <v>81</v>
      </c>
      <c r="BW378" t="s" s="0">
        <v>81</v>
      </c>
      <c r="BX378" t="s" s="0">
        <v>116</v>
      </c>
    </row>
    <row r="379">
      <c r="A379" t="s" s="0">
        <v>130</v>
      </c>
      <c r="B379" t="s" s="0">
        <v>77</v>
      </c>
      <c r="C379" t="s" s="0">
        <v>225</v>
      </c>
      <c r="D379" t="s" s="0">
        <v>77</v>
      </c>
      <c r="E379" t="s" s="0">
        <v>8951</v>
      </c>
      <c r="F379" t="s" s="0">
        <v>8952</v>
      </c>
      <c r="G379" t="s" s="0">
        <v>8953</v>
      </c>
      <c r="H379" t="s" s="0">
        <v>81</v>
      </c>
      <c r="I379" t="s" s="0">
        <v>82</v>
      </c>
      <c r="J379" t="s" s="0">
        <v>8954</v>
      </c>
      <c r="K379" t="s" s="0">
        <v>8955</v>
      </c>
      <c r="L379" t="s" s="0">
        <v>8956</v>
      </c>
      <c r="M379" t="s" s="0">
        <v>8957</v>
      </c>
      <c r="N379" t="s" s="0">
        <v>8958</v>
      </c>
      <c r="O379" t="s" s="0">
        <v>8959</v>
      </c>
      <c r="P379" t="s" s="0">
        <v>8960</v>
      </c>
      <c r="Q379" t="s" s="0">
        <v>90</v>
      </c>
      <c r="R379" t="s" s="0">
        <v>81</v>
      </c>
      <c r="S379" t="s" s="0">
        <v>81</v>
      </c>
      <c r="T379" t="s" s="0">
        <v>81</v>
      </c>
      <c r="U379" t="s" s="0">
        <v>81</v>
      </c>
      <c r="V379" t="s" s="0">
        <v>8961</v>
      </c>
      <c r="W379" t="s" s="0">
        <v>620</v>
      </c>
      <c r="X379" t="s" s="0">
        <v>81</v>
      </c>
      <c r="Y379" t="s" s="0">
        <v>81</v>
      </c>
      <c r="Z379" t="s" s="0">
        <v>93</v>
      </c>
      <c r="AA379" t="s" s="0">
        <v>94</v>
      </c>
      <c r="AB379" t="s" s="0">
        <v>81</v>
      </c>
      <c r="AC379" t="s" s="0">
        <v>81</v>
      </c>
      <c r="AD379" t="s" s="0">
        <v>81</v>
      </c>
      <c r="AE379" t="s" s="0">
        <v>81</v>
      </c>
      <c r="AF379" t="s" s="0">
        <v>81</v>
      </c>
      <c r="AG379" t="s" s="0">
        <v>8962</v>
      </c>
      <c r="AH379" t="s" s="0">
        <v>8963</v>
      </c>
      <c r="AI379" t="s" s="0">
        <v>8964</v>
      </c>
      <c r="AJ379" t="s" s="0">
        <v>8965</v>
      </c>
      <c r="AK379" t="s" s="0">
        <v>81</v>
      </c>
      <c r="AL379" t="s" s="0">
        <v>878</v>
      </c>
      <c r="AM379" t="s" s="0">
        <v>369</v>
      </c>
      <c r="AN379" t="s" s="0">
        <v>405</v>
      </c>
      <c r="AO379" t="s" s="0">
        <v>225</v>
      </c>
      <c r="AP379" t="s" s="0">
        <v>657</v>
      </c>
      <c r="AQ379" t="s" s="0">
        <v>708</v>
      </c>
      <c r="AR379" t="s" s="0">
        <v>709</v>
      </c>
      <c r="AS379" t="s" s="0">
        <v>710</v>
      </c>
      <c r="AT379" t="s" s="0">
        <v>81</v>
      </c>
      <c r="AU379" t="s" s="0">
        <v>629</v>
      </c>
      <c r="AV379" t="s" s="0">
        <v>81</v>
      </c>
      <c r="AW379" t="s" s="0">
        <v>630</v>
      </c>
      <c r="AX379" t="s" s="0">
        <v>631</v>
      </c>
      <c r="AY379" t="s" s="0">
        <v>715</v>
      </c>
      <c r="AZ379" t="s" s="0">
        <v>573</v>
      </c>
      <c r="BA379" t="s" s="0">
        <v>204</v>
      </c>
      <c r="BB379" t="s" s="0">
        <v>1097</v>
      </c>
      <c r="BC379" t="s" s="0">
        <v>81</v>
      </c>
      <c r="BD379" t="s" s="0">
        <v>81</v>
      </c>
      <c r="BE379" t="s" s="0">
        <v>81</v>
      </c>
      <c r="BF379" t="s" s="0">
        <v>81</v>
      </c>
      <c r="BG379" t="s" s="0">
        <v>81</v>
      </c>
      <c r="BH379" t="s" s="0">
        <v>81</v>
      </c>
      <c r="BI379" t="s" s="0">
        <v>81</v>
      </c>
      <c r="BJ379" t="s" s="0">
        <v>8966</v>
      </c>
      <c r="BK379" t="s" s="754">
        <f>HYPERLINK("http://dx.doi.org/10.1002/advs.202404047","http://dx.doi.org/10.1002/advs.202404047")</f>
        <v>8967</v>
      </c>
      <c r="BL379" t="s" s="0">
        <v>81</v>
      </c>
      <c r="BM379" t="s" s="0">
        <v>6183</v>
      </c>
      <c r="BN379" t="s" s="0">
        <v>204</v>
      </c>
      <c r="BO379" t="s" s="0">
        <v>637</v>
      </c>
      <c r="BP379" t="s" s="0">
        <v>638</v>
      </c>
      <c r="BQ379" t="s" s="0">
        <v>8968</v>
      </c>
      <c r="BR379" t="s" s="0">
        <v>8969</v>
      </c>
      <c r="BS379" t="s" s="0">
        <v>8970</v>
      </c>
      <c r="BT379" t="s" s="755">
        <f>HYPERLINK("https://www.webofscience.com/wos/woscc/full-record/WOS:001264155100001","View Record in Web of Science")</f>
        <v>114</v>
      </c>
      <c r="BU379" t="s" s="0">
        <v>145</v>
      </c>
      <c r="BV379" t="s" s="0">
        <v>81</v>
      </c>
      <c r="BW379" t="s" s="0">
        <v>81</v>
      </c>
      <c r="BX379" t="s" s="0">
        <v>116</v>
      </c>
    </row>
    <row r="380">
      <c r="A380" t="s" s="0">
        <v>77</v>
      </c>
      <c r="B380" t="s" s="0">
        <v>77</v>
      </c>
      <c r="C380" t="s" s="0">
        <v>117</v>
      </c>
      <c r="D380" t="s" s="0">
        <v>77</v>
      </c>
      <c r="E380" t="s" s="0">
        <v>8971</v>
      </c>
      <c r="F380" t="s" s="0">
        <v>8972</v>
      </c>
      <c r="G380" t="s" s="0">
        <v>8973</v>
      </c>
      <c r="H380" t="s" s="0">
        <v>81</v>
      </c>
      <c r="I380" t="s" s="0">
        <v>82</v>
      </c>
      <c r="J380" t="s" s="0">
        <v>8974</v>
      </c>
      <c r="K380" t="s" s="0">
        <v>8975</v>
      </c>
      <c r="L380" t="s" s="0">
        <v>81</v>
      </c>
      <c r="M380" t="s" s="0">
        <v>81</v>
      </c>
      <c r="N380" t="s" s="0">
        <v>672</v>
      </c>
      <c r="O380" t="s" s="0">
        <v>8976</v>
      </c>
      <c r="P380" t="s" s="0">
        <v>8977</v>
      </c>
      <c r="Q380" t="s" s="0">
        <v>90</v>
      </c>
      <c r="R380" t="s" s="0">
        <v>81</v>
      </c>
      <c r="S380" t="s" s="0">
        <v>81</v>
      </c>
      <c r="T380" t="s" s="0">
        <v>81</v>
      </c>
      <c r="U380" t="s" s="0">
        <v>81</v>
      </c>
      <c r="V380" t="s" s="0">
        <v>8978</v>
      </c>
      <c r="W380" t="s" s="0">
        <v>125</v>
      </c>
      <c r="X380" t="s" s="0">
        <v>81</v>
      </c>
      <c r="Y380" t="s" s="0">
        <v>81</v>
      </c>
      <c r="Z380" t="s" s="0">
        <v>93</v>
      </c>
      <c r="AA380" t="s" s="0">
        <v>94</v>
      </c>
      <c r="AB380" t="s" s="0">
        <v>81</v>
      </c>
      <c r="AC380" t="s" s="0">
        <v>81</v>
      </c>
      <c r="AD380" t="s" s="0">
        <v>81</v>
      </c>
      <c r="AE380" t="s" s="0">
        <v>81</v>
      </c>
      <c r="AF380" t="s" s="0">
        <v>81</v>
      </c>
      <c r="AG380" t="s" s="0">
        <v>8979</v>
      </c>
      <c r="AH380" t="s" s="0">
        <v>81</v>
      </c>
      <c r="AI380" t="s" s="0">
        <v>81</v>
      </c>
      <c r="AJ380" t="s" s="0">
        <v>81</v>
      </c>
      <c r="AK380" t="s" s="0">
        <v>81</v>
      </c>
      <c r="AL380" t="s" s="0">
        <v>625</v>
      </c>
      <c r="AM380" t="s" s="0">
        <v>160</v>
      </c>
      <c r="AN380" t="s" s="0">
        <v>131</v>
      </c>
      <c r="AO380" t="s" s="0">
        <v>130</v>
      </c>
      <c r="AP380" t="s" s="0">
        <v>161</v>
      </c>
      <c r="AQ380" t="s" s="0">
        <v>97</v>
      </c>
      <c r="AR380" t="s" s="0">
        <v>98</v>
      </c>
      <c r="AS380" t="s" s="0">
        <v>99</v>
      </c>
      <c r="AT380" t="s" s="0">
        <v>81</v>
      </c>
      <c r="AU380" t="s" s="0">
        <v>132</v>
      </c>
      <c r="AV380" t="s" s="0">
        <v>81</v>
      </c>
      <c r="AW380" t="s" s="0">
        <v>133</v>
      </c>
      <c r="AX380" t="s" s="0">
        <v>134</v>
      </c>
      <c r="AY380" t="s" s="0">
        <v>8980</v>
      </c>
      <c r="AZ380" t="s" s="0">
        <v>136</v>
      </c>
      <c r="BA380" t="s" s="0">
        <v>137</v>
      </c>
      <c r="BB380" t="s" s="0">
        <v>81</v>
      </c>
      <c r="BC380" t="s" s="0">
        <v>81</v>
      </c>
      <c r="BD380" t="s" s="0">
        <v>81</v>
      </c>
      <c r="BE380" t="s" s="0">
        <v>81</v>
      </c>
      <c r="BF380" t="s" s="0">
        <v>81</v>
      </c>
      <c r="BG380" t="s" s="0">
        <v>81</v>
      </c>
      <c r="BH380" t="s" s="0">
        <v>81</v>
      </c>
      <c r="BI380" t="s" s="0">
        <v>8981</v>
      </c>
      <c r="BJ380" t="s" s="0">
        <v>8982</v>
      </c>
      <c r="BK380" t="s" s="756">
        <f>HYPERLINK("http://dx.doi.org/10.3389/fphys.2025.1605426","http://dx.doi.org/10.3389/fphys.2025.1605426")</f>
        <v>8983</v>
      </c>
      <c r="BL380" t="s" s="0">
        <v>81</v>
      </c>
      <c r="BM380" t="s" s="0">
        <v>81</v>
      </c>
      <c r="BN380" t="s" s="0">
        <v>258</v>
      </c>
      <c r="BO380" t="s" s="0">
        <v>141</v>
      </c>
      <c r="BP380" t="s" s="0">
        <v>141</v>
      </c>
      <c r="BQ380" t="s" s="0">
        <v>8984</v>
      </c>
      <c r="BR380" t="s" s="0">
        <v>8985</v>
      </c>
      <c r="BS380" t="s" s="0">
        <v>8986</v>
      </c>
      <c r="BT380" t="s" s="757">
        <f>HYPERLINK("https://www.webofscience.com/wos/woscc/full-record/WOS:001547321400001","View Record in Web of Science")</f>
        <v>114</v>
      </c>
      <c r="BU380" t="s" s="0">
        <v>145</v>
      </c>
      <c r="BV380" t="s" s="0">
        <v>81</v>
      </c>
      <c r="BW380" t="s" s="0">
        <v>81</v>
      </c>
      <c r="BX380" t="s" s="0">
        <v>116</v>
      </c>
    </row>
    <row r="381">
      <c r="A381" t="s" s="0">
        <v>77</v>
      </c>
      <c r="B381" t="s" s="0">
        <v>77</v>
      </c>
      <c r="C381" t="s" s="0">
        <v>77</v>
      </c>
      <c r="D381" t="s" s="0">
        <v>77</v>
      </c>
      <c r="E381" t="s" s="0">
        <v>8987</v>
      </c>
      <c r="F381" t="s" s="0">
        <v>8988</v>
      </c>
      <c r="G381" t="s" s="0">
        <v>8989</v>
      </c>
      <c r="H381" t="s" s="0">
        <v>81</v>
      </c>
      <c r="I381" t="s" s="0">
        <v>82</v>
      </c>
      <c r="J381" t="s" s="0">
        <v>8990</v>
      </c>
      <c r="K381" t="s" s="0">
        <v>8991</v>
      </c>
      <c r="L381" t="s" s="0">
        <v>81</v>
      </c>
      <c r="M381" t="s" s="0">
        <v>81</v>
      </c>
      <c r="N381" t="s" s="0">
        <v>81</v>
      </c>
      <c r="O381" t="s" s="0">
        <v>8992</v>
      </c>
      <c r="P381" t="s" s="0">
        <v>8993</v>
      </c>
      <c r="Q381" t="s" s="0">
        <v>90</v>
      </c>
      <c r="R381" t="s" s="0">
        <v>81</v>
      </c>
      <c r="S381" t="s" s="0">
        <v>81</v>
      </c>
      <c r="T381" t="s" s="0">
        <v>81</v>
      </c>
      <c r="U381" t="s" s="0">
        <v>81</v>
      </c>
      <c r="V381" t="s" s="0">
        <v>8994</v>
      </c>
      <c r="W381" t="s" s="0">
        <v>2649</v>
      </c>
      <c r="X381" t="s" s="0">
        <v>81</v>
      </c>
      <c r="Y381" t="s" s="0">
        <v>81</v>
      </c>
      <c r="Z381" t="s" s="0">
        <v>93</v>
      </c>
      <c r="AA381" t="s" s="0">
        <v>94</v>
      </c>
      <c r="AB381" t="s" s="0">
        <v>81</v>
      </c>
      <c r="AC381" t="s" s="0">
        <v>81</v>
      </c>
      <c r="AD381" t="s" s="0">
        <v>81</v>
      </c>
      <c r="AE381" t="s" s="0">
        <v>81</v>
      </c>
      <c r="AF381" t="s" s="0">
        <v>81</v>
      </c>
      <c r="AG381" t="s" s="0">
        <v>8995</v>
      </c>
      <c r="AH381" t="s" s="0">
        <v>81</v>
      </c>
      <c r="AI381" t="s" s="0">
        <v>81</v>
      </c>
      <c r="AJ381" t="s" s="0">
        <v>8996</v>
      </c>
      <c r="AK381" t="s" s="0">
        <v>81</v>
      </c>
      <c r="AL381" t="s" s="0">
        <v>1217</v>
      </c>
      <c r="AM381" t="s" s="0">
        <v>117</v>
      </c>
      <c r="AN381" t="s" s="0">
        <v>117</v>
      </c>
      <c r="AO381" t="s" s="0">
        <v>227</v>
      </c>
      <c r="AP381" t="s" s="0">
        <v>225</v>
      </c>
      <c r="AQ381" t="s" s="0">
        <v>476</v>
      </c>
      <c r="AR381" t="s" s="0">
        <v>477</v>
      </c>
      <c r="AS381" t="s" s="0">
        <v>478</v>
      </c>
      <c r="AT381" t="s" s="0">
        <v>81</v>
      </c>
      <c r="AU381" t="s" s="0">
        <v>2652</v>
      </c>
      <c r="AV381" t="s" s="0">
        <v>81</v>
      </c>
      <c r="AW381" t="s" s="0">
        <v>2653</v>
      </c>
      <c r="AX381" t="s" s="0">
        <v>2654</v>
      </c>
      <c r="AY381" t="s" s="0">
        <v>8997</v>
      </c>
      <c r="AZ381" t="s" s="0">
        <v>136</v>
      </c>
      <c r="BA381" t="s" s="0">
        <v>318</v>
      </c>
      <c r="BB381" t="s" s="0">
        <v>105</v>
      </c>
      <c r="BC381" t="s" s="0">
        <v>81</v>
      </c>
      <c r="BD381" t="s" s="0">
        <v>81</v>
      </c>
      <c r="BE381" t="s" s="0">
        <v>81</v>
      </c>
      <c r="BF381" t="s" s="0">
        <v>81</v>
      </c>
      <c r="BG381" t="s" s="0">
        <v>81</v>
      </c>
      <c r="BH381" t="s" s="0">
        <v>81</v>
      </c>
      <c r="BI381" t="s" s="0">
        <v>8998</v>
      </c>
      <c r="BJ381" t="s" s="0">
        <v>8999</v>
      </c>
      <c r="BK381" t="s" s="758">
        <f>HYPERLINK("http://dx.doi.org/10.3390/s25206459","http://dx.doi.org/10.3390/s25206459")</f>
        <v>9000</v>
      </c>
      <c r="BL381" t="s" s="0">
        <v>81</v>
      </c>
      <c r="BM381" t="s" s="0">
        <v>81</v>
      </c>
      <c r="BN381" t="s" s="0">
        <v>258</v>
      </c>
      <c r="BO381" t="s" s="0">
        <v>2659</v>
      </c>
      <c r="BP381" t="s" s="0">
        <v>2660</v>
      </c>
      <c r="BQ381" t="s" s="0">
        <v>9001</v>
      </c>
      <c r="BR381" t="s" s="0">
        <v>9002</v>
      </c>
      <c r="BS381" t="s" s="0">
        <v>9003</v>
      </c>
      <c r="BT381" t="s" s="759">
        <f>HYPERLINK("https://www.webofscience.com/wos/woscc/full-record/WOS:001602721500001","View Record in Web of Science")</f>
        <v>114</v>
      </c>
      <c r="BU381" t="s" s="0">
        <v>145</v>
      </c>
      <c r="BV381" t="s" s="0">
        <v>81</v>
      </c>
      <c r="BW381" t="s" s="0">
        <v>81</v>
      </c>
      <c r="BX381" t="s" s="0">
        <v>116</v>
      </c>
    </row>
    <row r="382">
      <c r="A382" t="s" s="0">
        <v>77</v>
      </c>
      <c r="B382" t="s" s="0">
        <v>77</v>
      </c>
      <c r="C382" t="s" s="0">
        <v>77</v>
      </c>
      <c r="D382" t="s" s="0">
        <v>77</v>
      </c>
      <c r="E382" t="s" s="0">
        <v>9004</v>
      </c>
      <c r="F382" t="s" s="0">
        <v>9005</v>
      </c>
      <c r="G382" t="s" s="0">
        <v>9006</v>
      </c>
      <c r="H382" t="s" s="0">
        <v>81</v>
      </c>
      <c r="I382" t="s" s="0">
        <v>82</v>
      </c>
      <c r="J382" t="s" s="0">
        <v>9007</v>
      </c>
      <c r="K382" t="s" s="0">
        <v>9008</v>
      </c>
      <c r="L382" t="s" s="0">
        <v>9009</v>
      </c>
      <c r="M382" t="s" s="0">
        <v>9010</v>
      </c>
      <c r="N382" t="s" s="0">
        <v>9011</v>
      </c>
      <c r="O382" t="s" s="0">
        <v>9012</v>
      </c>
      <c r="P382" t="s" s="0">
        <v>9013</v>
      </c>
      <c r="Q382" t="s" s="0">
        <v>90</v>
      </c>
      <c r="R382" t="s" s="0">
        <v>81</v>
      </c>
      <c r="S382" t="s" s="0">
        <v>81</v>
      </c>
      <c r="T382" t="s" s="0">
        <v>81</v>
      </c>
      <c r="U382" t="s" s="0">
        <v>81</v>
      </c>
      <c r="V382" t="s" s="0">
        <v>9014</v>
      </c>
      <c r="W382" t="s" s="0">
        <v>9015</v>
      </c>
      <c r="X382" t="s" s="0">
        <v>81</v>
      </c>
      <c r="Y382" t="s" s="0">
        <v>81</v>
      </c>
      <c r="Z382" t="s" s="0">
        <v>93</v>
      </c>
      <c r="AA382" t="s" s="0">
        <v>94</v>
      </c>
      <c r="AB382" t="s" s="0">
        <v>81</v>
      </c>
      <c r="AC382" t="s" s="0">
        <v>81</v>
      </c>
      <c r="AD382" t="s" s="0">
        <v>81</v>
      </c>
      <c r="AE382" t="s" s="0">
        <v>81</v>
      </c>
      <c r="AF382" t="s" s="0">
        <v>81</v>
      </c>
      <c r="AG382" t="s" s="0">
        <v>9016</v>
      </c>
      <c r="AH382" t="s" s="0">
        <v>81</v>
      </c>
      <c r="AI382" t="s" s="0">
        <v>81</v>
      </c>
      <c r="AJ382" t="s" s="0">
        <v>81</v>
      </c>
      <c r="AK382" t="s" s="0">
        <v>81</v>
      </c>
      <c r="AL382" t="s" s="0">
        <v>369</v>
      </c>
      <c r="AM382" t="s" s="0">
        <v>77</v>
      </c>
      <c r="AN382" t="s" s="0">
        <v>77</v>
      </c>
      <c r="AO382" t="s" s="0">
        <v>117</v>
      </c>
      <c r="AP382" t="s" s="0">
        <v>117</v>
      </c>
      <c r="AQ382" t="s" s="0">
        <v>4294</v>
      </c>
      <c r="AR382" t="s" s="0">
        <v>4295</v>
      </c>
      <c r="AS382" t="s" s="0">
        <v>4296</v>
      </c>
      <c r="AT382" t="s" s="0">
        <v>81</v>
      </c>
      <c r="AU382" t="s" s="0">
        <v>9017</v>
      </c>
      <c r="AV382" t="s" s="0">
        <v>81</v>
      </c>
      <c r="AW382" t="s" s="0">
        <v>9018</v>
      </c>
      <c r="AX382" t="s" s="0">
        <v>9019</v>
      </c>
      <c r="AY382" t="s" s="0">
        <v>104</v>
      </c>
      <c r="AZ382" t="s" s="0">
        <v>104</v>
      </c>
      <c r="BA382" t="s" s="0">
        <v>475</v>
      </c>
      <c r="BB382" t="s" s="0">
        <v>81</v>
      </c>
      <c r="BC382" t="s" s="0">
        <v>81</v>
      </c>
      <c r="BD382" t="s" s="0">
        <v>81</v>
      </c>
      <c r="BE382" t="s" s="0">
        <v>81</v>
      </c>
      <c r="BF382" t="s" s="0">
        <v>81</v>
      </c>
      <c r="BG382" t="s" s="0">
        <v>81</v>
      </c>
      <c r="BH382" t="s" s="0">
        <v>81</v>
      </c>
      <c r="BI382" t="s" s="0">
        <v>9020</v>
      </c>
      <c r="BJ382" t="s" s="0">
        <v>9021</v>
      </c>
      <c r="BK382" t="s" s="760">
        <f>HYPERLINK("http://dx.doi.org/10.2147/CIA.S590955","http://dx.doi.org/10.2147/CIA.S590955")</f>
        <v>9022</v>
      </c>
      <c r="BL382" t="s" s="0">
        <v>81</v>
      </c>
      <c r="BM382" t="s" s="0">
        <v>81</v>
      </c>
      <c r="BN382" t="s" s="0">
        <v>225</v>
      </c>
      <c r="BO382" t="s" s="0">
        <v>4965</v>
      </c>
      <c r="BP382" t="s" s="0">
        <v>4965</v>
      </c>
      <c r="BQ382" t="s" s="0">
        <v>9023</v>
      </c>
      <c r="BR382" t="s" s="0">
        <v>9024</v>
      </c>
      <c r="BS382" t="s" s="0">
        <v>9025</v>
      </c>
      <c r="BT382" t="s" s="761">
        <f>HYPERLINK("https://www.webofscience.com/wos/woscc/full-record/WOS:001746849300001","View Record in Web of Science")</f>
        <v>114</v>
      </c>
      <c r="BU382" t="s" s="0">
        <v>145</v>
      </c>
      <c r="BV382" t="s" s="0">
        <v>81</v>
      </c>
      <c r="BW382" t="s" s="0">
        <v>81</v>
      </c>
      <c r="BX382" t="s" s="0">
        <v>116</v>
      </c>
    </row>
    <row r="383">
      <c r="A383" t="s" s="0">
        <v>77</v>
      </c>
      <c r="B383" t="s" s="0">
        <v>77</v>
      </c>
      <c r="C383" t="s" s="0">
        <v>77</v>
      </c>
      <c r="D383" t="s" s="0">
        <v>77</v>
      </c>
      <c r="E383" t="s" s="0">
        <v>9026</v>
      </c>
      <c r="F383" t="s" s="0">
        <v>9027</v>
      </c>
      <c r="G383" t="s" s="0">
        <v>9028</v>
      </c>
      <c r="H383" t="s" s="0">
        <v>81</v>
      </c>
      <c r="I383" t="s" s="0">
        <v>82</v>
      </c>
      <c r="J383" t="s" s="0">
        <v>9029</v>
      </c>
      <c r="K383" t="s" s="0">
        <v>9030</v>
      </c>
      <c r="L383" t="s" s="0">
        <v>9031</v>
      </c>
      <c r="M383" t="s" s="0">
        <v>9032</v>
      </c>
      <c r="N383" t="s" s="0">
        <v>9033</v>
      </c>
      <c r="O383" t="s" s="0">
        <v>9034</v>
      </c>
      <c r="P383" t="s" s="0">
        <v>9035</v>
      </c>
      <c r="Q383" t="s" s="0">
        <v>90</v>
      </c>
      <c r="R383" t="s" s="0">
        <v>81</v>
      </c>
      <c r="S383" t="s" s="0">
        <v>9036</v>
      </c>
      <c r="T383" t="s" s="0">
        <v>81</v>
      </c>
      <c r="U383" t="s" s="0">
        <v>81</v>
      </c>
      <c r="V383" t="s" s="0">
        <v>9037</v>
      </c>
      <c r="W383" t="s" s="0">
        <v>6533</v>
      </c>
      <c r="X383" t="s" s="0">
        <v>81</v>
      </c>
      <c r="Y383" t="s" s="0">
        <v>81</v>
      </c>
      <c r="Z383" t="s" s="0">
        <v>93</v>
      </c>
      <c r="AA383" t="s" s="0">
        <v>94</v>
      </c>
      <c r="AB383" t="s" s="0">
        <v>81</v>
      </c>
      <c r="AC383" t="s" s="0">
        <v>81</v>
      </c>
      <c r="AD383" t="s" s="0">
        <v>81</v>
      </c>
      <c r="AE383" t="s" s="0">
        <v>81</v>
      </c>
      <c r="AF383" t="s" s="0">
        <v>81</v>
      </c>
      <c r="AG383" t="s" s="0">
        <v>9038</v>
      </c>
      <c r="AH383" t="s" s="0">
        <v>9039</v>
      </c>
      <c r="AI383" t="s" s="0">
        <v>81</v>
      </c>
      <c r="AJ383" t="s" s="0">
        <v>81</v>
      </c>
      <c r="AK383" t="s" s="0">
        <v>81</v>
      </c>
      <c r="AL383" t="s" s="0">
        <v>657</v>
      </c>
      <c r="AM383" t="s" s="0">
        <v>77</v>
      </c>
      <c r="AN383" t="s" s="0">
        <v>77</v>
      </c>
      <c r="AO383" t="s" s="0">
        <v>77</v>
      </c>
      <c r="AP383" t="s" s="0">
        <v>77</v>
      </c>
      <c r="AQ383" t="s" s="0">
        <v>2787</v>
      </c>
      <c r="AR383" t="s" s="0">
        <v>339</v>
      </c>
      <c r="AS383" t="s" s="0">
        <v>2788</v>
      </c>
      <c r="AT383" t="s" s="0">
        <v>6537</v>
      </c>
      <c r="AU383" t="s" s="0">
        <v>6538</v>
      </c>
      <c r="AV383" t="s" s="0">
        <v>81</v>
      </c>
      <c r="AW383" t="s" s="0">
        <v>6539</v>
      </c>
      <c r="AX383" t="s" s="0">
        <v>6540</v>
      </c>
      <c r="AY383" t="s" s="0">
        <v>2057</v>
      </c>
      <c r="AZ383" t="s" s="0">
        <v>104</v>
      </c>
      <c r="BA383" t="s" s="0">
        <v>9040</v>
      </c>
      <c r="BB383" t="s" s="0">
        <v>117</v>
      </c>
      <c r="BC383" t="s" s="0">
        <v>81</v>
      </c>
      <c r="BD383" t="s" s="0">
        <v>81</v>
      </c>
      <c r="BE383" t="s" s="0">
        <v>81</v>
      </c>
      <c r="BF383" t="s" s="0">
        <v>81</v>
      </c>
      <c r="BG383" t="s" s="0">
        <v>9041</v>
      </c>
      <c r="BH383" t="s" s="0">
        <v>884</v>
      </c>
      <c r="BI383" t="s" s="0">
        <v>81</v>
      </c>
      <c r="BJ383" t="s" s="0">
        <v>9042</v>
      </c>
      <c r="BK383" t="s" s="762">
        <f>HYPERLINK("http://dx.doi.org/10.1177/13872877261469162","http://dx.doi.org/10.1177/13872877261469162")</f>
        <v>9043</v>
      </c>
      <c r="BL383" t="s" s="0">
        <v>81</v>
      </c>
      <c r="BM383" t="s" s="0">
        <v>1673</v>
      </c>
      <c r="BN383" t="s" s="0">
        <v>167</v>
      </c>
      <c r="BO383" t="s" s="0">
        <v>110</v>
      </c>
      <c r="BP383" t="s" s="0">
        <v>111</v>
      </c>
      <c r="BQ383" t="s" s="0">
        <v>9044</v>
      </c>
      <c r="BR383" t="s" s="0">
        <v>9045</v>
      </c>
      <c r="BS383" t="s" s="0">
        <v>9046</v>
      </c>
      <c r="BT383" t="s" s="763">
        <f>HYPERLINK("https://www.webofscience.com/wos/woscc/full-record/WOS:001837999200001","View Record in Web of Science")</f>
        <v>114</v>
      </c>
      <c r="BU383" t="s" s="0">
        <v>81</v>
      </c>
      <c r="BV383" t="s" s="0">
        <v>81</v>
      </c>
      <c r="BW383" t="s" s="0">
        <v>81</v>
      </c>
      <c r="BX383" t="s" s="0">
        <v>116</v>
      </c>
    </row>
    <row r="384">
      <c r="A384" t="s" s="0">
        <v>77</v>
      </c>
      <c r="B384" t="s" s="0">
        <v>77</v>
      </c>
      <c r="C384" t="s" s="0">
        <v>77</v>
      </c>
      <c r="D384" t="s" s="0">
        <v>77</v>
      </c>
      <c r="E384" t="s" s="0">
        <v>9047</v>
      </c>
      <c r="F384" t="s" s="0">
        <v>9048</v>
      </c>
      <c r="G384" t="s" s="0">
        <v>9049</v>
      </c>
      <c r="H384" t="s" s="0">
        <v>81</v>
      </c>
      <c r="I384" t="s" s="0">
        <v>82</v>
      </c>
      <c r="J384" t="s" s="0">
        <v>9050</v>
      </c>
      <c r="K384" t="s" s="0">
        <v>9051</v>
      </c>
      <c r="L384" t="s" s="0">
        <v>81</v>
      </c>
      <c r="M384" t="s" s="0">
        <v>81</v>
      </c>
      <c r="N384" t="s" s="0">
        <v>81</v>
      </c>
      <c r="O384" t="s" s="0">
        <v>9052</v>
      </c>
      <c r="P384" t="s" s="0">
        <v>9053</v>
      </c>
      <c r="Q384" t="s" s="0">
        <v>90</v>
      </c>
      <c r="R384" t="s" s="0">
        <v>81</v>
      </c>
      <c r="S384" t="s" s="0">
        <v>81</v>
      </c>
      <c r="T384" t="s" s="0">
        <v>81</v>
      </c>
      <c r="U384" t="s" s="0">
        <v>81</v>
      </c>
      <c r="V384" t="s" s="0">
        <v>9054</v>
      </c>
      <c r="W384" t="s" s="0">
        <v>3181</v>
      </c>
      <c r="X384" t="s" s="0">
        <v>81</v>
      </c>
      <c r="Y384" t="s" s="0">
        <v>81</v>
      </c>
      <c r="Z384" t="s" s="0">
        <v>93</v>
      </c>
      <c r="AA384" t="s" s="0">
        <v>94</v>
      </c>
      <c r="AB384" t="s" s="0">
        <v>81</v>
      </c>
      <c r="AC384" t="s" s="0">
        <v>81</v>
      </c>
      <c r="AD384" t="s" s="0">
        <v>81</v>
      </c>
      <c r="AE384" t="s" s="0">
        <v>81</v>
      </c>
      <c r="AF384" t="s" s="0">
        <v>81</v>
      </c>
      <c r="AG384" t="s" s="0">
        <v>9055</v>
      </c>
      <c r="AH384" t="s" s="0">
        <v>81</v>
      </c>
      <c r="AI384" t="s" s="0">
        <v>9056</v>
      </c>
      <c r="AJ384" t="s" s="0">
        <v>9057</v>
      </c>
      <c r="AK384" t="s" s="0">
        <v>81</v>
      </c>
      <c r="AL384" t="s" s="0">
        <v>237</v>
      </c>
      <c r="AM384" t="s" s="0">
        <v>77</v>
      </c>
      <c r="AN384" t="s" s="0">
        <v>77</v>
      </c>
      <c r="AO384" t="s" s="0">
        <v>117</v>
      </c>
      <c r="AP384" t="s" s="0">
        <v>117</v>
      </c>
      <c r="AQ384" t="s" s="0">
        <v>1068</v>
      </c>
      <c r="AR384" t="s" s="0">
        <v>1069</v>
      </c>
      <c r="AS384" t="s" s="0">
        <v>1070</v>
      </c>
      <c r="AT384" t="s" s="0">
        <v>3187</v>
      </c>
      <c r="AU384" t="s" s="0">
        <v>3188</v>
      </c>
      <c r="AV384" t="s" s="0">
        <v>81</v>
      </c>
      <c r="AW384" t="s" s="0">
        <v>3189</v>
      </c>
      <c r="AX384" t="s" s="0">
        <v>3190</v>
      </c>
      <c r="AY384" t="s" s="0">
        <v>9058</v>
      </c>
      <c r="AZ384" t="s" s="0">
        <v>104</v>
      </c>
      <c r="BA384" t="s" s="0">
        <v>1728</v>
      </c>
      <c r="BB384" t="s" s="0">
        <v>81</v>
      </c>
      <c r="BC384" t="s" s="0">
        <v>81</v>
      </c>
      <c r="BD384" t="s" s="0">
        <v>5345</v>
      </c>
      <c r="BE384" t="s" s="0">
        <v>81</v>
      </c>
      <c r="BF384" t="s" s="0">
        <v>81</v>
      </c>
      <c r="BG384" t="s" s="0">
        <v>81</v>
      </c>
      <c r="BH384" t="s" s="0">
        <v>81</v>
      </c>
      <c r="BI384" t="s" s="0">
        <v>9059</v>
      </c>
      <c r="BJ384" t="s" s="0">
        <v>9060</v>
      </c>
      <c r="BK384" t="s" s="764">
        <f>HYPERLINK("http://dx.doi.org/10.1016/j.bspc.2026.110550","http://dx.doi.org/10.1016/j.bspc.2026.110550")</f>
        <v>9061</v>
      </c>
      <c r="BL384" t="s" s="0">
        <v>81</v>
      </c>
      <c r="BM384" t="s" s="0">
        <v>203</v>
      </c>
      <c r="BN384" t="s" s="0">
        <v>228</v>
      </c>
      <c r="BO384" t="s" s="0">
        <v>238</v>
      </c>
      <c r="BP384" t="s" s="0">
        <v>239</v>
      </c>
      <c r="BQ384" t="s" s="0">
        <v>9062</v>
      </c>
      <c r="BR384" t="s" s="0">
        <v>81</v>
      </c>
      <c r="BS384" t="s" s="0">
        <v>9063</v>
      </c>
      <c r="BT384" t="s" s="765">
        <f>HYPERLINK("https://www.webofscience.com/wos/woscc/full-record/WOS:001771482800001","View Record in Web of Science")</f>
        <v>114</v>
      </c>
      <c r="BU384" t="s" s="0">
        <v>81</v>
      </c>
      <c r="BV384" t="s" s="0">
        <v>81</v>
      </c>
      <c r="BW384" t="s" s="0">
        <v>81</v>
      </c>
      <c r="BX384" t="s" s="0">
        <v>116</v>
      </c>
    </row>
    <row r="385">
      <c r="A385" t="s" s="0">
        <v>77</v>
      </c>
      <c r="B385" t="s" s="0">
        <v>77</v>
      </c>
      <c r="C385" t="s" s="0">
        <v>77</v>
      </c>
      <c r="D385" t="s" s="0">
        <v>77</v>
      </c>
      <c r="E385" t="s" s="0">
        <v>9064</v>
      </c>
      <c r="F385" t="s" s="0">
        <v>9065</v>
      </c>
      <c r="G385" t="s" s="0">
        <v>9066</v>
      </c>
      <c r="H385" t="s" s="0">
        <v>81</v>
      </c>
      <c r="I385" t="s" s="0">
        <v>82</v>
      </c>
      <c r="J385" t="s" s="0">
        <v>9067</v>
      </c>
      <c r="K385" t="s" s="0">
        <v>9068</v>
      </c>
      <c r="L385" t="s" s="0">
        <v>9069</v>
      </c>
      <c r="M385" t="s" s="0">
        <v>9070</v>
      </c>
      <c r="N385" t="s" s="0">
        <v>9071</v>
      </c>
      <c r="O385" t="s" s="0">
        <v>9072</v>
      </c>
      <c r="P385" t="s" s="0">
        <v>9073</v>
      </c>
      <c r="Q385" t="s" s="0">
        <v>90</v>
      </c>
      <c r="R385" t="s" s="0">
        <v>81</v>
      </c>
      <c r="S385" t="s" s="0">
        <v>81</v>
      </c>
      <c r="T385" t="s" s="0">
        <v>81</v>
      </c>
      <c r="U385" t="s" s="0">
        <v>81</v>
      </c>
      <c r="V385" t="s" s="0">
        <v>9074</v>
      </c>
      <c r="W385" t="s" s="0">
        <v>9075</v>
      </c>
      <c r="X385" t="s" s="0">
        <v>81</v>
      </c>
      <c r="Y385" t="s" s="0">
        <v>81</v>
      </c>
      <c r="Z385" t="s" s="0">
        <v>93</v>
      </c>
      <c r="AA385" t="s" s="0">
        <v>94</v>
      </c>
      <c r="AB385" t="s" s="0">
        <v>81</v>
      </c>
      <c r="AC385" t="s" s="0">
        <v>81</v>
      </c>
      <c r="AD385" t="s" s="0">
        <v>81</v>
      </c>
      <c r="AE385" t="s" s="0">
        <v>81</v>
      </c>
      <c r="AF385" t="s" s="0">
        <v>81</v>
      </c>
      <c r="AG385" t="s" s="0">
        <v>9076</v>
      </c>
      <c r="AH385" t="s" s="0">
        <v>81</v>
      </c>
      <c r="AI385" t="s" s="0">
        <v>81</v>
      </c>
      <c r="AJ385" t="s" s="0">
        <v>81</v>
      </c>
      <c r="AK385" t="s" s="0">
        <v>81</v>
      </c>
      <c r="AL385" t="s" s="0">
        <v>562</v>
      </c>
      <c r="AM385" t="s" s="0">
        <v>77</v>
      </c>
      <c r="AN385" t="s" s="0">
        <v>77</v>
      </c>
      <c r="AO385" t="s" s="0">
        <v>160</v>
      </c>
      <c r="AP385" t="s" s="0">
        <v>160</v>
      </c>
      <c r="AQ385" t="s" s="0">
        <v>1068</v>
      </c>
      <c r="AR385" t="s" s="0">
        <v>1069</v>
      </c>
      <c r="AS385" t="s" s="0">
        <v>1070</v>
      </c>
      <c r="AT385" t="s" s="0">
        <v>9077</v>
      </c>
      <c r="AU385" t="s" s="0">
        <v>9078</v>
      </c>
      <c r="AV385" t="s" s="0">
        <v>81</v>
      </c>
      <c r="AW385" t="s" s="0">
        <v>9079</v>
      </c>
      <c r="AX385" t="s" s="0">
        <v>9075</v>
      </c>
      <c r="AY385" t="s" s="0">
        <v>445</v>
      </c>
      <c r="AZ385" t="s" s="0">
        <v>104</v>
      </c>
      <c r="BA385" t="s" s="0">
        <v>1161</v>
      </c>
      <c r="BB385" t="s" s="0">
        <v>131</v>
      </c>
      <c r="BC385" t="s" s="0">
        <v>81</v>
      </c>
      <c r="BD385" t="s" s="0">
        <v>81</v>
      </c>
      <c r="BE385" t="s" s="0">
        <v>81</v>
      </c>
      <c r="BF385" t="s" s="0">
        <v>81</v>
      </c>
      <c r="BG385" t="s" s="0">
        <v>81</v>
      </c>
      <c r="BH385" t="s" s="0">
        <v>81</v>
      </c>
      <c r="BI385" t="s" s="0">
        <v>9080</v>
      </c>
      <c r="BJ385" t="s" s="0">
        <v>9081</v>
      </c>
      <c r="BK385" t="s" s="766">
        <f>HYPERLINK("http://dx.doi.org/10.1016/j.ejso.2026.111796","http://dx.doi.org/10.1016/j.ejso.2026.111796")</f>
        <v>9082</v>
      </c>
      <c r="BL385" t="s" s="0">
        <v>81</v>
      </c>
      <c r="BM385" t="s" s="0">
        <v>81</v>
      </c>
      <c r="BN385" t="s" s="0">
        <v>128</v>
      </c>
      <c r="BO385" t="s" s="0">
        <v>4438</v>
      </c>
      <c r="BP385" t="s" s="0">
        <v>4438</v>
      </c>
      <c r="BQ385" t="s" s="0">
        <v>9083</v>
      </c>
      <c r="BR385" t="s" s="0">
        <v>9084</v>
      </c>
      <c r="BS385" t="s" s="0">
        <v>9085</v>
      </c>
      <c r="BT385" t="s" s="767">
        <f>HYPERLINK("https://www.webofscience.com/wos/woscc/full-record/WOS:001747762900001","View Record in Web of Science")</f>
        <v>114</v>
      </c>
      <c r="BU385" t="s" s="0">
        <v>81</v>
      </c>
      <c r="BV385" t="s" s="0">
        <v>81</v>
      </c>
      <c r="BW385" t="s" s="0">
        <v>81</v>
      </c>
      <c r="BX385" t="s" s="0">
        <v>116</v>
      </c>
    </row>
    <row r="386">
      <c r="A386" t="s" s="0">
        <v>77</v>
      </c>
      <c r="B386" t="s" s="0">
        <v>77</v>
      </c>
      <c r="C386" t="s" s="0">
        <v>77</v>
      </c>
      <c r="D386" t="s" s="0">
        <v>77</v>
      </c>
      <c r="E386" t="s" s="0">
        <v>9086</v>
      </c>
      <c r="F386" t="s" s="0">
        <v>9087</v>
      </c>
      <c r="G386" t="s" s="0">
        <v>9088</v>
      </c>
      <c r="H386" t="s" s="0">
        <v>81</v>
      </c>
      <c r="I386" t="s" s="0">
        <v>82</v>
      </c>
      <c r="J386" t="s" s="0">
        <v>9089</v>
      </c>
      <c r="K386" t="s" s="0">
        <v>9090</v>
      </c>
      <c r="L386" t="s" s="0">
        <v>9091</v>
      </c>
      <c r="M386" t="s" s="0">
        <v>9092</v>
      </c>
      <c r="N386" t="s" s="0">
        <v>9093</v>
      </c>
      <c r="O386" t="s" s="0">
        <v>9094</v>
      </c>
      <c r="P386" t="s" s="0">
        <v>9095</v>
      </c>
      <c r="Q386" t="s" s="0">
        <v>90</v>
      </c>
      <c r="R386" t="s" s="0">
        <v>81</v>
      </c>
      <c r="S386" t="s" s="0">
        <v>81</v>
      </c>
      <c r="T386" t="s" s="0">
        <v>81</v>
      </c>
      <c r="U386" t="s" s="0">
        <v>81</v>
      </c>
      <c r="V386" t="s" s="0">
        <v>9096</v>
      </c>
      <c r="W386" t="s" s="0">
        <v>9097</v>
      </c>
      <c r="X386" t="s" s="0">
        <v>81</v>
      </c>
      <c r="Y386" t="s" s="0">
        <v>81</v>
      </c>
      <c r="Z386" t="s" s="0">
        <v>93</v>
      </c>
      <c r="AA386" t="s" s="0">
        <v>94</v>
      </c>
      <c r="AB386" t="s" s="0">
        <v>81</v>
      </c>
      <c r="AC386" t="s" s="0">
        <v>81</v>
      </c>
      <c r="AD386" t="s" s="0">
        <v>81</v>
      </c>
      <c r="AE386" t="s" s="0">
        <v>81</v>
      </c>
      <c r="AF386" t="s" s="0">
        <v>81</v>
      </c>
      <c r="AG386" t="s" s="0">
        <v>9098</v>
      </c>
      <c r="AH386" t="s" s="0">
        <v>9099</v>
      </c>
      <c r="AI386" t="s" s="0">
        <v>9100</v>
      </c>
      <c r="AJ386" t="s" s="0">
        <v>9101</v>
      </c>
      <c r="AK386" t="s" s="0">
        <v>81</v>
      </c>
      <c r="AL386" t="s" s="0">
        <v>451</v>
      </c>
      <c r="AM386" t="s" s="0">
        <v>253</v>
      </c>
      <c r="AN386" t="s" s="0">
        <v>131</v>
      </c>
      <c r="AO386" t="s" s="0">
        <v>130</v>
      </c>
      <c r="AP386" t="s" s="0">
        <v>128</v>
      </c>
      <c r="AQ386" t="s" s="0">
        <v>406</v>
      </c>
      <c r="AR386" t="s" s="0">
        <v>407</v>
      </c>
      <c r="AS386" t="s" s="0">
        <v>408</v>
      </c>
      <c r="AT386" t="s" s="0">
        <v>9102</v>
      </c>
      <c r="AU386" t="s" s="0">
        <v>9103</v>
      </c>
      <c r="AV386" t="s" s="0">
        <v>81</v>
      </c>
      <c r="AW386" t="s" s="0">
        <v>9104</v>
      </c>
      <c r="AX386" t="s" s="0">
        <v>9105</v>
      </c>
      <c r="AY386" t="s" s="0">
        <v>824</v>
      </c>
      <c r="AZ386" t="s" s="0">
        <v>136</v>
      </c>
      <c r="BA386" t="s" s="0">
        <v>9106</v>
      </c>
      <c r="BB386" t="s" s="0">
        <v>81</v>
      </c>
      <c r="BC386" t="s" s="0">
        <v>81</v>
      </c>
      <c r="BD386" t="s" s="0">
        <v>81</v>
      </c>
      <c r="BE386" t="s" s="0">
        <v>81</v>
      </c>
      <c r="BF386" t="s" s="0">
        <v>81</v>
      </c>
      <c r="BG386" t="s" s="0">
        <v>9107</v>
      </c>
      <c r="BH386" t="s" s="0">
        <v>9108</v>
      </c>
      <c r="BI386" t="s" s="0">
        <v>81</v>
      </c>
      <c r="BJ386" t="s" s="0">
        <v>9109</v>
      </c>
      <c r="BK386" t="s" s="768">
        <f>HYPERLINK("http://dx.doi.org/10.1016/j.patrec.2025.04.001","http://dx.doi.org/10.1016/j.patrec.2025.04.001")</f>
        <v>9110</v>
      </c>
      <c r="BL386" t="s" s="0">
        <v>81</v>
      </c>
      <c r="BM386" t="s" s="0">
        <v>382</v>
      </c>
      <c r="BN386" t="s" s="0">
        <v>225</v>
      </c>
      <c r="BO386" t="s" s="0">
        <v>1351</v>
      </c>
      <c r="BP386" t="s" s="0">
        <v>420</v>
      </c>
      <c r="BQ386" t="s" s="0">
        <v>9111</v>
      </c>
      <c r="BR386" t="s" s="0">
        <v>81</v>
      </c>
      <c r="BS386" t="s" s="0">
        <v>9112</v>
      </c>
      <c r="BT386" t="s" s="769">
        <f>HYPERLINK("https://www.webofscience.com/wos/woscc/full-record/WOS:001482467000001","View Record in Web of Science")</f>
        <v>114</v>
      </c>
      <c r="BU386" t="s" s="0">
        <v>81</v>
      </c>
      <c r="BV386" t="s" s="0">
        <v>81</v>
      </c>
      <c r="BW386" t="s" s="0">
        <v>81</v>
      </c>
      <c r="BX386" t="s" s="0">
        <v>116</v>
      </c>
    </row>
    <row r="387">
      <c r="A387" t="s" s="0">
        <v>77</v>
      </c>
      <c r="B387" t="s" s="0">
        <v>77</v>
      </c>
      <c r="C387" t="s" s="0">
        <v>77</v>
      </c>
      <c r="D387" t="s" s="0">
        <v>77</v>
      </c>
      <c r="E387" t="s" s="0">
        <v>9113</v>
      </c>
      <c r="F387" t="s" s="0">
        <v>9114</v>
      </c>
      <c r="G387" t="s" s="0">
        <v>9115</v>
      </c>
      <c r="H387" t="s" s="0">
        <v>81</v>
      </c>
      <c r="I387" t="s" s="0">
        <v>82</v>
      </c>
      <c r="J387" t="s" s="0">
        <v>9116</v>
      </c>
      <c r="K387" t="s" s="0">
        <v>9117</v>
      </c>
      <c r="L387" t="s" s="0">
        <v>9118</v>
      </c>
      <c r="M387" t="s" s="0">
        <v>9119</v>
      </c>
      <c r="N387" t="s" s="0">
        <v>9120</v>
      </c>
      <c r="O387" t="s" s="0">
        <v>9121</v>
      </c>
      <c r="P387" t="s" s="0">
        <v>9122</v>
      </c>
      <c r="Q387" t="s" s="0">
        <v>90</v>
      </c>
      <c r="R387" t="s" s="0">
        <v>81</v>
      </c>
      <c r="S387" t="s" s="0">
        <v>81</v>
      </c>
      <c r="T387" t="s" s="0">
        <v>81</v>
      </c>
      <c r="U387" t="s" s="0">
        <v>81</v>
      </c>
      <c r="V387" t="s" s="0">
        <v>9123</v>
      </c>
      <c r="W387" t="s" s="0">
        <v>9124</v>
      </c>
      <c r="X387" t="s" s="0">
        <v>81</v>
      </c>
      <c r="Y387" t="s" s="0">
        <v>81</v>
      </c>
      <c r="Z387" t="s" s="0">
        <v>93</v>
      </c>
      <c r="AA387" t="s" s="0">
        <v>94</v>
      </c>
      <c r="AB387" t="s" s="0">
        <v>81</v>
      </c>
      <c r="AC387" t="s" s="0">
        <v>81</v>
      </c>
      <c r="AD387" t="s" s="0">
        <v>81</v>
      </c>
      <c r="AE387" t="s" s="0">
        <v>81</v>
      </c>
      <c r="AF387" t="s" s="0">
        <v>81</v>
      </c>
      <c r="AG387" t="s" s="0">
        <v>9125</v>
      </c>
      <c r="AH387" t="s" s="0">
        <v>9126</v>
      </c>
      <c r="AI387" t="s" s="0">
        <v>81</v>
      </c>
      <c r="AJ387" t="s" s="0">
        <v>81</v>
      </c>
      <c r="AK387" t="s" s="0">
        <v>81</v>
      </c>
      <c r="AL387" t="s" s="0">
        <v>1421</v>
      </c>
      <c r="AM387" t="s" s="0">
        <v>117</v>
      </c>
      <c r="AN387" t="s" s="0">
        <v>117</v>
      </c>
      <c r="AO387" t="s" s="0">
        <v>161</v>
      </c>
      <c r="AP387" t="s" s="0">
        <v>105</v>
      </c>
      <c r="AQ387" t="s" s="0">
        <v>8912</v>
      </c>
      <c r="AR387" t="s" s="0">
        <v>98</v>
      </c>
      <c r="AS387" t="s" s="0">
        <v>8913</v>
      </c>
      <c r="AT387" t="s" s="0">
        <v>81</v>
      </c>
      <c r="AU387" t="s" s="0">
        <v>9127</v>
      </c>
      <c r="AV387" t="s" s="0">
        <v>81</v>
      </c>
      <c r="AW387" t="s" s="0">
        <v>9128</v>
      </c>
      <c r="AX387" t="s" s="0">
        <v>9129</v>
      </c>
      <c r="AY387" t="s" s="0">
        <v>9130</v>
      </c>
      <c r="AZ387" t="s" s="0">
        <v>104</v>
      </c>
      <c r="BA387" t="s" s="0">
        <v>9131</v>
      </c>
      <c r="BB387" t="s" s="0">
        <v>81</v>
      </c>
      <c r="BC387" t="s" s="0">
        <v>81</v>
      </c>
      <c r="BD387" t="s" s="0">
        <v>117</v>
      </c>
      <c r="BE387" t="s" s="0">
        <v>81</v>
      </c>
      <c r="BF387" t="s" s="0">
        <v>81</v>
      </c>
      <c r="BG387" t="s" s="0">
        <v>81</v>
      </c>
      <c r="BH387" t="s" s="0">
        <v>81</v>
      </c>
      <c r="BI387" t="s" s="0">
        <v>9132</v>
      </c>
      <c r="BJ387" t="s" s="0">
        <v>9133</v>
      </c>
      <c r="BK387" t="s" s="770">
        <f>HYPERLINK("http://dx.doi.org/10.1016/j.snb.2025.139048","http://dx.doi.org/10.1016/j.snb.2025.139048")</f>
        <v>9134</v>
      </c>
      <c r="BL387" t="s" s="0">
        <v>81</v>
      </c>
      <c r="BM387" t="s" s="0">
        <v>418</v>
      </c>
      <c r="BN387" t="s" s="0">
        <v>167</v>
      </c>
      <c r="BO387" t="s" s="0">
        <v>9135</v>
      </c>
      <c r="BP387" t="s" s="0">
        <v>9136</v>
      </c>
      <c r="BQ387" t="s" s="0">
        <v>9137</v>
      </c>
      <c r="BR387" t="s" s="0">
        <v>81</v>
      </c>
      <c r="BS387" t="s" s="0">
        <v>9138</v>
      </c>
      <c r="BT387" t="s" s="771">
        <f>HYPERLINK("https://www.webofscience.com/wos/woscc/full-record/WOS:001611983300001","View Record in Web of Science")</f>
        <v>114</v>
      </c>
      <c r="BU387" t="s" s="0">
        <v>81</v>
      </c>
      <c r="BV387" t="s" s="0">
        <v>81</v>
      </c>
      <c r="BW387" t="s" s="0">
        <v>81</v>
      </c>
      <c r="BX387" t="s" s="0">
        <v>116</v>
      </c>
    </row>
    <row r="388">
      <c r="A388" t="s" s="0">
        <v>77</v>
      </c>
      <c r="B388" t="s" s="0">
        <v>77</v>
      </c>
      <c r="C388" t="s" s="0">
        <v>77</v>
      </c>
      <c r="D388" t="s" s="0">
        <v>77</v>
      </c>
      <c r="E388" t="s" s="0">
        <v>9139</v>
      </c>
      <c r="F388" t="s" s="0">
        <v>9140</v>
      </c>
      <c r="G388" t="s" s="0">
        <v>9141</v>
      </c>
      <c r="H388" t="s" s="0">
        <v>81</v>
      </c>
      <c r="I388" t="s" s="0">
        <v>213</v>
      </c>
      <c r="J388" t="s" s="0">
        <v>9142</v>
      </c>
      <c r="K388" t="s" s="0">
        <v>9143</v>
      </c>
      <c r="L388" t="s" s="0">
        <v>9144</v>
      </c>
      <c r="M388" t="s" s="0">
        <v>9144</v>
      </c>
      <c r="N388" t="s" s="0">
        <v>9145</v>
      </c>
      <c r="O388" t="s" s="0">
        <v>9146</v>
      </c>
      <c r="P388" t="s" s="0">
        <v>9147</v>
      </c>
      <c r="Q388" t="s" s="0">
        <v>90</v>
      </c>
      <c r="R388" t="s" s="0">
        <v>81</v>
      </c>
      <c r="S388" t="s" s="0">
        <v>81</v>
      </c>
      <c r="T388" t="s" s="0">
        <v>81</v>
      </c>
      <c r="U388" t="s" s="0">
        <v>81</v>
      </c>
      <c r="V388" t="s" s="0">
        <v>9148</v>
      </c>
      <c r="W388" t="s" s="0">
        <v>2030</v>
      </c>
      <c r="X388" t="s" s="0">
        <v>81</v>
      </c>
      <c r="Y388" t="s" s="0">
        <v>81</v>
      </c>
      <c r="Z388" t="s" s="0">
        <v>93</v>
      </c>
      <c r="AA388" t="s" s="0">
        <v>94</v>
      </c>
      <c r="AB388" t="s" s="0">
        <v>81</v>
      </c>
      <c r="AC388" t="s" s="0">
        <v>81</v>
      </c>
      <c r="AD388" t="s" s="0">
        <v>81</v>
      </c>
      <c r="AE388" t="s" s="0">
        <v>81</v>
      </c>
      <c r="AF388" t="s" s="0">
        <v>81</v>
      </c>
      <c r="AG388" t="s" s="0">
        <v>9149</v>
      </c>
      <c r="AH388" t="s" s="0">
        <v>81</v>
      </c>
      <c r="AI388" t="s" s="0">
        <v>81</v>
      </c>
      <c r="AJ388" t="s" s="0">
        <v>81</v>
      </c>
      <c r="AK388" t="s" s="0">
        <v>81</v>
      </c>
      <c r="AL388" t="s" s="0">
        <v>337</v>
      </c>
      <c r="AM388" t="s" s="0">
        <v>227</v>
      </c>
      <c r="AN388" t="s" s="0">
        <v>160</v>
      </c>
      <c r="AO388" t="s" s="0">
        <v>130</v>
      </c>
      <c r="AP388" t="s" s="0">
        <v>227</v>
      </c>
      <c r="AQ388" t="s" s="0">
        <v>406</v>
      </c>
      <c r="AR388" t="s" s="0">
        <v>407</v>
      </c>
      <c r="AS388" t="s" s="0">
        <v>408</v>
      </c>
      <c r="AT388" t="s" s="0">
        <v>81</v>
      </c>
      <c r="AU388" t="s" s="0">
        <v>2034</v>
      </c>
      <c r="AV388" t="s" s="0">
        <v>81</v>
      </c>
      <c r="AW388" t="s" s="0">
        <v>2030</v>
      </c>
      <c r="AX388" t="s" s="0">
        <v>2035</v>
      </c>
      <c r="AY388" t="s" s="0">
        <v>1880</v>
      </c>
      <c r="AZ388" t="s" s="0">
        <v>136</v>
      </c>
      <c r="BA388" t="s" s="0">
        <v>172</v>
      </c>
      <c r="BB388" t="s" s="0">
        <v>81</v>
      </c>
      <c r="BC388" t="s" s="0">
        <v>81</v>
      </c>
      <c r="BD388" t="s" s="0">
        <v>81</v>
      </c>
      <c r="BE388" t="s" s="0">
        <v>81</v>
      </c>
      <c r="BF388" t="s" s="0">
        <v>81</v>
      </c>
      <c r="BG388" t="s" s="0">
        <v>81</v>
      </c>
      <c r="BH388" t="s" s="0">
        <v>81</v>
      </c>
      <c r="BI388" t="s" s="0">
        <v>9150</v>
      </c>
      <c r="BJ388" t="s" s="0">
        <v>9151</v>
      </c>
      <c r="BK388" t="s" s="772">
        <f>HYPERLINK("http://dx.doi.org/10.1016/j.mex.2025.103584","http://dx.doi.org/10.1016/j.mex.2025.103584")</f>
        <v>9152</v>
      </c>
      <c r="BL388" t="s" s="0">
        <v>81</v>
      </c>
      <c r="BM388" t="s" s="0">
        <v>1080</v>
      </c>
      <c r="BN388" t="s" s="0">
        <v>228</v>
      </c>
      <c r="BO388" t="s" s="0">
        <v>285</v>
      </c>
      <c r="BP388" t="s" s="0">
        <v>286</v>
      </c>
      <c r="BQ388" t="s" s="0">
        <v>9153</v>
      </c>
      <c r="BR388" t="s" s="0">
        <v>9154</v>
      </c>
      <c r="BS388" t="s" s="0">
        <v>9155</v>
      </c>
      <c r="BT388" t="s" s="773">
        <f>HYPERLINK("https://www.webofscience.com/wos/woscc/full-record/WOS:001565897200004","View Record in Web of Science")</f>
        <v>114</v>
      </c>
      <c r="BU388" t="s" s="0">
        <v>145</v>
      </c>
      <c r="BV388" t="s" s="0">
        <v>81</v>
      </c>
      <c r="BW388" t="s" s="0">
        <v>81</v>
      </c>
      <c r="BX388" t="s" s="0">
        <v>116</v>
      </c>
    </row>
    <row r="389">
      <c r="A389" t="s" s="0">
        <v>77</v>
      </c>
      <c r="B389" t="s" s="0">
        <v>77</v>
      </c>
      <c r="C389" t="s" s="0">
        <v>77</v>
      </c>
      <c r="D389" t="s" s="0">
        <v>77</v>
      </c>
      <c r="E389" t="s" s="0">
        <v>9156</v>
      </c>
      <c r="F389" t="s" s="0">
        <v>9157</v>
      </c>
      <c r="G389" t="s" s="0">
        <v>9158</v>
      </c>
      <c r="H389" t="s" s="0">
        <v>81</v>
      </c>
      <c r="I389" t="s" s="0">
        <v>82</v>
      </c>
      <c r="J389" t="s" s="0">
        <v>9159</v>
      </c>
      <c r="K389" t="s" s="0">
        <v>9160</v>
      </c>
      <c r="L389" t="s" s="0">
        <v>9161</v>
      </c>
      <c r="M389" t="s" s="0">
        <v>9162</v>
      </c>
      <c r="N389" t="s" s="0">
        <v>9163</v>
      </c>
      <c r="O389" t="s" s="0">
        <v>9164</v>
      </c>
      <c r="P389" t="s" s="0">
        <v>9165</v>
      </c>
      <c r="Q389" t="s" s="0">
        <v>90</v>
      </c>
      <c r="R389" t="s" s="0">
        <v>81</v>
      </c>
      <c r="S389" t="s" s="0">
        <v>81</v>
      </c>
      <c r="T389" t="s" s="0">
        <v>81</v>
      </c>
      <c r="U389" t="s" s="0">
        <v>81</v>
      </c>
      <c r="V389" t="s" s="0">
        <v>9166</v>
      </c>
      <c r="W389" t="s" s="0">
        <v>9167</v>
      </c>
      <c r="X389" t="s" s="0">
        <v>81</v>
      </c>
      <c r="Y389" t="s" s="0">
        <v>81</v>
      </c>
      <c r="Z389" t="s" s="0">
        <v>93</v>
      </c>
      <c r="AA389" t="s" s="0">
        <v>94</v>
      </c>
      <c r="AB389" t="s" s="0">
        <v>81</v>
      </c>
      <c r="AC389" t="s" s="0">
        <v>81</v>
      </c>
      <c r="AD389" t="s" s="0">
        <v>81</v>
      </c>
      <c r="AE389" t="s" s="0">
        <v>81</v>
      </c>
      <c r="AF389" t="s" s="0">
        <v>81</v>
      </c>
      <c r="AG389" t="s" s="0">
        <v>9168</v>
      </c>
      <c r="AH389" t="s" s="0">
        <v>9169</v>
      </c>
      <c r="AI389" t="s" s="0">
        <v>81</v>
      </c>
      <c r="AJ389" t="s" s="0">
        <v>9170</v>
      </c>
      <c r="AK389" t="s" s="0">
        <v>81</v>
      </c>
      <c r="AL389" t="s" s="0">
        <v>1487</v>
      </c>
      <c r="AM389" t="s" s="0">
        <v>117</v>
      </c>
      <c r="AN389" t="s" s="0">
        <v>117</v>
      </c>
      <c r="AO389" t="s" s="0">
        <v>77</v>
      </c>
      <c r="AP389" t="s" s="0">
        <v>225</v>
      </c>
      <c r="AQ389" t="s" s="0">
        <v>1068</v>
      </c>
      <c r="AR389" t="s" s="0">
        <v>1069</v>
      </c>
      <c r="AS389" t="s" s="0">
        <v>1070</v>
      </c>
      <c r="AT389" t="s" s="0">
        <v>9171</v>
      </c>
      <c r="AU389" t="s" s="0">
        <v>9172</v>
      </c>
      <c r="AV389" t="s" s="0">
        <v>81</v>
      </c>
      <c r="AW389" t="s" s="0">
        <v>9173</v>
      </c>
      <c r="AX389" t="s" s="0">
        <v>9174</v>
      </c>
      <c r="AY389" t="s" s="0">
        <v>3191</v>
      </c>
      <c r="AZ389" t="s" s="0">
        <v>573</v>
      </c>
      <c r="BA389" t="s" s="0">
        <v>2250</v>
      </c>
      <c r="BB389" t="s" s="0">
        <v>81</v>
      </c>
      <c r="BC389" t="s" s="0">
        <v>81</v>
      </c>
      <c r="BD389" t="s" s="0">
        <v>81</v>
      </c>
      <c r="BE389" t="s" s="0">
        <v>81</v>
      </c>
      <c r="BF389" t="s" s="0">
        <v>81</v>
      </c>
      <c r="BG389" t="s" s="0">
        <v>81</v>
      </c>
      <c r="BH389" t="s" s="0">
        <v>81</v>
      </c>
      <c r="BI389" t="s" s="0">
        <v>9175</v>
      </c>
      <c r="BJ389" t="s" s="0">
        <v>9176</v>
      </c>
      <c r="BK389" t="s" s="774">
        <f>HYPERLINK("http://dx.doi.org/10.1016/j.ejmp.2024.103359","http://dx.doi.org/10.1016/j.ejmp.2024.103359")</f>
        <v>9177</v>
      </c>
      <c r="BL389" t="s" s="0">
        <v>81</v>
      </c>
      <c r="BM389" t="s" s="0">
        <v>1651</v>
      </c>
      <c r="BN389" t="s" s="0">
        <v>129</v>
      </c>
      <c r="BO389" t="s" s="0">
        <v>1881</v>
      </c>
      <c r="BP389" t="s" s="0">
        <v>1881</v>
      </c>
      <c r="BQ389" t="s" s="0">
        <v>9178</v>
      </c>
      <c r="BR389" t="s" s="0">
        <v>9179</v>
      </c>
      <c r="BS389" t="s" s="0">
        <v>9180</v>
      </c>
      <c r="BT389" t="s" s="775">
        <f>HYPERLINK("https://www.webofscience.com/wos/woscc/full-record/WOS:001236793600001","View Record in Web of Science")</f>
        <v>114</v>
      </c>
      <c r="BU389" t="s" s="0">
        <v>81</v>
      </c>
      <c r="BV389" t="s" s="0">
        <v>81</v>
      </c>
      <c r="BW389" t="s" s="0">
        <v>81</v>
      </c>
      <c r="BX389" t="s" s="0">
        <v>116</v>
      </c>
    </row>
    <row r="390">
      <c r="A390" t="s" s="0">
        <v>77</v>
      </c>
      <c r="B390" t="s" s="0">
        <v>77</v>
      </c>
      <c r="C390" t="s" s="0">
        <v>77</v>
      </c>
      <c r="D390" t="s" s="0">
        <v>77</v>
      </c>
      <c r="E390" t="s" s="0">
        <v>9181</v>
      </c>
      <c r="F390" t="s" s="0">
        <v>9182</v>
      </c>
      <c r="G390" t="s" s="0">
        <v>9183</v>
      </c>
      <c r="H390" t="s" s="0">
        <v>81</v>
      </c>
      <c r="I390" t="s" s="0">
        <v>82</v>
      </c>
      <c r="J390" t="s" s="0">
        <v>9184</v>
      </c>
      <c r="K390" t="s" s="0">
        <v>9185</v>
      </c>
      <c r="L390" t="s" s="0">
        <v>9186</v>
      </c>
      <c r="M390" t="s" s="0">
        <v>9187</v>
      </c>
      <c r="N390" t="s" s="0">
        <v>9188</v>
      </c>
      <c r="O390" t="s" s="0">
        <v>9189</v>
      </c>
      <c r="P390" t="s" s="0">
        <v>9190</v>
      </c>
      <c r="Q390" t="s" s="0">
        <v>90</v>
      </c>
      <c r="R390" t="s" s="0">
        <v>81</v>
      </c>
      <c r="S390" t="s" s="0">
        <v>81</v>
      </c>
      <c r="T390" t="s" s="0">
        <v>81</v>
      </c>
      <c r="U390" t="s" s="0">
        <v>81</v>
      </c>
      <c r="V390" t="s" s="0">
        <v>9191</v>
      </c>
      <c r="W390" t="s" s="0">
        <v>9192</v>
      </c>
      <c r="X390" t="s" s="0">
        <v>81</v>
      </c>
      <c r="Y390" t="s" s="0">
        <v>81</v>
      </c>
      <c r="Z390" t="s" s="0">
        <v>93</v>
      </c>
      <c r="AA390" t="s" s="0">
        <v>94</v>
      </c>
      <c r="AB390" t="s" s="0">
        <v>81</v>
      </c>
      <c r="AC390" t="s" s="0">
        <v>81</v>
      </c>
      <c r="AD390" t="s" s="0">
        <v>81</v>
      </c>
      <c r="AE390" t="s" s="0">
        <v>81</v>
      </c>
      <c r="AF390" t="s" s="0">
        <v>81</v>
      </c>
      <c r="AG390" t="s" s="0">
        <v>9193</v>
      </c>
      <c r="AH390" t="s" s="0">
        <v>81</v>
      </c>
      <c r="AI390" t="s" s="0">
        <v>81</v>
      </c>
      <c r="AJ390" t="s" s="0">
        <v>81</v>
      </c>
      <c r="AK390" t="s" s="0">
        <v>81</v>
      </c>
      <c r="AL390" t="s" s="0">
        <v>798</v>
      </c>
      <c r="AM390" t="s" s="0">
        <v>77</v>
      </c>
      <c r="AN390" t="s" s="0">
        <v>77</v>
      </c>
      <c r="AO390" t="s" s="0">
        <v>77</v>
      </c>
      <c r="AP390" t="s" s="0">
        <v>77</v>
      </c>
      <c r="AQ390" t="s" s="0">
        <v>97</v>
      </c>
      <c r="AR390" t="s" s="0">
        <v>98</v>
      </c>
      <c r="AS390" t="s" s="0">
        <v>99</v>
      </c>
      <c r="AT390" t="s" s="0">
        <v>9194</v>
      </c>
      <c r="AU390" t="s" s="0">
        <v>81</v>
      </c>
      <c r="AV390" t="s" s="0">
        <v>81</v>
      </c>
      <c r="AW390" t="s" s="0">
        <v>9195</v>
      </c>
      <c r="AX390" t="s" s="0">
        <v>9196</v>
      </c>
      <c r="AY390" t="s" s="0">
        <v>9197</v>
      </c>
      <c r="AZ390" t="s" s="0">
        <v>104</v>
      </c>
      <c r="BA390" t="s" s="0">
        <v>105</v>
      </c>
      <c r="BB390" t="s" s="0">
        <v>81</v>
      </c>
      <c r="BC390" t="s" s="0">
        <v>81</v>
      </c>
      <c r="BD390" t="s" s="0">
        <v>81</v>
      </c>
      <c r="BE390" t="s" s="0">
        <v>81</v>
      </c>
      <c r="BF390" t="s" s="0">
        <v>81</v>
      </c>
      <c r="BG390" t="s" s="0">
        <v>81</v>
      </c>
      <c r="BH390" t="s" s="0">
        <v>81</v>
      </c>
      <c r="BI390" t="s" s="0">
        <v>9198</v>
      </c>
      <c r="BJ390" t="s" s="0">
        <v>9199</v>
      </c>
      <c r="BK390" t="s" s="776">
        <f>HYPERLINK("http://dx.doi.org/10.3389/fnhum.2026.1858163","http://dx.doi.org/10.3389/fnhum.2026.1858163")</f>
        <v>9200</v>
      </c>
      <c r="BL390" t="s" s="0">
        <v>81</v>
      </c>
      <c r="BM390" t="s" s="0">
        <v>445</v>
      </c>
      <c r="BN390" t="s" s="0">
        <v>564</v>
      </c>
      <c r="BO390" t="s" s="0">
        <v>9201</v>
      </c>
      <c r="BP390" t="s" s="0">
        <v>9202</v>
      </c>
      <c r="BQ390" t="s" s="0">
        <v>9203</v>
      </c>
      <c r="BR390" t="s" s="0">
        <v>9204</v>
      </c>
      <c r="BS390" t="s" s="0">
        <v>9205</v>
      </c>
      <c r="BT390" t="s" s="777">
        <f>HYPERLINK("https://www.webofscience.com/wos/woscc/full-record/WOS:001806353300001","View Record in Web of Science")</f>
        <v>114</v>
      </c>
      <c r="BU390" t="s" s="0">
        <v>145</v>
      </c>
      <c r="BV390" t="s" s="0">
        <v>81</v>
      </c>
      <c r="BW390" t="s" s="0">
        <v>81</v>
      </c>
      <c r="BX390" t="s" s="0">
        <v>116</v>
      </c>
    </row>
    <row r="391">
      <c r="A391" t="s" s="0">
        <v>77</v>
      </c>
      <c r="B391" t="s" s="0">
        <v>77</v>
      </c>
      <c r="C391" t="s" s="0">
        <v>77</v>
      </c>
      <c r="D391" t="s" s="0">
        <v>77</v>
      </c>
      <c r="E391" t="s" s="0">
        <v>9206</v>
      </c>
      <c r="F391" t="s" s="0">
        <v>9207</v>
      </c>
      <c r="G391" t="s" s="0">
        <v>9208</v>
      </c>
      <c r="H391" t="s" s="0">
        <v>81</v>
      </c>
      <c r="I391" t="s" s="0">
        <v>82</v>
      </c>
      <c r="J391" t="s" s="0">
        <v>9209</v>
      </c>
      <c r="K391" t="s" s="0">
        <v>9210</v>
      </c>
      <c r="L391" t="s" s="0">
        <v>81</v>
      </c>
      <c r="M391" t="s" s="0">
        <v>81</v>
      </c>
      <c r="N391" t="s" s="0">
        <v>81</v>
      </c>
      <c r="O391" t="s" s="0">
        <v>9211</v>
      </c>
      <c r="P391" t="s" s="0">
        <v>9212</v>
      </c>
      <c r="Q391" t="s" s="0">
        <v>90</v>
      </c>
      <c r="R391" t="s" s="0">
        <v>81</v>
      </c>
      <c r="S391" t="s" s="0">
        <v>81</v>
      </c>
      <c r="T391" t="s" s="0">
        <v>81</v>
      </c>
      <c r="U391" t="s" s="0">
        <v>81</v>
      </c>
      <c r="V391" t="s" s="0">
        <v>9213</v>
      </c>
      <c r="W391" t="s" s="0">
        <v>9214</v>
      </c>
      <c r="X391" t="s" s="0">
        <v>81</v>
      </c>
      <c r="Y391" t="s" s="0">
        <v>81</v>
      </c>
      <c r="Z391" t="s" s="0">
        <v>93</v>
      </c>
      <c r="AA391" t="s" s="0">
        <v>94</v>
      </c>
      <c r="AB391" t="s" s="0">
        <v>81</v>
      </c>
      <c r="AC391" t="s" s="0">
        <v>81</v>
      </c>
      <c r="AD391" t="s" s="0">
        <v>81</v>
      </c>
      <c r="AE391" t="s" s="0">
        <v>81</v>
      </c>
      <c r="AF391" t="s" s="0">
        <v>81</v>
      </c>
      <c r="AG391" t="s" s="0">
        <v>9215</v>
      </c>
      <c r="AH391" t="s" s="0">
        <v>81</v>
      </c>
      <c r="AI391" t="s" s="0">
        <v>9216</v>
      </c>
      <c r="AJ391" t="s" s="0">
        <v>9217</v>
      </c>
      <c r="AK391" t="s" s="0">
        <v>81</v>
      </c>
      <c r="AL391" t="s" s="0">
        <v>109</v>
      </c>
      <c r="AM391" t="s" s="0">
        <v>117</v>
      </c>
      <c r="AN391" t="s" s="0">
        <v>117</v>
      </c>
      <c r="AO391" t="s" s="0">
        <v>227</v>
      </c>
      <c r="AP391" t="s" s="0">
        <v>131</v>
      </c>
      <c r="AQ391" t="s" s="0">
        <v>406</v>
      </c>
      <c r="AR391" t="s" s="0">
        <v>407</v>
      </c>
      <c r="AS391" t="s" s="0">
        <v>408</v>
      </c>
      <c r="AT391" t="s" s="0">
        <v>9218</v>
      </c>
      <c r="AU391" t="s" s="0">
        <v>9219</v>
      </c>
      <c r="AV391" t="s" s="0">
        <v>81</v>
      </c>
      <c r="AW391" t="s" s="0">
        <v>9220</v>
      </c>
      <c r="AX391" t="s" s="0">
        <v>9221</v>
      </c>
      <c r="AY391" t="s" s="0">
        <v>2583</v>
      </c>
      <c r="AZ391" t="s" s="0">
        <v>104</v>
      </c>
      <c r="BA391" t="s" s="0">
        <v>625</v>
      </c>
      <c r="BB391" t="s" s="0">
        <v>117</v>
      </c>
      <c r="BC391" t="s" s="0">
        <v>81</v>
      </c>
      <c r="BD391" t="s" s="0">
        <v>81</v>
      </c>
      <c r="BE391" t="s" s="0">
        <v>81</v>
      </c>
      <c r="BF391" t="s" s="0">
        <v>81</v>
      </c>
      <c r="BG391" t="s" s="0">
        <v>81</v>
      </c>
      <c r="BH391" t="s" s="0">
        <v>81</v>
      </c>
      <c r="BI391" t="s" s="0">
        <v>9222</v>
      </c>
      <c r="BJ391" t="s" s="0">
        <v>9223</v>
      </c>
      <c r="BK391" t="s" s="778">
        <f>HYPERLINK("http://dx.doi.org/10.1016/j.braindev.2025.104492","http://dx.doi.org/10.1016/j.braindev.2025.104492")</f>
        <v>9224</v>
      </c>
      <c r="BL391" t="s" s="0">
        <v>81</v>
      </c>
      <c r="BM391" t="s" s="0">
        <v>81</v>
      </c>
      <c r="BN391" t="s" s="0">
        <v>161</v>
      </c>
      <c r="BO391" t="s" s="0">
        <v>9225</v>
      </c>
      <c r="BP391" t="s" s="0">
        <v>9226</v>
      </c>
      <c r="BQ391" t="s" s="0">
        <v>9227</v>
      </c>
      <c r="BR391" t="s" s="0">
        <v>9228</v>
      </c>
      <c r="BS391" t="s" s="0">
        <v>9229</v>
      </c>
      <c r="BT391" t="s" s="779">
        <f>HYPERLINK("https://www.webofscience.com/wos/woscc/full-record/WOS:001639960700001","View Record in Web of Science")</f>
        <v>114</v>
      </c>
      <c r="BU391" t="s" s="0">
        <v>804</v>
      </c>
      <c r="BV391" t="s" s="0">
        <v>81</v>
      </c>
      <c r="BW391" t="s" s="0">
        <v>81</v>
      </c>
      <c r="BX391" t="s" s="0">
        <v>116</v>
      </c>
    </row>
    <row r="392">
      <c r="A392" t="s" s="0">
        <v>117</v>
      </c>
      <c r="B392" t="s" s="0">
        <v>77</v>
      </c>
      <c r="C392" t="s" s="0">
        <v>117</v>
      </c>
      <c r="D392" t="s" s="0">
        <v>77</v>
      </c>
      <c r="E392" t="s" s="0">
        <v>9230</v>
      </c>
      <c r="F392" t="s" s="0">
        <v>9231</v>
      </c>
      <c r="G392" t="s" s="0">
        <v>9232</v>
      </c>
      <c r="H392" t="s" s="0">
        <v>81</v>
      </c>
      <c r="I392" t="s" s="0">
        <v>82</v>
      </c>
      <c r="J392" t="s" s="0">
        <v>9233</v>
      </c>
      <c r="K392" t="s" s="0">
        <v>9234</v>
      </c>
      <c r="L392" t="s" s="0">
        <v>9235</v>
      </c>
      <c r="M392" t="s" s="0">
        <v>9236</v>
      </c>
      <c r="N392" t="s" s="0">
        <v>9237</v>
      </c>
      <c r="O392" t="s" s="0">
        <v>9238</v>
      </c>
      <c r="P392" t="s" s="0">
        <v>9239</v>
      </c>
      <c r="Q392" t="s" s="0">
        <v>90</v>
      </c>
      <c r="R392" t="s" s="0">
        <v>81</v>
      </c>
      <c r="S392" t="s" s="0">
        <v>81</v>
      </c>
      <c r="T392" t="s" s="0">
        <v>81</v>
      </c>
      <c r="U392" t="s" s="0">
        <v>81</v>
      </c>
      <c r="V392" t="s" s="0">
        <v>9240</v>
      </c>
      <c r="W392" t="s" s="0">
        <v>469</v>
      </c>
      <c r="X392" t="s" s="0">
        <v>81</v>
      </c>
      <c r="Y392" t="s" s="0">
        <v>81</v>
      </c>
      <c r="Z392" t="s" s="0">
        <v>93</v>
      </c>
      <c r="AA392" t="s" s="0">
        <v>94</v>
      </c>
      <c r="AB392" t="s" s="0">
        <v>81</v>
      </c>
      <c r="AC392" t="s" s="0">
        <v>81</v>
      </c>
      <c r="AD392" t="s" s="0">
        <v>81</v>
      </c>
      <c r="AE392" t="s" s="0">
        <v>81</v>
      </c>
      <c r="AF392" t="s" s="0">
        <v>81</v>
      </c>
      <c r="AG392" t="s" s="0">
        <v>9241</v>
      </c>
      <c r="AH392" t="s" s="0">
        <v>9242</v>
      </c>
      <c r="AI392" t="s" s="0">
        <v>9243</v>
      </c>
      <c r="AJ392" t="s" s="0">
        <v>9244</v>
      </c>
      <c r="AK392" t="s" s="0">
        <v>81</v>
      </c>
      <c r="AL392" t="s" s="0">
        <v>1538</v>
      </c>
      <c r="AM392" t="s" s="0">
        <v>130</v>
      </c>
      <c r="AN392" t="s" s="0">
        <v>227</v>
      </c>
      <c r="AO392" t="s" s="0">
        <v>130</v>
      </c>
      <c r="AP392" t="s" s="0">
        <v>131</v>
      </c>
      <c r="AQ392" t="s" s="0">
        <v>476</v>
      </c>
      <c r="AR392" t="s" s="0">
        <v>477</v>
      </c>
      <c r="AS392" t="s" s="0">
        <v>478</v>
      </c>
      <c r="AT392" t="s" s="0">
        <v>81</v>
      </c>
      <c r="AU392" t="s" s="0">
        <v>479</v>
      </c>
      <c r="AV392" t="s" s="0">
        <v>81</v>
      </c>
      <c r="AW392" t="s" s="0">
        <v>469</v>
      </c>
      <c r="AX392" t="s" s="0">
        <v>480</v>
      </c>
      <c r="AY392" t="s" s="0">
        <v>9245</v>
      </c>
      <c r="AZ392" t="s" s="0">
        <v>136</v>
      </c>
      <c r="BA392" t="s" s="0">
        <v>172</v>
      </c>
      <c r="BB392" t="s" s="0">
        <v>541</v>
      </c>
      <c r="BC392" t="s" s="0">
        <v>81</v>
      </c>
      <c r="BD392" t="s" s="0">
        <v>81</v>
      </c>
      <c r="BE392" t="s" s="0">
        <v>81</v>
      </c>
      <c r="BF392" t="s" s="0">
        <v>81</v>
      </c>
      <c r="BG392" t="s" s="0">
        <v>81</v>
      </c>
      <c r="BH392" t="s" s="0">
        <v>81</v>
      </c>
      <c r="BI392" t="s" s="0">
        <v>9246</v>
      </c>
      <c r="BJ392" t="s" s="0">
        <v>9247</v>
      </c>
      <c r="BK392" t="s" s="780">
        <f>HYPERLINK("http://dx.doi.org/10.3390/diagnostics15232967","http://dx.doi.org/10.3390/diagnostics15232967")</f>
        <v>9248</v>
      </c>
      <c r="BL392" t="s" s="0">
        <v>81</v>
      </c>
      <c r="BM392" t="s" s="0">
        <v>81</v>
      </c>
      <c r="BN392" t="s" s="0">
        <v>137</v>
      </c>
      <c r="BO392" t="s" s="0">
        <v>486</v>
      </c>
      <c r="BP392" t="s" s="0">
        <v>487</v>
      </c>
      <c r="BQ392" t="s" s="0">
        <v>9249</v>
      </c>
      <c r="BR392" t="s" s="0">
        <v>9250</v>
      </c>
      <c r="BS392" t="s" s="0">
        <v>9251</v>
      </c>
      <c r="BT392" t="s" s="781">
        <f>HYPERLINK("https://www.webofscience.com/wos/woscc/full-record/WOS:001635561700001","View Record in Web of Science")</f>
        <v>114</v>
      </c>
      <c r="BU392" t="s" s="0">
        <v>145</v>
      </c>
      <c r="BV392" t="s" s="0">
        <v>81</v>
      </c>
      <c r="BW392" t="s" s="0">
        <v>81</v>
      </c>
      <c r="BX392" t="s" s="0">
        <v>116</v>
      </c>
    </row>
    <row r="393">
      <c r="A393" t="s" s="0">
        <v>77</v>
      </c>
      <c r="B393" t="s" s="0">
        <v>77</v>
      </c>
      <c r="C393" t="s" s="0">
        <v>77</v>
      </c>
      <c r="D393" t="s" s="0">
        <v>77</v>
      </c>
      <c r="E393" t="s" s="0">
        <v>9252</v>
      </c>
      <c r="F393" t="s" s="0">
        <v>9253</v>
      </c>
      <c r="G393" t="s" s="0">
        <v>9254</v>
      </c>
      <c r="H393" t="s" s="0">
        <v>81</v>
      </c>
      <c r="I393" t="s" s="0">
        <v>82</v>
      </c>
      <c r="J393" t="s" s="0">
        <v>9255</v>
      </c>
      <c r="K393" t="s" s="0">
        <v>9256</v>
      </c>
      <c r="L393" t="s" s="0">
        <v>9257</v>
      </c>
      <c r="M393" t="s" s="0">
        <v>9258</v>
      </c>
      <c r="N393" t="s" s="0">
        <v>9259</v>
      </c>
      <c r="O393" t="s" s="0">
        <v>9260</v>
      </c>
      <c r="P393" t="s" s="0">
        <v>9261</v>
      </c>
      <c r="Q393" t="s" s="0">
        <v>90</v>
      </c>
      <c r="R393" t="s" s="0">
        <v>81</v>
      </c>
      <c r="S393" t="s" s="0">
        <v>81</v>
      </c>
      <c r="T393" t="s" s="0">
        <v>81</v>
      </c>
      <c r="U393" t="s" s="0">
        <v>81</v>
      </c>
      <c r="V393" t="s" s="0">
        <v>9262</v>
      </c>
      <c r="W393" t="s" s="0">
        <v>3181</v>
      </c>
      <c r="X393" t="s" s="0">
        <v>81</v>
      </c>
      <c r="Y393" t="s" s="0">
        <v>81</v>
      </c>
      <c r="Z393" t="s" s="0">
        <v>93</v>
      </c>
      <c r="AA393" t="s" s="0">
        <v>94</v>
      </c>
      <c r="AB393" t="s" s="0">
        <v>81</v>
      </c>
      <c r="AC393" t="s" s="0">
        <v>81</v>
      </c>
      <c r="AD393" t="s" s="0">
        <v>81</v>
      </c>
      <c r="AE393" t="s" s="0">
        <v>81</v>
      </c>
      <c r="AF393" t="s" s="0">
        <v>81</v>
      </c>
      <c r="AG393" t="s" s="0">
        <v>9263</v>
      </c>
      <c r="AH393" t="s" s="0">
        <v>9264</v>
      </c>
      <c r="AI393" t="s" s="0">
        <v>9265</v>
      </c>
      <c r="AJ393" t="s" s="0">
        <v>81</v>
      </c>
      <c r="AK393" t="s" s="0">
        <v>81</v>
      </c>
      <c r="AL393" t="s" s="0">
        <v>1568</v>
      </c>
      <c r="AM393" t="s" s="0">
        <v>77</v>
      </c>
      <c r="AN393" t="s" s="0">
        <v>77</v>
      </c>
      <c r="AO393" t="s" s="0">
        <v>117</v>
      </c>
      <c r="AP393" t="s" s="0">
        <v>130</v>
      </c>
      <c r="AQ393" t="s" s="0">
        <v>1068</v>
      </c>
      <c r="AR393" t="s" s="0">
        <v>1069</v>
      </c>
      <c r="AS393" t="s" s="0">
        <v>1070</v>
      </c>
      <c r="AT393" t="s" s="0">
        <v>3187</v>
      </c>
      <c r="AU393" t="s" s="0">
        <v>3188</v>
      </c>
      <c r="AV393" t="s" s="0">
        <v>81</v>
      </c>
      <c r="AW393" t="s" s="0">
        <v>3189</v>
      </c>
      <c r="AX393" t="s" s="0">
        <v>3190</v>
      </c>
      <c r="AY393" t="s" s="0">
        <v>9266</v>
      </c>
      <c r="AZ393" t="s" s="0">
        <v>104</v>
      </c>
      <c r="BA393" t="s" s="0">
        <v>2225</v>
      </c>
      <c r="BB393" t="s" s="0">
        <v>81</v>
      </c>
      <c r="BC393" t="s" s="0">
        <v>81</v>
      </c>
      <c r="BD393" t="s" s="0">
        <v>81</v>
      </c>
      <c r="BE393" t="s" s="0">
        <v>81</v>
      </c>
      <c r="BF393" t="s" s="0">
        <v>81</v>
      </c>
      <c r="BG393" t="s" s="0">
        <v>81</v>
      </c>
      <c r="BH393" t="s" s="0">
        <v>81</v>
      </c>
      <c r="BI393" t="s" s="0">
        <v>9267</v>
      </c>
      <c r="BJ393" t="s" s="0">
        <v>9268</v>
      </c>
      <c r="BK393" t="s" s="782">
        <f>HYPERLINK("http://dx.doi.org/10.1016/j.bspc.2026.109643","http://dx.doi.org/10.1016/j.bspc.2026.109643")</f>
        <v>9269</v>
      </c>
      <c r="BL393" t="s" s="0">
        <v>81</v>
      </c>
      <c r="BM393" t="s" s="0">
        <v>3439</v>
      </c>
      <c r="BN393" t="s" s="0">
        <v>204</v>
      </c>
      <c r="BO393" t="s" s="0">
        <v>238</v>
      </c>
      <c r="BP393" t="s" s="0">
        <v>239</v>
      </c>
      <c r="BQ393" t="s" s="0">
        <v>9270</v>
      </c>
      <c r="BR393" t="s" s="0">
        <v>81</v>
      </c>
      <c r="BS393" t="s" s="0">
        <v>9271</v>
      </c>
      <c r="BT393" t="s" s="783">
        <f>HYPERLINK("https://www.webofscience.com/wos/woscc/full-record/WOS:001677351600001","View Record in Web of Science")</f>
        <v>114</v>
      </c>
      <c r="BU393" t="s" s="0">
        <v>81</v>
      </c>
      <c r="BV393" t="s" s="0">
        <v>81</v>
      </c>
      <c r="BW393" t="s" s="0">
        <v>81</v>
      </c>
      <c r="BX393" t="s" s="0">
        <v>116</v>
      </c>
    </row>
    <row r="394">
      <c r="A394" t="s" s="0">
        <v>130</v>
      </c>
      <c r="B394" t="s" s="0">
        <v>77</v>
      </c>
      <c r="C394" t="s" s="0">
        <v>130</v>
      </c>
      <c r="D394" t="s" s="0">
        <v>117</v>
      </c>
      <c r="E394" t="s" s="0">
        <v>9272</v>
      </c>
      <c r="F394" t="s" s="0">
        <v>9273</v>
      </c>
      <c r="G394" t="s" s="0">
        <v>9274</v>
      </c>
      <c r="H394" t="s" s="0">
        <v>81</v>
      </c>
      <c r="I394" t="s" s="0">
        <v>82</v>
      </c>
      <c r="J394" t="s" s="0">
        <v>9275</v>
      </c>
      <c r="K394" t="s" s="0">
        <v>9276</v>
      </c>
      <c r="L394" t="s" s="0">
        <v>9277</v>
      </c>
      <c r="M394" t="s" s="0">
        <v>9278</v>
      </c>
      <c r="N394" t="s" s="0">
        <v>9279</v>
      </c>
      <c r="O394" t="s" s="0">
        <v>9280</v>
      </c>
      <c r="P394" t="s" s="0">
        <v>9281</v>
      </c>
      <c r="Q394" t="s" s="0">
        <v>90</v>
      </c>
      <c r="R394" t="s" s="0">
        <v>81</v>
      </c>
      <c r="S394" t="s" s="0">
        <v>81</v>
      </c>
      <c r="T394" t="s" s="0">
        <v>81</v>
      </c>
      <c r="U394" t="s" s="0">
        <v>81</v>
      </c>
      <c r="V394" t="s" s="0">
        <v>9282</v>
      </c>
      <c r="W394" t="s" s="0">
        <v>9283</v>
      </c>
      <c r="X394" t="s" s="0">
        <v>81</v>
      </c>
      <c r="Y394" t="s" s="0">
        <v>81</v>
      </c>
      <c r="Z394" t="s" s="0">
        <v>93</v>
      </c>
      <c r="AA394" t="s" s="0">
        <v>94</v>
      </c>
      <c r="AB394" t="s" s="0">
        <v>81</v>
      </c>
      <c r="AC394" t="s" s="0">
        <v>81</v>
      </c>
      <c r="AD394" t="s" s="0">
        <v>81</v>
      </c>
      <c r="AE394" t="s" s="0">
        <v>81</v>
      </c>
      <c r="AF394" t="s" s="0">
        <v>81</v>
      </c>
      <c r="AG394" t="s" s="0">
        <v>9284</v>
      </c>
      <c r="AH394" t="s" s="0">
        <v>9285</v>
      </c>
      <c r="AI394" t="s" s="0">
        <v>9286</v>
      </c>
      <c r="AJ394" t="s" s="0">
        <v>9287</v>
      </c>
      <c r="AK394" t="s" s="0">
        <v>81</v>
      </c>
      <c r="AL394" t="s" s="0">
        <v>252</v>
      </c>
      <c r="AM394" t="s" s="0">
        <v>226</v>
      </c>
      <c r="AN394" t="s" s="0">
        <v>137</v>
      </c>
      <c r="AO394" t="s" s="0">
        <v>130</v>
      </c>
      <c r="AP394" t="s" s="0">
        <v>167</v>
      </c>
      <c r="AQ394" t="s" s="0">
        <v>930</v>
      </c>
      <c r="AR394" t="s" s="0">
        <v>931</v>
      </c>
      <c r="AS394" t="s" s="0">
        <v>932</v>
      </c>
      <c r="AT394" t="s" s="0">
        <v>9288</v>
      </c>
      <c r="AU394" t="s" s="0">
        <v>9289</v>
      </c>
      <c r="AV394" t="s" s="0">
        <v>81</v>
      </c>
      <c r="AW394" t="s" s="0">
        <v>9283</v>
      </c>
      <c r="AX394" t="s" s="0">
        <v>9283</v>
      </c>
      <c r="AY394" t="s" s="0">
        <v>9290</v>
      </c>
      <c r="AZ394" t="s" s="0">
        <v>573</v>
      </c>
      <c r="BA394" t="s" s="0">
        <v>474</v>
      </c>
      <c r="BB394" t="s" s="0">
        <v>109</v>
      </c>
      <c r="BC394" t="s" s="0">
        <v>81</v>
      </c>
      <c r="BD394" t="s" s="0">
        <v>81</v>
      </c>
      <c r="BE394" t="s" s="0">
        <v>81</v>
      </c>
      <c r="BF394" t="s" s="0">
        <v>81</v>
      </c>
      <c r="BG394" t="s" s="0">
        <v>9291</v>
      </c>
      <c r="BH394" t="s" s="0">
        <v>9292</v>
      </c>
      <c r="BI394" t="s" s="0">
        <v>81</v>
      </c>
      <c r="BJ394" t="s" s="0">
        <v>9293</v>
      </c>
      <c r="BK394" t="s" s="784">
        <f>HYPERLINK("http://dx.doi.org/10.1097/BRS.0000000000005088","http://dx.doi.org/10.1097/BRS.0000000000005088")</f>
        <v>9294</v>
      </c>
      <c r="BL394" t="s" s="0">
        <v>81</v>
      </c>
      <c r="BM394" t="s" s="0">
        <v>81</v>
      </c>
      <c r="BN394" t="s" s="0">
        <v>128</v>
      </c>
      <c r="BO394" t="s" s="0">
        <v>1109</v>
      </c>
      <c r="BP394" t="s" s="0">
        <v>1110</v>
      </c>
      <c r="BQ394" t="s" s="0">
        <v>9295</v>
      </c>
      <c r="BR394" t="s" s="0">
        <v>9296</v>
      </c>
      <c r="BS394" t="s" s="0">
        <v>9297</v>
      </c>
      <c r="BT394" t="s" s="785">
        <f>HYPERLINK("https://www.webofscience.com/wos/woscc/full-record/WOS:001344566200004","View Record in Web of Science")</f>
        <v>114</v>
      </c>
      <c r="BU394" t="s" s="0">
        <v>81</v>
      </c>
      <c r="BV394" t="s" s="0">
        <v>81</v>
      </c>
      <c r="BW394" t="s" s="0">
        <v>81</v>
      </c>
      <c r="BX394" t="s" s="0">
        <v>116</v>
      </c>
    </row>
    <row r="395">
      <c r="A395" t="s" s="0">
        <v>77</v>
      </c>
      <c r="B395" t="s" s="0">
        <v>77</v>
      </c>
      <c r="C395" t="s" s="0">
        <v>77</v>
      </c>
      <c r="D395" t="s" s="0">
        <v>77</v>
      </c>
      <c r="E395" t="s" s="0">
        <v>9298</v>
      </c>
      <c r="F395" t="s" s="0">
        <v>9299</v>
      </c>
      <c r="G395" t="s" s="0">
        <v>9300</v>
      </c>
      <c r="H395" t="s" s="0">
        <v>81</v>
      </c>
      <c r="I395" t="s" s="0">
        <v>2702</v>
      </c>
      <c r="J395" t="s" s="0">
        <v>9301</v>
      </c>
      <c r="K395" t="s" s="0">
        <v>9302</v>
      </c>
      <c r="L395" t="s" s="0">
        <v>9303</v>
      </c>
      <c r="M395" t="s" s="0">
        <v>5175</v>
      </c>
      <c r="N395" t="s" s="0">
        <v>9304</v>
      </c>
      <c r="O395" t="s" s="0">
        <v>9305</v>
      </c>
      <c r="P395" t="s" s="0">
        <v>9306</v>
      </c>
      <c r="Q395" t="s" s="0">
        <v>90</v>
      </c>
      <c r="R395" t="s" s="0">
        <v>81</v>
      </c>
      <c r="S395" t="s" s="0">
        <v>81</v>
      </c>
      <c r="T395" t="s" s="0">
        <v>81</v>
      </c>
      <c r="U395" t="s" s="0">
        <v>81</v>
      </c>
      <c r="V395" t="s" s="0">
        <v>9307</v>
      </c>
      <c r="W395" t="s" s="0">
        <v>9308</v>
      </c>
      <c r="X395" t="s" s="0">
        <v>81</v>
      </c>
      <c r="Y395" t="s" s="0">
        <v>81</v>
      </c>
      <c r="Z395" t="s" s="0">
        <v>93</v>
      </c>
      <c r="AA395" t="s" s="0">
        <v>94</v>
      </c>
      <c r="AB395" t="s" s="0">
        <v>81</v>
      </c>
      <c r="AC395" t="s" s="0">
        <v>81</v>
      </c>
      <c r="AD395" t="s" s="0">
        <v>81</v>
      </c>
      <c r="AE395" t="s" s="0">
        <v>81</v>
      </c>
      <c r="AF395" t="s" s="0">
        <v>81</v>
      </c>
      <c r="AG395" t="s" s="0">
        <v>9309</v>
      </c>
      <c r="AH395" t="s" s="0">
        <v>9310</v>
      </c>
      <c r="AI395" t="s" s="0">
        <v>81</v>
      </c>
      <c r="AJ395" t="s" s="0">
        <v>9311</v>
      </c>
      <c r="AK395" t="s" s="0">
        <v>81</v>
      </c>
      <c r="AL395" t="s" s="0">
        <v>5958</v>
      </c>
      <c r="AM395" t="s" s="0">
        <v>117</v>
      </c>
      <c r="AN395" t="s" s="0">
        <v>117</v>
      </c>
      <c r="AO395" t="s" s="0">
        <v>160</v>
      </c>
      <c r="AP395" t="s" s="0">
        <v>161</v>
      </c>
      <c r="AQ395" t="s" s="0">
        <v>97</v>
      </c>
      <c r="AR395" t="s" s="0">
        <v>98</v>
      </c>
      <c r="AS395" t="s" s="0">
        <v>99</v>
      </c>
      <c r="AT395" t="s" s="0">
        <v>9312</v>
      </c>
      <c r="AU395" t="s" s="0">
        <v>81</v>
      </c>
      <c r="AV395" t="s" s="0">
        <v>81</v>
      </c>
      <c r="AW395" t="s" s="0">
        <v>9313</v>
      </c>
      <c r="AX395" t="s" s="0">
        <v>9314</v>
      </c>
      <c r="AY395" t="s" s="0">
        <v>9315</v>
      </c>
      <c r="AZ395" t="s" s="0">
        <v>136</v>
      </c>
      <c r="BA395" t="s" s="0">
        <v>137</v>
      </c>
      <c r="BB395" t="s" s="0">
        <v>81</v>
      </c>
      <c r="BC395" t="s" s="0">
        <v>81</v>
      </c>
      <c r="BD395" t="s" s="0">
        <v>81</v>
      </c>
      <c r="BE395" t="s" s="0">
        <v>81</v>
      </c>
      <c r="BF395" t="s" s="0">
        <v>81</v>
      </c>
      <c r="BG395" t="s" s="0">
        <v>81</v>
      </c>
      <c r="BH395" t="s" s="0">
        <v>81</v>
      </c>
      <c r="BI395" t="s" s="0">
        <v>9316</v>
      </c>
      <c r="BJ395" t="s" s="0">
        <v>9317</v>
      </c>
      <c r="BK395" t="s" s="786">
        <f>HYPERLINK("http://dx.doi.org/10.3389/fpsyt.2025.1643552","http://dx.doi.org/10.3389/fpsyt.2025.1643552")</f>
        <v>9318</v>
      </c>
      <c r="BL395" t="s" s="0">
        <v>81</v>
      </c>
      <c r="BM395" t="s" s="0">
        <v>81</v>
      </c>
      <c r="BN395" t="s" s="0">
        <v>258</v>
      </c>
      <c r="BO395" t="s" s="0">
        <v>7721</v>
      </c>
      <c r="BP395" t="s" s="0">
        <v>7721</v>
      </c>
      <c r="BQ395" t="s" s="0">
        <v>9319</v>
      </c>
      <c r="BR395" t="s" s="0">
        <v>9320</v>
      </c>
      <c r="BS395" t="s" s="0">
        <v>9321</v>
      </c>
      <c r="BT395" t="s" s="787">
        <f>HYPERLINK("https://www.webofscience.com/wos/woscc/full-record/WOS:001616818500001","View Record in Web of Science")</f>
        <v>114</v>
      </c>
      <c r="BU395" t="s" s="0">
        <v>145</v>
      </c>
      <c r="BV395" t="s" s="0">
        <v>81</v>
      </c>
      <c r="BW395" t="s" s="0">
        <v>81</v>
      </c>
      <c r="BX395" t="s" s="0">
        <v>116</v>
      </c>
    </row>
    <row r="396">
      <c r="A396" t="s" s="0">
        <v>77</v>
      </c>
      <c r="B396" t="s" s="0">
        <v>77</v>
      </c>
      <c r="C396" t="s" s="0">
        <v>117</v>
      </c>
      <c r="D396" t="s" s="0">
        <v>77</v>
      </c>
      <c r="E396" t="s" s="0">
        <v>9322</v>
      </c>
      <c r="F396" t="s" s="0">
        <v>9323</v>
      </c>
      <c r="G396" t="s" s="0">
        <v>9324</v>
      </c>
      <c r="H396" t="s" s="0">
        <v>81</v>
      </c>
      <c r="I396" t="s" s="0">
        <v>82</v>
      </c>
      <c r="J396" t="s" s="0">
        <v>9325</v>
      </c>
      <c r="K396" t="s" s="0">
        <v>9326</v>
      </c>
      <c r="L396" t="s" s="0">
        <v>9327</v>
      </c>
      <c r="M396" t="s" s="0">
        <v>9327</v>
      </c>
      <c r="N396" t="s" s="0">
        <v>9328</v>
      </c>
      <c r="O396" t="s" s="0">
        <v>9329</v>
      </c>
      <c r="P396" t="s" s="0">
        <v>9330</v>
      </c>
      <c r="Q396" t="s" s="0">
        <v>90</v>
      </c>
      <c r="R396" t="s" s="0">
        <v>81</v>
      </c>
      <c r="S396" t="s" s="0">
        <v>81</v>
      </c>
      <c r="T396" t="s" s="0">
        <v>81</v>
      </c>
      <c r="U396" t="s" s="0">
        <v>81</v>
      </c>
      <c r="V396" t="s" s="0">
        <v>9331</v>
      </c>
      <c r="W396" t="s" s="0">
        <v>9332</v>
      </c>
      <c r="X396" t="s" s="0">
        <v>81</v>
      </c>
      <c r="Y396" t="s" s="0">
        <v>81</v>
      </c>
      <c r="Z396" t="s" s="0">
        <v>93</v>
      </c>
      <c r="AA396" t="s" s="0">
        <v>94</v>
      </c>
      <c r="AB396" t="s" s="0">
        <v>81</v>
      </c>
      <c r="AC396" t="s" s="0">
        <v>81</v>
      </c>
      <c r="AD396" t="s" s="0">
        <v>81</v>
      </c>
      <c r="AE396" t="s" s="0">
        <v>81</v>
      </c>
      <c r="AF396" t="s" s="0">
        <v>81</v>
      </c>
      <c r="AG396" t="s" s="0">
        <v>9333</v>
      </c>
      <c r="AH396" t="s" s="0">
        <v>81</v>
      </c>
      <c r="AI396" t="s" s="0">
        <v>9334</v>
      </c>
      <c r="AJ396" t="s" s="0">
        <v>81</v>
      </c>
      <c r="AK396" t="s" s="0">
        <v>81</v>
      </c>
      <c r="AL396" t="s" s="0">
        <v>368</v>
      </c>
      <c r="AM396" t="s" s="0">
        <v>160</v>
      </c>
      <c r="AN396" t="s" s="0">
        <v>225</v>
      </c>
      <c r="AO396" t="s" s="0">
        <v>253</v>
      </c>
      <c r="AP396" t="s" s="0">
        <v>228</v>
      </c>
      <c r="AQ396" t="s" s="0">
        <v>338</v>
      </c>
      <c r="AR396" t="s" s="0">
        <v>339</v>
      </c>
      <c r="AS396" t="s" s="0">
        <v>340</v>
      </c>
      <c r="AT396" t="s" s="0">
        <v>9335</v>
      </c>
      <c r="AU396" t="s" s="0">
        <v>9336</v>
      </c>
      <c r="AV396" t="s" s="0">
        <v>81</v>
      </c>
      <c r="AW396" t="s" s="0">
        <v>9337</v>
      </c>
      <c r="AX396" t="s" s="0">
        <v>9338</v>
      </c>
      <c r="AY396" t="s" s="0">
        <v>9339</v>
      </c>
      <c r="AZ396" t="s" s="0">
        <v>136</v>
      </c>
      <c r="BA396" t="s" s="0">
        <v>237</v>
      </c>
      <c r="BB396" t="s" s="0">
        <v>117</v>
      </c>
      <c r="BC396" t="s" s="0">
        <v>81</v>
      </c>
      <c r="BD396" t="s" s="0">
        <v>81</v>
      </c>
      <c r="BE396" t="s" s="0">
        <v>81</v>
      </c>
      <c r="BF396" t="s" s="0">
        <v>81</v>
      </c>
      <c r="BG396" t="s" s="0">
        <v>81</v>
      </c>
      <c r="BH396" t="s" s="0">
        <v>81</v>
      </c>
      <c r="BI396" t="s" s="0">
        <v>1597</v>
      </c>
      <c r="BJ396" t="s" s="0">
        <v>9340</v>
      </c>
      <c r="BK396" t="s" s="788">
        <f>HYPERLINK("http://dx.doi.org/10.1186/s13058-025-02129-z","http://dx.doi.org/10.1186/s13058-025-02129-z")</f>
        <v>9341</v>
      </c>
      <c r="BL396" t="s" s="0">
        <v>81</v>
      </c>
      <c r="BM396" t="s" s="0">
        <v>81</v>
      </c>
      <c r="BN396" t="s" s="0">
        <v>172</v>
      </c>
      <c r="BO396" t="s" s="0">
        <v>939</v>
      </c>
      <c r="BP396" t="s" s="0">
        <v>939</v>
      </c>
      <c r="BQ396" t="s" s="0">
        <v>9342</v>
      </c>
      <c r="BR396" t="s" s="0">
        <v>9343</v>
      </c>
      <c r="BS396" t="s" s="0">
        <v>9344</v>
      </c>
      <c r="BT396" t="s" s="789">
        <f>HYPERLINK("https://www.webofscience.com/wos/woscc/full-record/WOS:001594314800001","View Record in Web of Science")</f>
        <v>114</v>
      </c>
      <c r="BU396" t="s" s="0">
        <v>145</v>
      </c>
      <c r="BV396" t="s" s="0">
        <v>81</v>
      </c>
      <c r="BW396" t="s" s="0">
        <v>81</v>
      </c>
      <c r="BX396" t="s" s="0">
        <v>116</v>
      </c>
    </row>
    <row r="397">
      <c r="A397" t="s" s="0">
        <v>117</v>
      </c>
      <c r="B397" t="s" s="0">
        <v>77</v>
      </c>
      <c r="C397" t="s" s="0">
        <v>563</v>
      </c>
      <c r="D397" t="s" s="0">
        <v>77</v>
      </c>
      <c r="E397" t="s" s="0">
        <v>9345</v>
      </c>
      <c r="F397" t="s" s="0">
        <v>9346</v>
      </c>
      <c r="G397" t="s" s="0">
        <v>9347</v>
      </c>
      <c r="H397" t="s" s="0">
        <v>81</v>
      </c>
      <c r="I397" t="s" s="0">
        <v>82</v>
      </c>
      <c r="J397" t="s" s="0">
        <v>9348</v>
      </c>
      <c r="K397" t="s" s="0">
        <v>9349</v>
      </c>
      <c r="L397" t="s" s="0">
        <v>9350</v>
      </c>
      <c r="M397" t="s" s="0">
        <v>9351</v>
      </c>
      <c r="N397" t="s" s="0">
        <v>9352</v>
      </c>
      <c r="O397" t="s" s="0">
        <v>9353</v>
      </c>
      <c r="P397" t="s" s="0">
        <v>9354</v>
      </c>
      <c r="Q397" t="s" s="0">
        <v>90</v>
      </c>
      <c r="R397" t="s" s="0">
        <v>81</v>
      </c>
      <c r="S397" t="s" s="0">
        <v>81</v>
      </c>
      <c r="T397" t="s" s="0">
        <v>81</v>
      </c>
      <c r="U397" t="s" s="0">
        <v>81</v>
      </c>
      <c r="V397" t="s" s="0">
        <v>9355</v>
      </c>
      <c r="W397" t="s" s="0">
        <v>271</v>
      </c>
      <c r="X397" t="s" s="0">
        <v>81</v>
      </c>
      <c r="Y397" t="s" s="0">
        <v>81</v>
      </c>
      <c r="Z397" t="s" s="0">
        <v>93</v>
      </c>
      <c r="AA397" t="s" s="0">
        <v>94</v>
      </c>
      <c r="AB397" t="s" s="0">
        <v>81</v>
      </c>
      <c r="AC397" t="s" s="0">
        <v>81</v>
      </c>
      <c r="AD397" t="s" s="0">
        <v>81</v>
      </c>
      <c r="AE397" t="s" s="0">
        <v>81</v>
      </c>
      <c r="AF397" t="s" s="0">
        <v>81</v>
      </c>
      <c r="AG397" t="s" s="0">
        <v>81</v>
      </c>
      <c r="AH397" t="s" s="0">
        <v>9356</v>
      </c>
      <c r="AI397" t="s" s="0">
        <v>9357</v>
      </c>
      <c r="AJ397" t="s" s="0">
        <v>9358</v>
      </c>
      <c r="AK397" t="s" s="0">
        <v>81</v>
      </c>
      <c r="AL397" t="s" s="0">
        <v>2965</v>
      </c>
      <c r="AM397" t="s" s="0">
        <v>6559</v>
      </c>
      <c r="AN397" t="s" s="0">
        <v>1350</v>
      </c>
      <c r="AO397" t="s" s="0">
        <v>160</v>
      </c>
      <c r="AP397" t="s" s="0">
        <v>798</v>
      </c>
      <c r="AQ397" t="s" s="0">
        <v>274</v>
      </c>
      <c r="AR397" t="s" s="0">
        <v>275</v>
      </c>
      <c r="AS397" t="s" s="0">
        <v>276</v>
      </c>
      <c r="AT397" t="s" s="0">
        <v>277</v>
      </c>
      <c r="AU397" t="s" s="0">
        <v>81</v>
      </c>
      <c r="AV397" t="s" s="0">
        <v>81</v>
      </c>
      <c r="AW397" t="s" s="0">
        <v>278</v>
      </c>
      <c r="AX397" t="s" s="0">
        <v>279</v>
      </c>
      <c r="AY397" t="s" s="0">
        <v>9359</v>
      </c>
      <c r="AZ397" t="s" s="0">
        <v>573</v>
      </c>
      <c r="BA397" t="s" s="0">
        <v>228</v>
      </c>
      <c r="BB397" t="s" s="0">
        <v>117</v>
      </c>
      <c r="BC397" t="s" s="0">
        <v>81</v>
      </c>
      <c r="BD397" t="s" s="0">
        <v>81</v>
      </c>
      <c r="BE397" t="s" s="0">
        <v>81</v>
      </c>
      <c r="BF397" t="s" s="0">
        <v>81</v>
      </c>
      <c r="BG397" t="s" s="0">
        <v>81</v>
      </c>
      <c r="BH397" t="s" s="0">
        <v>81</v>
      </c>
      <c r="BI397" t="s" s="0">
        <v>9360</v>
      </c>
      <c r="BJ397" t="s" s="0">
        <v>9361</v>
      </c>
      <c r="BK397" t="s" s="790">
        <f>HYPERLINK("http://dx.doi.org/10.1038/s41598-024-70165-4","http://dx.doi.org/10.1038/s41598-024-70165-4")</f>
        <v>9362</v>
      </c>
      <c r="BL397" t="s" s="0">
        <v>81</v>
      </c>
      <c r="BM397" t="s" s="0">
        <v>81</v>
      </c>
      <c r="BN397" t="s" s="0">
        <v>258</v>
      </c>
      <c r="BO397" t="s" s="0">
        <v>285</v>
      </c>
      <c r="BP397" t="s" s="0">
        <v>286</v>
      </c>
      <c r="BQ397" t="s" s="0">
        <v>9363</v>
      </c>
      <c r="BR397" t="s" s="0">
        <v>9364</v>
      </c>
      <c r="BS397" t="s" s="0">
        <v>9365</v>
      </c>
      <c r="BT397" t="s" s="791">
        <f>HYPERLINK("https://www.webofscience.com/wos/woscc/full-record/WOS:001334500800020","View Record in Web of Science")</f>
        <v>114</v>
      </c>
      <c r="BU397" t="s" s="0">
        <v>145</v>
      </c>
      <c r="BV397" t="s" s="0">
        <v>81</v>
      </c>
      <c r="BW397" t="s" s="0">
        <v>81</v>
      </c>
      <c r="BX397" t="s" s="0">
        <v>116</v>
      </c>
    </row>
    <row r="398">
      <c r="A398" t="s" s="0">
        <v>77</v>
      </c>
      <c r="B398" t="s" s="0">
        <v>77</v>
      </c>
      <c r="C398" t="s" s="0">
        <v>117</v>
      </c>
      <c r="D398" t="s" s="0">
        <v>77</v>
      </c>
      <c r="E398" t="s" s="0">
        <v>9366</v>
      </c>
      <c r="F398" t="s" s="0">
        <v>9367</v>
      </c>
      <c r="G398" t="s" s="0">
        <v>9368</v>
      </c>
      <c r="H398" t="s" s="0">
        <v>81</v>
      </c>
      <c r="I398" t="s" s="0">
        <v>82</v>
      </c>
      <c r="J398" t="s" s="0">
        <v>9369</v>
      </c>
      <c r="K398" t="s" s="0">
        <v>9370</v>
      </c>
      <c r="L398" t="s" s="0">
        <v>9371</v>
      </c>
      <c r="M398" t="s" s="0">
        <v>9372</v>
      </c>
      <c r="N398" t="s" s="0">
        <v>9373</v>
      </c>
      <c r="O398" t="s" s="0">
        <v>9374</v>
      </c>
      <c r="P398" t="s" s="0">
        <v>9375</v>
      </c>
      <c r="Q398" t="s" s="0">
        <v>90</v>
      </c>
      <c r="R398" t="s" s="0">
        <v>81</v>
      </c>
      <c r="S398" t="s" s="0">
        <v>81</v>
      </c>
      <c r="T398" t="s" s="0">
        <v>81</v>
      </c>
      <c r="U398" t="s" s="0">
        <v>81</v>
      </c>
      <c r="V398" t="s" s="0">
        <v>9376</v>
      </c>
      <c r="W398" t="s" s="0">
        <v>9377</v>
      </c>
      <c r="X398" t="s" s="0">
        <v>81</v>
      </c>
      <c r="Y398" t="s" s="0">
        <v>81</v>
      </c>
      <c r="Z398" t="s" s="0">
        <v>93</v>
      </c>
      <c r="AA398" t="s" s="0">
        <v>94</v>
      </c>
      <c r="AB398" t="s" s="0">
        <v>81</v>
      </c>
      <c r="AC398" t="s" s="0">
        <v>81</v>
      </c>
      <c r="AD398" t="s" s="0">
        <v>81</v>
      </c>
      <c r="AE398" t="s" s="0">
        <v>81</v>
      </c>
      <c r="AF398" t="s" s="0">
        <v>81</v>
      </c>
      <c r="AG398" t="s" s="0">
        <v>9378</v>
      </c>
      <c r="AH398" t="s" s="0">
        <v>9379</v>
      </c>
      <c r="AI398" t="s" s="0">
        <v>9380</v>
      </c>
      <c r="AJ398" t="s" s="0">
        <v>9381</v>
      </c>
      <c r="AK398" t="s" s="0">
        <v>81</v>
      </c>
      <c r="AL398" t="s" s="0">
        <v>1161</v>
      </c>
      <c r="AM398" t="s" s="0">
        <v>128</v>
      </c>
      <c r="AN398" t="s" s="0">
        <v>128</v>
      </c>
      <c r="AO398" t="s" s="0">
        <v>130</v>
      </c>
      <c r="AP398" t="s" s="0">
        <v>227</v>
      </c>
      <c r="AQ398" t="s" s="0">
        <v>9382</v>
      </c>
      <c r="AR398" t="s" s="0">
        <v>1236</v>
      </c>
      <c r="AS398" t="s" s="0">
        <v>9383</v>
      </c>
      <c r="AT398" t="s" s="0">
        <v>9384</v>
      </c>
      <c r="AU398" t="s" s="0">
        <v>9385</v>
      </c>
      <c r="AV398" t="s" s="0">
        <v>81</v>
      </c>
      <c r="AW398" t="s" s="0">
        <v>9386</v>
      </c>
      <c r="AX398" t="s" s="0">
        <v>9387</v>
      </c>
      <c r="AY398" t="s" s="0">
        <v>413</v>
      </c>
      <c r="AZ398" t="s" s="0">
        <v>136</v>
      </c>
      <c r="BA398" t="s" s="0">
        <v>105</v>
      </c>
      <c r="BB398" t="s" s="0">
        <v>131</v>
      </c>
      <c r="BC398" t="s" s="0">
        <v>81</v>
      </c>
      <c r="BD398" t="s" s="0">
        <v>81</v>
      </c>
      <c r="BE398" t="s" s="0">
        <v>81</v>
      </c>
      <c r="BF398" t="s" s="0">
        <v>81</v>
      </c>
      <c r="BG398" t="s" s="0">
        <v>9388</v>
      </c>
      <c r="BH398" t="s" s="0">
        <v>9389</v>
      </c>
      <c r="BI398" t="s" s="0">
        <v>81</v>
      </c>
      <c r="BJ398" t="s" s="0">
        <v>9390</v>
      </c>
      <c r="BK398" t="s" s="792">
        <f>HYPERLINK("http://dx.doi.org/10.2215/CJN.0000000695","http://dx.doi.org/10.2215/CJN.0000000695")</f>
        <v>9391</v>
      </c>
      <c r="BL398" t="s" s="0">
        <v>81</v>
      </c>
      <c r="BM398" t="s" s="0">
        <v>1137</v>
      </c>
      <c r="BN398" t="s" s="0">
        <v>167</v>
      </c>
      <c r="BO398" t="s" s="0">
        <v>6322</v>
      </c>
      <c r="BP398" t="s" s="0">
        <v>6322</v>
      </c>
      <c r="BQ398" t="s" s="0">
        <v>9392</v>
      </c>
      <c r="BR398" t="s" s="0">
        <v>9393</v>
      </c>
      <c r="BS398" t="s" s="0">
        <v>9394</v>
      </c>
      <c r="BT398" t="s" s="793">
        <f>HYPERLINK("https://www.webofscience.com/wos/woscc/full-record/WOS:001504732600001","View Record in Web of Science")</f>
        <v>114</v>
      </c>
      <c r="BU398" t="s" s="0">
        <v>973</v>
      </c>
      <c r="BV398" t="s" s="0">
        <v>81</v>
      </c>
      <c r="BW398" t="s" s="0">
        <v>81</v>
      </c>
      <c r="BX398" t="s" s="0">
        <v>116</v>
      </c>
    </row>
    <row r="399">
      <c r="A399" t="s" s="0">
        <v>77</v>
      </c>
      <c r="B399" t="s" s="0">
        <v>77</v>
      </c>
      <c r="C399" t="s" s="0">
        <v>77</v>
      </c>
      <c r="D399" t="s" s="0">
        <v>77</v>
      </c>
      <c r="E399" t="s" s="0">
        <v>9395</v>
      </c>
      <c r="F399" t="s" s="0">
        <v>9396</v>
      </c>
      <c r="G399" t="s" s="0">
        <v>9397</v>
      </c>
      <c r="H399" t="s" s="0">
        <v>81</v>
      </c>
      <c r="I399" t="s" s="0">
        <v>82</v>
      </c>
      <c r="J399" t="s" s="0">
        <v>9398</v>
      </c>
      <c r="K399" t="s" s="0">
        <v>9399</v>
      </c>
      <c r="L399" t="s" s="0">
        <v>9400</v>
      </c>
      <c r="M399" t="s" s="0">
        <v>9401</v>
      </c>
      <c r="N399" t="s" s="0">
        <v>9402</v>
      </c>
      <c r="O399" t="s" s="0">
        <v>9403</v>
      </c>
      <c r="P399" t="s" s="0">
        <v>9404</v>
      </c>
      <c r="Q399" t="s" s="0">
        <v>90</v>
      </c>
      <c r="R399" t="s" s="0">
        <v>81</v>
      </c>
      <c r="S399" t="s" s="0">
        <v>81</v>
      </c>
      <c r="T399" t="s" s="0">
        <v>81</v>
      </c>
      <c r="U399" t="s" s="0">
        <v>81</v>
      </c>
      <c r="V399" t="s" s="0">
        <v>9405</v>
      </c>
      <c r="W399" t="s" s="0">
        <v>9406</v>
      </c>
      <c r="X399" t="s" s="0">
        <v>81</v>
      </c>
      <c r="Y399" t="s" s="0">
        <v>81</v>
      </c>
      <c r="Z399" t="s" s="0">
        <v>93</v>
      </c>
      <c r="AA399" t="s" s="0">
        <v>94</v>
      </c>
      <c r="AB399" t="s" s="0">
        <v>81</v>
      </c>
      <c r="AC399" t="s" s="0">
        <v>81</v>
      </c>
      <c r="AD399" t="s" s="0">
        <v>81</v>
      </c>
      <c r="AE399" t="s" s="0">
        <v>81</v>
      </c>
      <c r="AF399" t="s" s="0">
        <v>81</v>
      </c>
      <c r="AG399" t="s" s="0">
        <v>9407</v>
      </c>
      <c r="AH399" t="s" s="0">
        <v>81</v>
      </c>
      <c r="AI399" t="s" s="0">
        <v>81</v>
      </c>
      <c r="AJ399" t="s" s="0">
        <v>81</v>
      </c>
      <c r="AK399" t="s" s="0">
        <v>81</v>
      </c>
      <c r="AL399" t="s" s="0">
        <v>1421</v>
      </c>
      <c r="AM399" t="s" s="0">
        <v>77</v>
      </c>
      <c r="AN399" t="s" s="0">
        <v>77</v>
      </c>
      <c r="AO399" t="s" s="0">
        <v>130</v>
      </c>
      <c r="AP399" t="s" s="0">
        <v>130</v>
      </c>
      <c r="AQ399" t="s" s="0">
        <v>194</v>
      </c>
      <c r="AR399" t="s" s="0">
        <v>195</v>
      </c>
      <c r="AS399" t="s" s="0">
        <v>196</v>
      </c>
      <c r="AT399" t="s" s="0">
        <v>9408</v>
      </c>
      <c r="AU399" t="s" s="0">
        <v>9409</v>
      </c>
      <c r="AV399" t="s" s="0">
        <v>81</v>
      </c>
      <c r="AW399" t="s" s="0">
        <v>9410</v>
      </c>
      <c r="AX399" t="s" s="0">
        <v>9411</v>
      </c>
      <c r="AY399" t="s" s="0">
        <v>9412</v>
      </c>
      <c r="AZ399" t="s" s="0">
        <v>104</v>
      </c>
      <c r="BA399" t="s" s="0">
        <v>224</v>
      </c>
      <c r="BB399" t="s" s="0">
        <v>117</v>
      </c>
      <c r="BC399" t="s" s="0">
        <v>81</v>
      </c>
      <c r="BD399" t="s" s="0">
        <v>81</v>
      </c>
      <c r="BE399" t="s" s="0">
        <v>81</v>
      </c>
      <c r="BF399" t="s" s="0">
        <v>81</v>
      </c>
      <c r="BG399" t="s" s="0">
        <v>81</v>
      </c>
      <c r="BH399" t="s" s="0">
        <v>81</v>
      </c>
      <c r="BI399" t="s" s="0">
        <v>9413</v>
      </c>
      <c r="BJ399" t="s" s="0">
        <v>9414</v>
      </c>
      <c r="BK399" t="s" s="794">
        <f>HYPERLINK("http://dx.doi.org/10.1080/07853890.2026.2688297","http://dx.doi.org/10.1080/07853890.2026.2688297")</f>
        <v>9415</v>
      </c>
      <c r="BL399" t="s" s="0">
        <v>81</v>
      </c>
      <c r="BM399" t="s" s="0">
        <v>81</v>
      </c>
      <c r="BN399" t="s" s="0">
        <v>137</v>
      </c>
      <c r="BO399" t="s" s="0">
        <v>486</v>
      </c>
      <c r="BP399" t="s" s="0">
        <v>487</v>
      </c>
      <c r="BQ399" t="s" s="0">
        <v>9416</v>
      </c>
      <c r="BR399" t="s" s="0">
        <v>9417</v>
      </c>
      <c r="BS399" t="s" s="0">
        <v>9418</v>
      </c>
      <c r="BT399" t="s" s="795">
        <f>HYPERLINK("https://www.webofscience.com/wos/woscc/full-record/WOS:001812672200001","View Record in Web of Science")</f>
        <v>114</v>
      </c>
      <c r="BU399" t="s" s="0">
        <v>145</v>
      </c>
      <c r="BV399" t="s" s="0">
        <v>81</v>
      </c>
      <c r="BW399" t="s" s="0">
        <v>81</v>
      </c>
      <c r="BX399" t="s" s="0">
        <v>116</v>
      </c>
    </row>
    <row r="400">
      <c r="A400" t="s" s="0">
        <v>77</v>
      </c>
      <c r="B400" t="s" s="0">
        <v>77</v>
      </c>
      <c r="C400" t="s" s="0">
        <v>130</v>
      </c>
      <c r="D400" t="s" s="0">
        <v>77</v>
      </c>
      <c r="E400" t="s" s="0">
        <v>9419</v>
      </c>
      <c r="F400" t="s" s="0">
        <v>9420</v>
      </c>
      <c r="G400" t="s" s="0">
        <v>9421</v>
      </c>
      <c r="H400" t="s" s="0">
        <v>81</v>
      </c>
      <c r="I400" t="s" s="0">
        <v>82</v>
      </c>
      <c r="J400" t="s" s="0">
        <v>9422</v>
      </c>
      <c r="K400" t="s" s="0">
        <v>9423</v>
      </c>
      <c r="L400" t="s" s="0">
        <v>81</v>
      </c>
      <c r="M400" t="s" s="0">
        <v>81</v>
      </c>
      <c r="N400" t="s" s="0">
        <v>81</v>
      </c>
      <c r="O400" t="s" s="0">
        <v>9424</v>
      </c>
      <c r="P400" t="s" s="0">
        <v>9425</v>
      </c>
      <c r="Q400" t="s" s="0">
        <v>90</v>
      </c>
      <c r="R400" t="s" s="0">
        <v>81</v>
      </c>
      <c r="S400" t="s" s="0">
        <v>81</v>
      </c>
      <c r="T400" t="s" s="0">
        <v>81</v>
      </c>
      <c r="U400" t="s" s="0">
        <v>81</v>
      </c>
      <c r="V400" t="s" s="0">
        <v>9426</v>
      </c>
      <c r="W400" t="s" s="0">
        <v>3181</v>
      </c>
      <c r="X400" t="s" s="0">
        <v>81</v>
      </c>
      <c r="Y400" t="s" s="0">
        <v>81</v>
      </c>
      <c r="Z400" t="s" s="0">
        <v>93</v>
      </c>
      <c r="AA400" t="s" s="0">
        <v>94</v>
      </c>
      <c r="AB400" t="s" s="0">
        <v>81</v>
      </c>
      <c r="AC400" t="s" s="0">
        <v>81</v>
      </c>
      <c r="AD400" t="s" s="0">
        <v>81</v>
      </c>
      <c r="AE400" t="s" s="0">
        <v>81</v>
      </c>
      <c r="AF400" t="s" s="0">
        <v>81</v>
      </c>
      <c r="AG400" t="s" s="0">
        <v>9427</v>
      </c>
      <c r="AH400" t="s" s="0">
        <v>9428</v>
      </c>
      <c r="AI400" t="s" s="0">
        <v>9429</v>
      </c>
      <c r="AJ400" t="s" s="0">
        <v>9430</v>
      </c>
      <c r="AK400" t="s" s="0">
        <v>81</v>
      </c>
      <c r="AL400" t="s" s="0">
        <v>2623</v>
      </c>
      <c r="AM400" t="s" s="0">
        <v>253</v>
      </c>
      <c r="AN400" t="s" s="0">
        <v>253</v>
      </c>
      <c r="AO400" t="s" s="0">
        <v>117</v>
      </c>
      <c r="AP400" t="s" s="0">
        <v>227</v>
      </c>
      <c r="AQ400" t="s" s="0">
        <v>1068</v>
      </c>
      <c r="AR400" t="s" s="0">
        <v>1069</v>
      </c>
      <c r="AS400" t="s" s="0">
        <v>1070</v>
      </c>
      <c r="AT400" t="s" s="0">
        <v>3187</v>
      </c>
      <c r="AU400" t="s" s="0">
        <v>3188</v>
      </c>
      <c r="AV400" t="s" s="0">
        <v>81</v>
      </c>
      <c r="AW400" t="s" s="0">
        <v>3189</v>
      </c>
      <c r="AX400" t="s" s="0">
        <v>3190</v>
      </c>
      <c r="AY400" t="s" s="0">
        <v>632</v>
      </c>
      <c r="AZ400" t="s" s="0">
        <v>136</v>
      </c>
      <c r="BA400" t="s" s="0">
        <v>9431</v>
      </c>
      <c r="BB400" t="s" s="0">
        <v>81</v>
      </c>
      <c r="BC400" t="s" s="0">
        <v>81</v>
      </c>
      <c r="BD400" t="s" s="0">
        <v>81</v>
      </c>
      <c r="BE400" t="s" s="0">
        <v>81</v>
      </c>
      <c r="BF400" t="s" s="0">
        <v>81</v>
      </c>
      <c r="BG400" t="s" s="0">
        <v>81</v>
      </c>
      <c r="BH400" t="s" s="0">
        <v>81</v>
      </c>
      <c r="BI400" t="s" s="0">
        <v>9432</v>
      </c>
      <c r="BJ400" t="s" s="0">
        <v>9433</v>
      </c>
      <c r="BK400" t="s" s="796">
        <f>HYPERLINK("http://dx.doi.org/10.1016/j.bspc.2025.107663","http://dx.doi.org/10.1016/j.bspc.2025.107663")</f>
        <v>9434</v>
      </c>
      <c r="BL400" t="s" s="0">
        <v>81</v>
      </c>
      <c r="BM400" t="s" s="0">
        <v>418</v>
      </c>
      <c r="BN400" t="s" s="0">
        <v>204</v>
      </c>
      <c r="BO400" t="s" s="0">
        <v>238</v>
      </c>
      <c r="BP400" t="s" s="0">
        <v>239</v>
      </c>
      <c r="BQ400" t="s" s="0">
        <v>9435</v>
      </c>
      <c r="BR400" t="s" s="0">
        <v>81</v>
      </c>
      <c r="BS400" t="s" s="0">
        <v>9436</v>
      </c>
      <c r="BT400" t="s" s="797">
        <f>HYPERLINK("https://www.webofscience.com/wos/woscc/full-record/WOS:001433619600001","View Record in Web of Science")</f>
        <v>114</v>
      </c>
      <c r="BU400" t="s" s="0">
        <v>804</v>
      </c>
      <c r="BV400" t="s" s="0">
        <v>81</v>
      </c>
      <c r="BW400" t="s" s="0">
        <v>81</v>
      </c>
      <c r="BX400" t="s" s="0">
        <v>116</v>
      </c>
    </row>
    <row r="401">
      <c r="A401" t="s" s="0">
        <v>77</v>
      </c>
      <c r="B401" t="s" s="0">
        <v>77</v>
      </c>
      <c r="C401" t="s" s="0">
        <v>77</v>
      </c>
      <c r="D401" t="s" s="0">
        <v>77</v>
      </c>
      <c r="E401" t="s" s="0">
        <v>9437</v>
      </c>
      <c r="F401" t="s" s="0">
        <v>9438</v>
      </c>
      <c r="G401" t="s" s="0">
        <v>9439</v>
      </c>
      <c r="H401" t="s" s="0">
        <v>81</v>
      </c>
      <c r="I401" t="s" s="0">
        <v>82</v>
      </c>
      <c r="J401" t="s" s="0">
        <v>9440</v>
      </c>
      <c r="K401" t="s" s="0">
        <v>9441</v>
      </c>
      <c r="L401" t="s" s="0">
        <v>9442</v>
      </c>
      <c r="M401" t="s" s="0">
        <v>9443</v>
      </c>
      <c r="N401" t="s" s="0">
        <v>9444</v>
      </c>
      <c r="O401" t="s" s="0">
        <v>9445</v>
      </c>
      <c r="P401" t="s" s="0">
        <v>9446</v>
      </c>
      <c r="Q401" t="s" s="0">
        <v>90</v>
      </c>
      <c r="R401" t="s" s="0">
        <v>81</v>
      </c>
      <c r="S401" t="s" s="0">
        <v>81</v>
      </c>
      <c r="T401" t="s" s="0">
        <v>81</v>
      </c>
      <c r="U401" t="s" s="0">
        <v>81</v>
      </c>
      <c r="V401" t="s" s="0">
        <v>9447</v>
      </c>
      <c r="W401" t="s" s="0">
        <v>6445</v>
      </c>
      <c r="X401" t="s" s="0">
        <v>81</v>
      </c>
      <c r="Y401" t="s" s="0">
        <v>81</v>
      </c>
      <c r="Z401" t="s" s="0">
        <v>93</v>
      </c>
      <c r="AA401" t="s" s="0">
        <v>94</v>
      </c>
      <c r="AB401" t="s" s="0">
        <v>81</v>
      </c>
      <c r="AC401" t="s" s="0">
        <v>81</v>
      </c>
      <c r="AD401" t="s" s="0">
        <v>81</v>
      </c>
      <c r="AE401" t="s" s="0">
        <v>81</v>
      </c>
      <c r="AF401" t="s" s="0">
        <v>81</v>
      </c>
      <c r="AG401" t="s" s="0">
        <v>9448</v>
      </c>
      <c r="AH401" t="s" s="0">
        <v>9449</v>
      </c>
      <c r="AI401" t="s" s="0">
        <v>9450</v>
      </c>
      <c r="AJ401" t="s" s="0">
        <v>9451</v>
      </c>
      <c r="AK401" t="s" s="0">
        <v>81</v>
      </c>
      <c r="AL401" t="s" s="0">
        <v>1641</v>
      </c>
      <c r="AM401" t="s" s="0">
        <v>130</v>
      </c>
      <c r="AN401" t="s" s="0">
        <v>130</v>
      </c>
      <c r="AO401" t="s" s="0">
        <v>227</v>
      </c>
      <c r="AP401" t="s" s="0">
        <v>227</v>
      </c>
      <c r="AQ401" t="s" s="0">
        <v>930</v>
      </c>
      <c r="AR401" t="s" s="0">
        <v>931</v>
      </c>
      <c r="AS401" t="s" s="0">
        <v>932</v>
      </c>
      <c r="AT401" t="s" s="0">
        <v>6448</v>
      </c>
      <c r="AU401" t="s" s="0">
        <v>6449</v>
      </c>
      <c r="AV401" t="s" s="0">
        <v>81</v>
      </c>
      <c r="AW401" t="s" s="0">
        <v>6450</v>
      </c>
      <c r="AX401" t="s" s="0">
        <v>6451</v>
      </c>
      <c r="AY401" t="s" s="0">
        <v>3439</v>
      </c>
      <c r="AZ401" t="s" s="0">
        <v>104</v>
      </c>
      <c r="BA401" t="s" s="0">
        <v>346</v>
      </c>
      <c r="BB401" t="s" s="0">
        <v>117</v>
      </c>
      <c r="BC401" t="s" s="0">
        <v>81</v>
      </c>
      <c r="BD401" t="s" s="0">
        <v>81</v>
      </c>
      <c r="BE401" t="s" s="0">
        <v>81</v>
      </c>
      <c r="BF401" t="s" s="0">
        <v>81</v>
      </c>
      <c r="BG401" t="s" s="0">
        <v>9452</v>
      </c>
      <c r="BH401" t="s" s="0">
        <v>9453</v>
      </c>
      <c r="BI401" t="s" s="0">
        <v>81</v>
      </c>
      <c r="BJ401" t="s" s="0">
        <v>9454</v>
      </c>
      <c r="BK401" t="s" s="798">
        <f>HYPERLINK("http://dx.doi.org/10.1097/JS9.0000000000003448","http://dx.doi.org/10.1097/JS9.0000000000003448")</f>
        <v>9455</v>
      </c>
      <c r="BL401" t="s" s="0">
        <v>81</v>
      </c>
      <c r="BM401" t="s" s="0">
        <v>81</v>
      </c>
      <c r="BN401" t="s" s="0">
        <v>204</v>
      </c>
      <c r="BO401" t="s" s="0">
        <v>2819</v>
      </c>
      <c r="BP401" t="s" s="0">
        <v>2819</v>
      </c>
      <c r="BQ401" t="s" s="0">
        <v>9456</v>
      </c>
      <c r="BR401" t="s" s="0">
        <v>9457</v>
      </c>
      <c r="BS401" t="s" s="0">
        <v>9458</v>
      </c>
      <c r="BT401" t="s" s="799">
        <f>HYPERLINK("https://www.webofscience.com/wos/woscc/full-record/WOS:001683384100019","View Record in Web of Science")</f>
        <v>114</v>
      </c>
      <c r="BU401" t="s" s="0">
        <v>666</v>
      </c>
      <c r="BV401" t="s" s="0">
        <v>81</v>
      </c>
      <c r="BW401" t="s" s="0">
        <v>81</v>
      </c>
      <c r="BX401" t="s" s="0">
        <v>116</v>
      </c>
    </row>
    <row r="402">
      <c r="A402" t="s" s="0">
        <v>563</v>
      </c>
      <c r="B402" t="s" s="0">
        <v>77</v>
      </c>
      <c r="C402" t="s" s="0">
        <v>1773</v>
      </c>
      <c r="D402" t="s" s="0">
        <v>77</v>
      </c>
      <c r="E402" t="s" s="0">
        <v>9459</v>
      </c>
      <c r="F402" t="s" s="0">
        <v>9460</v>
      </c>
      <c r="G402" t="s" s="0">
        <v>9461</v>
      </c>
      <c r="H402" t="s" s="0">
        <v>81</v>
      </c>
      <c r="I402" t="s" s="0">
        <v>82</v>
      </c>
      <c r="J402" t="s" s="0">
        <v>9462</v>
      </c>
      <c r="K402" t="s" s="0">
        <v>9463</v>
      </c>
      <c r="L402" t="s" s="0">
        <v>9464</v>
      </c>
      <c r="M402" t="s" s="0">
        <v>9465</v>
      </c>
      <c r="N402" t="s" s="0">
        <v>9466</v>
      </c>
      <c r="O402" t="s" s="0">
        <v>9467</v>
      </c>
      <c r="P402" t="s" s="0">
        <v>9468</v>
      </c>
      <c r="Q402" t="s" s="0">
        <v>90</v>
      </c>
      <c r="R402" t="s" s="0">
        <v>81</v>
      </c>
      <c r="S402" t="s" s="0">
        <v>9469</v>
      </c>
      <c r="T402" t="s" s="0">
        <v>81</v>
      </c>
      <c r="U402" t="s" s="0">
        <v>81</v>
      </c>
      <c r="V402" t="s" s="0">
        <v>9470</v>
      </c>
      <c r="W402" t="s" s="0">
        <v>9471</v>
      </c>
      <c r="X402" t="s" s="0">
        <v>81</v>
      </c>
      <c r="Y402" t="s" s="0">
        <v>81</v>
      </c>
      <c r="Z402" t="s" s="0">
        <v>93</v>
      </c>
      <c r="AA402" t="s" s="0">
        <v>94</v>
      </c>
      <c r="AB402" t="s" s="0">
        <v>81</v>
      </c>
      <c r="AC402" t="s" s="0">
        <v>81</v>
      </c>
      <c r="AD402" t="s" s="0">
        <v>81</v>
      </c>
      <c r="AE402" t="s" s="0">
        <v>81</v>
      </c>
      <c r="AF402" t="s" s="0">
        <v>81</v>
      </c>
      <c r="AG402" t="s" s="0">
        <v>81</v>
      </c>
      <c r="AH402" t="s" s="0">
        <v>9472</v>
      </c>
      <c r="AI402" t="s" s="0">
        <v>9473</v>
      </c>
      <c r="AJ402" t="s" s="0">
        <v>9474</v>
      </c>
      <c r="AK402" t="s" s="0">
        <v>81</v>
      </c>
      <c r="AL402" t="s" s="0">
        <v>438</v>
      </c>
      <c r="AM402" t="s" s="0">
        <v>1191</v>
      </c>
      <c r="AN402" t="s" s="0">
        <v>9475</v>
      </c>
      <c r="AO402" t="s" s="0">
        <v>225</v>
      </c>
      <c r="AP402" t="s" s="0">
        <v>9476</v>
      </c>
      <c r="AQ402" t="s" s="0">
        <v>274</v>
      </c>
      <c r="AR402" t="s" s="0">
        <v>275</v>
      </c>
      <c r="AS402" t="s" s="0">
        <v>276</v>
      </c>
      <c r="AT402" t="s" s="0">
        <v>81</v>
      </c>
      <c r="AU402" t="s" s="0">
        <v>9477</v>
      </c>
      <c r="AV402" t="s" s="0">
        <v>81</v>
      </c>
      <c r="AW402" t="s" s="0">
        <v>9478</v>
      </c>
      <c r="AX402" t="s" s="0">
        <v>9479</v>
      </c>
      <c r="AY402" t="s" s="0">
        <v>887</v>
      </c>
      <c r="AZ402" t="s" s="0">
        <v>482</v>
      </c>
      <c r="BA402" t="s" s="0">
        <v>227</v>
      </c>
      <c r="BB402" t="s" s="0">
        <v>131</v>
      </c>
      <c r="BC402" t="s" s="0">
        <v>81</v>
      </c>
      <c r="BD402" t="s" s="0">
        <v>81</v>
      </c>
      <c r="BE402" t="s" s="0">
        <v>81</v>
      </c>
      <c r="BF402" t="s" s="0">
        <v>81</v>
      </c>
      <c r="BG402" t="s" s="0">
        <v>9480</v>
      </c>
      <c r="BH402" t="s" s="0">
        <v>4560</v>
      </c>
      <c r="BI402" t="s" s="0">
        <v>81</v>
      </c>
      <c r="BJ402" t="s" s="0">
        <v>9481</v>
      </c>
      <c r="BK402" t="s" s="800">
        <f>HYPERLINK("http://dx.doi.org/10.1038/s43018-022-00388-9","http://dx.doi.org/10.1038/s43018-022-00388-9")</f>
        <v>9482</v>
      </c>
      <c r="BL402" t="s" s="0">
        <v>81</v>
      </c>
      <c r="BM402" t="s" s="0">
        <v>81</v>
      </c>
      <c r="BN402" t="s" s="0">
        <v>337</v>
      </c>
      <c r="BO402" t="s" s="0">
        <v>939</v>
      </c>
      <c r="BP402" t="s" s="0">
        <v>939</v>
      </c>
      <c r="BQ402" t="s" s="0">
        <v>9483</v>
      </c>
      <c r="BR402" t="s" s="0">
        <v>9484</v>
      </c>
      <c r="BS402" t="s" s="0">
        <v>9485</v>
      </c>
      <c r="BT402" t="s" s="801">
        <f>HYPERLINK("https://www.webofscience.com/wos/woscc/full-record/WOS:000819009500006","View Record in Web of Science")</f>
        <v>114</v>
      </c>
      <c r="BU402" t="s" s="0">
        <v>457</v>
      </c>
      <c r="BV402" t="s" s="0">
        <v>915</v>
      </c>
      <c r="BW402" t="s" s="0">
        <v>916</v>
      </c>
      <c r="BX402" t="s" s="0">
        <v>116</v>
      </c>
    </row>
    <row r="403">
      <c r="A403" t="s" s="0">
        <v>131</v>
      </c>
      <c r="B403" t="s" s="0">
        <v>77</v>
      </c>
      <c r="C403" t="s" s="0">
        <v>129</v>
      </c>
      <c r="D403" t="s" s="0">
        <v>77</v>
      </c>
      <c r="E403" t="s" s="0">
        <v>9486</v>
      </c>
      <c r="F403" t="s" s="0">
        <v>9487</v>
      </c>
      <c r="G403" t="s" s="0">
        <v>9488</v>
      </c>
      <c r="H403" t="s" s="0">
        <v>81</v>
      </c>
      <c r="I403" t="s" s="0">
        <v>82</v>
      </c>
      <c r="J403" t="s" s="0">
        <v>9489</v>
      </c>
      <c r="K403" t="s" s="0">
        <v>9490</v>
      </c>
      <c r="L403" t="s" s="0">
        <v>9491</v>
      </c>
      <c r="M403" t="s" s="0">
        <v>9492</v>
      </c>
      <c r="N403" t="s" s="0">
        <v>9493</v>
      </c>
      <c r="O403" t="s" s="0">
        <v>9494</v>
      </c>
      <c r="P403" t="s" s="0">
        <v>9495</v>
      </c>
      <c r="Q403" t="s" s="0">
        <v>90</v>
      </c>
      <c r="R403" t="s" s="0">
        <v>81</v>
      </c>
      <c r="S403" t="s" s="0">
        <v>81</v>
      </c>
      <c r="T403" t="s" s="0">
        <v>81</v>
      </c>
      <c r="U403" t="s" s="0">
        <v>81</v>
      </c>
      <c r="V403" t="s" s="0">
        <v>9496</v>
      </c>
      <c r="W403" t="s" s="0">
        <v>9075</v>
      </c>
      <c r="X403" t="s" s="0">
        <v>81</v>
      </c>
      <c r="Y403" t="s" s="0">
        <v>81</v>
      </c>
      <c r="Z403" t="s" s="0">
        <v>93</v>
      </c>
      <c r="AA403" t="s" s="0">
        <v>94</v>
      </c>
      <c r="AB403" t="s" s="0">
        <v>81</v>
      </c>
      <c r="AC403" t="s" s="0">
        <v>81</v>
      </c>
      <c r="AD403" t="s" s="0">
        <v>81</v>
      </c>
      <c r="AE403" t="s" s="0">
        <v>81</v>
      </c>
      <c r="AF403" t="s" s="0">
        <v>81</v>
      </c>
      <c r="AG403" t="s" s="0">
        <v>9497</v>
      </c>
      <c r="AH403" t="s" s="0">
        <v>9498</v>
      </c>
      <c r="AI403" t="s" s="0">
        <v>9499</v>
      </c>
      <c r="AJ403" t="s" s="0">
        <v>9500</v>
      </c>
      <c r="AK403" t="s" s="0">
        <v>81</v>
      </c>
      <c r="AL403" t="s" s="0">
        <v>1067</v>
      </c>
      <c r="AM403" t="s" s="0">
        <v>405</v>
      </c>
      <c r="AN403" t="s" s="0">
        <v>451</v>
      </c>
      <c r="AO403" t="s" s="0">
        <v>130</v>
      </c>
      <c r="AP403" t="s" s="0">
        <v>451</v>
      </c>
      <c r="AQ403" t="s" s="0">
        <v>1068</v>
      </c>
      <c r="AR403" t="s" s="0">
        <v>1069</v>
      </c>
      <c r="AS403" t="s" s="0">
        <v>1070</v>
      </c>
      <c r="AT403" t="s" s="0">
        <v>9077</v>
      </c>
      <c r="AU403" t="s" s="0">
        <v>9078</v>
      </c>
      <c r="AV403" t="s" s="0">
        <v>81</v>
      </c>
      <c r="AW403" t="s" s="0">
        <v>9079</v>
      </c>
      <c r="AX403" t="s" s="0">
        <v>9075</v>
      </c>
      <c r="AY403" t="s" s="0">
        <v>2824</v>
      </c>
      <c r="AZ403" t="s" s="0">
        <v>1519</v>
      </c>
      <c r="BA403" t="s" s="0">
        <v>474</v>
      </c>
      <c r="BB403" t="s" s="0">
        <v>117</v>
      </c>
      <c r="BC403" t="s" s="0">
        <v>81</v>
      </c>
      <c r="BD403" t="s" s="0">
        <v>81</v>
      </c>
      <c r="BE403" t="s" s="0">
        <v>81</v>
      </c>
      <c r="BF403" t="s" s="0">
        <v>81</v>
      </c>
      <c r="BG403" t="s" s="0">
        <v>1774</v>
      </c>
      <c r="BH403" t="s" s="0">
        <v>9501</v>
      </c>
      <c r="BI403" t="s" s="0">
        <v>81</v>
      </c>
      <c r="BJ403" t="s" s="0">
        <v>9502</v>
      </c>
      <c r="BK403" t="s" s="802">
        <f>HYPERLINK("http://dx.doi.org/10.1016/j.ejso.2022.08.036","http://dx.doi.org/10.1016/j.ejso.2022.08.036")</f>
        <v>9503</v>
      </c>
      <c r="BL403" t="s" s="0">
        <v>81</v>
      </c>
      <c r="BM403" t="s" s="0">
        <v>2824</v>
      </c>
      <c r="BN403" t="s" s="0">
        <v>128</v>
      </c>
      <c r="BO403" t="s" s="0">
        <v>4438</v>
      </c>
      <c r="BP403" t="s" s="0">
        <v>4438</v>
      </c>
      <c r="BQ403" t="s" s="0">
        <v>9504</v>
      </c>
      <c r="BR403" t="s" s="0">
        <v>9505</v>
      </c>
      <c r="BS403" t="s" s="0">
        <v>9506</v>
      </c>
      <c r="BT403" t="s" s="803">
        <f>HYPERLINK("https://www.webofscience.com/wos/woscc/full-record/WOS:000923363400001","View Record in Web of Science")</f>
        <v>114</v>
      </c>
      <c r="BU403" t="s" s="0">
        <v>81</v>
      </c>
      <c r="BV403" t="s" s="0">
        <v>81</v>
      </c>
      <c r="BW403" t="s" s="0">
        <v>81</v>
      </c>
      <c r="BX403" t="s" s="0">
        <v>116</v>
      </c>
    </row>
    <row r="404">
      <c r="A404" t="s" s="0">
        <v>77</v>
      </c>
      <c r="B404" t="s" s="0">
        <v>77</v>
      </c>
      <c r="C404" t="s" s="0">
        <v>77</v>
      </c>
      <c r="D404" t="s" s="0">
        <v>77</v>
      </c>
      <c r="E404" t="s" s="0">
        <v>9507</v>
      </c>
      <c r="F404" t="s" s="0">
        <v>9508</v>
      </c>
      <c r="G404" t="s" s="0">
        <v>9509</v>
      </c>
      <c r="H404" t="s" s="0">
        <v>81</v>
      </c>
      <c r="I404" t="s" s="0">
        <v>82</v>
      </c>
      <c r="J404" t="s" s="0">
        <v>9510</v>
      </c>
      <c r="K404" t="s" s="0">
        <v>9511</v>
      </c>
      <c r="L404" t="s" s="0">
        <v>9512</v>
      </c>
      <c r="M404" t="s" s="0">
        <v>9513</v>
      </c>
      <c r="N404" t="s" s="0">
        <v>9514</v>
      </c>
      <c r="O404" t="s" s="0">
        <v>9515</v>
      </c>
      <c r="P404" t="s" s="0">
        <v>9516</v>
      </c>
      <c r="Q404" t="s" s="0">
        <v>90</v>
      </c>
      <c r="R404" t="s" s="0">
        <v>81</v>
      </c>
      <c r="S404" t="s" s="0">
        <v>81</v>
      </c>
      <c r="T404" t="s" s="0">
        <v>81</v>
      </c>
      <c r="U404" t="s" s="0">
        <v>81</v>
      </c>
      <c r="V404" t="s" s="0">
        <v>9517</v>
      </c>
      <c r="W404" t="s" s="0">
        <v>1391</v>
      </c>
      <c r="X404" t="s" s="0">
        <v>81</v>
      </c>
      <c r="Y404" t="s" s="0">
        <v>81</v>
      </c>
      <c r="Z404" t="s" s="0">
        <v>93</v>
      </c>
      <c r="AA404" t="s" s="0">
        <v>94</v>
      </c>
      <c r="AB404" t="s" s="0">
        <v>81</v>
      </c>
      <c r="AC404" t="s" s="0">
        <v>81</v>
      </c>
      <c r="AD404" t="s" s="0">
        <v>81</v>
      </c>
      <c r="AE404" t="s" s="0">
        <v>81</v>
      </c>
      <c r="AF404" t="s" s="0">
        <v>81</v>
      </c>
      <c r="AG404" t="s" s="0">
        <v>81</v>
      </c>
      <c r="AH404" t="s" s="0">
        <v>9518</v>
      </c>
      <c r="AI404" t="s" s="0">
        <v>9519</v>
      </c>
      <c r="AJ404" t="s" s="0">
        <v>81</v>
      </c>
      <c r="AK404" t="s" s="0">
        <v>81</v>
      </c>
      <c r="AL404" t="s" s="0">
        <v>127</v>
      </c>
      <c r="AM404" t="s" s="0">
        <v>130</v>
      </c>
      <c r="AN404" t="s" s="0">
        <v>130</v>
      </c>
      <c r="AO404" t="s" s="0">
        <v>160</v>
      </c>
      <c r="AP404" t="s" s="0">
        <v>160</v>
      </c>
      <c r="AQ404" t="s" s="0">
        <v>274</v>
      </c>
      <c r="AR404" t="s" s="0">
        <v>275</v>
      </c>
      <c r="AS404" t="s" s="0">
        <v>276</v>
      </c>
      <c r="AT404" t="s" s="0">
        <v>1395</v>
      </c>
      <c r="AU404" t="s" s="0">
        <v>81</v>
      </c>
      <c r="AV404" t="s" s="0">
        <v>81</v>
      </c>
      <c r="AW404" t="s" s="0">
        <v>1396</v>
      </c>
      <c r="AX404" t="s" s="0">
        <v>1397</v>
      </c>
      <c r="AY404" t="s" s="0">
        <v>9520</v>
      </c>
      <c r="AZ404" t="s" s="0">
        <v>104</v>
      </c>
      <c r="BA404" t="s" s="0">
        <v>128</v>
      </c>
      <c r="BB404" t="s" s="0">
        <v>117</v>
      </c>
      <c r="BC404" t="s" s="0">
        <v>81</v>
      </c>
      <c r="BD404" t="s" s="0">
        <v>81</v>
      </c>
      <c r="BE404" t="s" s="0">
        <v>81</v>
      </c>
      <c r="BF404" t="s" s="0">
        <v>81</v>
      </c>
      <c r="BG404" t="s" s="0">
        <v>81</v>
      </c>
      <c r="BH404" t="s" s="0">
        <v>81</v>
      </c>
      <c r="BI404" t="s" s="0">
        <v>9521</v>
      </c>
      <c r="BJ404" t="s" s="0">
        <v>9522</v>
      </c>
      <c r="BK404" t="s" s="804">
        <f>HYPERLINK("http://dx.doi.org/10.1038/s41746-026-02388-w","http://dx.doi.org/10.1038/s41746-026-02388-w")</f>
        <v>9523</v>
      </c>
      <c r="BL404" t="s" s="0">
        <v>81</v>
      </c>
      <c r="BM404" t="s" s="0">
        <v>81</v>
      </c>
      <c r="BN404" t="s" s="0">
        <v>228</v>
      </c>
      <c r="BO404" t="s" s="0">
        <v>1172</v>
      </c>
      <c r="BP404" t="s" s="0">
        <v>1172</v>
      </c>
      <c r="BQ404" t="s" s="0">
        <v>9524</v>
      </c>
      <c r="BR404" t="s" s="0">
        <v>9525</v>
      </c>
      <c r="BS404" t="s" s="0">
        <v>9526</v>
      </c>
      <c r="BT404" t="s" s="805">
        <f>HYPERLINK("https://www.webofscience.com/wos/woscc/full-record/WOS:001706132100001","View Record in Web of Science")</f>
        <v>114</v>
      </c>
      <c r="BU404" t="s" s="0">
        <v>145</v>
      </c>
      <c r="BV404" t="s" s="0">
        <v>81</v>
      </c>
      <c r="BW404" t="s" s="0">
        <v>81</v>
      </c>
      <c r="BX404" t="s" s="0">
        <v>116</v>
      </c>
    </row>
    <row r="405">
      <c r="A405" t="s" s="0">
        <v>77</v>
      </c>
      <c r="B405" t="s" s="0">
        <v>77</v>
      </c>
      <c r="C405" t="s" s="0">
        <v>77</v>
      </c>
      <c r="D405" t="s" s="0">
        <v>77</v>
      </c>
      <c r="E405" t="s" s="0">
        <v>9527</v>
      </c>
      <c r="F405" t="s" s="0">
        <v>9528</v>
      </c>
      <c r="G405" t="s" s="0">
        <v>9529</v>
      </c>
      <c r="H405" t="s" s="0">
        <v>81</v>
      </c>
      <c r="I405" t="s" s="0">
        <v>82</v>
      </c>
      <c r="J405" t="s" s="0">
        <v>9530</v>
      </c>
      <c r="K405" t="s" s="0">
        <v>9531</v>
      </c>
      <c r="L405" t="s" s="0">
        <v>9532</v>
      </c>
      <c r="M405" t="s" s="0">
        <v>9533</v>
      </c>
      <c r="N405" t="s" s="0">
        <v>9534</v>
      </c>
      <c r="O405" t="s" s="0">
        <v>9535</v>
      </c>
      <c r="P405" t="s" s="0">
        <v>9536</v>
      </c>
      <c r="Q405" t="s" s="0">
        <v>90</v>
      </c>
      <c r="R405" t="s" s="0">
        <v>81</v>
      </c>
      <c r="S405" t="s" s="0">
        <v>81</v>
      </c>
      <c r="T405" t="s" s="0">
        <v>81</v>
      </c>
      <c r="U405" t="s" s="0">
        <v>81</v>
      </c>
      <c r="V405" t="s" s="0">
        <v>9537</v>
      </c>
      <c r="W405" t="s" s="0">
        <v>9538</v>
      </c>
      <c r="X405" t="s" s="0">
        <v>81</v>
      </c>
      <c r="Y405" t="s" s="0">
        <v>81</v>
      </c>
      <c r="Z405" t="s" s="0">
        <v>93</v>
      </c>
      <c r="AA405" t="s" s="0">
        <v>94</v>
      </c>
      <c r="AB405" t="s" s="0">
        <v>81</v>
      </c>
      <c r="AC405" t="s" s="0">
        <v>81</v>
      </c>
      <c r="AD405" t="s" s="0">
        <v>81</v>
      </c>
      <c r="AE405" t="s" s="0">
        <v>81</v>
      </c>
      <c r="AF405" t="s" s="0">
        <v>81</v>
      </c>
      <c r="AG405" t="s" s="0">
        <v>9539</v>
      </c>
      <c r="AH405" t="s" s="0">
        <v>9540</v>
      </c>
      <c r="AI405" t="s" s="0">
        <v>9541</v>
      </c>
      <c r="AJ405" t="s" s="0">
        <v>9542</v>
      </c>
      <c r="AK405" t="s" s="0">
        <v>81</v>
      </c>
      <c r="AL405" t="s" s="0">
        <v>798</v>
      </c>
      <c r="AM405" t="s" s="0">
        <v>77</v>
      </c>
      <c r="AN405" t="s" s="0">
        <v>77</v>
      </c>
      <c r="AO405" t="s" s="0">
        <v>130</v>
      </c>
      <c r="AP405" t="s" s="0">
        <v>130</v>
      </c>
      <c r="AQ405" t="s" s="0">
        <v>598</v>
      </c>
      <c r="AR405" t="s" s="0">
        <v>599</v>
      </c>
      <c r="AS405" t="s" s="0">
        <v>600</v>
      </c>
      <c r="AT405" t="s" s="0">
        <v>9543</v>
      </c>
      <c r="AU405" t="s" s="0">
        <v>9544</v>
      </c>
      <c r="AV405" t="s" s="0">
        <v>81</v>
      </c>
      <c r="AW405" t="s" s="0">
        <v>9545</v>
      </c>
      <c r="AX405" t="s" s="0">
        <v>9546</v>
      </c>
      <c r="AY405" t="s" s="0">
        <v>3439</v>
      </c>
      <c r="AZ405" t="s" s="0">
        <v>104</v>
      </c>
      <c r="BA405" t="s" s="0">
        <v>3186</v>
      </c>
      <c r="BB405" t="s" s="0">
        <v>117</v>
      </c>
      <c r="BC405" t="s" s="0">
        <v>81</v>
      </c>
      <c r="BD405" t="s" s="0">
        <v>81</v>
      </c>
      <c r="BE405" t="s" s="0">
        <v>81</v>
      </c>
      <c r="BF405" t="s" s="0">
        <v>81</v>
      </c>
      <c r="BG405" t="s" s="0">
        <v>81</v>
      </c>
      <c r="BH405" t="s" s="0">
        <v>81</v>
      </c>
      <c r="BI405" t="s" s="0">
        <v>226</v>
      </c>
      <c r="BJ405" t="s" s="0">
        <v>9547</v>
      </c>
      <c r="BK405" t="s" s="806">
        <f>HYPERLINK("http://dx.doi.org/10.1167/iovs.67.1.12","http://dx.doi.org/10.1167/iovs.67.1.12")</f>
        <v>9548</v>
      </c>
      <c r="BL405" t="s" s="0">
        <v>81</v>
      </c>
      <c r="BM405" t="s" s="0">
        <v>81</v>
      </c>
      <c r="BN405" t="s" s="0">
        <v>129</v>
      </c>
      <c r="BO405" t="s" s="0">
        <v>606</v>
      </c>
      <c r="BP405" t="s" s="0">
        <v>606</v>
      </c>
      <c r="BQ405" t="s" s="0">
        <v>9549</v>
      </c>
      <c r="BR405" t="s" s="0">
        <v>9550</v>
      </c>
      <c r="BS405" t="s" s="0">
        <v>9551</v>
      </c>
      <c r="BT405" t="s" s="807">
        <f>HYPERLINK("https://www.webofscience.com/wos/woscc/full-record/WOS:001659577500002","View Record in Web of Science")</f>
        <v>114</v>
      </c>
      <c r="BU405" t="s" s="0">
        <v>145</v>
      </c>
      <c r="BV405" t="s" s="0">
        <v>81</v>
      </c>
      <c r="BW405" t="s" s="0">
        <v>81</v>
      </c>
      <c r="BX405" t="s" s="0">
        <v>116</v>
      </c>
    </row>
    <row r="406">
      <c r="A406" t="s" s="0">
        <v>77</v>
      </c>
      <c r="B406" t="s" s="0">
        <v>77</v>
      </c>
      <c r="C406" t="s" s="0">
        <v>77</v>
      </c>
      <c r="D406" t="s" s="0">
        <v>77</v>
      </c>
      <c r="E406" t="s" s="0">
        <v>9552</v>
      </c>
      <c r="F406" t="s" s="0">
        <v>9553</v>
      </c>
      <c r="G406" t="s" s="0">
        <v>9554</v>
      </c>
      <c r="H406" t="s" s="0">
        <v>81</v>
      </c>
      <c r="I406" t="s" s="0">
        <v>82</v>
      </c>
      <c r="J406" t="s" s="0">
        <v>9555</v>
      </c>
      <c r="K406" t="s" s="0">
        <v>9556</v>
      </c>
      <c r="L406" t="s" s="0">
        <v>9557</v>
      </c>
      <c r="M406" t="s" s="0">
        <v>9558</v>
      </c>
      <c r="N406" t="s" s="0">
        <v>9559</v>
      </c>
      <c r="O406" t="s" s="0">
        <v>9560</v>
      </c>
      <c r="P406" t="s" s="0">
        <v>9561</v>
      </c>
      <c r="Q406" t="s" s="0">
        <v>90</v>
      </c>
      <c r="R406" t="s" s="0">
        <v>81</v>
      </c>
      <c r="S406" t="s" s="0">
        <v>81</v>
      </c>
      <c r="T406" t="s" s="0">
        <v>81</v>
      </c>
      <c r="U406" t="s" s="0">
        <v>81</v>
      </c>
      <c r="V406" t="s" s="0">
        <v>9562</v>
      </c>
      <c r="W406" t="s" s="0">
        <v>1416</v>
      </c>
      <c r="X406" t="s" s="0">
        <v>81</v>
      </c>
      <c r="Y406" t="s" s="0">
        <v>81</v>
      </c>
      <c r="Z406" t="s" s="0">
        <v>93</v>
      </c>
      <c r="AA406" t="s" s="0">
        <v>94</v>
      </c>
      <c r="AB406" t="s" s="0">
        <v>81</v>
      </c>
      <c r="AC406" t="s" s="0">
        <v>81</v>
      </c>
      <c r="AD406" t="s" s="0">
        <v>81</v>
      </c>
      <c r="AE406" t="s" s="0">
        <v>81</v>
      </c>
      <c r="AF406" t="s" s="0">
        <v>81</v>
      </c>
      <c r="AG406" t="s" s="0">
        <v>9563</v>
      </c>
      <c r="AH406" t="s" s="0">
        <v>9564</v>
      </c>
      <c r="AI406" t="s" s="0">
        <v>81</v>
      </c>
      <c r="AJ406" t="s" s="0">
        <v>81</v>
      </c>
      <c r="AK406" t="s" s="0">
        <v>81</v>
      </c>
      <c r="AL406" t="s" s="0">
        <v>1067</v>
      </c>
      <c r="AM406" t="s" s="0">
        <v>77</v>
      </c>
      <c r="AN406" t="s" s="0">
        <v>77</v>
      </c>
      <c r="AO406" t="s" s="0">
        <v>77</v>
      </c>
      <c r="AP406" t="s" s="0">
        <v>77</v>
      </c>
      <c r="AQ406" t="s" s="0">
        <v>97</v>
      </c>
      <c r="AR406" t="s" s="0">
        <v>98</v>
      </c>
      <c r="AS406" t="s" s="0">
        <v>99</v>
      </c>
      <c r="AT406" t="s" s="0">
        <v>1422</v>
      </c>
      <c r="AU406" t="s" s="0">
        <v>81</v>
      </c>
      <c r="AV406" t="s" s="0">
        <v>81</v>
      </c>
      <c r="AW406" t="s" s="0">
        <v>1423</v>
      </c>
      <c r="AX406" t="s" s="0">
        <v>1424</v>
      </c>
      <c r="AY406" t="s" s="0">
        <v>9565</v>
      </c>
      <c r="AZ406" t="s" s="0">
        <v>104</v>
      </c>
      <c r="BA406" t="s" s="0">
        <v>137</v>
      </c>
      <c r="BB406" t="s" s="0">
        <v>81</v>
      </c>
      <c r="BC406" t="s" s="0">
        <v>81</v>
      </c>
      <c r="BD406" t="s" s="0">
        <v>81</v>
      </c>
      <c r="BE406" t="s" s="0">
        <v>81</v>
      </c>
      <c r="BF406" t="s" s="0">
        <v>81</v>
      </c>
      <c r="BG406" t="s" s="0">
        <v>81</v>
      </c>
      <c r="BH406" t="s" s="0">
        <v>81</v>
      </c>
      <c r="BI406" t="s" s="0">
        <v>9566</v>
      </c>
      <c r="BJ406" t="s" s="0">
        <v>9567</v>
      </c>
      <c r="BK406" t="s" s="808">
        <f>HYPERLINK("http://dx.doi.org/10.3389/fonc.2026.1831252","http://dx.doi.org/10.3389/fonc.2026.1831252")</f>
        <v>9568</v>
      </c>
      <c r="BL406" t="s" s="0">
        <v>81</v>
      </c>
      <c r="BM406" t="s" s="0">
        <v>81</v>
      </c>
      <c r="BN406" t="s" s="0">
        <v>228</v>
      </c>
      <c r="BO406" t="s" s="0">
        <v>939</v>
      </c>
      <c r="BP406" t="s" s="0">
        <v>939</v>
      </c>
      <c r="BQ406" t="s" s="0">
        <v>9569</v>
      </c>
      <c r="BR406" t="s" s="0">
        <v>81</v>
      </c>
      <c r="BS406" t="s" s="0">
        <v>9570</v>
      </c>
      <c r="BT406" t="s" s="809">
        <f>HYPERLINK("https://www.webofscience.com/wos/woscc/full-record/WOS:001853076100001","View Record in Web of Science")</f>
        <v>114</v>
      </c>
      <c r="BU406" t="s" s="0">
        <v>145</v>
      </c>
      <c r="BV406" t="s" s="0">
        <v>81</v>
      </c>
      <c r="BW406" t="s" s="0">
        <v>81</v>
      </c>
      <c r="BX406" t="s" s="0">
        <v>116</v>
      </c>
    </row>
    <row r="407">
      <c r="A407" t="s" s="0">
        <v>77</v>
      </c>
      <c r="B407" t="s" s="0">
        <v>77</v>
      </c>
      <c r="C407" t="s" s="0">
        <v>77</v>
      </c>
      <c r="D407" t="s" s="0">
        <v>77</v>
      </c>
      <c r="E407" t="s" s="0">
        <v>9571</v>
      </c>
      <c r="F407" t="s" s="0">
        <v>9572</v>
      </c>
      <c r="G407" t="s" s="0">
        <v>9573</v>
      </c>
      <c r="H407" t="s" s="0">
        <v>81</v>
      </c>
      <c r="I407" t="s" s="0">
        <v>82</v>
      </c>
      <c r="J407" t="s" s="0">
        <v>9574</v>
      </c>
      <c r="K407" t="s" s="0">
        <v>9575</v>
      </c>
      <c r="L407" t="s" s="0">
        <v>9576</v>
      </c>
      <c r="M407" t="s" s="0">
        <v>9577</v>
      </c>
      <c r="N407" t="s" s="0">
        <v>9578</v>
      </c>
      <c r="O407" t="s" s="0">
        <v>9579</v>
      </c>
      <c r="P407" t="s" s="0">
        <v>9580</v>
      </c>
      <c r="Q407" t="s" s="0">
        <v>90</v>
      </c>
      <c r="R407" t="s" s="0">
        <v>81</v>
      </c>
      <c r="S407" t="s" s="0">
        <v>81</v>
      </c>
      <c r="T407" t="s" s="0">
        <v>81</v>
      </c>
      <c r="U407" t="s" s="0">
        <v>81</v>
      </c>
      <c r="V407" t="s" s="0">
        <v>9581</v>
      </c>
      <c r="W407" t="s" s="0">
        <v>6445</v>
      </c>
      <c r="X407" t="s" s="0">
        <v>81</v>
      </c>
      <c r="Y407" t="s" s="0">
        <v>81</v>
      </c>
      <c r="Z407" t="s" s="0">
        <v>93</v>
      </c>
      <c r="AA407" t="s" s="0">
        <v>94</v>
      </c>
      <c r="AB407" t="s" s="0">
        <v>81</v>
      </c>
      <c r="AC407" t="s" s="0">
        <v>81</v>
      </c>
      <c r="AD407" t="s" s="0">
        <v>81</v>
      </c>
      <c r="AE407" t="s" s="0">
        <v>81</v>
      </c>
      <c r="AF407" t="s" s="0">
        <v>81</v>
      </c>
      <c r="AG407" t="s" s="0">
        <v>9582</v>
      </c>
      <c r="AH407" t="s" s="0">
        <v>9583</v>
      </c>
      <c r="AI407" t="s" s="0">
        <v>9584</v>
      </c>
      <c r="AJ407" t="s" s="0">
        <v>9585</v>
      </c>
      <c r="AK407" t="s" s="0">
        <v>81</v>
      </c>
      <c r="AL407" t="s" s="0">
        <v>5740</v>
      </c>
      <c r="AM407" t="s" s="0">
        <v>130</v>
      </c>
      <c r="AN407" t="s" s="0">
        <v>227</v>
      </c>
      <c r="AO407" t="s" s="0">
        <v>131</v>
      </c>
      <c r="AP407" t="s" s="0">
        <v>129</v>
      </c>
      <c r="AQ407" t="s" s="0">
        <v>930</v>
      </c>
      <c r="AR407" t="s" s="0">
        <v>931</v>
      </c>
      <c r="AS407" t="s" s="0">
        <v>932</v>
      </c>
      <c r="AT407" t="s" s="0">
        <v>6448</v>
      </c>
      <c r="AU407" t="s" s="0">
        <v>6449</v>
      </c>
      <c r="AV407" t="s" s="0">
        <v>81</v>
      </c>
      <c r="AW407" t="s" s="0">
        <v>6450</v>
      </c>
      <c r="AX407" t="s" s="0">
        <v>6451</v>
      </c>
      <c r="AY407" t="s" s="0">
        <v>1880</v>
      </c>
      <c r="AZ407" t="s" s="0">
        <v>136</v>
      </c>
      <c r="BA407" t="s" s="0">
        <v>9586</v>
      </c>
      <c r="BB407" t="s" s="0">
        <v>226</v>
      </c>
      <c r="BC407" t="s" s="0">
        <v>81</v>
      </c>
      <c r="BD407" t="s" s="0">
        <v>81</v>
      </c>
      <c r="BE407" t="s" s="0">
        <v>81</v>
      </c>
      <c r="BF407" t="s" s="0">
        <v>81</v>
      </c>
      <c r="BG407" t="s" s="0">
        <v>9587</v>
      </c>
      <c r="BH407" t="s" s="0">
        <v>9588</v>
      </c>
      <c r="BI407" t="s" s="0">
        <v>81</v>
      </c>
      <c r="BJ407" t="s" s="0">
        <v>9589</v>
      </c>
      <c r="BK407" t="s" s="810">
        <f>HYPERLINK("http://dx.doi.org/10.1097/JS9.0000000000003143","http://dx.doi.org/10.1097/JS9.0000000000003143")</f>
        <v>9590</v>
      </c>
      <c r="BL407" t="s" s="0">
        <v>81</v>
      </c>
      <c r="BM407" t="s" s="0">
        <v>81</v>
      </c>
      <c r="BN407" t="s" s="0">
        <v>204</v>
      </c>
      <c r="BO407" t="s" s="0">
        <v>2819</v>
      </c>
      <c r="BP407" t="s" s="0">
        <v>2819</v>
      </c>
      <c r="BQ407" t="s" s="0">
        <v>9591</v>
      </c>
      <c r="BR407" t="s" s="0">
        <v>9592</v>
      </c>
      <c r="BS407" t="s" s="0">
        <v>9593</v>
      </c>
      <c r="BT407" t="s" s="811">
        <f>HYPERLINK("https://www.webofscience.com/wos/woscc/full-record/WOS:001651925700017","View Record in Web of Science")</f>
        <v>114</v>
      </c>
      <c r="BU407" t="s" s="0">
        <v>457</v>
      </c>
      <c r="BV407" t="s" s="0">
        <v>81</v>
      </c>
      <c r="BW407" t="s" s="0">
        <v>81</v>
      </c>
      <c r="BX407" t="s" s="0">
        <v>116</v>
      </c>
    </row>
    <row r="408">
      <c r="A408" t="s" s="0">
        <v>117</v>
      </c>
      <c r="B408" t="s" s="0">
        <v>77</v>
      </c>
      <c r="C408" t="s" s="0">
        <v>253</v>
      </c>
      <c r="D408" t="s" s="0">
        <v>77</v>
      </c>
      <c r="E408" t="s" s="0">
        <v>9594</v>
      </c>
      <c r="F408" t="s" s="0">
        <v>9595</v>
      </c>
      <c r="G408" t="s" s="0">
        <v>9596</v>
      </c>
      <c r="H408" t="s" s="0">
        <v>81</v>
      </c>
      <c r="I408" t="s" s="0">
        <v>82</v>
      </c>
      <c r="J408" t="s" s="0">
        <v>9597</v>
      </c>
      <c r="K408" t="s" s="0">
        <v>9598</v>
      </c>
      <c r="L408" t="s" s="0">
        <v>9599</v>
      </c>
      <c r="M408" t="s" s="0">
        <v>9600</v>
      </c>
      <c r="N408" t="s" s="0">
        <v>9601</v>
      </c>
      <c r="O408" t="s" s="0">
        <v>9602</v>
      </c>
      <c r="P408" t="s" s="0">
        <v>9603</v>
      </c>
      <c r="Q408" t="s" s="0">
        <v>90</v>
      </c>
      <c r="R408" t="s" s="0">
        <v>81</v>
      </c>
      <c r="S408" t="s" s="0">
        <v>81</v>
      </c>
      <c r="T408" t="s" s="0">
        <v>81</v>
      </c>
      <c r="U408" t="s" s="0">
        <v>81</v>
      </c>
      <c r="V408" t="s" s="0">
        <v>9604</v>
      </c>
      <c r="W408" t="s" s="0">
        <v>557</v>
      </c>
      <c r="X408" t="s" s="0">
        <v>81</v>
      </c>
      <c r="Y408" t="s" s="0">
        <v>81</v>
      </c>
      <c r="Z408" t="s" s="0">
        <v>93</v>
      </c>
      <c r="AA408" t="s" s="0">
        <v>94</v>
      </c>
      <c r="AB408" t="s" s="0">
        <v>81</v>
      </c>
      <c r="AC408" t="s" s="0">
        <v>81</v>
      </c>
      <c r="AD408" t="s" s="0">
        <v>81</v>
      </c>
      <c r="AE408" t="s" s="0">
        <v>81</v>
      </c>
      <c r="AF408" t="s" s="0">
        <v>81</v>
      </c>
      <c r="AG408" t="s" s="0">
        <v>9605</v>
      </c>
      <c r="AH408" t="s" s="0">
        <v>9606</v>
      </c>
      <c r="AI408" t="s" s="0">
        <v>9607</v>
      </c>
      <c r="AJ408" t="s" s="0">
        <v>9608</v>
      </c>
      <c r="AK408" t="s" s="0">
        <v>81</v>
      </c>
      <c r="AL408" t="s" s="0">
        <v>252</v>
      </c>
      <c r="AM408" t="s" s="0">
        <v>318</v>
      </c>
      <c r="AN408" t="s" s="0">
        <v>193</v>
      </c>
      <c r="AO408" t="s" s="0">
        <v>117</v>
      </c>
      <c r="AP408" t="s" s="0">
        <v>105</v>
      </c>
      <c r="AQ408" t="s" s="0">
        <v>565</v>
      </c>
      <c r="AR408" t="s" s="0">
        <v>566</v>
      </c>
      <c r="AS408" t="s" s="0">
        <v>567</v>
      </c>
      <c r="AT408" t="s" s="0">
        <v>568</v>
      </c>
      <c r="AU408" t="s" s="0">
        <v>569</v>
      </c>
      <c r="AV408" t="s" s="0">
        <v>81</v>
      </c>
      <c r="AW408" t="s" s="0">
        <v>570</v>
      </c>
      <c r="AX408" t="s" s="0">
        <v>571</v>
      </c>
      <c r="AY408" t="s" s="0">
        <v>481</v>
      </c>
      <c r="AZ408" t="s" s="0">
        <v>482</v>
      </c>
      <c r="BA408" t="s" s="0">
        <v>9609</v>
      </c>
      <c r="BB408" t="s" s="0">
        <v>81</v>
      </c>
      <c r="BC408" t="s" s="0">
        <v>81</v>
      </c>
      <c r="BD408" t="s" s="0">
        <v>81</v>
      </c>
      <c r="BE408" t="s" s="0">
        <v>81</v>
      </c>
      <c r="BF408" t="s" s="0">
        <v>81</v>
      </c>
      <c r="BG408" t="s" s="0">
        <v>81</v>
      </c>
      <c r="BH408" t="s" s="0">
        <v>81</v>
      </c>
      <c r="BI408" t="s" s="0">
        <v>9610</v>
      </c>
      <c r="BJ408" t="s" s="0">
        <v>9611</v>
      </c>
      <c r="BK408" t="s" s="812">
        <f>HYPERLINK("http://dx.doi.org/10.1016/j.cmpb.2022.107207","http://dx.doi.org/10.1016/j.cmpb.2022.107207")</f>
        <v>9612</v>
      </c>
      <c r="BL408" t="s" s="0">
        <v>81</v>
      </c>
      <c r="BM408" t="s" s="0">
        <v>81</v>
      </c>
      <c r="BN408" t="s" s="0">
        <v>128</v>
      </c>
      <c r="BO408" t="s" s="0">
        <v>579</v>
      </c>
      <c r="BP408" t="s" s="0">
        <v>580</v>
      </c>
      <c r="BQ408" t="s" s="0">
        <v>9613</v>
      </c>
      <c r="BR408" t="s" s="0">
        <v>9614</v>
      </c>
      <c r="BS408" t="s" s="0">
        <v>9615</v>
      </c>
      <c r="BT408" t="s" s="813">
        <f>HYPERLINK("https://www.webofscience.com/wos/woscc/full-record/WOS:001028233400002","View Record in Web of Science")</f>
        <v>114</v>
      </c>
      <c r="BU408" t="s" s="0">
        <v>81</v>
      </c>
      <c r="BV408" t="s" s="0">
        <v>81</v>
      </c>
      <c r="BW408" t="s" s="0">
        <v>81</v>
      </c>
      <c r="BX408" t="s" s="0">
        <v>116</v>
      </c>
    </row>
    <row r="409">
      <c r="A409" t="s" s="0">
        <v>225</v>
      </c>
      <c r="B409" t="s" s="0">
        <v>77</v>
      </c>
      <c r="C409" t="s" s="0">
        <v>706</v>
      </c>
      <c r="D409" t="s" s="0">
        <v>77</v>
      </c>
      <c r="E409" t="s" s="0">
        <v>9616</v>
      </c>
      <c r="F409" t="s" s="0">
        <v>9617</v>
      </c>
      <c r="G409" t="s" s="0">
        <v>9618</v>
      </c>
      <c r="H409" t="s" s="0">
        <v>81</v>
      </c>
      <c r="I409" t="s" s="0">
        <v>82</v>
      </c>
      <c r="J409" t="s" s="0">
        <v>9619</v>
      </c>
      <c r="K409" t="s" s="0">
        <v>9620</v>
      </c>
      <c r="L409" t="s" s="0">
        <v>9621</v>
      </c>
      <c r="M409" t="s" s="0">
        <v>9622</v>
      </c>
      <c r="N409" t="s" s="0">
        <v>9623</v>
      </c>
      <c r="O409" t="s" s="0">
        <v>9624</v>
      </c>
      <c r="P409" t="s" s="0">
        <v>9625</v>
      </c>
      <c r="Q409" t="s" s="0">
        <v>90</v>
      </c>
      <c r="R409" t="s" s="0">
        <v>81</v>
      </c>
      <c r="S409" t="s" s="0">
        <v>81</v>
      </c>
      <c r="T409" t="s" s="0">
        <v>81</v>
      </c>
      <c r="U409" t="s" s="0">
        <v>81</v>
      </c>
      <c r="V409" t="s" s="0">
        <v>9626</v>
      </c>
      <c r="W409" t="s" s="0">
        <v>6399</v>
      </c>
      <c r="X409" t="s" s="0">
        <v>81</v>
      </c>
      <c r="Y409" t="s" s="0">
        <v>81</v>
      </c>
      <c r="Z409" t="s" s="0">
        <v>93</v>
      </c>
      <c r="AA409" t="s" s="0">
        <v>94</v>
      </c>
      <c r="AB409" t="s" s="0">
        <v>81</v>
      </c>
      <c r="AC409" t="s" s="0">
        <v>81</v>
      </c>
      <c r="AD409" t="s" s="0">
        <v>81</v>
      </c>
      <c r="AE409" t="s" s="0">
        <v>81</v>
      </c>
      <c r="AF409" t="s" s="0">
        <v>81</v>
      </c>
      <c r="AG409" t="s" s="0">
        <v>9627</v>
      </c>
      <c r="AH409" t="s" s="0">
        <v>9628</v>
      </c>
      <c r="AI409" t="s" s="0">
        <v>9629</v>
      </c>
      <c r="AJ409" t="s" s="0">
        <v>9630</v>
      </c>
      <c r="AK409" t="s" s="0">
        <v>81</v>
      </c>
      <c r="AL409" t="s" s="0">
        <v>1421</v>
      </c>
      <c r="AM409" t="s" s="0">
        <v>9631</v>
      </c>
      <c r="AN409" t="s" s="0">
        <v>3643</v>
      </c>
      <c r="AO409" t="s" s="0">
        <v>160</v>
      </c>
      <c r="AP409" t="s" s="0">
        <v>990</v>
      </c>
      <c r="AQ409" t="s" s="0">
        <v>1098</v>
      </c>
      <c r="AR409" t="s" s="0">
        <v>1099</v>
      </c>
      <c r="AS409" t="s" s="0">
        <v>1100</v>
      </c>
      <c r="AT409" t="s" s="0">
        <v>6404</v>
      </c>
      <c r="AU409" t="s" s="0">
        <v>6405</v>
      </c>
      <c r="AV409" t="s" s="0">
        <v>81</v>
      </c>
      <c r="AW409" t="s" s="0">
        <v>6399</v>
      </c>
      <c r="AX409" t="s" s="0">
        <v>606</v>
      </c>
      <c r="AY409" t="s" s="0">
        <v>9632</v>
      </c>
      <c r="AZ409" t="s" s="0">
        <v>482</v>
      </c>
      <c r="BA409" t="s" s="0">
        <v>6407</v>
      </c>
      <c r="BB409" t="s" s="0">
        <v>130</v>
      </c>
      <c r="BC409" t="s" s="0">
        <v>81</v>
      </c>
      <c r="BD409" t="s" s="0">
        <v>81</v>
      </c>
      <c r="BE409" t="s" s="0">
        <v>81</v>
      </c>
      <c r="BF409" t="s" s="0">
        <v>81</v>
      </c>
      <c r="BG409" t="s" s="0">
        <v>9633</v>
      </c>
      <c r="BH409" t="s" s="0">
        <v>2847</v>
      </c>
      <c r="BI409" t="s" s="0">
        <v>81</v>
      </c>
      <c r="BJ409" t="s" s="0">
        <v>9634</v>
      </c>
      <c r="BK409" t="s" s="814">
        <f>HYPERLINK("http://dx.doi.org/10.1016/j.ophtha.2021.07.032","http://dx.doi.org/10.1016/j.ophtha.2021.07.032")</f>
        <v>9635</v>
      </c>
      <c r="BL409" t="s" s="0">
        <v>81</v>
      </c>
      <c r="BM409" t="s" s="0">
        <v>9636</v>
      </c>
      <c r="BN409" t="s" s="0">
        <v>129</v>
      </c>
      <c r="BO409" t="s" s="0">
        <v>606</v>
      </c>
      <c r="BP409" t="s" s="0">
        <v>606</v>
      </c>
      <c r="BQ409" t="s" s="0">
        <v>9637</v>
      </c>
      <c r="BR409" t="s" s="0">
        <v>9638</v>
      </c>
      <c r="BS409" t="s" s="0">
        <v>9639</v>
      </c>
      <c r="BT409" t="s" s="815">
        <f>HYPERLINK("https://www.webofscience.com/wos/woscc/full-record/WOS:000747770500010","View Record in Web of Science")</f>
        <v>114</v>
      </c>
      <c r="BU409" t="s" s="0">
        <v>81</v>
      </c>
      <c r="BV409" t="s" s="0">
        <v>81</v>
      </c>
      <c r="BW409" t="s" s="0">
        <v>81</v>
      </c>
      <c r="BX409" t="s" s="0">
        <v>116</v>
      </c>
    </row>
    <row r="410">
      <c r="A410" t="s" s="0">
        <v>77</v>
      </c>
      <c r="B410" t="s" s="0">
        <v>77</v>
      </c>
      <c r="C410" t="s" s="0">
        <v>77</v>
      </c>
      <c r="D410" t="s" s="0">
        <v>77</v>
      </c>
      <c r="E410" t="s" s="0">
        <v>9640</v>
      </c>
      <c r="F410" t="s" s="0">
        <v>9641</v>
      </c>
      <c r="G410" t="s" s="0">
        <v>9642</v>
      </c>
      <c r="H410" t="s" s="0">
        <v>81</v>
      </c>
      <c r="I410" t="s" s="0">
        <v>213</v>
      </c>
      <c r="J410" t="s" s="0">
        <v>9643</v>
      </c>
      <c r="K410" t="s" s="0">
        <v>9644</v>
      </c>
      <c r="L410" t="s" s="0">
        <v>9645</v>
      </c>
      <c r="M410" t="s" s="0">
        <v>9646</v>
      </c>
      <c r="N410" t="s" s="0">
        <v>9647</v>
      </c>
      <c r="O410" t="s" s="0">
        <v>9648</v>
      </c>
      <c r="P410" t="s" s="0">
        <v>9649</v>
      </c>
      <c r="Q410" t="s" s="0">
        <v>90</v>
      </c>
      <c r="R410" t="s" s="0">
        <v>81</v>
      </c>
      <c r="S410" t="s" s="0">
        <v>81</v>
      </c>
      <c r="T410" t="s" s="0">
        <v>81</v>
      </c>
      <c r="U410" t="s" s="0">
        <v>81</v>
      </c>
      <c r="V410" t="s" s="0">
        <v>9650</v>
      </c>
      <c r="W410" t="s" s="0">
        <v>9651</v>
      </c>
      <c r="X410" t="s" s="0">
        <v>81</v>
      </c>
      <c r="Y410" t="s" s="0">
        <v>81</v>
      </c>
      <c r="Z410" t="s" s="0">
        <v>93</v>
      </c>
      <c r="AA410" t="s" s="0">
        <v>94</v>
      </c>
      <c r="AB410" t="s" s="0">
        <v>81</v>
      </c>
      <c r="AC410" t="s" s="0">
        <v>81</v>
      </c>
      <c r="AD410" t="s" s="0">
        <v>81</v>
      </c>
      <c r="AE410" t="s" s="0">
        <v>81</v>
      </c>
      <c r="AF410" t="s" s="0">
        <v>81</v>
      </c>
      <c r="AG410" t="s" s="0">
        <v>9652</v>
      </c>
      <c r="AH410" t="s" s="0">
        <v>81</v>
      </c>
      <c r="AI410" t="s" s="0">
        <v>9653</v>
      </c>
      <c r="AJ410" t="s" s="0">
        <v>9654</v>
      </c>
      <c r="AK410" t="s" s="0">
        <v>81</v>
      </c>
      <c r="AL410" t="s" s="0">
        <v>109</v>
      </c>
      <c r="AM410" t="s" s="0">
        <v>130</v>
      </c>
      <c r="AN410" t="s" s="0">
        <v>130</v>
      </c>
      <c r="AO410" t="s" s="0">
        <v>227</v>
      </c>
      <c r="AP410" t="s" s="0">
        <v>227</v>
      </c>
      <c r="AQ410" t="s" s="0">
        <v>406</v>
      </c>
      <c r="AR410" t="s" s="0">
        <v>407</v>
      </c>
      <c r="AS410" t="s" s="0">
        <v>408</v>
      </c>
      <c r="AT410" t="s" s="0">
        <v>81</v>
      </c>
      <c r="AU410" t="s" s="0">
        <v>9655</v>
      </c>
      <c r="AV410" t="s" s="0">
        <v>81</v>
      </c>
      <c r="AW410" t="s" s="0">
        <v>9656</v>
      </c>
      <c r="AX410" t="s" s="0">
        <v>9657</v>
      </c>
      <c r="AY410" t="s" s="0">
        <v>284</v>
      </c>
      <c r="AZ410" t="s" s="0">
        <v>104</v>
      </c>
      <c r="BA410" t="s" s="0">
        <v>193</v>
      </c>
      <c r="BB410" t="s" s="0">
        <v>81</v>
      </c>
      <c r="BC410" t="s" s="0">
        <v>81</v>
      </c>
      <c r="BD410" t="s" s="0">
        <v>81</v>
      </c>
      <c r="BE410" t="s" s="0">
        <v>81</v>
      </c>
      <c r="BF410" t="s" s="0">
        <v>81</v>
      </c>
      <c r="BG410" t="s" s="0">
        <v>81</v>
      </c>
      <c r="BH410" t="s" s="0">
        <v>81</v>
      </c>
      <c r="BI410" t="s" s="0">
        <v>9658</v>
      </c>
      <c r="BJ410" t="s" s="0">
        <v>9659</v>
      </c>
      <c r="BK410" t="s" s="816">
        <f>HYPERLINK("http://dx.doi.org/10.1016/j.rineng.2026.109072","http://dx.doi.org/10.1016/j.rineng.2026.109072")</f>
        <v>9660</v>
      </c>
      <c r="BL410" t="s" s="0">
        <v>81</v>
      </c>
      <c r="BM410" t="s" s="0">
        <v>3439</v>
      </c>
      <c r="BN410" t="s" s="0">
        <v>172</v>
      </c>
      <c r="BO410" t="s" s="0">
        <v>3842</v>
      </c>
      <c r="BP410" t="s" s="0">
        <v>239</v>
      </c>
      <c r="BQ410" t="s" s="0">
        <v>9661</v>
      </c>
      <c r="BR410" t="s" s="0">
        <v>81</v>
      </c>
      <c r="BS410" t="s" s="0">
        <v>9662</v>
      </c>
      <c r="BT410" t="s" s="817">
        <f>HYPERLINK("https://www.webofscience.com/wos/woscc/full-record/WOS:001676826100001","View Record in Web of Science")</f>
        <v>114</v>
      </c>
      <c r="BU410" t="s" s="0">
        <v>145</v>
      </c>
      <c r="BV410" t="s" s="0">
        <v>81</v>
      </c>
      <c r="BW410" t="s" s="0">
        <v>81</v>
      </c>
      <c r="BX410" t="s" s="0">
        <v>116</v>
      </c>
    </row>
    <row r="411">
      <c r="A411" t="s" s="0">
        <v>227</v>
      </c>
      <c r="B411" t="s" s="0">
        <v>77</v>
      </c>
      <c r="C411" t="s" s="0">
        <v>226</v>
      </c>
      <c r="D411" t="s" s="0">
        <v>77</v>
      </c>
      <c r="E411" t="s" s="0">
        <v>9663</v>
      </c>
      <c r="F411" t="s" s="0">
        <v>9664</v>
      </c>
      <c r="G411" t="s" s="0">
        <v>9665</v>
      </c>
      <c r="H411" t="s" s="0">
        <v>81</v>
      </c>
      <c r="I411" t="s" s="0">
        <v>82</v>
      </c>
      <c r="J411" t="s" s="0">
        <v>9666</v>
      </c>
      <c r="K411" t="s" s="0">
        <v>7959</v>
      </c>
      <c r="L411" t="s" s="0">
        <v>9667</v>
      </c>
      <c r="M411" t="s" s="0">
        <v>9668</v>
      </c>
      <c r="N411" t="s" s="0">
        <v>9669</v>
      </c>
      <c r="O411" t="s" s="0">
        <v>9670</v>
      </c>
      <c r="P411" t="s" s="0">
        <v>7961</v>
      </c>
      <c r="Q411" t="s" s="0">
        <v>90</v>
      </c>
      <c r="R411" t="s" s="0">
        <v>81</v>
      </c>
      <c r="S411" t="s" s="0">
        <v>81</v>
      </c>
      <c r="T411" t="s" s="0">
        <v>81</v>
      </c>
      <c r="U411" t="s" s="0">
        <v>81</v>
      </c>
      <c r="V411" t="s" s="0">
        <v>9671</v>
      </c>
      <c r="W411" t="s" s="0">
        <v>3387</v>
      </c>
      <c r="X411" t="s" s="0">
        <v>81</v>
      </c>
      <c r="Y411" t="s" s="0">
        <v>81</v>
      </c>
      <c r="Z411" t="s" s="0">
        <v>93</v>
      </c>
      <c r="AA411" t="s" s="0">
        <v>94</v>
      </c>
      <c r="AB411" t="s" s="0">
        <v>81</v>
      </c>
      <c r="AC411" t="s" s="0">
        <v>81</v>
      </c>
      <c r="AD411" t="s" s="0">
        <v>81</v>
      </c>
      <c r="AE411" t="s" s="0">
        <v>81</v>
      </c>
      <c r="AF411" t="s" s="0">
        <v>81</v>
      </c>
      <c r="AG411" t="s" s="0">
        <v>9672</v>
      </c>
      <c r="AH411" t="s" s="0">
        <v>9673</v>
      </c>
      <c r="AI411" t="s" s="0">
        <v>7966</v>
      </c>
      <c r="AJ411" t="s" s="0">
        <v>9674</v>
      </c>
      <c r="AK411" t="s" s="0">
        <v>81</v>
      </c>
      <c r="AL411" t="s" s="0">
        <v>304</v>
      </c>
      <c r="AM411" t="s" s="0">
        <v>252</v>
      </c>
      <c r="AN411" t="s" s="0">
        <v>127</v>
      </c>
      <c r="AO411" t="s" s="0">
        <v>131</v>
      </c>
      <c r="AP411" t="s" s="0">
        <v>1346</v>
      </c>
      <c r="AQ411" t="s" s="0">
        <v>338</v>
      </c>
      <c r="AR411" t="s" s="0">
        <v>339</v>
      </c>
      <c r="AS411" t="s" s="0">
        <v>340</v>
      </c>
      <c r="AT411" t="s" s="0">
        <v>81</v>
      </c>
      <c r="AU411" t="s" s="0">
        <v>3391</v>
      </c>
      <c r="AV411" t="s" s="0">
        <v>81</v>
      </c>
      <c r="AW411" t="s" s="0">
        <v>3392</v>
      </c>
      <c r="AX411" t="s" s="0">
        <v>3393</v>
      </c>
      <c r="AY411" t="s" s="0">
        <v>9675</v>
      </c>
      <c r="AZ411" t="s" s="0">
        <v>573</v>
      </c>
      <c r="BA411" t="s" s="0">
        <v>109</v>
      </c>
      <c r="BB411" t="s" s="0">
        <v>117</v>
      </c>
      <c r="BC411" t="s" s="0">
        <v>81</v>
      </c>
      <c r="BD411" t="s" s="0">
        <v>81</v>
      </c>
      <c r="BE411" t="s" s="0">
        <v>81</v>
      </c>
      <c r="BF411" t="s" s="0">
        <v>81</v>
      </c>
      <c r="BG411" t="s" s="0">
        <v>81</v>
      </c>
      <c r="BH411" t="s" s="0">
        <v>81</v>
      </c>
      <c r="BI411" t="s" s="0">
        <v>6922</v>
      </c>
      <c r="BJ411" t="s" s="0">
        <v>9676</v>
      </c>
      <c r="BK411" t="s" s="818">
        <f>HYPERLINK("http://dx.doi.org/10.1186/s12967-024-05025-w","http://dx.doi.org/10.1186/s12967-024-05025-w")</f>
        <v>9677</v>
      </c>
      <c r="BL411" t="s" s="0">
        <v>81</v>
      </c>
      <c r="BM411" t="s" s="0">
        <v>81</v>
      </c>
      <c r="BN411" t="s" s="0">
        <v>167</v>
      </c>
      <c r="BO411" t="s" s="0">
        <v>3398</v>
      </c>
      <c r="BP411" t="s" s="0">
        <v>3399</v>
      </c>
      <c r="BQ411" t="s" s="0">
        <v>9678</v>
      </c>
      <c r="BR411" t="s" s="0">
        <v>9679</v>
      </c>
      <c r="BS411" t="s" s="0">
        <v>9680</v>
      </c>
      <c r="BT411" t="s" s="819">
        <f>HYPERLINK("https://www.webofscience.com/wos/woscc/full-record/WOS:001182471500003","View Record in Web of Science")</f>
        <v>114</v>
      </c>
      <c r="BU411" t="s" s="0">
        <v>145</v>
      </c>
      <c r="BV411" t="s" s="0">
        <v>81</v>
      </c>
      <c r="BW411" t="s" s="0">
        <v>81</v>
      </c>
      <c r="BX411" t="s" s="0">
        <v>116</v>
      </c>
    </row>
    <row r="412">
      <c r="A412" t="s" s="0">
        <v>77</v>
      </c>
      <c r="B412" t="s" s="0">
        <v>77</v>
      </c>
      <c r="C412" t="s" s="0">
        <v>77</v>
      </c>
      <c r="D412" t="s" s="0">
        <v>77</v>
      </c>
      <c r="E412" t="s" s="0">
        <v>9681</v>
      </c>
      <c r="F412" t="s" s="0">
        <v>9682</v>
      </c>
      <c r="G412" t="s" s="0">
        <v>9683</v>
      </c>
      <c r="H412" t="s" s="0">
        <v>81</v>
      </c>
      <c r="I412" t="s" s="0">
        <v>82</v>
      </c>
      <c r="J412" t="s" s="0">
        <v>9684</v>
      </c>
      <c r="K412" t="s" s="0">
        <v>9685</v>
      </c>
      <c r="L412" t="s" s="0">
        <v>9686</v>
      </c>
      <c r="M412" t="s" s="0">
        <v>9687</v>
      </c>
      <c r="N412" t="s" s="0">
        <v>9688</v>
      </c>
      <c r="O412" t="s" s="0">
        <v>9689</v>
      </c>
      <c r="P412" t="s" s="0">
        <v>9690</v>
      </c>
      <c r="Q412" t="s" s="0">
        <v>90</v>
      </c>
      <c r="R412" t="s" s="0">
        <v>81</v>
      </c>
      <c r="S412" t="s" s="0">
        <v>81</v>
      </c>
      <c r="T412" t="s" s="0">
        <v>81</v>
      </c>
      <c r="U412" t="s" s="0">
        <v>81</v>
      </c>
      <c r="V412" t="s" s="0">
        <v>9691</v>
      </c>
      <c r="W412" t="s" s="0">
        <v>3181</v>
      </c>
      <c r="X412" t="s" s="0">
        <v>81</v>
      </c>
      <c r="Y412" t="s" s="0">
        <v>81</v>
      </c>
      <c r="Z412" t="s" s="0">
        <v>93</v>
      </c>
      <c r="AA412" t="s" s="0">
        <v>94</v>
      </c>
      <c r="AB412" t="s" s="0">
        <v>81</v>
      </c>
      <c r="AC412" t="s" s="0">
        <v>81</v>
      </c>
      <c r="AD412" t="s" s="0">
        <v>81</v>
      </c>
      <c r="AE412" t="s" s="0">
        <v>81</v>
      </c>
      <c r="AF412" t="s" s="0">
        <v>81</v>
      </c>
      <c r="AG412" t="s" s="0">
        <v>9692</v>
      </c>
      <c r="AH412" t="s" s="0">
        <v>9693</v>
      </c>
      <c r="AI412" t="s" s="0">
        <v>9694</v>
      </c>
      <c r="AJ412" t="s" s="0">
        <v>81</v>
      </c>
      <c r="AK412" t="s" s="0">
        <v>81</v>
      </c>
      <c r="AL412" t="s" s="0">
        <v>368</v>
      </c>
      <c r="AM412" t="s" s="0">
        <v>77</v>
      </c>
      <c r="AN412" t="s" s="0">
        <v>77</v>
      </c>
      <c r="AO412" t="s" s="0">
        <v>227</v>
      </c>
      <c r="AP412" t="s" s="0">
        <v>227</v>
      </c>
      <c r="AQ412" t="s" s="0">
        <v>1068</v>
      </c>
      <c r="AR412" t="s" s="0">
        <v>1069</v>
      </c>
      <c r="AS412" t="s" s="0">
        <v>1070</v>
      </c>
      <c r="AT412" t="s" s="0">
        <v>3187</v>
      </c>
      <c r="AU412" t="s" s="0">
        <v>3188</v>
      </c>
      <c r="AV412" t="s" s="0">
        <v>81</v>
      </c>
      <c r="AW412" t="s" s="0">
        <v>3189</v>
      </c>
      <c r="AX412" t="s" s="0">
        <v>3190</v>
      </c>
      <c r="AY412" t="s" s="0">
        <v>9197</v>
      </c>
      <c r="AZ412" t="s" s="0">
        <v>104</v>
      </c>
      <c r="BA412" t="s" s="0">
        <v>1347</v>
      </c>
      <c r="BB412" t="s" s="0">
        <v>81</v>
      </c>
      <c r="BC412" t="s" s="0">
        <v>81</v>
      </c>
      <c r="BD412" t="s" s="0">
        <v>5345</v>
      </c>
      <c r="BE412" t="s" s="0">
        <v>81</v>
      </c>
      <c r="BF412" t="s" s="0">
        <v>81</v>
      </c>
      <c r="BG412" t="s" s="0">
        <v>81</v>
      </c>
      <c r="BH412" t="s" s="0">
        <v>81</v>
      </c>
      <c r="BI412" t="s" s="0">
        <v>9695</v>
      </c>
      <c r="BJ412" t="s" s="0">
        <v>9696</v>
      </c>
      <c r="BK412" t="s" s="820">
        <f>HYPERLINK("http://dx.doi.org/10.1016/j.bspc.2026.109868","http://dx.doi.org/10.1016/j.bspc.2026.109868")</f>
        <v>9697</v>
      </c>
      <c r="BL412" t="s" s="0">
        <v>81</v>
      </c>
      <c r="BM412" t="s" s="0">
        <v>2583</v>
      </c>
      <c r="BN412" t="s" s="0">
        <v>172</v>
      </c>
      <c r="BO412" t="s" s="0">
        <v>238</v>
      </c>
      <c r="BP412" t="s" s="0">
        <v>239</v>
      </c>
      <c r="BQ412" t="s" s="0">
        <v>9698</v>
      </c>
      <c r="BR412" t="s" s="0">
        <v>81</v>
      </c>
      <c r="BS412" t="s" s="0">
        <v>9699</v>
      </c>
      <c r="BT412" t="s" s="821">
        <f>HYPERLINK("https://www.webofscience.com/wos/woscc/full-record/WOS:001698150300001","View Record in Web of Science")</f>
        <v>114</v>
      </c>
      <c r="BU412" t="s" s="0">
        <v>81</v>
      </c>
      <c r="BV412" t="s" s="0">
        <v>81</v>
      </c>
      <c r="BW412" t="s" s="0">
        <v>81</v>
      </c>
      <c r="BX412" t="s" s="0">
        <v>116</v>
      </c>
    </row>
    <row r="413">
      <c r="A413" t="s" s="0">
        <v>77</v>
      </c>
      <c r="B413" t="s" s="0">
        <v>77</v>
      </c>
      <c r="C413" t="s" s="0">
        <v>167</v>
      </c>
      <c r="D413" t="s" s="0">
        <v>77</v>
      </c>
      <c r="E413" t="s" s="0">
        <v>9700</v>
      </c>
      <c r="F413" t="s" s="0">
        <v>9701</v>
      </c>
      <c r="G413" t="s" s="0">
        <v>9702</v>
      </c>
      <c r="H413" t="s" s="0">
        <v>81</v>
      </c>
      <c r="I413" t="s" s="0">
        <v>82</v>
      </c>
      <c r="J413" t="s" s="0">
        <v>9703</v>
      </c>
      <c r="K413" t="s" s="0">
        <v>9704</v>
      </c>
      <c r="L413" t="s" s="0">
        <v>9705</v>
      </c>
      <c r="M413" t="s" s="0">
        <v>9706</v>
      </c>
      <c r="N413" t="s" s="0">
        <v>9707</v>
      </c>
      <c r="O413" t="s" s="0">
        <v>9708</v>
      </c>
      <c r="P413" t="s" s="0">
        <v>9709</v>
      </c>
      <c r="Q413" t="s" s="0">
        <v>90</v>
      </c>
      <c r="R413" t="s" s="0">
        <v>81</v>
      </c>
      <c r="S413" t="s" s="0">
        <v>81</v>
      </c>
      <c r="T413" t="s" s="0">
        <v>81</v>
      </c>
      <c r="U413" t="s" s="0">
        <v>81</v>
      </c>
      <c r="V413" t="s" s="0">
        <v>9710</v>
      </c>
      <c r="W413" t="s" s="0">
        <v>9711</v>
      </c>
      <c r="X413" t="s" s="0">
        <v>81</v>
      </c>
      <c r="Y413" t="s" s="0">
        <v>81</v>
      </c>
      <c r="Z413" t="s" s="0">
        <v>93</v>
      </c>
      <c r="AA413" t="s" s="0">
        <v>94</v>
      </c>
      <c r="AB413" t="s" s="0">
        <v>81</v>
      </c>
      <c r="AC413" t="s" s="0">
        <v>81</v>
      </c>
      <c r="AD413" t="s" s="0">
        <v>81</v>
      </c>
      <c r="AE413" t="s" s="0">
        <v>81</v>
      </c>
      <c r="AF413" t="s" s="0">
        <v>81</v>
      </c>
      <c r="AG413" t="s" s="0">
        <v>81</v>
      </c>
      <c r="AH413" t="s" s="0">
        <v>9712</v>
      </c>
      <c r="AI413" t="s" s="0">
        <v>9713</v>
      </c>
      <c r="AJ413" t="s" s="0">
        <v>9714</v>
      </c>
      <c r="AK413" t="s" s="0">
        <v>81</v>
      </c>
      <c r="AL413" t="s" s="0">
        <v>1346</v>
      </c>
      <c r="AM413" t="s" s="0">
        <v>541</v>
      </c>
      <c r="AN413" t="s" s="0">
        <v>541</v>
      </c>
      <c r="AO413" t="s" s="0">
        <v>77</v>
      </c>
      <c r="AP413" t="s" s="0">
        <v>228</v>
      </c>
      <c r="AQ413" t="s" s="0">
        <v>1098</v>
      </c>
      <c r="AR413" t="s" s="0">
        <v>1099</v>
      </c>
      <c r="AS413" t="s" s="0">
        <v>1100</v>
      </c>
      <c r="AT413" t="s" s="0">
        <v>9715</v>
      </c>
      <c r="AU413" t="s" s="0">
        <v>9716</v>
      </c>
      <c r="AV413" t="s" s="0">
        <v>81</v>
      </c>
      <c r="AW413" t="s" s="0">
        <v>9717</v>
      </c>
      <c r="AX413" t="s" s="0">
        <v>9718</v>
      </c>
      <c r="AY413" t="s" s="0">
        <v>9719</v>
      </c>
      <c r="AZ413" t="s" s="0">
        <v>1519</v>
      </c>
      <c r="BA413" t="s" s="0">
        <v>1967</v>
      </c>
      <c r="BB413" t="s" s="0">
        <v>226</v>
      </c>
      <c r="BC413" t="s" s="0">
        <v>81</v>
      </c>
      <c r="BD413" t="s" s="0">
        <v>81</v>
      </c>
      <c r="BE413" t="s" s="0">
        <v>81</v>
      </c>
      <c r="BF413" t="s" s="0">
        <v>81</v>
      </c>
      <c r="BG413" t="s" s="0">
        <v>9720</v>
      </c>
      <c r="BH413" t="s" s="0">
        <v>9721</v>
      </c>
      <c r="BI413" t="s" s="0">
        <v>81</v>
      </c>
      <c r="BJ413" t="s" s="0">
        <v>9722</v>
      </c>
      <c r="BK413" t="s" s="822">
        <f>HYPERLINK("http://dx.doi.org/10.1016/j.biopsych.2023.05.024","http://dx.doi.org/10.1016/j.biopsych.2023.05.024")</f>
        <v>9723</v>
      </c>
      <c r="BL413" t="s" s="0">
        <v>81</v>
      </c>
      <c r="BM413" t="s" s="0">
        <v>856</v>
      </c>
      <c r="BN413" t="s" s="0">
        <v>204</v>
      </c>
      <c r="BO413" t="s" s="0">
        <v>9724</v>
      </c>
      <c r="BP413" t="s" s="0">
        <v>3058</v>
      </c>
      <c r="BQ413" t="s" s="0">
        <v>9725</v>
      </c>
      <c r="BR413" t="s" s="0">
        <v>9726</v>
      </c>
      <c r="BS413" t="s" s="0">
        <v>9727</v>
      </c>
      <c r="BT413" t="s" s="823">
        <f>HYPERLINK("https://www.webofscience.com/wos/woscc/full-record/WOS:001113664500001","View Record in Web of Science")</f>
        <v>114</v>
      </c>
      <c r="BU413" t="s" s="0">
        <v>666</v>
      </c>
      <c r="BV413" t="s" s="0">
        <v>81</v>
      </c>
      <c r="BW413" t="s" s="0">
        <v>81</v>
      </c>
      <c r="BX413" t="s" s="0">
        <v>116</v>
      </c>
    </row>
    <row r="414">
      <c r="A414" t="s" s="0">
        <v>77</v>
      </c>
      <c r="B414" t="s" s="0">
        <v>77</v>
      </c>
      <c r="C414" t="s" s="0">
        <v>77</v>
      </c>
      <c r="D414" t="s" s="0">
        <v>77</v>
      </c>
      <c r="E414" t="s" s="0">
        <v>9728</v>
      </c>
      <c r="F414" t="s" s="0">
        <v>9729</v>
      </c>
      <c r="G414" t="s" s="0">
        <v>9730</v>
      </c>
      <c r="H414" t="s" s="0">
        <v>81</v>
      </c>
      <c r="I414" t="s" s="0">
        <v>213</v>
      </c>
      <c r="J414" t="s" s="0">
        <v>9731</v>
      </c>
      <c r="K414" t="s" s="0">
        <v>9732</v>
      </c>
      <c r="L414" t="s" s="0">
        <v>9733</v>
      </c>
      <c r="M414" t="s" s="0">
        <v>9734</v>
      </c>
      <c r="N414" t="s" s="0">
        <v>9735</v>
      </c>
      <c r="O414" t="s" s="0">
        <v>9736</v>
      </c>
      <c r="P414" t="s" s="0">
        <v>9737</v>
      </c>
      <c r="Q414" t="s" s="0">
        <v>90</v>
      </c>
      <c r="R414" t="s" s="0">
        <v>81</v>
      </c>
      <c r="S414" t="s" s="0">
        <v>81</v>
      </c>
      <c r="T414" t="s" s="0">
        <v>81</v>
      </c>
      <c r="U414" t="s" s="0">
        <v>81</v>
      </c>
      <c r="V414" t="s" s="0">
        <v>9738</v>
      </c>
      <c r="W414" t="s" s="0">
        <v>9739</v>
      </c>
      <c r="X414" t="s" s="0">
        <v>81</v>
      </c>
      <c r="Y414" t="s" s="0">
        <v>81</v>
      </c>
      <c r="Z414" t="s" s="0">
        <v>93</v>
      </c>
      <c r="AA414" t="s" s="0">
        <v>94</v>
      </c>
      <c r="AB414" t="s" s="0">
        <v>81</v>
      </c>
      <c r="AC414" t="s" s="0">
        <v>81</v>
      </c>
      <c r="AD414" t="s" s="0">
        <v>81</v>
      </c>
      <c r="AE414" t="s" s="0">
        <v>81</v>
      </c>
      <c r="AF414" t="s" s="0">
        <v>81</v>
      </c>
      <c r="AG414" t="s" s="0">
        <v>9740</v>
      </c>
      <c r="AH414" t="s" s="0">
        <v>81</v>
      </c>
      <c r="AI414" t="s" s="0">
        <v>9741</v>
      </c>
      <c r="AJ414" t="s" s="0">
        <v>81</v>
      </c>
      <c r="AK414" t="s" s="0">
        <v>81</v>
      </c>
      <c r="AL414" t="s" s="0">
        <v>345</v>
      </c>
      <c r="AM414" t="s" s="0">
        <v>77</v>
      </c>
      <c r="AN414" t="s" s="0">
        <v>77</v>
      </c>
      <c r="AO414" t="s" s="0">
        <v>227</v>
      </c>
      <c r="AP414" t="s" s="0">
        <v>227</v>
      </c>
      <c r="AQ414" t="s" s="0">
        <v>708</v>
      </c>
      <c r="AR414" t="s" s="0">
        <v>709</v>
      </c>
      <c r="AS414" t="s" s="0">
        <v>710</v>
      </c>
      <c r="AT414" t="s" s="0">
        <v>9742</v>
      </c>
      <c r="AU414" t="s" s="0">
        <v>9743</v>
      </c>
      <c r="AV414" t="s" s="0">
        <v>81</v>
      </c>
      <c r="AW414" t="s" s="0">
        <v>9744</v>
      </c>
      <c r="AX414" t="s" s="0">
        <v>9745</v>
      </c>
      <c r="AY414" t="s" s="0">
        <v>445</v>
      </c>
      <c r="AZ414" t="s" s="0">
        <v>104</v>
      </c>
      <c r="BA414" t="s" s="0">
        <v>228</v>
      </c>
      <c r="BB414" t="s" s="0">
        <v>130</v>
      </c>
      <c r="BC414" t="s" s="0">
        <v>81</v>
      </c>
      <c r="BD414" t="s" s="0">
        <v>81</v>
      </c>
      <c r="BE414" t="s" s="0">
        <v>81</v>
      </c>
      <c r="BF414" t="s" s="0">
        <v>81</v>
      </c>
      <c r="BG414" t="s" s="0">
        <v>81</v>
      </c>
      <c r="BH414" t="s" s="0">
        <v>81</v>
      </c>
      <c r="BI414" t="s" s="0">
        <v>9746</v>
      </c>
      <c r="BJ414" t="s" s="0">
        <v>9747</v>
      </c>
      <c r="BK414" t="s" s="824">
        <f>HYPERLINK("http://dx.doi.org/10.1002/qub2.70030","http://dx.doi.org/10.1002/qub2.70030")</f>
        <v>9748</v>
      </c>
      <c r="BL414" t="s" s="0">
        <v>81</v>
      </c>
      <c r="BM414" t="s" s="0">
        <v>81</v>
      </c>
      <c r="BN414" t="s" s="0">
        <v>228</v>
      </c>
      <c r="BO414" t="s" s="0">
        <v>4886</v>
      </c>
      <c r="BP414" t="s" s="0">
        <v>4886</v>
      </c>
      <c r="BQ414" t="s" s="0">
        <v>9749</v>
      </c>
      <c r="BR414" t="s" s="0">
        <v>81</v>
      </c>
      <c r="BS414" t="s" s="0">
        <v>9750</v>
      </c>
      <c r="BT414" t="s" s="825">
        <f>HYPERLINK("https://www.webofscience.com/wos/woscc/full-record/WOS:001722610100007","View Record in Web of Science")</f>
        <v>114</v>
      </c>
      <c r="BU414" t="s" s="0">
        <v>145</v>
      </c>
      <c r="BV414" t="s" s="0">
        <v>81</v>
      </c>
      <c r="BW414" t="s" s="0">
        <v>81</v>
      </c>
      <c r="BX414" t="s" s="0">
        <v>116</v>
      </c>
    </row>
    <row r="415">
      <c r="A415" t="s" s="0">
        <v>77</v>
      </c>
      <c r="B415" t="s" s="0">
        <v>77</v>
      </c>
      <c r="C415" t="s" s="0">
        <v>77</v>
      </c>
      <c r="D415" t="s" s="0">
        <v>77</v>
      </c>
      <c r="E415" t="s" s="0">
        <v>9751</v>
      </c>
      <c r="F415" t="s" s="0">
        <v>9752</v>
      </c>
      <c r="G415" t="s" s="0">
        <v>9753</v>
      </c>
      <c r="H415" t="s" s="0">
        <v>81</v>
      </c>
      <c r="I415" t="s" s="0">
        <v>82</v>
      </c>
      <c r="J415" t="s" s="0">
        <v>9754</v>
      </c>
      <c r="K415" t="s" s="0">
        <v>9755</v>
      </c>
      <c r="L415" t="s" s="0">
        <v>9756</v>
      </c>
      <c r="M415" t="s" s="0">
        <v>9757</v>
      </c>
      <c r="N415" t="s" s="0">
        <v>9758</v>
      </c>
      <c r="O415" t="s" s="0">
        <v>9759</v>
      </c>
      <c r="P415" t="s" s="0">
        <v>9760</v>
      </c>
      <c r="Q415" t="s" s="0">
        <v>90</v>
      </c>
      <c r="R415" t="s" s="0">
        <v>81</v>
      </c>
      <c r="S415" t="s" s="0">
        <v>81</v>
      </c>
      <c r="T415" t="s" s="0">
        <v>81</v>
      </c>
      <c r="U415" t="s" s="0">
        <v>81</v>
      </c>
      <c r="V415" t="s" s="0">
        <v>9761</v>
      </c>
      <c r="W415" t="s" s="0">
        <v>5667</v>
      </c>
      <c r="X415" t="s" s="0">
        <v>81</v>
      </c>
      <c r="Y415" t="s" s="0">
        <v>81</v>
      </c>
      <c r="Z415" t="s" s="0">
        <v>93</v>
      </c>
      <c r="AA415" t="s" s="0">
        <v>94</v>
      </c>
      <c r="AB415" t="s" s="0">
        <v>81</v>
      </c>
      <c r="AC415" t="s" s="0">
        <v>81</v>
      </c>
      <c r="AD415" t="s" s="0">
        <v>81</v>
      </c>
      <c r="AE415" t="s" s="0">
        <v>81</v>
      </c>
      <c r="AF415" t="s" s="0">
        <v>81</v>
      </c>
      <c r="AG415" t="s" s="0">
        <v>81</v>
      </c>
      <c r="AH415" t="s" s="0">
        <v>9762</v>
      </c>
      <c r="AI415" t="s" s="0">
        <v>9763</v>
      </c>
      <c r="AJ415" t="s" s="0">
        <v>9764</v>
      </c>
      <c r="AK415" t="s" s="0">
        <v>81</v>
      </c>
      <c r="AL415" t="s" s="0">
        <v>369</v>
      </c>
      <c r="AM415" t="s" s="0">
        <v>77</v>
      </c>
      <c r="AN415" t="s" s="0">
        <v>77</v>
      </c>
      <c r="AO415" t="s" s="0">
        <v>77</v>
      </c>
      <c r="AP415" t="s" s="0">
        <v>77</v>
      </c>
      <c r="AQ415" t="s" s="0">
        <v>1264</v>
      </c>
      <c r="AR415" t="s" s="0">
        <v>1265</v>
      </c>
      <c r="AS415" t="s" s="0">
        <v>1266</v>
      </c>
      <c r="AT415" t="s" s="0">
        <v>81</v>
      </c>
      <c r="AU415" t="s" s="0">
        <v>5670</v>
      </c>
      <c r="AV415" t="s" s="0">
        <v>81</v>
      </c>
      <c r="AW415" t="s" s="0">
        <v>5667</v>
      </c>
      <c r="AX415" t="s" s="0">
        <v>5671</v>
      </c>
      <c r="AY415" t="s" s="0">
        <v>9765</v>
      </c>
      <c r="AZ415" t="s" s="0">
        <v>104</v>
      </c>
      <c r="BA415" t="s" s="0">
        <v>475</v>
      </c>
      <c r="BB415" t="s" s="0">
        <v>131</v>
      </c>
      <c r="BC415" t="s" s="0">
        <v>81</v>
      </c>
      <c r="BD415" t="s" s="0">
        <v>81</v>
      </c>
      <c r="BE415" t="s" s="0">
        <v>81</v>
      </c>
      <c r="BF415" t="s" s="0">
        <v>81</v>
      </c>
      <c r="BG415" t="s" s="0">
        <v>81</v>
      </c>
      <c r="BH415" t="s" s="0">
        <v>81</v>
      </c>
      <c r="BI415" t="s" s="0">
        <v>9766</v>
      </c>
      <c r="BJ415" t="s" s="0">
        <v>9767</v>
      </c>
      <c r="BK415" t="s" s="826">
        <f>HYPERLINK("http://dx.doi.org/10.1371/journal.pone.0351405","http://dx.doi.org/10.1371/journal.pone.0351405")</f>
        <v>9768</v>
      </c>
      <c r="BL415" t="s" s="0">
        <v>81</v>
      </c>
      <c r="BM415" t="s" s="0">
        <v>445</v>
      </c>
      <c r="BN415" t="s" s="0">
        <v>564</v>
      </c>
      <c r="BO415" t="s" s="0">
        <v>285</v>
      </c>
      <c r="BP415" t="s" s="0">
        <v>286</v>
      </c>
      <c r="BQ415" t="s" s="0">
        <v>9769</v>
      </c>
      <c r="BR415" t="s" s="0">
        <v>9770</v>
      </c>
      <c r="BS415" t="s" s="0">
        <v>9771</v>
      </c>
      <c r="BT415" t="s" s="827">
        <f>HYPERLINK("https://www.webofscience.com/wos/woscc/full-record/WOS:001792566300026","View Record in Web of Science")</f>
        <v>114</v>
      </c>
      <c r="BU415" t="s" s="0">
        <v>145</v>
      </c>
      <c r="BV415" t="s" s="0">
        <v>81</v>
      </c>
      <c r="BW415" t="s" s="0">
        <v>81</v>
      </c>
      <c r="BX415" t="s" s="0">
        <v>116</v>
      </c>
    </row>
    <row r="416">
      <c r="A416" t="s" s="0">
        <v>77</v>
      </c>
      <c r="B416" t="s" s="0">
        <v>77</v>
      </c>
      <c r="C416" t="s" s="0">
        <v>77</v>
      </c>
      <c r="D416" t="s" s="0">
        <v>77</v>
      </c>
      <c r="E416" t="s" s="0">
        <v>9772</v>
      </c>
      <c r="F416" t="s" s="0">
        <v>9773</v>
      </c>
      <c r="G416" t="s" s="0">
        <v>9774</v>
      </c>
      <c r="H416" t="s" s="0">
        <v>81</v>
      </c>
      <c r="I416" t="s" s="0">
        <v>82</v>
      </c>
      <c r="J416" t="s" s="0">
        <v>9775</v>
      </c>
      <c r="K416" t="s" s="0">
        <v>9776</v>
      </c>
      <c r="L416" t="s" s="0">
        <v>9777</v>
      </c>
      <c r="M416" t="s" s="0">
        <v>9778</v>
      </c>
      <c r="N416" t="s" s="0">
        <v>9779</v>
      </c>
      <c r="O416" t="s" s="0">
        <v>9780</v>
      </c>
      <c r="P416" t="s" s="0">
        <v>9781</v>
      </c>
      <c r="Q416" t="s" s="0">
        <v>90</v>
      </c>
      <c r="R416" t="s" s="0">
        <v>81</v>
      </c>
      <c r="S416" t="s" s="0">
        <v>81</v>
      </c>
      <c r="T416" t="s" s="0">
        <v>81</v>
      </c>
      <c r="U416" t="s" s="0">
        <v>81</v>
      </c>
      <c r="V416" t="s" s="0">
        <v>9782</v>
      </c>
      <c r="W416" t="s" s="0">
        <v>9783</v>
      </c>
      <c r="X416" t="s" s="0">
        <v>81</v>
      </c>
      <c r="Y416" t="s" s="0">
        <v>81</v>
      </c>
      <c r="Z416" t="s" s="0">
        <v>93</v>
      </c>
      <c r="AA416" t="s" s="0">
        <v>94</v>
      </c>
      <c r="AB416" t="s" s="0">
        <v>81</v>
      </c>
      <c r="AC416" t="s" s="0">
        <v>81</v>
      </c>
      <c r="AD416" t="s" s="0">
        <v>81</v>
      </c>
      <c r="AE416" t="s" s="0">
        <v>81</v>
      </c>
      <c r="AF416" t="s" s="0">
        <v>81</v>
      </c>
      <c r="AG416" t="s" s="0">
        <v>81</v>
      </c>
      <c r="AH416" t="s" s="0">
        <v>81</v>
      </c>
      <c r="AI416" t="s" s="0">
        <v>81</v>
      </c>
      <c r="AJ416" t="s" s="0">
        <v>81</v>
      </c>
      <c r="AK416" t="s" s="0">
        <v>81</v>
      </c>
      <c r="AL416" t="s" s="0">
        <v>1067</v>
      </c>
      <c r="AM416" t="s" s="0">
        <v>117</v>
      </c>
      <c r="AN416" t="s" s="0">
        <v>130</v>
      </c>
      <c r="AO416" t="s" s="0">
        <v>131</v>
      </c>
      <c r="AP416" t="s" s="0">
        <v>161</v>
      </c>
      <c r="AQ416" t="s" s="0">
        <v>9784</v>
      </c>
      <c r="AR416" t="s" s="0">
        <v>9785</v>
      </c>
      <c r="AS416" t="s" s="0">
        <v>9786</v>
      </c>
      <c r="AT416" t="s" s="0">
        <v>9787</v>
      </c>
      <c r="AU416" t="s" s="0">
        <v>9788</v>
      </c>
      <c r="AV416" t="s" s="0">
        <v>81</v>
      </c>
      <c r="AW416" t="s" s="0">
        <v>9783</v>
      </c>
      <c r="AX416" t="s" s="0">
        <v>9789</v>
      </c>
      <c r="AY416" t="s" s="0">
        <v>203</v>
      </c>
      <c r="AZ416" t="s" s="0">
        <v>104</v>
      </c>
      <c r="BA416" t="s" s="0">
        <v>224</v>
      </c>
      <c r="BB416" t="s" s="0">
        <v>9790</v>
      </c>
      <c r="BC416" t="s" s="0">
        <v>81</v>
      </c>
      <c r="BD416" t="s" s="0">
        <v>81</v>
      </c>
      <c r="BE416" t="s" s="0">
        <v>81</v>
      </c>
      <c r="BF416" t="s" s="0">
        <v>81</v>
      </c>
      <c r="BG416" t="s" s="0">
        <v>9791</v>
      </c>
      <c r="BH416" t="s" s="0">
        <v>9792</v>
      </c>
      <c r="BI416" t="s" s="0">
        <v>81</v>
      </c>
      <c r="BJ416" t="s" s="0">
        <v>9793</v>
      </c>
      <c r="BK416" t="s" s="828">
        <f>HYPERLINK("http://dx.doi.org/10.1055/a-2780-0974","http://dx.doi.org/10.1055/a-2780-0974")</f>
        <v>9794</v>
      </c>
      <c r="BL416" t="s" s="0">
        <v>81</v>
      </c>
      <c r="BM416" t="s" s="0">
        <v>284</v>
      </c>
      <c r="BN416" t="s" s="0">
        <v>228</v>
      </c>
      <c r="BO416" t="s" s="0">
        <v>8042</v>
      </c>
      <c r="BP416" t="s" s="0">
        <v>8042</v>
      </c>
      <c r="BQ416" t="s" s="0">
        <v>9795</v>
      </c>
      <c r="BR416" t="s" s="0">
        <v>9796</v>
      </c>
      <c r="BS416" t="s" s="0">
        <v>9797</v>
      </c>
      <c r="BT416" t="s" s="829">
        <f>HYPERLINK("https://www.webofscience.com/wos/woscc/full-record/WOS:001705834000001","View Record in Web of Science")</f>
        <v>114</v>
      </c>
      <c r="BU416" t="s" s="0">
        <v>81</v>
      </c>
      <c r="BV416" t="s" s="0">
        <v>81</v>
      </c>
      <c r="BW416" t="s" s="0">
        <v>81</v>
      </c>
      <c r="BX416" t="s" s="0">
        <v>116</v>
      </c>
    </row>
    <row r="417">
      <c r="A417" t="s" s="0">
        <v>77</v>
      </c>
      <c r="B417" t="s" s="0">
        <v>77</v>
      </c>
      <c r="C417" t="s" s="0">
        <v>117</v>
      </c>
      <c r="D417" t="s" s="0">
        <v>77</v>
      </c>
      <c r="E417" t="s" s="0">
        <v>9798</v>
      </c>
      <c r="F417" t="s" s="0">
        <v>9799</v>
      </c>
      <c r="G417" t="s" s="0">
        <v>9800</v>
      </c>
      <c r="H417" t="s" s="0">
        <v>81</v>
      </c>
      <c r="I417" t="s" s="0">
        <v>82</v>
      </c>
      <c r="J417" t="s" s="0">
        <v>9801</v>
      </c>
      <c r="K417" t="s" s="0">
        <v>9802</v>
      </c>
      <c r="L417" t="s" s="0">
        <v>9803</v>
      </c>
      <c r="M417" t="s" s="0">
        <v>9804</v>
      </c>
      <c r="N417" t="s" s="0">
        <v>9805</v>
      </c>
      <c r="O417" t="s" s="0">
        <v>9806</v>
      </c>
      <c r="P417" t="s" s="0">
        <v>9807</v>
      </c>
      <c r="Q417" t="s" s="0">
        <v>90</v>
      </c>
      <c r="R417" t="s" s="0">
        <v>81</v>
      </c>
      <c r="S417" t="s" s="0">
        <v>81</v>
      </c>
      <c r="T417" t="s" s="0">
        <v>81</v>
      </c>
      <c r="U417" t="s" s="0">
        <v>81</v>
      </c>
      <c r="V417" t="s" s="0">
        <v>9808</v>
      </c>
      <c r="W417" t="s" s="0">
        <v>5115</v>
      </c>
      <c r="X417" t="s" s="0">
        <v>81</v>
      </c>
      <c r="Y417" t="s" s="0">
        <v>81</v>
      </c>
      <c r="Z417" t="s" s="0">
        <v>93</v>
      </c>
      <c r="AA417" t="s" s="0">
        <v>94</v>
      </c>
      <c r="AB417" t="s" s="0">
        <v>81</v>
      </c>
      <c r="AC417" t="s" s="0">
        <v>81</v>
      </c>
      <c r="AD417" t="s" s="0">
        <v>81</v>
      </c>
      <c r="AE417" t="s" s="0">
        <v>81</v>
      </c>
      <c r="AF417" t="s" s="0">
        <v>81</v>
      </c>
      <c r="AG417" t="s" s="0">
        <v>81</v>
      </c>
      <c r="AH417" t="s" s="0">
        <v>9809</v>
      </c>
      <c r="AI417" t="s" s="0">
        <v>9810</v>
      </c>
      <c r="AJ417" t="s" s="0">
        <v>9811</v>
      </c>
      <c r="AK417" t="s" s="0">
        <v>81</v>
      </c>
      <c r="AL417" t="s" s="0">
        <v>368</v>
      </c>
      <c r="AM417" t="s" s="0">
        <v>225</v>
      </c>
      <c r="AN417" t="s" s="0">
        <v>128</v>
      </c>
      <c r="AO417" t="s" s="0">
        <v>227</v>
      </c>
      <c r="AP417" t="s" s="0">
        <v>128</v>
      </c>
      <c r="AQ417" t="s" s="0">
        <v>274</v>
      </c>
      <c r="AR417" t="s" s="0">
        <v>275</v>
      </c>
      <c r="AS417" t="s" s="0">
        <v>276</v>
      </c>
      <c r="AT417" t="s" s="0">
        <v>81</v>
      </c>
      <c r="AU417" t="s" s="0">
        <v>5117</v>
      </c>
      <c r="AV417" t="s" s="0">
        <v>81</v>
      </c>
      <c r="AW417" t="s" s="0">
        <v>5118</v>
      </c>
      <c r="AX417" t="s" s="0">
        <v>5119</v>
      </c>
      <c r="AY417" t="s" s="0">
        <v>9812</v>
      </c>
      <c r="AZ417" t="s" s="0">
        <v>136</v>
      </c>
      <c r="BA417" t="s" s="0">
        <v>128</v>
      </c>
      <c r="BB417" t="s" s="0">
        <v>117</v>
      </c>
      <c r="BC417" t="s" s="0">
        <v>81</v>
      </c>
      <c r="BD417" t="s" s="0">
        <v>81</v>
      </c>
      <c r="BE417" t="s" s="0">
        <v>81</v>
      </c>
      <c r="BF417" t="s" s="0">
        <v>81</v>
      </c>
      <c r="BG417" t="s" s="0">
        <v>81</v>
      </c>
      <c r="BH417" t="s" s="0">
        <v>81</v>
      </c>
      <c r="BI417" t="s" s="0">
        <v>9813</v>
      </c>
      <c r="BJ417" t="s" s="0">
        <v>9814</v>
      </c>
      <c r="BK417" t="s" s="830">
        <f>HYPERLINK("http://dx.doi.org/10.1038/s41698-025-00914-9","http://dx.doi.org/10.1038/s41698-025-00914-9")</f>
        <v>9815</v>
      </c>
      <c r="BL417" t="s" s="0">
        <v>81</v>
      </c>
      <c r="BM417" t="s" s="0">
        <v>81</v>
      </c>
      <c r="BN417" t="s" s="0">
        <v>167</v>
      </c>
      <c r="BO417" t="s" s="0">
        <v>939</v>
      </c>
      <c r="BP417" t="s" s="0">
        <v>939</v>
      </c>
      <c r="BQ417" t="s" s="0">
        <v>9816</v>
      </c>
      <c r="BR417" t="s" s="0">
        <v>9817</v>
      </c>
      <c r="BS417" t="s" s="0">
        <v>9818</v>
      </c>
      <c r="BT417" t="s" s="831">
        <f>HYPERLINK("https://www.webofscience.com/wos/woscc/full-record/WOS:001482763400002","View Record in Web of Science")</f>
        <v>114</v>
      </c>
      <c r="BU417" t="s" s="0">
        <v>145</v>
      </c>
      <c r="BV417" t="s" s="0">
        <v>81</v>
      </c>
      <c r="BW417" t="s" s="0">
        <v>81</v>
      </c>
      <c r="BX417" t="s" s="0">
        <v>116</v>
      </c>
    </row>
    <row r="418">
      <c r="A418" t="s" s="0">
        <v>77</v>
      </c>
      <c r="B418" t="s" s="0">
        <v>77</v>
      </c>
      <c r="C418" t="s" s="0">
        <v>77</v>
      </c>
      <c r="D418" t="s" s="0">
        <v>77</v>
      </c>
      <c r="E418" t="s" s="0">
        <v>9819</v>
      </c>
      <c r="F418" t="s" s="0">
        <v>9820</v>
      </c>
      <c r="G418" t="s" s="0">
        <v>9821</v>
      </c>
      <c r="H418" t="s" s="0">
        <v>81</v>
      </c>
      <c r="I418" t="s" s="0">
        <v>82</v>
      </c>
      <c r="J418" t="s" s="0">
        <v>9822</v>
      </c>
      <c r="K418" t="s" s="0">
        <v>9823</v>
      </c>
      <c r="L418" t="s" s="0">
        <v>9824</v>
      </c>
      <c r="M418" t="s" s="0">
        <v>9825</v>
      </c>
      <c r="N418" t="s" s="0">
        <v>9826</v>
      </c>
      <c r="O418" t="s" s="0">
        <v>9827</v>
      </c>
      <c r="P418" t="s" s="0">
        <v>9828</v>
      </c>
      <c r="Q418" t="s" s="0">
        <v>90</v>
      </c>
      <c r="R418" t="s" s="0">
        <v>81</v>
      </c>
      <c r="S418" t="s" s="0">
        <v>81</v>
      </c>
      <c r="T418" t="s" s="0">
        <v>81</v>
      </c>
      <c r="U418" t="s" s="0">
        <v>81</v>
      </c>
      <c r="V418" t="s" s="0">
        <v>9829</v>
      </c>
      <c r="W418" t="s" s="0">
        <v>6967</v>
      </c>
      <c r="X418" t="s" s="0">
        <v>81</v>
      </c>
      <c r="Y418" t="s" s="0">
        <v>81</v>
      </c>
      <c r="Z418" t="s" s="0">
        <v>93</v>
      </c>
      <c r="AA418" t="s" s="0">
        <v>94</v>
      </c>
      <c r="AB418" t="s" s="0">
        <v>81</v>
      </c>
      <c r="AC418" t="s" s="0">
        <v>81</v>
      </c>
      <c r="AD418" t="s" s="0">
        <v>81</v>
      </c>
      <c r="AE418" t="s" s="0">
        <v>81</v>
      </c>
      <c r="AF418" t="s" s="0">
        <v>81</v>
      </c>
      <c r="AG418" t="s" s="0">
        <v>9830</v>
      </c>
      <c r="AH418" t="s" s="0">
        <v>81</v>
      </c>
      <c r="AI418" t="s" s="0">
        <v>81</v>
      </c>
      <c r="AJ418" t="s" s="0">
        <v>81</v>
      </c>
      <c r="AK418" t="s" s="0">
        <v>81</v>
      </c>
      <c r="AL418" t="s" s="0">
        <v>105</v>
      </c>
      <c r="AM418" t="s" s="0">
        <v>77</v>
      </c>
      <c r="AN418" t="s" s="0">
        <v>77</v>
      </c>
      <c r="AO418" t="s" s="0">
        <v>130</v>
      </c>
      <c r="AP418" t="s" s="0">
        <v>130</v>
      </c>
      <c r="AQ418" t="s" s="0">
        <v>97</v>
      </c>
      <c r="AR418" t="s" s="0">
        <v>98</v>
      </c>
      <c r="AS418" t="s" s="0">
        <v>99</v>
      </c>
      <c r="AT418" t="s" s="0">
        <v>6971</v>
      </c>
      <c r="AU418" t="s" s="0">
        <v>81</v>
      </c>
      <c r="AV418" t="s" s="0">
        <v>81</v>
      </c>
      <c r="AW418" t="s" s="0">
        <v>6972</v>
      </c>
      <c r="AX418" t="s" s="0">
        <v>6973</v>
      </c>
      <c r="AY418" t="s" s="0">
        <v>9831</v>
      </c>
      <c r="AZ418" t="s" s="0">
        <v>104</v>
      </c>
      <c r="BA418" t="s" s="0">
        <v>563</v>
      </c>
      <c r="BB418" t="s" s="0">
        <v>81</v>
      </c>
      <c r="BC418" t="s" s="0">
        <v>81</v>
      </c>
      <c r="BD418" t="s" s="0">
        <v>81</v>
      </c>
      <c r="BE418" t="s" s="0">
        <v>81</v>
      </c>
      <c r="BF418" t="s" s="0">
        <v>81</v>
      </c>
      <c r="BG418" t="s" s="0">
        <v>81</v>
      </c>
      <c r="BH418" t="s" s="0">
        <v>81</v>
      </c>
      <c r="BI418" t="s" s="0">
        <v>9832</v>
      </c>
      <c r="BJ418" t="s" s="0">
        <v>9833</v>
      </c>
      <c r="BK418" t="s" s="832">
        <f>HYPERLINK("http://dx.doi.org/10.3389/fneur.2026.1774621","http://dx.doi.org/10.3389/fneur.2026.1774621")</f>
        <v>9834</v>
      </c>
      <c r="BL418" t="s" s="0">
        <v>81</v>
      </c>
      <c r="BM418" t="s" s="0">
        <v>81</v>
      </c>
      <c r="BN418" t="s" s="0">
        <v>128</v>
      </c>
      <c r="BO418" t="s" s="0">
        <v>3783</v>
      </c>
      <c r="BP418" t="s" s="0">
        <v>111</v>
      </c>
      <c r="BQ418" t="s" s="0">
        <v>9835</v>
      </c>
      <c r="BR418" t="s" s="0">
        <v>9836</v>
      </c>
      <c r="BS418" t="s" s="0">
        <v>9837</v>
      </c>
      <c r="BT418" t="s" s="833">
        <f>HYPERLINK("https://www.webofscience.com/wos/woscc/full-record/WOS:001718284100001","View Record in Web of Science")</f>
        <v>114</v>
      </c>
      <c r="BU418" t="s" s="0">
        <v>145</v>
      </c>
      <c r="BV418" t="s" s="0">
        <v>81</v>
      </c>
      <c r="BW418" t="s" s="0">
        <v>81</v>
      </c>
      <c r="BX418" t="s" s="0">
        <v>116</v>
      </c>
    </row>
    <row r="419">
      <c r="A419" t="s" s="0">
        <v>160</v>
      </c>
      <c r="B419" t="s" s="0">
        <v>77</v>
      </c>
      <c r="C419" t="s" s="0">
        <v>564</v>
      </c>
      <c r="D419" t="s" s="0">
        <v>77</v>
      </c>
      <c r="E419" t="s" s="0">
        <v>9838</v>
      </c>
      <c r="F419" t="s" s="0">
        <v>9839</v>
      </c>
      <c r="G419" t="s" s="0">
        <v>9840</v>
      </c>
      <c r="H419" t="s" s="0">
        <v>81</v>
      </c>
      <c r="I419" t="s" s="0">
        <v>82</v>
      </c>
      <c r="J419" t="s" s="0">
        <v>9841</v>
      </c>
      <c r="K419" t="s" s="0">
        <v>9842</v>
      </c>
      <c r="L419" t="s" s="0">
        <v>9843</v>
      </c>
      <c r="M419" t="s" s="0">
        <v>9844</v>
      </c>
      <c r="N419" t="s" s="0">
        <v>9845</v>
      </c>
      <c r="O419" t="s" s="0">
        <v>9846</v>
      </c>
      <c r="P419" t="s" s="0">
        <v>9847</v>
      </c>
      <c r="Q419" t="s" s="0">
        <v>90</v>
      </c>
      <c r="R419" t="s" s="0">
        <v>81</v>
      </c>
      <c r="S419" t="s" s="0">
        <v>81</v>
      </c>
      <c r="T419" t="s" s="0">
        <v>81</v>
      </c>
      <c r="U419" t="s" s="0">
        <v>81</v>
      </c>
      <c r="V419" t="s" s="0">
        <v>9848</v>
      </c>
      <c r="W419" t="s" s="0">
        <v>399</v>
      </c>
      <c r="X419" t="s" s="0">
        <v>81</v>
      </c>
      <c r="Y419" t="s" s="0">
        <v>81</v>
      </c>
      <c r="Z419" t="s" s="0">
        <v>93</v>
      </c>
      <c r="AA419" t="s" s="0">
        <v>94</v>
      </c>
      <c r="AB419" t="s" s="0">
        <v>81</v>
      </c>
      <c r="AC419" t="s" s="0">
        <v>81</v>
      </c>
      <c r="AD419" t="s" s="0">
        <v>81</v>
      </c>
      <c r="AE419" t="s" s="0">
        <v>81</v>
      </c>
      <c r="AF419" t="s" s="0">
        <v>81</v>
      </c>
      <c r="AG419" t="s" s="0">
        <v>9849</v>
      </c>
      <c r="AH419" t="s" s="0">
        <v>9850</v>
      </c>
      <c r="AI419" t="s" s="0">
        <v>9851</v>
      </c>
      <c r="AJ419" t="s" s="0">
        <v>9852</v>
      </c>
      <c r="AK419" t="s" s="0">
        <v>81</v>
      </c>
      <c r="AL419" t="s" s="0">
        <v>1773</v>
      </c>
      <c r="AM419" t="s" s="0">
        <v>3787</v>
      </c>
      <c r="AN419" t="s" s="0">
        <v>6178</v>
      </c>
      <c r="AO419" t="s" s="0">
        <v>253</v>
      </c>
      <c r="AP419" t="s" s="0">
        <v>906</v>
      </c>
      <c r="AQ419" t="s" s="0">
        <v>406</v>
      </c>
      <c r="AR419" t="s" s="0">
        <v>407</v>
      </c>
      <c r="AS419" t="s" s="0">
        <v>408</v>
      </c>
      <c r="AT419" t="s" s="0">
        <v>409</v>
      </c>
      <c r="AU419" t="s" s="0">
        <v>410</v>
      </c>
      <c r="AV419" t="s" s="0">
        <v>81</v>
      </c>
      <c r="AW419" t="s" s="0">
        <v>411</v>
      </c>
      <c r="AX419" t="s" s="0">
        <v>412</v>
      </c>
      <c r="AY419" t="s" s="0">
        <v>1518</v>
      </c>
      <c r="AZ419" t="s" s="0">
        <v>1519</v>
      </c>
      <c r="BA419" t="s" s="0">
        <v>9853</v>
      </c>
      <c r="BB419" t="s" s="0">
        <v>81</v>
      </c>
      <c r="BC419" t="s" s="0">
        <v>81</v>
      </c>
      <c r="BD419" t="s" s="0">
        <v>81</v>
      </c>
      <c r="BE419" t="s" s="0">
        <v>81</v>
      </c>
      <c r="BF419" t="s" s="0">
        <v>81</v>
      </c>
      <c r="BG419" t="s" s="0">
        <v>9854</v>
      </c>
      <c r="BH419" t="s" s="0">
        <v>9855</v>
      </c>
      <c r="BI419" t="s" s="0">
        <v>81</v>
      </c>
      <c r="BJ419" t="s" s="0">
        <v>9856</v>
      </c>
      <c r="BK419" t="s" s="834">
        <f>HYPERLINK("http://dx.doi.org/10.1016/j.inffus.2022.11.028","http://dx.doi.org/10.1016/j.inffus.2022.11.028")</f>
        <v>9857</v>
      </c>
      <c r="BL419" t="s" s="0">
        <v>81</v>
      </c>
      <c r="BM419" t="s" s="0">
        <v>481</v>
      </c>
      <c r="BN419" t="s" s="0">
        <v>345</v>
      </c>
      <c r="BO419" t="s" s="0">
        <v>419</v>
      </c>
      <c r="BP419" t="s" s="0">
        <v>420</v>
      </c>
      <c r="BQ419" t="s" s="0">
        <v>9858</v>
      </c>
      <c r="BR419" t="s" s="0">
        <v>81</v>
      </c>
      <c r="BS419" t="s" s="0">
        <v>9859</v>
      </c>
      <c r="BT419" t="s" s="835">
        <f>HYPERLINK("https://www.webofscience.com/wos/woscc/full-record/WOS:000909699400001","View Record in Web of Science")</f>
        <v>114</v>
      </c>
      <c r="BU419" t="s" s="0">
        <v>81</v>
      </c>
      <c r="BV419" t="s" s="0">
        <v>81</v>
      </c>
      <c r="BW419" t="s" s="0">
        <v>81</v>
      </c>
      <c r="BX419" t="s" s="0">
        <v>116</v>
      </c>
    </row>
    <row r="420">
      <c r="A420" t="s" s="0">
        <v>77</v>
      </c>
      <c r="B420" t="s" s="0">
        <v>77</v>
      </c>
      <c r="C420" t="s" s="0">
        <v>77</v>
      </c>
      <c r="D420" t="s" s="0">
        <v>77</v>
      </c>
      <c r="E420" t="s" s="0">
        <v>9860</v>
      </c>
      <c r="F420" t="s" s="0">
        <v>9861</v>
      </c>
      <c r="G420" t="s" s="0">
        <v>9862</v>
      </c>
      <c r="H420" t="s" s="0">
        <v>81</v>
      </c>
      <c r="I420" t="s" s="0">
        <v>82</v>
      </c>
      <c r="J420" t="s" s="0">
        <v>9863</v>
      </c>
      <c r="K420" t="s" s="0">
        <v>9864</v>
      </c>
      <c r="L420" t="s" s="0">
        <v>9865</v>
      </c>
      <c r="M420" t="s" s="0">
        <v>9866</v>
      </c>
      <c r="N420" t="s" s="0">
        <v>9867</v>
      </c>
      <c r="O420" t="s" s="0">
        <v>9868</v>
      </c>
      <c r="P420" t="s" s="0">
        <v>9869</v>
      </c>
      <c r="Q420" t="s" s="0">
        <v>90</v>
      </c>
      <c r="R420" t="s" s="0">
        <v>81</v>
      </c>
      <c r="S420" t="s" s="0">
        <v>81</v>
      </c>
      <c r="T420" t="s" s="0">
        <v>81</v>
      </c>
      <c r="U420" t="s" s="0">
        <v>81</v>
      </c>
      <c r="V420" t="s" s="0">
        <v>9870</v>
      </c>
      <c r="W420" t="s" s="0">
        <v>3730</v>
      </c>
      <c r="X420" t="s" s="0">
        <v>81</v>
      </c>
      <c r="Y420" t="s" s="0">
        <v>81</v>
      </c>
      <c r="Z420" t="s" s="0">
        <v>93</v>
      </c>
      <c r="AA420" t="s" s="0">
        <v>94</v>
      </c>
      <c r="AB420" t="s" s="0">
        <v>81</v>
      </c>
      <c r="AC420" t="s" s="0">
        <v>81</v>
      </c>
      <c r="AD420" t="s" s="0">
        <v>81</v>
      </c>
      <c r="AE420" t="s" s="0">
        <v>81</v>
      </c>
      <c r="AF420" t="s" s="0">
        <v>81</v>
      </c>
      <c r="AG420" t="s" s="0">
        <v>9871</v>
      </c>
      <c r="AH420" t="s" s="0">
        <v>2651</v>
      </c>
      <c r="AI420" t="s" s="0">
        <v>81</v>
      </c>
      <c r="AJ420" t="s" s="0">
        <v>81</v>
      </c>
      <c r="AK420" t="s" s="0">
        <v>81</v>
      </c>
      <c r="AL420" t="s" s="0">
        <v>345</v>
      </c>
      <c r="AM420" t="s" s="0">
        <v>77</v>
      </c>
      <c r="AN420" t="s" s="0">
        <v>77</v>
      </c>
      <c r="AO420" t="s" s="0">
        <v>227</v>
      </c>
      <c r="AP420" t="s" s="0">
        <v>227</v>
      </c>
      <c r="AQ420" t="s" s="0">
        <v>1818</v>
      </c>
      <c r="AR420" t="s" s="0">
        <v>1819</v>
      </c>
      <c r="AS420" t="s" s="0">
        <v>1820</v>
      </c>
      <c r="AT420" t="s" s="0">
        <v>3732</v>
      </c>
      <c r="AU420" t="s" s="0">
        <v>3733</v>
      </c>
      <c r="AV420" t="s" s="0">
        <v>81</v>
      </c>
      <c r="AW420" t="s" s="0">
        <v>3734</v>
      </c>
      <c r="AX420" t="s" s="0">
        <v>3735</v>
      </c>
      <c r="AY420" t="s" s="0">
        <v>3439</v>
      </c>
      <c r="AZ420" t="s" s="0">
        <v>104</v>
      </c>
      <c r="BA420" t="s" s="0">
        <v>137</v>
      </c>
      <c r="BB420" t="s" s="0">
        <v>117</v>
      </c>
      <c r="BC420" t="s" s="0">
        <v>81</v>
      </c>
      <c r="BD420" t="s" s="0">
        <v>81</v>
      </c>
      <c r="BE420" t="s" s="0">
        <v>81</v>
      </c>
      <c r="BF420" t="s" s="0">
        <v>81</v>
      </c>
      <c r="BG420" t="s" s="0">
        <v>81</v>
      </c>
      <c r="BH420" t="s" s="0">
        <v>81</v>
      </c>
      <c r="BI420" t="s" s="0">
        <v>368</v>
      </c>
      <c r="BJ420" t="s" s="0">
        <v>9872</v>
      </c>
      <c r="BK420" t="s" s="836">
        <f>HYPERLINK("http://dx.doi.org/10.21037/qims-2025-617","http://dx.doi.org/10.21037/qims-2025-617")</f>
        <v>9873</v>
      </c>
      <c r="BL420" t="s" s="0">
        <v>81</v>
      </c>
      <c r="BM420" t="s" s="0">
        <v>81</v>
      </c>
      <c r="BN420" t="s" s="0">
        <v>129</v>
      </c>
      <c r="BO420" t="s" s="0">
        <v>1881</v>
      </c>
      <c r="BP420" t="s" s="0">
        <v>1881</v>
      </c>
      <c r="BQ420" t="s" s="0">
        <v>9874</v>
      </c>
      <c r="BR420" t="s" s="0">
        <v>9875</v>
      </c>
      <c r="BS420" t="s" s="0">
        <v>9876</v>
      </c>
      <c r="BT420" t="s" s="837">
        <f>HYPERLINK("https://www.webofscience.com/wos/woscc/full-record/WOS:001660704800007","View Record in Web of Science")</f>
        <v>114</v>
      </c>
      <c r="BU420" t="s" s="0">
        <v>145</v>
      </c>
      <c r="BV420" t="s" s="0">
        <v>81</v>
      </c>
      <c r="BW420" t="s" s="0">
        <v>81</v>
      </c>
      <c r="BX420" t="s" s="0">
        <v>116</v>
      </c>
    </row>
    <row r="421">
      <c r="A421" t="s" s="0">
        <v>117</v>
      </c>
      <c r="B421" t="s" s="0">
        <v>77</v>
      </c>
      <c r="C421" t="s" s="0">
        <v>130</v>
      </c>
      <c r="D421" t="s" s="0">
        <v>77</v>
      </c>
      <c r="E421" t="s" s="0">
        <v>9877</v>
      </c>
      <c r="F421" t="s" s="0">
        <v>9878</v>
      </c>
      <c r="G421" t="s" s="0">
        <v>9879</v>
      </c>
      <c r="H421" t="s" s="0">
        <v>81</v>
      </c>
      <c r="I421" t="s" s="0">
        <v>82</v>
      </c>
      <c r="J421" t="s" s="0">
        <v>9880</v>
      </c>
      <c r="K421" t="s" s="0">
        <v>9881</v>
      </c>
      <c r="L421" t="s" s="0">
        <v>9882</v>
      </c>
      <c r="M421" t="s" s="0">
        <v>9882</v>
      </c>
      <c r="N421" t="s" s="0">
        <v>9883</v>
      </c>
      <c r="O421" t="s" s="0">
        <v>9884</v>
      </c>
      <c r="P421" t="s" s="0">
        <v>9885</v>
      </c>
      <c r="Q421" t="s" s="0">
        <v>90</v>
      </c>
      <c r="R421" t="s" s="0">
        <v>81</v>
      </c>
      <c r="S421" t="s" s="0">
        <v>81</v>
      </c>
      <c r="T421" t="s" s="0">
        <v>81</v>
      </c>
      <c r="U421" t="s" s="0">
        <v>81</v>
      </c>
      <c r="V421" t="s" s="0">
        <v>9886</v>
      </c>
      <c r="W421" t="s" s="0">
        <v>1510</v>
      </c>
      <c r="X421" t="s" s="0">
        <v>81</v>
      </c>
      <c r="Y421" t="s" s="0">
        <v>81</v>
      </c>
      <c r="Z421" t="s" s="0">
        <v>93</v>
      </c>
      <c r="AA421" t="s" s="0">
        <v>94</v>
      </c>
      <c r="AB421" t="s" s="0">
        <v>81</v>
      </c>
      <c r="AC421" t="s" s="0">
        <v>81</v>
      </c>
      <c r="AD421" t="s" s="0">
        <v>81</v>
      </c>
      <c r="AE421" t="s" s="0">
        <v>81</v>
      </c>
      <c r="AF421" t="s" s="0">
        <v>81</v>
      </c>
      <c r="AG421" t="s" s="0">
        <v>9887</v>
      </c>
      <c r="AH421" t="s" s="0">
        <v>9888</v>
      </c>
      <c r="AI421" t="s" s="0">
        <v>9889</v>
      </c>
      <c r="AJ421" t="s" s="0">
        <v>9890</v>
      </c>
      <c r="AK421" t="s" s="0">
        <v>81</v>
      </c>
      <c r="AL421" t="s" s="0">
        <v>405</v>
      </c>
      <c r="AM421" t="s" s="0">
        <v>131</v>
      </c>
      <c r="AN421" t="s" s="0">
        <v>225</v>
      </c>
      <c r="AO421" t="s" s="0">
        <v>160</v>
      </c>
      <c r="AP421" t="s" s="0">
        <v>167</v>
      </c>
      <c r="AQ421" t="s" s="0">
        <v>476</v>
      </c>
      <c r="AR421" t="s" s="0">
        <v>477</v>
      </c>
      <c r="AS421" t="s" s="0">
        <v>478</v>
      </c>
      <c r="AT421" t="s" s="0">
        <v>81</v>
      </c>
      <c r="AU421" t="s" s="0">
        <v>1516</v>
      </c>
      <c r="AV421" t="s" s="0">
        <v>81</v>
      </c>
      <c r="AW421" t="s" s="0">
        <v>1510</v>
      </c>
      <c r="AX421" t="s" s="0">
        <v>1517</v>
      </c>
      <c r="AY421" t="s" s="0">
        <v>377</v>
      </c>
      <c r="AZ421" t="s" s="0">
        <v>136</v>
      </c>
      <c r="BA421" t="s" s="0">
        <v>563</v>
      </c>
      <c r="BB421" t="s" s="0">
        <v>253</v>
      </c>
      <c r="BC421" t="s" s="0">
        <v>81</v>
      </c>
      <c r="BD421" t="s" s="0">
        <v>81</v>
      </c>
      <c r="BE421" t="s" s="0">
        <v>81</v>
      </c>
      <c r="BF421" t="s" s="0">
        <v>81</v>
      </c>
      <c r="BG421" t="s" s="0">
        <v>81</v>
      </c>
      <c r="BH421" t="s" s="0">
        <v>81</v>
      </c>
      <c r="BI421" t="s" s="0">
        <v>9891</v>
      </c>
      <c r="BJ421" t="s" s="0">
        <v>9892</v>
      </c>
      <c r="BK421" t="s" s="838">
        <f>HYPERLINK("http://dx.doi.org/10.3390/cancers17050869","http://dx.doi.org/10.3390/cancers17050869")</f>
        <v>9893</v>
      </c>
      <c r="BL421" t="s" s="0">
        <v>81</v>
      </c>
      <c r="BM421" t="s" s="0">
        <v>81</v>
      </c>
      <c r="BN421" t="s" s="0">
        <v>172</v>
      </c>
      <c r="BO421" t="s" s="0">
        <v>939</v>
      </c>
      <c r="BP421" t="s" s="0">
        <v>939</v>
      </c>
      <c r="BQ421" t="s" s="0">
        <v>9894</v>
      </c>
      <c r="BR421" t="s" s="0">
        <v>9895</v>
      </c>
      <c r="BS421" t="s" s="0">
        <v>9896</v>
      </c>
      <c r="BT421" t="s" s="839">
        <f>HYPERLINK("https://www.webofscience.com/wos/woscc/full-record/WOS:001442786700001","View Record in Web of Science")</f>
        <v>114</v>
      </c>
      <c r="BU421" t="s" s="0">
        <v>145</v>
      </c>
      <c r="BV421" t="s" s="0">
        <v>81</v>
      </c>
      <c r="BW421" t="s" s="0">
        <v>81</v>
      </c>
      <c r="BX421" t="s" s="0">
        <v>116</v>
      </c>
    </row>
    <row r="422">
      <c r="A422" t="s" s="0">
        <v>77</v>
      </c>
      <c r="B422" t="s" s="0">
        <v>77</v>
      </c>
      <c r="C422" t="s" s="0">
        <v>77</v>
      </c>
      <c r="D422" t="s" s="0">
        <v>77</v>
      </c>
      <c r="E422" t="s" s="0">
        <v>9897</v>
      </c>
      <c r="F422" t="s" s="0">
        <v>9898</v>
      </c>
      <c r="G422" t="s" s="0">
        <v>9899</v>
      </c>
      <c r="H422" t="s" s="0">
        <v>81</v>
      </c>
      <c r="I422" t="s" s="0">
        <v>82</v>
      </c>
      <c r="J422" t="s" s="0">
        <v>9900</v>
      </c>
      <c r="K422" t="s" s="0">
        <v>9901</v>
      </c>
      <c r="L422" t="s" s="0">
        <v>81</v>
      </c>
      <c r="M422" t="s" s="0">
        <v>81</v>
      </c>
      <c r="N422" t="s" s="0">
        <v>81</v>
      </c>
      <c r="O422" t="s" s="0">
        <v>9902</v>
      </c>
      <c r="P422" t="s" s="0">
        <v>3305</v>
      </c>
      <c r="Q422" t="s" s="0">
        <v>90</v>
      </c>
      <c r="R422" t="s" s="0">
        <v>81</v>
      </c>
      <c r="S422" t="s" s="0">
        <v>81</v>
      </c>
      <c r="T422" t="s" s="0">
        <v>81</v>
      </c>
      <c r="U422" t="s" s="0">
        <v>81</v>
      </c>
      <c r="V422" t="s" s="0">
        <v>9903</v>
      </c>
      <c r="W422" t="s" s="0">
        <v>6533</v>
      </c>
      <c r="X422" t="s" s="0">
        <v>81</v>
      </c>
      <c r="Y422" t="s" s="0">
        <v>81</v>
      </c>
      <c r="Z422" t="s" s="0">
        <v>93</v>
      </c>
      <c r="AA422" t="s" s="0">
        <v>94</v>
      </c>
      <c r="AB422" t="s" s="0">
        <v>81</v>
      </c>
      <c r="AC422" t="s" s="0">
        <v>81</v>
      </c>
      <c r="AD422" t="s" s="0">
        <v>81</v>
      </c>
      <c r="AE422" t="s" s="0">
        <v>81</v>
      </c>
      <c r="AF422" t="s" s="0">
        <v>81</v>
      </c>
      <c r="AG422" t="s" s="0">
        <v>9904</v>
      </c>
      <c r="AH422" t="s" s="0">
        <v>9905</v>
      </c>
      <c r="AI422" t="s" s="0">
        <v>81</v>
      </c>
      <c r="AJ422" t="s" s="0">
        <v>81</v>
      </c>
      <c r="AK422" t="s" s="0">
        <v>81</v>
      </c>
      <c r="AL422" t="s" s="0">
        <v>304</v>
      </c>
      <c r="AM422" t="s" s="0">
        <v>77</v>
      </c>
      <c r="AN422" t="s" s="0">
        <v>77</v>
      </c>
      <c r="AO422" t="s" s="0">
        <v>77</v>
      </c>
      <c r="AP422" t="s" s="0">
        <v>77</v>
      </c>
      <c r="AQ422" t="s" s="0">
        <v>2787</v>
      </c>
      <c r="AR422" t="s" s="0">
        <v>339</v>
      </c>
      <c r="AS422" t="s" s="0">
        <v>2788</v>
      </c>
      <c r="AT422" t="s" s="0">
        <v>6537</v>
      </c>
      <c r="AU422" t="s" s="0">
        <v>6538</v>
      </c>
      <c r="AV422" t="s" s="0">
        <v>81</v>
      </c>
      <c r="AW422" t="s" s="0">
        <v>6539</v>
      </c>
      <c r="AX422" t="s" s="0">
        <v>6540</v>
      </c>
      <c r="AY422" t="s" s="0">
        <v>2057</v>
      </c>
      <c r="AZ422" t="s" s="0">
        <v>104</v>
      </c>
      <c r="BA422" t="s" s="0">
        <v>9040</v>
      </c>
      <c r="BB422" t="s" s="0">
        <v>117</v>
      </c>
      <c r="BC422" t="s" s="0">
        <v>81</v>
      </c>
      <c r="BD422" t="s" s="0">
        <v>81</v>
      </c>
      <c r="BE422" t="s" s="0">
        <v>81</v>
      </c>
      <c r="BF422" t="s" s="0">
        <v>81</v>
      </c>
      <c r="BG422" t="s" s="0">
        <v>1723</v>
      </c>
      <c r="BH422" t="s" s="0">
        <v>9906</v>
      </c>
      <c r="BI422" t="s" s="0">
        <v>81</v>
      </c>
      <c r="BJ422" t="s" s="0">
        <v>9907</v>
      </c>
      <c r="BK422" t="s" s="840">
        <f>HYPERLINK("http://dx.doi.org/10.1177/13872877261465672","http://dx.doi.org/10.1177/13872877261465672")</f>
        <v>9908</v>
      </c>
      <c r="BL422" t="s" s="0">
        <v>81</v>
      </c>
      <c r="BM422" t="s" s="0">
        <v>317</v>
      </c>
      <c r="BN422" t="s" s="0">
        <v>228</v>
      </c>
      <c r="BO422" t="s" s="0">
        <v>110</v>
      </c>
      <c r="BP422" t="s" s="0">
        <v>111</v>
      </c>
      <c r="BQ422" t="s" s="0">
        <v>9044</v>
      </c>
      <c r="BR422" t="s" s="0">
        <v>9909</v>
      </c>
      <c r="BS422" t="s" s="0">
        <v>9910</v>
      </c>
      <c r="BT422" t="s" s="841">
        <f>HYPERLINK("https://www.webofscience.com/wos/woscc/full-record/WOS:001837765700001","View Record in Web of Science")</f>
        <v>114</v>
      </c>
      <c r="BU422" t="s" s="0">
        <v>81</v>
      </c>
      <c r="BV422" t="s" s="0">
        <v>81</v>
      </c>
      <c r="BW422" t="s" s="0">
        <v>81</v>
      </c>
      <c r="BX422" t="s" s="0">
        <v>116</v>
      </c>
    </row>
    <row r="423">
      <c r="A423" t="s" s="0">
        <v>77</v>
      </c>
      <c r="B423" t="s" s="0">
        <v>77</v>
      </c>
      <c r="C423" t="s" s="0">
        <v>77</v>
      </c>
      <c r="D423" t="s" s="0">
        <v>77</v>
      </c>
      <c r="E423" t="s" s="0">
        <v>9911</v>
      </c>
      <c r="F423" t="s" s="0">
        <v>9912</v>
      </c>
      <c r="G423" t="s" s="0">
        <v>9913</v>
      </c>
      <c r="H423" t="s" s="0">
        <v>81</v>
      </c>
      <c r="I423" t="s" s="0">
        <v>82</v>
      </c>
      <c r="J423" t="s" s="0">
        <v>9914</v>
      </c>
      <c r="K423" t="s" s="0">
        <v>9915</v>
      </c>
      <c r="L423" t="s" s="0">
        <v>81</v>
      </c>
      <c r="M423" t="s" s="0">
        <v>81</v>
      </c>
      <c r="N423" t="s" s="0">
        <v>81</v>
      </c>
      <c r="O423" t="s" s="0">
        <v>9916</v>
      </c>
      <c r="P423" t="s" s="0">
        <v>9147</v>
      </c>
      <c r="Q423" t="s" s="0">
        <v>90</v>
      </c>
      <c r="R423" t="s" s="0">
        <v>81</v>
      </c>
      <c r="S423" t="s" s="0">
        <v>81</v>
      </c>
      <c r="T423" t="s" s="0">
        <v>81</v>
      </c>
      <c r="U423" t="s" s="0">
        <v>81</v>
      </c>
      <c r="V423" t="s" s="0">
        <v>9917</v>
      </c>
      <c r="W423" t="s" s="0">
        <v>3181</v>
      </c>
      <c r="X423" t="s" s="0">
        <v>81</v>
      </c>
      <c r="Y423" t="s" s="0">
        <v>81</v>
      </c>
      <c r="Z423" t="s" s="0">
        <v>93</v>
      </c>
      <c r="AA423" t="s" s="0">
        <v>94</v>
      </c>
      <c r="AB423" t="s" s="0">
        <v>81</v>
      </c>
      <c r="AC423" t="s" s="0">
        <v>81</v>
      </c>
      <c r="AD423" t="s" s="0">
        <v>81</v>
      </c>
      <c r="AE423" t="s" s="0">
        <v>81</v>
      </c>
      <c r="AF423" t="s" s="0">
        <v>81</v>
      </c>
      <c r="AG423" t="s" s="0">
        <v>9918</v>
      </c>
      <c r="AH423" t="s" s="0">
        <v>81</v>
      </c>
      <c r="AI423" t="s" s="0">
        <v>9919</v>
      </c>
      <c r="AJ423" t="s" s="0">
        <v>81</v>
      </c>
      <c r="AK423" t="s" s="0">
        <v>81</v>
      </c>
      <c r="AL423" t="s" s="0">
        <v>1421</v>
      </c>
      <c r="AM423" t="s" s="0">
        <v>77</v>
      </c>
      <c r="AN423" t="s" s="0">
        <v>77</v>
      </c>
      <c r="AO423" t="s" s="0">
        <v>227</v>
      </c>
      <c r="AP423" t="s" s="0">
        <v>227</v>
      </c>
      <c r="AQ423" t="s" s="0">
        <v>1068</v>
      </c>
      <c r="AR423" t="s" s="0">
        <v>1069</v>
      </c>
      <c r="AS423" t="s" s="0">
        <v>1070</v>
      </c>
      <c r="AT423" t="s" s="0">
        <v>3187</v>
      </c>
      <c r="AU423" t="s" s="0">
        <v>3188</v>
      </c>
      <c r="AV423" t="s" s="0">
        <v>81</v>
      </c>
      <c r="AW423" t="s" s="0">
        <v>3189</v>
      </c>
      <c r="AX423" t="s" s="0">
        <v>3190</v>
      </c>
      <c r="AY423" t="s" s="0">
        <v>9058</v>
      </c>
      <c r="AZ423" t="s" s="0">
        <v>104</v>
      </c>
      <c r="BA423" t="s" s="0">
        <v>1728</v>
      </c>
      <c r="BB423" t="s" s="0">
        <v>81</v>
      </c>
      <c r="BC423" t="s" s="0">
        <v>81</v>
      </c>
      <c r="BD423" t="s" s="0">
        <v>5345</v>
      </c>
      <c r="BE423" t="s" s="0">
        <v>81</v>
      </c>
      <c r="BF423" t="s" s="0">
        <v>81</v>
      </c>
      <c r="BG423" t="s" s="0">
        <v>81</v>
      </c>
      <c r="BH423" t="s" s="0">
        <v>81</v>
      </c>
      <c r="BI423" t="s" s="0">
        <v>9920</v>
      </c>
      <c r="BJ423" t="s" s="0">
        <v>9921</v>
      </c>
      <c r="BK423" t="s" s="842">
        <f>HYPERLINK("http://dx.doi.org/10.1016/j.bspc.2026.110579","http://dx.doi.org/10.1016/j.bspc.2026.110579")</f>
        <v>9922</v>
      </c>
      <c r="BL423" t="s" s="0">
        <v>81</v>
      </c>
      <c r="BM423" t="s" s="0">
        <v>203</v>
      </c>
      <c r="BN423" t="s" s="0">
        <v>258</v>
      </c>
      <c r="BO423" t="s" s="0">
        <v>238</v>
      </c>
      <c r="BP423" t="s" s="0">
        <v>239</v>
      </c>
      <c r="BQ423" t="s" s="0">
        <v>9923</v>
      </c>
      <c r="BR423" t="s" s="0">
        <v>81</v>
      </c>
      <c r="BS423" t="s" s="0">
        <v>9924</v>
      </c>
      <c r="BT423" t="s" s="843">
        <f>HYPERLINK("https://www.webofscience.com/wos/woscc/full-record/WOS:001769648600001","View Record in Web of Science")</f>
        <v>114</v>
      </c>
      <c r="BU423" t="s" s="0">
        <v>81</v>
      </c>
      <c r="BV423" t="s" s="0">
        <v>81</v>
      </c>
      <c r="BW423" t="s" s="0">
        <v>81</v>
      </c>
      <c r="BX423" t="s" s="0">
        <v>116</v>
      </c>
    </row>
    <row r="424">
      <c r="A424" t="s" s="0">
        <v>77</v>
      </c>
      <c r="B424" t="s" s="0">
        <v>77</v>
      </c>
      <c r="C424" t="s" s="0">
        <v>77</v>
      </c>
      <c r="D424" t="s" s="0">
        <v>77</v>
      </c>
      <c r="E424" t="s" s="0">
        <v>9925</v>
      </c>
      <c r="F424" t="s" s="0">
        <v>9926</v>
      </c>
      <c r="G424" t="s" s="0">
        <v>9927</v>
      </c>
      <c r="H424" t="s" s="0">
        <v>81</v>
      </c>
      <c r="I424" t="s" s="0">
        <v>82</v>
      </c>
      <c r="J424" t="s" s="0">
        <v>9928</v>
      </c>
      <c r="K424" t="s" s="0">
        <v>9929</v>
      </c>
      <c r="L424" t="s" s="0">
        <v>81</v>
      </c>
      <c r="M424" t="s" s="0">
        <v>81</v>
      </c>
      <c r="N424" t="s" s="0">
        <v>81</v>
      </c>
      <c r="O424" t="s" s="0">
        <v>9930</v>
      </c>
      <c r="P424" t="s" s="0">
        <v>9931</v>
      </c>
      <c r="Q424" t="s" s="0">
        <v>90</v>
      </c>
      <c r="R424" t="s" s="0">
        <v>81</v>
      </c>
      <c r="S424" t="s" s="0">
        <v>81</v>
      </c>
      <c r="T424" t="s" s="0">
        <v>81</v>
      </c>
      <c r="U424" t="s" s="0">
        <v>81</v>
      </c>
      <c r="V424" t="s" s="0">
        <v>9932</v>
      </c>
      <c r="W424" t="s" s="0">
        <v>9933</v>
      </c>
      <c r="X424" t="s" s="0">
        <v>81</v>
      </c>
      <c r="Y424" t="s" s="0">
        <v>81</v>
      </c>
      <c r="Z424" t="s" s="0">
        <v>93</v>
      </c>
      <c r="AA424" t="s" s="0">
        <v>94</v>
      </c>
      <c r="AB424" t="s" s="0">
        <v>81</v>
      </c>
      <c r="AC424" t="s" s="0">
        <v>81</v>
      </c>
      <c r="AD424" t="s" s="0">
        <v>81</v>
      </c>
      <c r="AE424" t="s" s="0">
        <v>81</v>
      </c>
      <c r="AF424" t="s" s="0">
        <v>81</v>
      </c>
      <c r="AG424" t="s" s="0">
        <v>9934</v>
      </c>
      <c r="AH424" t="s" s="0">
        <v>81</v>
      </c>
      <c r="AI424" t="s" s="0">
        <v>81</v>
      </c>
      <c r="AJ424" t="s" s="0">
        <v>81</v>
      </c>
      <c r="AK424" t="s" s="0">
        <v>81</v>
      </c>
      <c r="AL424" t="s" s="0">
        <v>345</v>
      </c>
      <c r="AM424" t="s" s="0">
        <v>77</v>
      </c>
      <c r="AN424" t="s" s="0">
        <v>77</v>
      </c>
      <c r="AO424" t="s" s="0">
        <v>117</v>
      </c>
      <c r="AP424" t="s" s="0">
        <v>117</v>
      </c>
      <c r="AQ424" t="s" s="0">
        <v>162</v>
      </c>
      <c r="AR424" t="s" s="0">
        <v>163</v>
      </c>
      <c r="AS424" t="s" s="0">
        <v>164</v>
      </c>
      <c r="AT424" t="s" s="0">
        <v>9935</v>
      </c>
      <c r="AU424" t="s" s="0">
        <v>9936</v>
      </c>
      <c r="AV424" t="s" s="0">
        <v>81</v>
      </c>
      <c r="AW424" t="s" s="0">
        <v>9937</v>
      </c>
      <c r="AX424" t="s" s="0">
        <v>9938</v>
      </c>
      <c r="AY424" t="s" s="0">
        <v>9130</v>
      </c>
      <c r="AZ424" t="s" s="0">
        <v>104</v>
      </c>
      <c r="BA424" t="s" s="0">
        <v>345</v>
      </c>
      <c r="BB424" t="s" s="0">
        <v>227</v>
      </c>
      <c r="BC424" t="s" s="0">
        <v>81</v>
      </c>
      <c r="BD424" t="s" s="0">
        <v>81</v>
      </c>
      <c r="BE424" t="s" s="0">
        <v>81</v>
      </c>
      <c r="BF424" t="s" s="0">
        <v>81</v>
      </c>
      <c r="BG424" t="s" s="0">
        <v>9939</v>
      </c>
      <c r="BH424" t="s" s="0">
        <v>9940</v>
      </c>
      <c r="BI424" t="s" s="0">
        <v>81</v>
      </c>
      <c r="BJ424" t="s" s="0">
        <v>9941</v>
      </c>
      <c r="BK424" t="s" s="844">
        <f>HYPERLINK("http://dx.doi.org/10.1109/JSEN.2025.3641648","http://dx.doi.org/10.1109/JSEN.2025.3641648")</f>
        <v>9942</v>
      </c>
      <c r="BL424" t="s" s="0">
        <v>81</v>
      </c>
      <c r="BM424" t="s" s="0">
        <v>81</v>
      </c>
      <c r="BN424" t="s" s="0">
        <v>225</v>
      </c>
      <c r="BO424" t="s" s="0">
        <v>9943</v>
      </c>
      <c r="BP424" t="s" s="0">
        <v>9944</v>
      </c>
      <c r="BQ424" t="s" s="0">
        <v>9945</v>
      </c>
      <c r="BR424" t="s" s="0">
        <v>81</v>
      </c>
      <c r="BS424" t="s" s="0">
        <v>9946</v>
      </c>
      <c r="BT424" t="s" s="845">
        <f>HYPERLINK("https://www.webofscience.com/wos/woscc/full-record/WOS:001676278100007","View Record in Web of Science")</f>
        <v>114</v>
      </c>
      <c r="BU424" t="s" s="0">
        <v>81</v>
      </c>
      <c r="BV424" t="s" s="0">
        <v>81</v>
      </c>
      <c r="BW424" t="s" s="0">
        <v>81</v>
      </c>
      <c r="BX424" t="s" s="0">
        <v>116</v>
      </c>
    </row>
    <row r="425">
      <c r="A425" t="s" s="0">
        <v>77</v>
      </c>
      <c r="B425" t="s" s="0">
        <v>77</v>
      </c>
      <c r="C425" t="s" s="0">
        <v>77</v>
      </c>
      <c r="D425" t="s" s="0">
        <v>77</v>
      </c>
      <c r="E425" t="s" s="0">
        <v>9947</v>
      </c>
      <c r="F425" t="s" s="0">
        <v>9948</v>
      </c>
      <c r="G425" t="s" s="0">
        <v>9949</v>
      </c>
      <c r="H425" t="s" s="0">
        <v>81</v>
      </c>
      <c r="I425" t="s" s="0">
        <v>82</v>
      </c>
      <c r="J425" t="s" s="0">
        <v>9950</v>
      </c>
      <c r="K425" t="s" s="0">
        <v>9951</v>
      </c>
      <c r="L425" t="s" s="0">
        <v>9952</v>
      </c>
      <c r="M425" t="s" s="0">
        <v>9953</v>
      </c>
      <c r="N425" t="s" s="0">
        <v>9954</v>
      </c>
      <c r="O425" t="s" s="0">
        <v>9955</v>
      </c>
      <c r="P425" t="s" s="0">
        <v>81</v>
      </c>
      <c r="Q425" t="s" s="0">
        <v>90</v>
      </c>
      <c r="R425" t="s" s="0">
        <v>81</v>
      </c>
      <c r="S425" t="s" s="0">
        <v>81</v>
      </c>
      <c r="T425" t="s" s="0">
        <v>81</v>
      </c>
      <c r="U425" t="s" s="0">
        <v>81</v>
      </c>
      <c r="V425" t="s" s="0">
        <v>9956</v>
      </c>
      <c r="W425" t="s" s="0">
        <v>9957</v>
      </c>
      <c r="X425" t="s" s="0">
        <v>81</v>
      </c>
      <c r="Y425" t="s" s="0">
        <v>81</v>
      </c>
      <c r="Z425" t="s" s="0">
        <v>93</v>
      </c>
      <c r="AA425" t="s" s="0">
        <v>94</v>
      </c>
      <c r="AB425" t="s" s="0">
        <v>81</v>
      </c>
      <c r="AC425" t="s" s="0">
        <v>81</v>
      </c>
      <c r="AD425" t="s" s="0">
        <v>81</v>
      </c>
      <c r="AE425" t="s" s="0">
        <v>81</v>
      </c>
      <c r="AF425" t="s" s="0">
        <v>81</v>
      </c>
      <c r="AG425" t="s" s="0">
        <v>9958</v>
      </c>
      <c r="AH425" t="s" s="0">
        <v>81</v>
      </c>
      <c r="AI425" t="s" s="0">
        <v>9959</v>
      </c>
      <c r="AJ425" t="s" s="0">
        <v>9960</v>
      </c>
      <c r="AK425" t="s" s="0">
        <v>81</v>
      </c>
      <c r="AL425" t="s" s="0">
        <v>1097</v>
      </c>
      <c r="AM425" t="s" s="0">
        <v>77</v>
      </c>
      <c r="AN425" t="s" s="0">
        <v>117</v>
      </c>
      <c r="AO425" t="s" s="0">
        <v>253</v>
      </c>
      <c r="AP425" t="s" s="0">
        <v>137</v>
      </c>
      <c r="AQ425" t="s" s="0">
        <v>6092</v>
      </c>
      <c r="AR425" t="s" s="0">
        <v>2172</v>
      </c>
      <c r="AS425" t="s" s="0">
        <v>6093</v>
      </c>
      <c r="AT425" t="s" s="0">
        <v>9961</v>
      </c>
      <c r="AU425" t="s" s="0">
        <v>9962</v>
      </c>
      <c r="AV425" t="s" s="0">
        <v>81</v>
      </c>
      <c r="AW425" t="s" s="0">
        <v>9963</v>
      </c>
      <c r="AX425" t="s" s="0">
        <v>9964</v>
      </c>
      <c r="AY425" t="s" s="0">
        <v>9965</v>
      </c>
      <c r="AZ425" t="s" s="0">
        <v>136</v>
      </c>
      <c r="BA425" t="s" s="0">
        <v>1097</v>
      </c>
      <c r="BB425" t="s" s="0">
        <v>9966</v>
      </c>
      <c r="BC425" t="s" s="0">
        <v>81</v>
      </c>
      <c r="BD425" t="s" s="0">
        <v>81</v>
      </c>
      <c r="BE425" t="s" s="0">
        <v>81</v>
      </c>
      <c r="BF425" t="s" s="0">
        <v>81</v>
      </c>
      <c r="BG425" t="s" s="0">
        <v>81</v>
      </c>
      <c r="BH425" t="s" s="0">
        <v>81</v>
      </c>
      <c r="BI425" t="s" s="0">
        <v>81</v>
      </c>
      <c r="BJ425" t="s" s="0">
        <v>9967</v>
      </c>
      <c r="BK425" t="s" s="846">
        <f>HYPERLINK("http://dx.doi.org/10.1142/S0218126625501737","http://dx.doi.org/10.1142/S0218126625501737")</f>
        <v>9968</v>
      </c>
      <c r="BL425" t="s" s="0">
        <v>81</v>
      </c>
      <c r="BM425" t="s" s="0">
        <v>418</v>
      </c>
      <c r="BN425" t="s" s="0">
        <v>172</v>
      </c>
      <c r="BO425" t="s" s="0">
        <v>9969</v>
      </c>
      <c r="BP425" t="s" s="0">
        <v>206</v>
      </c>
      <c r="BQ425" t="s" s="0">
        <v>9970</v>
      </c>
      <c r="BR425" t="s" s="0">
        <v>81</v>
      </c>
      <c r="BS425" t="s" s="0">
        <v>9971</v>
      </c>
      <c r="BT425" t="s" s="847">
        <f>HYPERLINK("https://www.webofscience.com/wos/woscc/full-record/WOS:001467353700001","View Record in Web of Science")</f>
        <v>114</v>
      </c>
      <c r="BU425" t="s" s="0">
        <v>81</v>
      </c>
      <c r="BV425" t="s" s="0">
        <v>81</v>
      </c>
      <c r="BW425" t="s" s="0">
        <v>81</v>
      </c>
      <c r="BX425" t="s" s="0">
        <v>116</v>
      </c>
    </row>
    <row r="426">
      <c r="A426" t="s" s="0">
        <v>77</v>
      </c>
      <c r="B426" t="s" s="0">
        <v>77</v>
      </c>
      <c r="C426" t="s" s="0">
        <v>130</v>
      </c>
      <c r="D426" t="s" s="0">
        <v>77</v>
      </c>
      <c r="E426" t="s" s="0">
        <v>9972</v>
      </c>
      <c r="F426" t="s" s="0">
        <v>9973</v>
      </c>
      <c r="G426" t="s" s="0">
        <v>9974</v>
      </c>
      <c r="H426" t="s" s="0">
        <v>81</v>
      </c>
      <c r="I426" t="s" s="0">
        <v>82</v>
      </c>
      <c r="J426" t="s" s="0">
        <v>9975</v>
      </c>
      <c r="K426" t="s" s="0">
        <v>9976</v>
      </c>
      <c r="L426" t="s" s="0">
        <v>9977</v>
      </c>
      <c r="M426" t="s" s="0">
        <v>9978</v>
      </c>
      <c r="N426" t="s" s="0">
        <v>9979</v>
      </c>
      <c r="O426" t="s" s="0">
        <v>9980</v>
      </c>
      <c r="P426" t="s" s="0">
        <v>9981</v>
      </c>
      <c r="Q426" t="s" s="0">
        <v>90</v>
      </c>
      <c r="R426" t="s" s="0">
        <v>81</v>
      </c>
      <c r="S426" t="s" s="0">
        <v>81</v>
      </c>
      <c r="T426" t="s" s="0">
        <v>81</v>
      </c>
      <c r="U426" t="s" s="0">
        <v>81</v>
      </c>
      <c r="V426" t="s" s="0">
        <v>9982</v>
      </c>
      <c r="W426" t="s" s="0">
        <v>6872</v>
      </c>
      <c r="X426" t="s" s="0">
        <v>81</v>
      </c>
      <c r="Y426" t="s" s="0">
        <v>81</v>
      </c>
      <c r="Z426" t="s" s="0">
        <v>93</v>
      </c>
      <c r="AA426" t="s" s="0">
        <v>94</v>
      </c>
      <c r="AB426" t="s" s="0">
        <v>81</v>
      </c>
      <c r="AC426" t="s" s="0">
        <v>81</v>
      </c>
      <c r="AD426" t="s" s="0">
        <v>81</v>
      </c>
      <c r="AE426" t="s" s="0">
        <v>81</v>
      </c>
      <c r="AF426" t="s" s="0">
        <v>81</v>
      </c>
      <c r="AG426" t="s" s="0">
        <v>9983</v>
      </c>
      <c r="AH426" t="s" s="0">
        <v>9984</v>
      </c>
      <c r="AI426" t="s" s="0">
        <v>9985</v>
      </c>
      <c r="AJ426" t="s" s="0">
        <v>9986</v>
      </c>
      <c r="AK426" t="s" s="0">
        <v>81</v>
      </c>
      <c r="AL426" t="s" s="0">
        <v>562</v>
      </c>
      <c r="AM426" t="s" s="0">
        <v>129</v>
      </c>
      <c r="AN426" t="s" s="0">
        <v>226</v>
      </c>
      <c r="AO426" t="s" s="0">
        <v>253</v>
      </c>
      <c r="AP426" t="s" s="0">
        <v>109</v>
      </c>
      <c r="AQ426" t="s" s="0">
        <v>370</v>
      </c>
      <c r="AR426" t="s" s="0">
        <v>1099</v>
      </c>
      <c r="AS426" t="s" s="0">
        <v>1873</v>
      </c>
      <c r="AT426" t="s" s="0">
        <v>6875</v>
      </c>
      <c r="AU426" t="s" s="0">
        <v>6876</v>
      </c>
      <c r="AV426" t="s" s="0">
        <v>81</v>
      </c>
      <c r="AW426" t="s" s="0">
        <v>6877</v>
      </c>
      <c r="AX426" t="s" s="0">
        <v>6878</v>
      </c>
      <c r="AY426" t="s" s="0">
        <v>824</v>
      </c>
      <c r="AZ426" t="s" s="0">
        <v>136</v>
      </c>
      <c r="BA426" t="s" s="0">
        <v>1161</v>
      </c>
      <c r="BB426" t="s" s="0">
        <v>225</v>
      </c>
      <c r="BC426" t="s" s="0">
        <v>81</v>
      </c>
      <c r="BD426" t="s" s="0">
        <v>81</v>
      </c>
      <c r="BE426" t="s" s="0">
        <v>81</v>
      </c>
      <c r="BF426" t="s" s="0">
        <v>81</v>
      </c>
      <c r="BG426" t="s" s="0">
        <v>9987</v>
      </c>
      <c r="BH426" t="s" s="0">
        <v>9988</v>
      </c>
      <c r="BI426" t="s" s="0">
        <v>81</v>
      </c>
      <c r="BJ426" t="s" s="0">
        <v>9989</v>
      </c>
      <c r="BK426" t="s" s="848">
        <f>HYPERLINK("http://dx.doi.org/10.1007/s00259-025-07134-0","http://dx.doi.org/10.1007/s00259-025-07134-0")</f>
        <v>9990</v>
      </c>
      <c r="BL426" t="s" s="0">
        <v>81</v>
      </c>
      <c r="BM426" t="s" s="0">
        <v>418</v>
      </c>
      <c r="BN426" t="s" s="0">
        <v>226</v>
      </c>
      <c r="BO426" t="s" s="0">
        <v>1881</v>
      </c>
      <c r="BP426" t="s" s="0">
        <v>1881</v>
      </c>
      <c r="BQ426" t="s" s="0">
        <v>9991</v>
      </c>
      <c r="BR426" t="s" s="0">
        <v>9992</v>
      </c>
      <c r="BS426" t="s" s="0">
        <v>9993</v>
      </c>
      <c r="BT426" t="s" s="849">
        <f>HYPERLINK("https://www.webofscience.com/wos/woscc/full-record/WOS:001426159400001","View Record in Web of Science")</f>
        <v>114</v>
      </c>
      <c r="BU426" t="s" s="0">
        <v>81</v>
      </c>
      <c r="BV426" t="s" s="0">
        <v>81</v>
      </c>
      <c r="BW426" t="s" s="0">
        <v>81</v>
      </c>
      <c r="BX426" t="s" s="0">
        <v>116</v>
      </c>
    </row>
    <row r="427">
      <c r="A427" t="s" s="0">
        <v>77</v>
      </c>
      <c r="B427" t="s" s="0">
        <v>77</v>
      </c>
      <c r="C427" t="s" s="0">
        <v>77</v>
      </c>
      <c r="D427" t="s" s="0">
        <v>77</v>
      </c>
      <c r="E427" t="s" s="0">
        <v>9994</v>
      </c>
      <c r="F427" t="s" s="0">
        <v>9995</v>
      </c>
      <c r="G427" t="s" s="0">
        <v>9996</v>
      </c>
      <c r="H427" t="s" s="0">
        <v>81</v>
      </c>
      <c r="I427" t="s" s="0">
        <v>82</v>
      </c>
      <c r="J427" t="s" s="0">
        <v>9997</v>
      </c>
      <c r="K427" t="s" s="0">
        <v>9998</v>
      </c>
      <c r="L427" t="s" s="0">
        <v>9999</v>
      </c>
      <c r="M427" t="s" s="0">
        <v>10000</v>
      </c>
      <c r="N427" t="s" s="0">
        <v>10001</v>
      </c>
      <c r="O427" t="s" s="0">
        <v>10002</v>
      </c>
      <c r="P427" t="s" s="0">
        <v>10003</v>
      </c>
      <c r="Q427" t="s" s="0">
        <v>90</v>
      </c>
      <c r="R427" t="s" s="0">
        <v>81</v>
      </c>
      <c r="S427" t="s" s="0">
        <v>81</v>
      </c>
      <c r="T427" t="s" s="0">
        <v>81</v>
      </c>
      <c r="U427" t="s" s="0">
        <v>81</v>
      </c>
      <c r="V427" t="s" s="0">
        <v>10004</v>
      </c>
      <c r="W427" t="s" s="0">
        <v>3455</v>
      </c>
      <c r="X427" t="s" s="0">
        <v>81</v>
      </c>
      <c r="Y427" t="s" s="0">
        <v>81</v>
      </c>
      <c r="Z427" t="s" s="0">
        <v>93</v>
      </c>
      <c r="AA427" t="s" s="0">
        <v>94</v>
      </c>
      <c r="AB427" t="s" s="0">
        <v>81</v>
      </c>
      <c r="AC427" t="s" s="0">
        <v>81</v>
      </c>
      <c r="AD427" t="s" s="0">
        <v>81</v>
      </c>
      <c r="AE427" t="s" s="0">
        <v>81</v>
      </c>
      <c r="AF427" t="s" s="0">
        <v>81</v>
      </c>
      <c r="AG427" t="s" s="0">
        <v>10005</v>
      </c>
      <c r="AH427" t="s" s="0">
        <v>81</v>
      </c>
      <c r="AI427" t="s" s="0">
        <v>10006</v>
      </c>
      <c r="AJ427" t="s" s="0">
        <v>81</v>
      </c>
      <c r="AK427" t="s" s="0">
        <v>81</v>
      </c>
      <c r="AL427" t="s" s="0">
        <v>304</v>
      </c>
      <c r="AM427" t="s" s="0">
        <v>253</v>
      </c>
      <c r="AN427" t="s" s="0">
        <v>253</v>
      </c>
      <c r="AO427" t="s" s="0">
        <v>130</v>
      </c>
      <c r="AP427" t="s" s="0">
        <v>160</v>
      </c>
      <c r="AQ427" t="s" s="0">
        <v>565</v>
      </c>
      <c r="AR427" t="s" s="0">
        <v>566</v>
      </c>
      <c r="AS427" t="s" s="0">
        <v>567</v>
      </c>
      <c r="AT427" t="s" s="0">
        <v>3460</v>
      </c>
      <c r="AU427" t="s" s="0">
        <v>3461</v>
      </c>
      <c r="AV427" t="s" s="0">
        <v>81</v>
      </c>
      <c r="AW427" t="s" s="0">
        <v>3462</v>
      </c>
      <c r="AX427" t="s" s="0">
        <v>3463</v>
      </c>
      <c r="AY427" t="s" s="0">
        <v>1880</v>
      </c>
      <c r="AZ427" t="s" s="0">
        <v>136</v>
      </c>
      <c r="BA427" t="s" s="0">
        <v>9106</v>
      </c>
      <c r="BB427" t="s" s="0">
        <v>81</v>
      </c>
      <c r="BC427" t="s" s="0">
        <v>81</v>
      </c>
      <c r="BD427" t="s" s="0">
        <v>81</v>
      </c>
      <c r="BE427" t="s" s="0">
        <v>81</v>
      </c>
      <c r="BF427" t="s" s="0">
        <v>81</v>
      </c>
      <c r="BG427" t="s" s="0">
        <v>81</v>
      </c>
      <c r="BH427" t="s" s="0">
        <v>81</v>
      </c>
      <c r="BI427" t="s" s="0">
        <v>10007</v>
      </c>
      <c r="BJ427" t="s" s="0">
        <v>10008</v>
      </c>
      <c r="BK427" t="s" s="850">
        <f>HYPERLINK("http://dx.doi.org/10.1016/j.ejrad.2025.112468","http://dx.doi.org/10.1016/j.ejrad.2025.112468")</f>
        <v>10009</v>
      </c>
      <c r="BL427" t="s" s="0">
        <v>81</v>
      </c>
      <c r="BM427" t="s" s="0">
        <v>3082</v>
      </c>
      <c r="BN427" t="s" s="0">
        <v>128</v>
      </c>
      <c r="BO427" t="s" s="0">
        <v>1881</v>
      </c>
      <c r="BP427" t="s" s="0">
        <v>1881</v>
      </c>
      <c r="BQ427" t="s" s="0">
        <v>10010</v>
      </c>
      <c r="BR427" t="s" s="0">
        <v>10011</v>
      </c>
      <c r="BS427" t="s" s="0">
        <v>10012</v>
      </c>
      <c r="BT427" t="s" s="851">
        <f>HYPERLINK("https://www.webofscience.com/wos/woscc/full-record/WOS:001599147400001","View Record in Web of Science")</f>
        <v>114</v>
      </c>
      <c r="BU427" t="s" s="0">
        <v>81</v>
      </c>
      <c r="BV427" t="s" s="0">
        <v>81</v>
      </c>
      <c r="BW427" t="s" s="0">
        <v>81</v>
      </c>
      <c r="BX427" t="s" s="0">
        <v>116</v>
      </c>
    </row>
    <row r="428">
      <c r="A428" t="s" s="0">
        <v>77</v>
      </c>
      <c r="B428" t="s" s="0">
        <v>77</v>
      </c>
      <c r="C428" t="s" s="0">
        <v>130</v>
      </c>
      <c r="D428" t="s" s="0">
        <v>77</v>
      </c>
      <c r="E428" t="s" s="0">
        <v>10013</v>
      </c>
      <c r="F428" t="s" s="0">
        <v>10014</v>
      </c>
      <c r="G428" t="s" s="0">
        <v>10015</v>
      </c>
      <c r="H428" t="s" s="0">
        <v>81</v>
      </c>
      <c r="I428" t="s" s="0">
        <v>82</v>
      </c>
      <c r="J428" t="s" s="0">
        <v>10016</v>
      </c>
      <c r="K428" t="s" s="0">
        <v>10017</v>
      </c>
      <c r="L428" t="s" s="0">
        <v>10018</v>
      </c>
      <c r="M428" t="s" s="0">
        <v>10019</v>
      </c>
      <c r="N428" t="s" s="0">
        <v>10020</v>
      </c>
      <c r="O428" t="s" s="0">
        <v>10021</v>
      </c>
      <c r="P428" t="s" s="0">
        <v>10022</v>
      </c>
      <c r="Q428" t="s" s="0">
        <v>90</v>
      </c>
      <c r="R428" t="s" s="0">
        <v>81</v>
      </c>
      <c r="S428" t="s" s="0">
        <v>81</v>
      </c>
      <c r="T428" t="s" s="0">
        <v>81</v>
      </c>
      <c r="U428" t="s" s="0">
        <v>81</v>
      </c>
      <c r="V428" t="s" s="0">
        <v>10023</v>
      </c>
      <c r="W428" t="s" s="0">
        <v>1510</v>
      </c>
      <c r="X428" t="s" s="0">
        <v>81</v>
      </c>
      <c r="Y428" t="s" s="0">
        <v>81</v>
      </c>
      <c r="Z428" t="s" s="0">
        <v>93</v>
      </c>
      <c r="AA428" t="s" s="0">
        <v>94</v>
      </c>
      <c r="AB428" t="s" s="0">
        <v>81</v>
      </c>
      <c r="AC428" t="s" s="0">
        <v>81</v>
      </c>
      <c r="AD428" t="s" s="0">
        <v>81</v>
      </c>
      <c r="AE428" t="s" s="0">
        <v>81</v>
      </c>
      <c r="AF428" t="s" s="0">
        <v>81</v>
      </c>
      <c r="AG428" t="s" s="0">
        <v>10024</v>
      </c>
      <c r="AH428" t="s" s="0">
        <v>10025</v>
      </c>
      <c r="AI428" t="s" s="0">
        <v>10026</v>
      </c>
      <c r="AJ428" t="s" s="0">
        <v>10027</v>
      </c>
      <c r="AK428" t="s" s="0">
        <v>81</v>
      </c>
      <c r="AL428" t="s" s="0">
        <v>1900</v>
      </c>
      <c r="AM428" t="s" s="0">
        <v>225</v>
      </c>
      <c r="AN428" t="s" s="0">
        <v>129</v>
      </c>
      <c r="AO428" t="s" s="0">
        <v>117</v>
      </c>
      <c r="AP428" t="s" s="0">
        <v>167</v>
      </c>
      <c r="AQ428" t="s" s="0">
        <v>476</v>
      </c>
      <c r="AR428" t="s" s="0">
        <v>477</v>
      </c>
      <c r="AS428" t="s" s="0">
        <v>478</v>
      </c>
      <c r="AT428" t="s" s="0">
        <v>81</v>
      </c>
      <c r="AU428" t="s" s="0">
        <v>1516</v>
      </c>
      <c r="AV428" t="s" s="0">
        <v>81</v>
      </c>
      <c r="AW428" t="s" s="0">
        <v>1510</v>
      </c>
      <c r="AX428" t="s" s="0">
        <v>1517</v>
      </c>
      <c r="AY428" t="s" s="0">
        <v>10028</v>
      </c>
      <c r="AZ428" t="s" s="0">
        <v>136</v>
      </c>
      <c r="BA428" t="s" s="0">
        <v>563</v>
      </c>
      <c r="BB428" t="s" s="0">
        <v>161</v>
      </c>
      <c r="BC428" t="s" s="0">
        <v>81</v>
      </c>
      <c r="BD428" t="s" s="0">
        <v>81</v>
      </c>
      <c r="BE428" t="s" s="0">
        <v>81</v>
      </c>
      <c r="BF428" t="s" s="0">
        <v>81</v>
      </c>
      <c r="BG428" t="s" s="0">
        <v>81</v>
      </c>
      <c r="BH428" t="s" s="0">
        <v>81</v>
      </c>
      <c r="BI428" t="s" s="0">
        <v>10029</v>
      </c>
      <c r="BJ428" t="s" s="0">
        <v>10030</v>
      </c>
      <c r="BK428" t="s" s="852">
        <f>HYPERLINK("http://dx.doi.org/10.3390/cancers17071249","http://dx.doi.org/10.3390/cancers17071249")</f>
        <v>10031</v>
      </c>
      <c r="BL428" t="s" s="0">
        <v>81</v>
      </c>
      <c r="BM428" t="s" s="0">
        <v>81</v>
      </c>
      <c r="BN428" t="s" s="0">
        <v>172</v>
      </c>
      <c r="BO428" t="s" s="0">
        <v>939</v>
      </c>
      <c r="BP428" t="s" s="0">
        <v>939</v>
      </c>
      <c r="BQ428" t="s" s="0">
        <v>10032</v>
      </c>
      <c r="BR428" t="s" s="0">
        <v>10033</v>
      </c>
      <c r="BS428" t="s" s="0">
        <v>10034</v>
      </c>
      <c r="BT428" t="s" s="853">
        <f>HYPERLINK("https://www.webofscience.com/wos/woscc/full-record/WOS:001464797300001","View Record in Web of Science")</f>
        <v>114</v>
      </c>
      <c r="BU428" t="s" s="0">
        <v>145</v>
      </c>
      <c r="BV428" t="s" s="0">
        <v>81</v>
      </c>
      <c r="BW428" t="s" s="0">
        <v>81</v>
      </c>
      <c r="BX428" t="s" s="0">
        <v>116</v>
      </c>
    </row>
    <row r="429">
      <c r="A429" t="s" s="0">
        <v>117</v>
      </c>
      <c r="B429" t="s" s="0">
        <v>77</v>
      </c>
      <c r="C429" t="s" s="0">
        <v>227</v>
      </c>
      <c r="D429" t="s" s="0">
        <v>77</v>
      </c>
      <c r="E429" t="s" s="0">
        <v>10035</v>
      </c>
      <c r="F429" t="s" s="0">
        <v>10036</v>
      </c>
      <c r="G429" t="s" s="0">
        <v>10037</v>
      </c>
      <c r="H429" t="s" s="0">
        <v>81</v>
      </c>
      <c r="I429" t="s" s="0">
        <v>82</v>
      </c>
      <c r="J429" t="s" s="0">
        <v>10038</v>
      </c>
      <c r="K429" t="s" s="0">
        <v>10039</v>
      </c>
      <c r="L429" t="s" s="0">
        <v>10040</v>
      </c>
      <c r="M429" t="s" s="0">
        <v>10041</v>
      </c>
      <c r="N429" t="s" s="0">
        <v>10042</v>
      </c>
      <c r="O429" t="s" s="0">
        <v>10043</v>
      </c>
      <c r="P429" t="s" s="0">
        <v>10044</v>
      </c>
      <c r="Q429" t="s" s="0">
        <v>90</v>
      </c>
      <c r="R429" t="s" s="0">
        <v>81</v>
      </c>
      <c r="S429" t="s" s="0">
        <v>81</v>
      </c>
      <c r="T429" t="s" s="0">
        <v>81</v>
      </c>
      <c r="U429" t="s" s="0">
        <v>81</v>
      </c>
      <c r="V429" t="s" s="0">
        <v>10045</v>
      </c>
      <c r="W429" t="s" s="0">
        <v>3730</v>
      </c>
      <c r="X429" t="s" s="0">
        <v>81</v>
      </c>
      <c r="Y429" t="s" s="0">
        <v>81</v>
      </c>
      <c r="Z429" t="s" s="0">
        <v>93</v>
      </c>
      <c r="AA429" t="s" s="0">
        <v>94</v>
      </c>
      <c r="AB429" t="s" s="0">
        <v>81</v>
      </c>
      <c r="AC429" t="s" s="0">
        <v>81</v>
      </c>
      <c r="AD429" t="s" s="0">
        <v>81</v>
      </c>
      <c r="AE429" t="s" s="0">
        <v>81</v>
      </c>
      <c r="AF429" t="s" s="0">
        <v>81</v>
      </c>
      <c r="AG429" t="s" s="0">
        <v>10046</v>
      </c>
      <c r="AH429" t="s" s="0">
        <v>10047</v>
      </c>
      <c r="AI429" t="s" s="0">
        <v>10048</v>
      </c>
      <c r="AJ429" t="s" s="0">
        <v>81</v>
      </c>
      <c r="AK429" t="s" s="0">
        <v>81</v>
      </c>
      <c r="AL429" t="s" s="0">
        <v>1067</v>
      </c>
      <c r="AM429" t="s" s="0">
        <v>129</v>
      </c>
      <c r="AN429" t="s" s="0">
        <v>204</v>
      </c>
      <c r="AO429" t="s" s="0">
        <v>117</v>
      </c>
      <c r="AP429" t="s" s="0">
        <v>337</v>
      </c>
      <c r="AQ429" t="s" s="0">
        <v>1818</v>
      </c>
      <c r="AR429" t="s" s="0">
        <v>1819</v>
      </c>
      <c r="AS429" t="s" s="0">
        <v>1820</v>
      </c>
      <c r="AT429" t="s" s="0">
        <v>3732</v>
      </c>
      <c r="AU429" t="s" s="0">
        <v>3733</v>
      </c>
      <c r="AV429" t="s" s="0">
        <v>81</v>
      </c>
      <c r="AW429" t="s" s="0">
        <v>3734</v>
      </c>
      <c r="AX429" t="s" s="0">
        <v>3735</v>
      </c>
      <c r="AY429" t="s" s="0">
        <v>578</v>
      </c>
      <c r="AZ429" t="s" s="0">
        <v>573</v>
      </c>
      <c r="BA429" t="s" s="0">
        <v>228</v>
      </c>
      <c r="BB429" t="s" s="0">
        <v>225</v>
      </c>
      <c r="BC429" t="s" s="0">
        <v>81</v>
      </c>
      <c r="BD429" t="s" s="0">
        <v>81</v>
      </c>
      <c r="BE429" t="s" s="0">
        <v>81</v>
      </c>
      <c r="BF429" t="s" s="0">
        <v>81</v>
      </c>
      <c r="BG429" t="s" s="0">
        <v>10049</v>
      </c>
      <c r="BH429" t="s" s="0">
        <v>10050</v>
      </c>
      <c r="BI429" t="s" s="0">
        <v>81</v>
      </c>
      <c r="BJ429" t="s" s="0">
        <v>10051</v>
      </c>
      <c r="BK429" t="s" s="854">
        <f>HYPERLINK("http://dx.doi.org/10.21037/qims-24-234","http://dx.doi.org/10.21037/qims-24-234")</f>
        <v>10052</v>
      </c>
      <c r="BL429" t="s" s="0">
        <v>81</v>
      </c>
      <c r="BM429" t="s" s="0">
        <v>81</v>
      </c>
      <c r="BN429" t="s" s="0">
        <v>172</v>
      </c>
      <c r="BO429" t="s" s="0">
        <v>1881</v>
      </c>
      <c r="BP429" t="s" s="0">
        <v>1881</v>
      </c>
      <c r="BQ429" t="s" s="0">
        <v>10053</v>
      </c>
      <c r="BR429" t="s" s="0">
        <v>10054</v>
      </c>
      <c r="BS429" t="s" s="0">
        <v>10055</v>
      </c>
      <c r="BT429" t="s" s="855">
        <f>HYPERLINK("https://www.webofscience.com/wos/woscc/full-record/WOS:001312968100020","View Record in Web of Science")</f>
        <v>114</v>
      </c>
      <c r="BU429" t="s" s="0">
        <v>145</v>
      </c>
      <c r="BV429" t="s" s="0">
        <v>81</v>
      </c>
      <c r="BW429" t="s" s="0">
        <v>81</v>
      </c>
      <c r="BX429" t="s" s="0">
        <v>116</v>
      </c>
    </row>
    <row r="430">
      <c r="A430" t="s" s="0">
        <v>117</v>
      </c>
      <c r="B430" t="s" s="0">
        <v>77</v>
      </c>
      <c r="C430" t="s" s="0">
        <v>129</v>
      </c>
      <c r="D430" t="s" s="0">
        <v>77</v>
      </c>
      <c r="E430" t="s" s="0">
        <v>10056</v>
      </c>
      <c r="F430" t="s" s="0">
        <v>10057</v>
      </c>
      <c r="G430" t="s" s="0">
        <v>10058</v>
      </c>
      <c r="H430" t="s" s="0">
        <v>81</v>
      </c>
      <c r="I430" t="s" s="0">
        <v>82</v>
      </c>
      <c r="J430" t="s" s="0">
        <v>10059</v>
      </c>
      <c r="K430" t="s" s="0">
        <v>10060</v>
      </c>
      <c r="L430" t="s" s="0">
        <v>10061</v>
      </c>
      <c r="M430" t="s" s="0">
        <v>10062</v>
      </c>
      <c r="N430" t="s" s="0">
        <v>10063</v>
      </c>
      <c r="O430" t="s" s="0">
        <v>10064</v>
      </c>
      <c r="P430" t="s" s="0">
        <v>10065</v>
      </c>
      <c r="Q430" t="s" s="0">
        <v>90</v>
      </c>
      <c r="R430" t="s" s="0">
        <v>81</v>
      </c>
      <c r="S430" t="s" s="0">
        <v>81</v>
      </c>
      <c r="T430" t="s" s="0">
        <v>81</v>
      </c>
      <c r="U430" t="s" s="0">
        <v>81</v>
      </c>
      <c r="V430" t="s" s="0">
        <v>10066</v>
      </c>
      <c r="W430" t="s" s="0">
        <v>3878</v>
      </c>
      <c r="X430" t="s" s="0">
        <v>81</v>
      </c>
      <c r="Y430" t="s" s="0">
        <v>81</v>
      </c>
      <c r="Z430" t="s" s="0">
        <v>93</v>
      </c>
      <c r="AA430" t="s" s="0">
        <v>94</v>
      </c>
      <c r="AB430" t="s" s="0">
        <v>81</v>
      </c>
      <c r="AC430" t="s" s="0">
        <v>81</v>
      </c>
      <c r="AD430" t="s" s="0">
        <v>81</v>
      </c>
      <c r="AE430" t="s" s="0">
        <v>81</v>
      </c>
      <c r="AF430" t="s" s="0">
        <v>81</v>
      </c>
      <c r="AG430" t="s" s="0">
        <v>10067</v>
      </c>
      <c r="AH430" t="s" s="0">
        <v>10068</v>
      </c>
      <c r="AI430" t="s" s="0">
        <v>10069</v>
      </c>
      <c r="AJ430" t="s" s="0">
        <v>10070</v>
      </c>
      <c r="AK430" t="s" s="0">
        <v>81</v>
      </c>
      <c r="AL430" t="s" s="0">
        <v>995</v>
      </c>
      <c r="AM430" t="s" s="0">
        <v>105</v>
      </c>
      <c r="AN430" t="s" s="0">
        <v>109</v>
      </c>
      <c r="AO430" t="s" s="0">
        <v>227</v>
      </c>
      <c r="AP430" t="s" s="0">
        <v>562</v>
      </c>
      <c r="AQ430" t="s" s="0">
        <v>370</v>
      </c>
      <c r="AR430" t="s" s="0">
        <v>1099</v>
      </c>
      <c r="AS430" t="s" s="0">
        <v>1873</v>
      </c>
      <c r="AT430" t="s" s="0">
        <v>3881</v>
      </c>
      <c r="AU430" t="s" s="0">
        <v>3882</v>
      </c>
      <c r="AV430" t="s" s="0">
        <v>81</v>
      </c>
      <c r="AW430" t="s" s="0">
        <v>3883</v>
      </c>
      <c r="AX430" t="s" s="0">
        <v>3884</v>
      </c>
      <c r="AY430" t="s" s="0">
        <v>2824</v>
      </c>
      <c r="AZ430" t="s" s="0">
        <v>1519</v>
      </c>
      <c r="BA430" t="s" s="0">
        <v>405</v>
      </c>
      <c r="BB430" t="s" s="0">
        <v>117</v>
      </c>
      <c r="BC430" t="s" s="0">
        <v>81</v>
      </c>
      <c r="BD430" t="s" s="0">
        <v>81</v>
      </c>
      <c r="BE430" t="s" s="0">
        <v>81</v>
      </c>
      <c r="BF430" t="s" s="0">
        <v>81</v>
      </c>
      <c r="BG430" t="s" s="0">
        <v>767</v>
      </c>
      <c r="BH430" t="s" s="0">
        <v>2550</v>
      </c>
      <c r="BI430" t="s" s="0">
        <v>81</v>
      </c>
      <c r="BJ430" t="s" s="0">
        <v>10071</v>
      </c>
      <c r="BK430" t="s" s="856">
        <f>HYPERLINK("http://dx.doi.org/10.1007/s00330-022-09031-8","http://dx.doi.org/10.1007/s00330-022-09031-8")</f>
        <v>10072</v>
      </c>
      <c r="BL430" t="s" s="0">
        <v>81</v>
      </c>
      <c r="BM430" t="s" s="0">
        <v>4563</v>
      </c>
      <c r="BN430" t="s" s="0">
        <v>226</v>
      </c>
      <c r="BO430" t="s" s="0">
        <v>1881</v>
      </c>
      <c r="BP430" t="s" s="0">
        <v>1881</v>
      </c>
      <c r="BQ430" t="s" s="0">
        <v>10073</v>
      </c>
      <c r="BR430" t="s" s="0">
        <v>10074</v>
      </c>
      <c r="BS430" t="s" s="0">
        <v>10075</v>
      </c>
      <c r="BT430" t="s" s="857">
        <f>HYPERLINK("https://www.webofscience.com/wos/woscc/full-record/WOS:000847165700004","View Record in Web of Science")</f>
        <v>114</v>
      </c>
      <c r="BU430" t="s" s="0">
        <v>81</v>
      </c>
      <c r="BV430" t="s" s="0">
        <v>81</v>
      </c>
      <c r="BW430" t="s" s="0">
        <v>81</v>
      </c>
      <c r="BX430" t="s" s="0">
        <v>116</v>
      </c>
    </row>
    <row r="431">
      <c r="A431" t="s" s="0">
        <v>77</v>
      </c>
      <c r="B431" t="s" s="0">
        <v>77</v>
      </c>
      <c r="C431" t="s" s="0">
        <v>77</v>
      </c>
      <c r="D431" t="s" s="0">
        <v>77</v>
      </c>
      <c r="E431" t="s" s="0">
        <v>10076</v>
      </c>
      <c r="F431" t="s" s="0">
        <v>10077</v>
      </c>
      <c r="G431" t="s" s="0">
        <v>10078</v>
      </c>
      <c r="H431" t="s" s="0">
        <v>81</v>
      </c>
      <c r="I431" t="s" s="0">
        <v>213</v>
      </c>
      <c r="J431" t="s" s="0">
        <v>10079</v>
      </c>
      <c r="K431" t="s" s="0">
        <v>10080</v>
      </c>
      <c r="L431" t="s" s="0">
        <v>81</v>
      </c>
      <c r="M431" t="s" s="0">
        <v>81</v>
      </c>
      <c r="N431" t="s" s="0">
        <v>81</v>
      </c>
      <c r="O431" t="s" s="0">
        <v>10081</v>
      </c>
      <c r="P431" t="s" s="0">
        <v>10082</v>
      </c>
      <c r="Q431" t="s" s="0">
        <v>90</v>
      </c>
      <c r="R431" t="s" s="0">
        <v>81</v>
      </c>
      <c r="S431" t="s" s="0">
        <v>81</v>
      </c>
      <c r="T431" t="s" s="0">
        <v>81</v>
      </c>
      <c r="U431" t="s" s="0">
        <v>81</v>
      </c>
      <c r="V431" t="s" s="0">
        <v>10083</v>
      </c>
      <c r="W431" t="s" s="0">
        <v>10084</v>
      </c>
      <c r="X431" t="s" s="0">
        <v>81</v>
      </c>
      <c r="Y431" t="s" s="0">
        <v>81</v>
      </c>
      <c r="Z431" t="s" s="0">
        <v>93</v>
      </c>
      <c r="AA431" t="s" s="0">
        <v>94</v>
      </c>
      <c r="AB431" t="s" s="0">
        <v>81</v>
      </c>
      <c r="AC431" t="s" s="0">
        <v>81</v>
      </c>
      <c r="AD431" t="s" s="0">
        <v>81</v>
      </c>
      <c r="AE431" t="s" s="0">
        <v>81</v>
      </c>
      <c r="AF431" t="s" s="0">
        <v>81</v>
      </c>
      <c r="AG431" t="s" s="0">
        <v>10085</v>
      </c>
      <c r="AH431" t="s" s="0">
        <v>10086</v>
      </c>
      <c r="AI431" t="s" s="0">
        <v>10087</v>
      </c>
      <c r="AJ431" t="s" s="0">
        <v>81</v>
      </c>
      <c r="AK431" t="s" s="0">
        <v>81</v>
      </c>
      <c r="AL431" t="s" s="0">
        <v>10088</v>
      </c>
      <c r="AM431" t="s" s="0">
        <v>77</v>
      </c>
      <c r="AN431" t="s" s="0">
        <v>77</v>
      </c>
      <c r="AO431" t="s" s="0">
        <v>77</v>
      </c>
      <c r="AP431" t="s" s="0">
        <v>77</v>
      </c>
      <c r="AQ431" t="s" s="0">
        <v>10089</v>
      </c>
      <c r="AR431" t="s" s="0">
        <v>10090</v>
      </c>
      <c r="AS431" t="s" s="0">
        <v>10091</v>
      </c>
      <c r="AT431" t="s" s="0">
        <v>81</v>
      </c>
      <c r="AU431" t="s" s="0">
        <v>10092</v>
      </c>
      <c r="AV431" t="s" s="0">
        <v>81</v>
      </c>
      <c r="AW431" t="s" s="0">
        <v>10093</v>
      </c>
      <c r="AX431" t="s" s="0">
        <v>10094</v>
      </c>
      <c r="AY431" t="s" s="0">
        <v>10095</v>
      </c>
      <c r="AZ431" t="s" s="0">
        <v>104</v>
      </c>
      <c r="BA431" t="s" s="0">
        <v>228</v>
      </c>
      <c r="BB431" t="s" s="0">
        <v>130</v>
      </c>
      <c r="BC431" t="s" s="0">
        <v>81</v>
      </c>
      <c r="BD431" t="s" s="0">
        <v>81</v>
      </c>
      <c r="BE431" t="s" s="0">
        <v>81</v>
      </c>
      <c r="BF431" t="s" s="0">
        <v>81</v>
      </c>
      <c r="BG431" t="s" s="0">
        <v>10096</v>
      </c>
      <c r="BH431" t="s" s="0">
        <v>10097</v>
      </c>
      <c r="BI431" t="s" s="0">
        <v>81</v>
      </c>
      <c r="BJ431" t="s" s="0">
        <v>10098</v>
      </c>
      <c r="BK431" t="s" s="858">
        <f>HYPERLINK("http://dx.doi.org/10.36306/konjes.1716813","http://dx.doi.org/10.36306/konjes.1716813")</f>
        <v>10099</v>
      </c>
      <c r="BL431" t="s" s="0">
        <v>81</v>
      </c>
      <c r="BM431" t="s" s="0">
        <v>81</v>
      </c>
      <c r="BN431" t="s" s="0">
        <v>1097</v>
      </c>
      <c r="BO431" t="s" s="0">
        <v>3842</v>
      </c>
      <c r="BP431" t="s" s="0">
        <v>239</v>
      </c>
      <c r="BQ431" t="s" s="0">
        <v>10100</v>
      </c>
      <c r="BR431" t="s" s="0">
        <v>81</v>
      </c>
      <c r="BS431" t="s" s="0">
        <v>10101</v>
      </c>
      <c r="BT431" t="s" s="859">
        <f>HYPERLINK("https://www.webofscience.com/wos/woscc/full-record/WOS:001805107900002","View Record in Web of Science")</f>
        <v>114</v>
      </c>
      <c r="BU431" t="s" s="0">
        <v>115</v>
      </c>
      <c r="BV431" t="s" s="0">
        <v>81</v>
      </c>
      <c r="BW431" t="s" s="0">
        <v>81</v>
      </c>
      <c r="BX431" t="s" s="0">
        <v>116</v>
      </c>
    </row>
    <row r="432">
      <c r="A432" t="s" s="0">
        <v>77</v>
      </c>
      <c r="B432" t="s" s="0">
        <v>77</v>
      </c>
      <c r="C432" t="s" s="0">
        <v>225</v>
      </c>
      <c r="D432" t="s" s="0">
        <v>77</v>
      </c>
      <c r="E432" t="s" s="0">
        <v>10102</v>
      </c>
      <c r="F432" t="s" s="0">
        <v>10103</v>
      </c>
      <c r="G432" t="s" s="0">
        <v>10104</v>
      </c>
      <c r="H432" t="s" s="0">
        <v>81</v>
      </c>
      <c r="I432" t="s" s="0">
        <v>82</v>
      </c>
      <c r="J432" t="s" s="0">
        <v>10105</v>
      </c>
      <c r="K432" t="s" s="0">
        <v>10106</v>
      </c>
      <c r="L432" t="s" s="0">
        <v>10107</v>
      </c>
      <c r="M432" t="s" s="0">
        <v>10108</v>
      </c>
      <c r="N432" t="s" s="0">
        <v>10109</v>
      </c>
      <c r="O432" t="s" s="0">
        <v>10110</v>
      </c>
      <c r="P432" t="s" s="0">
        <v>10111</v>
      </c>
      <c r="Q432" t="s" s="0">
        <v>90</v>
      </c>
      <c r="R432" t="s" s="0">
        <v>81</v>
      </c>
      <c r="S432" t="s" s="0">
        <v>81</v>
      </c>
      <c r="T432" t="s" s="0">
        <v>81</v>
      </c>
      <c r="U432" t="s" s="0">
        <v>81</v>
      </c>
      <c r="V432" t="s" s="0">
        <v>10112</v>
      </c>
      <c r="W432" t="s" s="0">
        <v>1484</v>
      </c>
      <c r="X432" t="s" s="0">
        <v>81</v>
      </c>
      <c r="Y432" t="s" s="0">
        <v>81</v>
      </c>
      <c r="Z432" t="s" s="0">
        <v>93</v>
      </c>
      <c r="AA432" t="s" s="0">
        <v>94</v>
      </c>
      <c r="AB432" t="s" s="0">
        <v>81</v>
      </c>
      <c r="AC432" t="s" s="0">
        <v>81</v>
      </c>
      <c r="AD432" t="s" s="0">
        <v>81</v>
      </c>
      <c r="AE432" t="s" s="0">
        <v>81</v>
      </c>
      <c r="AF432" t="s" s="0">
        <v>81</v>
      </c>
      <c r="AG432" t="s" s="0">
        <v>10113</v>
      </c>
      <c r="AH432" t="s" s="0">
        <v>10114</v>
      </c>
      <c r="AI432" t="s" s="0">
        <v>10115</v>
      </c>
      <c r="AJ432" t="s" s="0">
        <v>10116</v>
      </c>
      <c r="AK432" t="s" s="0">
        <v>81</v>
      </c>
      <c r="AL432" t="s" s="0">
        <v>368</v>
      </c>
      <c r="AM432" t="s" s="0">
        <v>563</v>
      </c>
      <c r="AN432" t="s" s="0">
        <v>345</v>
      </c>
      <c r="AO432" t="s" s="0">
        <v>117</v>
      </c>
      <c r="AP432" t="s" s="0">
        <v>318</v>
      </c>
      <c r="AQ432" t="s" s="0">
        <v>476</v>
      </c>
      <c r="AR432" t="s" s="0">
        <v>477</v>
      </c>
      <c r="AS432" t="s" s="0">
        <v>3857</v>
      </c>
      <c r="AT432" t="s" s="0">
        <v>81</v>
      </c>
      <c r="AU432" t="s" s="0">
        <v>1488</v>
      </c>
      <c r="AV432" t="s" s="0">
        <v>81</v>
      </c>
      <c r="AW432" t="s" s="0">
        <v>1489</v>
      </c>
      <c r="AX432" t="s" s="0">
        <v>1490</v>
      </c>
      <c r="AY432" t="s" s="0">
        <v>3191</v>
      </c>
      <c r="AZ432" t="s" s="0">
        <v>573</v>
      </c>
      <c r="BA432" t="s" s="0">
        <v>228</v>
      </c>
      <c r="BB432" t="s" s="0">
        <v>128</v>
      </c>
      <c r="BC432" t="s" s="0">
        <v>81</v>
      </c>
      <c r="BD432" t="s" s="0">
        <v>81</v>
      </c>
      <c r="BE432" t="s" s="0">
        <v>81</v>
      </c>
      <c r="BF432" t="s" s="0">
        <v>81</v>
      </c>
      <c r="BG432" t="s" s="0">
        <v>81</v>
      </c>
      <c r="BH432" t="s" s="0">
        <v>81</v>
      </c>
      <c r="BI432" t="s" s="0">
        <v>10117</v>
      </c>
      <c r="BJ432" t="s" s="0">
        <v>10118</v>
      </c>
      <c r="BK432" t="s" s="860">
        <f>HYPERLINK("http://dx.doi.org/10.3390/app14093883","http://dx.doi.org/10.3390/app14093883")</f>
        <v>10119</v>
      </c>
      <c r="BL432" t="s" s="0">
        <v>81</v>
      </c>
      <c r="BM432" t="s" s="0">
        <v>81</v>
      </c>
      <c r="BN432" t="s" s="0">
        <v>541</v>
      </c>
      <c r="BO432" t="s" s="0">
        <v>1495</v>
      </c>
      <c r="BP432" t="s" s="0">
        <v>1496</v>
      </c>
      <c r="BQ432" t="s" s="0">
        <v>10120</v>
      </c>
      <c r="BR432" t="s" s="0">
        <v>81</v>
      </c>
      <c r="BS432" t="s" s="0">
        <v>10121</v>
      </c>
      <c r="BT432" t="s" s="861">
        <f>HYPERLINK("https://www.webofscience.com/wos/woscc/full-record/WOS:001219998000001","View Record in Web of Science")</f>
        <v>114</v>
      </c>
      <c r="BU432" t="s" s="0">
        <v>145</v>
      </c>
      <c r="BV432" t="s" s="0">
        <v>81</v>
      </c>
      <c r="BW432" t="s" s="0">
        <v>81</v>
      </c>
      <c r="BX432" t="s" s="0">
        <v>116</v>
      </c>
    </row>
    <row r="433">
      <c r="A433" t="s" s="0">
        <v>117</v>
      </c>
      <c r="B433" t="s" s="0">
        <v>77</v>
      </c>
      <c r="C433" t="s" s="0">
        <v>258</v>
      </c>
      <c r="D433" t="s" s="0">
        <v>77</v>
      </c>
      <c r="E433" t="s" s="0">
        <v>10122</v>
      </c>
      <c r="F433" t="s" s="0">
        <v>10123</v>
      </c>
      <c r="G433" t="s" s="0">
        <v>10124</v>
      </c>
      <c r="H433" t="s" s="0">
        <v>81</v>
      </c>
      <c r="I433" t="s" s="0">
        <v>82</v>
      </c>
      <c r="J433" t="s" s="0">
        <v>10125</v>
      </c>
      <c r="K433" t="s" s="0">
        <v>10126</v>
      </c>
      <c r="L433" t="s" s="0">
        <v>10127</v>
      </c>
      <c r="M433" t="s" s="0">
        <v>10128</v>
      </c>
      <c r="N433" t="s" s="0">
        <v>10129</v>
      </c>
      <c r="O433" t="s" s="0">
        <v>10130</v>
      </c>
      <c r="P433" t="s" s="0">
        <v>10131</v>
      </c>
      <c r="Q433" t="s" s="0">
        <v>90</v>
      </c>
      <c r="R433" t="s" s="0">
        <v>81</v>
      </c>
      <c r="S433" t="s" s="0">
        <v>81</v>
      </c>
      <c r="T433" t="s" s="0">
        <v>81</v>
      </c>
      <c r="U433" t="s" s="0">
        <v>81</v>
      </c>
      <c r="V433" t="s" s="0">
        <v>10132</v>
      </c>
      <c r="W433" t="s" s="0">
        <v>271</v>
      </c>
      <c r="X433" t="s" s="0">
        <v>81</v>
      </c>
      <c r="Y433" t="s" s="0">
        <v>81</v>
      </c>
      <c r="Z433" t="s" s="0">
        <v>93</v>
      </c>
      <c r="AA433" t="s" s="0">
        <v>94</v>
      </c>
      <c r="AB433" t="s" s="0">
        <v>81</v>
      </c>
      <c r="AC433" t="s" s="0">
        <v>81</v>
      </c>
      <c r="AD433" t="s" s="0">
        <v>81</v>
      </c>
      <c r="AE433" t="s" s="0">
        <v>81</v>
      </c>
      <c r="AF433" t="s" s="0">
        <v>81</v>
      </c>
      <c r="AG433" t="s" s="0">
        <v>81</v>
      </c>
      <c r="AH433" t="s" s="0">
        <v>10133</v>
      </c>
      <c r="AI433" t="s" s="0">
        <v>81</v>
      </c>
      <c r="AJ433" t="s" s="0">
        <v>81</v>
      </c>
      <c r="AK433" t="s" s="0">
        <v>81</v>
      </c>
      <c r="AL433" t="s" s="0">
        <v>1487</v>
      </c>
      <c r="AM433" t="s" s="0">
        <v>1097</v>
      </c>
      <c r="AN433" t="s" s="0">
        <v>1900</v>
      </c>
      <c r="AO433" t="s" s="0">
        <v>117</v>
      </c>
      <c r="AP433" t="s" s="0">
        <v>193</v>
      </c>
      <c r="AQ433" t="s" s="0">
        <v>274</v>
      </c>
      <c r="AR433" t="s" s="0">
        <v>275</v>
      </c>
      <c r="AS433" t="s" s="0">
        <v>276</v>
      </c>
      <c r="AT433" t="s" s="0">
        <v>277</v>
      </c>
      <c r="AU433" t="s" s="0">
        <v>81</v>
      </c>
      <c r="AV433" t="s" s="0">
        <v>81</v>
      </c>
      <c r="AW433" t="s" s="0">
        <v>278</v>
      </c>
      <c r="AX433" t="s" s="0">
        <v>279</v>
      </c>
      <c r="AY433" t="s" s="0">
        <v>10134</v>
      </c>
      <c r="AZ433" t="s" s="0">
        <v>482</v>
      </c>
      <c r="BA433" t="s" s="0">
        <v>226</v>
      </c>
      <c r="BB433" t="s" s="0">
        <v>117</v>
      </c>
      <c r="BC433" t="s" s="0">
        <v>81</v>
      </c>
      <c r="BD433" t="s" s="0">
        <v>81</v>
      </c>
      <c r="BE433" t="s" s="0">
        <v>81</v>
      </c>
      <c r="BF433" t="s" s="0">
        <v>81</v>
      </c>
      <c r="BG433" t="s" s="0">
        <v>81</v>
      </c>
      <c r="BH433" t="s" s="0">
        <v>81</v>
      </c>
      <c r="BI433" t="s" s="0">
        <v>10135</v>
      </c>
      <c r="BJ433" t="s" s="0">
        <v>10136</v>
      </c>
      <c r="BK433" t="s" s="862">
        <f>HYPERLINK("http://dx.doi.org/10.1038/s41598-022-04773-3","http://dx.doi.org/10.1038/s41598-022-04773-3")</f>
        <v>10137</v>
      </c>
      <c r="BL433" t="s" s="0">
        <v>81</v>
      </c>
      <c r="BM433" t="s" s="0">
        <v>81</v>
      </c>
      <c r="BN433" t="s" s="0">
        <v>204</v>
      </c>
      <c r="BO433" t="s" s="0">
        <v>285</v>
      </c>
      <c r="BP433" t="s" s="0">
        <v>286</v>
      </c>
      <c r="BQ433" t="s" s="0">
        <v>10138</v>
      </c>
      <c r="BR433" t="s" s="0">
        <v>10139</v>
      </c>
      <c r="BS433" t="s" s="0">
        <v>10140</v>
      </c>
      <c r="BT433" t="s" s="863">
        <f>HYPERLINK("https://www.webofscience.com/wos/woscc/full-record/WOS:000743649400062","View Record in Web of Science")</f>
        <v>114</v>
      </c>
      <c r="BU433" t="s" s="0">
        <v>145</v>
      </c>
      <c r="BV433" t="s" s="0">
        <v>81</v>
      </c>
      <c r="BW433" t="s" s="0">
        <v>81</v>
      </c>
      <c r="BX433" t="s" s="0">
        <v>116</v>
      </c>
    </row>
    <row r="434">
      <c r="A434" t="s" s="0">
        <v>77</v>
      </c>
      <c r="B434" t="s" s="0">
        <v>77</v>
      </c>
      <c r="C434" t="s" s="0">
        <v>77</v>
      </c>
      <c r="D434" t="s" s="0">
        <v>77</v>
      </c>
      <c r="E434" t="s" s="0">
        <v>10141</v>
      </c>
      <c r="F434" t="s" s="0">
        <v>10142</v>
      </c>
      <c r="G434" t="s" s="0">
        <v>10143</v>
      </c>
      <c r="H434" t="s" s="0">
        <v>81</v>
      </c>
      <c r="I434" t="s" s="0">
        <v>213</v>
      </c>
      <c r="J434" t="s" s="0">
        <v>10144</v>
      </c>
      <c r="K434" t="s" s="0">
        <v>10145</v>
      </c>
      <c r="L434" t="s" s="0">
        <v>10146</v>
      </c>
      <c r="M434" t="s" s="0">
        <v>10147</v>
      </c>
      <c r="N434" t="s" s="0">
        <v>10148</v>
      </c>
      <c r="O434" t="s" s="0">
        <v>10149</v>
      </c>
      <c r="P434" t="s" s="0">
        <v>10150</v>
      </c>
      <c r="Q434" t="s" s="0">
        <v>90</v>
      </c>
      <c r="R434" t="s" s="0">
        <v>81</v>
      </c>
      <c r="S434" t="s" s="0">
        <v>81</v>
      </c>
      <c r="T434" t="s" s="0">
        <v>81</v>
      </c>
      <c r="U434" t="s" s="0">
        <v>81</v>
      </c>
      <c r="V434" t="s" s="0">
        <v>10151</v>
      </c>
      <c r="W434" t="s" s="0">
        <v>2413</v>
      </c>
      <c r="X434" t="s" s="0">
        <v>81</v>
      </c>
      <c r="Y434" t="s" s="0">
        <v>81</v>
      </c>
      <c r="Z434" t="s" s="0">
        <v>93</v>
      </c>
      <c r="AA434" t="s" s="0">
        <v>94</v>
      </c>
      <c r="AB434" t="s" s="0">
        <v>81</v>
      </c>
      <c r="AC434" t="s" s="0">
        <v>81</v>
      </c>
      <c r="AD434" t="s" s="0">
        <v>81</v>
      </c>
      <c r="AE434" t="s" s="0">
        <v>81</v>
      </c>
      <c r="AF434" t="s" s="0">
        <v>81</v>
      </c>
      <c r="AG434" t="s" s="0">
        <v>10152</v>
      </c>
      <c r="AH434" t="s" s="0">
        <v>10153</v>
      </c>
      <c r="AI434" t="s" s="0">
        <v>81</v>
      </c>
      <c r="AJ434" t="s" s="0">
        <v>81</v>
      </c>
      <c r="AK434" t="s" s="0">
        <v>81</v>
      </c>
      <c r="AL434" t="s" s="0">
        <v>907</v>
      </c>
      <c r="AM434" t="s" s="0">
        <v>77</v>
      </c>
      <c r="AN434" t="s" s="0">
        <v>77</v>
      </c>
      <c r="AO434" t="s" s="0">
        <v>77</v>
      </c>
      <c r="AP434" t="s" s="0">
        <v>227</v>
      </c>
      <c r="AQ434" t="s" s="0">
        <v>97</v>
      </c>
      <c r="AR434" t="s" s="0">
        <v>98</v>
      </c>
      <c r="AS434" t="s" s="0">
        <v>99</v>
      </c>
      <c r="AT434" t="s" s="0">
        <v>81</v>
      </c>
      <c r="AU434" t="s" s="0">
        <v>2416</v>
      </c>
      <c r="AV434" t="s" s="0">
        <v>81</v>
      </c>
      <c r="AW434" t="s" s="0">
        <v>2417</v>
      </c>
      <c r="AX434" t="s" s="0">
        <v>2418</v>
      </c>
      <c r="AY434" t="s" s="0">
        <v>5203</v>
      </c>
      <c r="AZ434" t="s" s="0">
        <v>136</v>
      </c>
      <c r="BA434" t="s" s="0">
        <v>225</v>
      </c>
      <c r="BB434" t="s" s="0">
        <v>81</v>
      </c>
      <c r="BC434" t="s" s="0">
        <v>81</v>
      </c>
      <c r="BD434" t="s" s="0">
        <v>81</v>
      </c>
      <c r="BE434" t="s" s="0">
        <v>81</v>
      </c>
      <c r="BF434" t="s" s="0">
        <v>81</v>
      </c>
      <c r="BG434" t="s" s="0">
        <v>81</v>
      </c>
      <c r="BH434" t="s" s="0">
        <v>81</v>
      </c>
      <c r="BI434" t="s" s="0">
        <v>10154</v>
      </c>
      <c r="BJ434" t="s" s="0">
        <v>10155</v>
      </c>
      <c r="BK434" t="s" s="864">
        <f>HYPERLINK("http://dx.doi.org/10.3389/frai.2025.1731062","http://dx.doi.org/10.3389/frai.2025.1731062")</f>
        <v>10156</v>
      </c>
      <c r="BL434" t="s" s="0">
        <v>81</v>
      </c>
      <c r="BM434" t="s" s="0">
        <v>81</v>
      </c>
      <c r="BN434" t="s" s="0">
        <v>258</v>
      </c>
      <c r="BO434" t="s" s="0">
        <v>2422</v>
      </c>
      <c r="BP434" t="s" s="0">
        <v>420</v>
      </c>
      <c r="BQ434" t="s" s="0">
        <v>10157</v>
      </c>
      <c r="BR434" t="s" s="0">
        <v>10158</v>
      </c>
      <c r="BS434" t="s" s="0">
        <v>10159</v>
      </c>
      <c r="BT434" t="s" s="865">
        <f>HYPERLINK("https://www.webofscience.com/wos/woscc/full-record/WOS:001651595900001","View Record in Web of Science")</f>
        <v>114</v>
      </c>
      <c r="BU434" t="s" s="0">
        <v>145</v>
      </c>
      <c r="BV434" t="s" s="0">
        <v>81</v>
      </c>
      <c r="BW434" t="s" s="0">
        <v>81</v>
      </c>
      <c r="BX434" t="s" s="0">
        <v>116</v>
      </c>
    </row>
    <row r="435">
      <c r="A435" t="s" s="0">
        <v>77</v>
      </c>
      <c r="B435" t="s" s="0">
        <v>77</v>
      </c>
      <c r="C435" t="s" s="0">
        <v>130</v>
      </c>
      <c r="D435" t="s" s="0">
        <v>77</v>
      </c>
      <c r="E435" t="s" s="0">
        <v>10160</v>
      </c>
      <c r="F435" t="s" s="0">
        <v>10161</v>
      </c>
      <c r="G435" t="s" s="0">
        <v>10162</v>
      </c>
      <c r="H435" t="s" s="0">
        <v>81</v>
      </c>
      <c r="I435" t="s" s="0">
        <v>213</v>
      </c>
      <c r="J435" t="s" s="0">
        <v>10163</v>
      </c>
      <c r="K435" t="s" s="0">
        <v>10164</v>
      </c>
      <c r="L435" t="s" s="0">
        <v>10165</v>
      </c>
      <c r="M435" t="s" s="0">
        <v>10166</v>
      </c>
      <c r="N435" t="s" s="0">
        <v>10167</v>
      </c>
      <c r="O435" t="s" s="0">
        <v>10168</v>
      </c>
      <c r="P435" t="s" s="0">
        <v>10169</v>
      </c>
      <c r="Q435" t="s" s="0">
        <v>90</v>
      </c>
      <c r="R435" t="s" s="0">
        <v>81</v>
      </c>
      <c r="S435" t="s" s="0">
        <v>81</v>
      </c>
      <c r="T435" t="s" s="0">
        <v>81</v>
      </c>
      <c r="U435" t="s" s="0">
        <v>81</v>
      </c>
      <c r="V435" t="s" s="0">
        <v>10170</v>
      </c>
      <c r="W435" t="s" s="0">
        <v>928</v>
      </c>
      <c r="X435" t="s" s="0">
        <v>81</v>
      </c>
      <c r="Y435" t="s" s="0">
        <v>81</v>
      </c>
      <c r="Z435" t="s" s="0">
        <v>93</v>
      </c>
      <c r="AA435" t="s" s="0">
        <v>94</v>
      </c>
      <c r="AB435" t="s" s="0">
        <v>81</v>
      </c>
      <c r="AC435" t="s" s="0">
        <v>81</v>
      </c>
      <c r="AD435" t="s" s="0">
        <v>81</v>
      </c>
      <c r="AE435" t="s" s="0">
        <v>81</v>
      </c>
      <c r="AF435" t="s" s="0">
        <v>81</v>
      </c>
      <c r="AG435" t="s" s="0">
        <v>81</v>
      </c>
      <c r="AH435" t="s" s="0">
        <v>10171</v>
      </c>
      <c r="AI435" t="s" s="0">
        <v>7824</v>
      </c>
      <c r="AJ435" t="s" s="0">
        <v>10172</v>
      </c>
      <c r="AK435" t="s" s="0">
        <v>81</v>
      </c>
      <c r="AL435" t="s" s="0">
        <v>224</v>
      </c>
      <c r="AM435" t="s" s="0">
        <v>131</v>
      </c>
      <c r="AN435" t="s" s="0">
        <v>161</v>
      </c>
      <c r="AO435" t="s" s="0">
        <v>77</v>
      </c>
      <c r="AP435" t="s" s="0">
        <v>117</v>
      </c>
      <c r="AQ435" t="s" s="0">
        <v>930</v>
      </c>
      <c r="AR435" t="s" s="0">
        <v>931</v>
      </c>
      <c r="AS435" t="s" s="0">
        <v>932</v>
      </c>
      <c r="AT435" t="s" s="0">
        <v>933</v>
      </c>
      <c r="AU435" t="s" s="0">
        <v>81</v>
      </c>
      <c r="AV435" t="s" s="0">
        <v>81</v>
      </c>
      <c r="AW435" t="s" s="0">
        <v>934</v>
      </c>
      <c r="AX435" t="s" s="0">
        <v>935</v>
      </c>
      <c r="AY435" t="s" s="0">
        <v>636</v>
      </c>
      <c r="AZ435" t="s" s="0">
        <v>136</v>
      </c>
      <c r="BA435" t="s" s="0">
        <v>128</v>
      </c>
      <c r="BB435" t="s" s="0">
        <v>81</v>
      </c>
      <c r="BC435" t="s" s="0">
        <v>81</v>
      </c>
      <c r="BD435" t="s" s="0">
        <v>81</v>
      </c>
      <c r="BE435" t="s" s="0">
        <v>81</v>
      </c>
      <c r="BF435" t="s" s="0">
        <v>81</v>
      </c>
      <c r="BG435" t="s" s="0">
        <v>81</v>
      </c>
      <c r="BH435" t="s" s="0">
        <v>81</v>
      </c>
      <c r="BI435" t="s" s="0">
        <v>10173</v>
      </c>
      <c r="BJ435" t="s" s="0">
        <v>10174</v>
      </c>
      <c r="BK435" t="s" s="866">
        <f>HYPERLINK("http://dx.doi.org/10.1200/CCI-24-00284","http://dx.doi.org/10.1200/CCI-24-00284")</f>
        <v>10175</v>
      </c>
      <c r="BL435" t="s" s="0">
        <v>81</v>
      </c>
      <c r="BM435" t="s" s="0">
        <v>81</v>
      </c>
      <c r="BN435" t="s" s="0">
        <v>167</v>
      </c>
      <c r="BO435" t="s" s="0">
        <v>939</v>
      </c>
      <c r="BP435" t="s" s="0">
        <v>939</v>
      </c>
      <c r="BQ435" t="s" s="0">
        <v>10176</v>
      </c>
      <c r="BR435" t="s" s="0">
        <v>10177</v>
      </c>
      <c r="BS435" t="s" s="0">
        <v>10178</v>
      </c>
      <c r="BT435" t="s" s="867">
        <f>HYPERLINK("https://www.webofscience.com/wos/woscc/full-record/WOS:001707922600001","View Record in Web of Science")</f>
        <v>114</v>
      </c>
      <c r="BU435" t="s" s="0">
        <v>457</v>
      </c>
      <c r="BV435" t="s" s="0">
        <v>81</v>
      </c>
      <c r="BW435" t="s" s="0">
        <v>81</v>
      </c>
      <c r="BX435" t="s" s="0">
        <v>116</v>
      </c>
    </row>
    <row r="436">
      <c r="A436" t="s" s="0">
        <v>77</v>
      </c>
      <c r="B436" t="s" s="0">
        <v>77</v>
      </c>
      <c r="C436" t="s" s="0">
        <v>77</v>
      </c>
      <c r="D436" t="s" s="0">
        <v>77</v>
      </c>
      <c r="E436" t="s" s="0">
        <v>10179</v>
      </c>
      <c r="F436" t="s" s="0">
        <v>10180</v>
      </c>
      <c r="G436" t="s" s="0">
        <v>10181</v>
      </c>
      <c r="H436" t="s" s="0">
        <v>81</v>
      </c>
      <c r="I436" t="s" s="0">
        <v>82</v>
      </c>
      <c r="J436" t="s" s="0">
        <v>10182</v>
      </c>
      <c r="K436" t="s" s="0">
        <v>10183</v>
      </c>
      <c r="L436" t="s" s="0">
        <v>10184</v>
      </c>
      <c r="M436" t="s" s="0">
        <v>10185</v>
      </c>
      <c r="N436" t="s" s="0">
        <v>10186</v>
      </c>
      <c r="O436" t="s" s="0">
        <v>10187</v>
      </c>
      <c r="P436" t="s" s="0">
        <v>10188</v>
      </c>
      <c r="Q436" t="s" s="0">
        <v>90</v>
      </c>
      <c r="R436" t="s" s="0">
        <v>81</v>
      </c>
      <c r="S436" t="s" s="0">
        <v>81</v>
      </c>
      <c r="T436" t="s" s="0">
        <v>81</v>
      </c>
      <c r="U436" t="s" s="0">
        <v>81</v>
      </c>
      <c r="V436" t="s" s="0">
        <v>10189</v>
      </c>
      <c r="W436" t="s" s="0">
        <v>10190</v>
      </c>
      <c r="X436" t="s" s="0">
        <v>81</v>
      </c>
      <c r="Y436" t="s" s="0">
        <v>81</v>
      </c>
      <c r="Z436" t="s" s="0">
        <v>93</v>
      </c>
      <c r="AA436" t="s" s="0">
        <v>94</v>
      </c>
      <c r="AB436" t="s" s="0">
        <v>81</v>
      </c>
      <c r="AC436" t="s" s="0">
        <v>81</v>
      </c>
      <c r="AD436" t="s" s="0">
        <v>81</v>
      </c>
      <c r="AE436" t="s" s="0">
        <v>81</v>
      </c>
      <c r="AF436" t="s" s="0">
        <v>81</v>
      </c>
      <c r="AG436" t="s" s="0">
        <v>10191</v>
      </c>
      <c r="AH436" t="s" s="0">
        <v>10192</v>
      </c>
      <c r="AI436" t="s" s="0">
        <v>10193</v>
      </c>
      <c r="AJ436" t="s" s="0">
        <v>10194</v>
      </c>
      <c r="AK436" t="s" s="0">
        <v>81</v>
      </c>
      <c r="AL436" t="s" s="0">
        <v>237</v>
      </c>
      <c r="AM436" t="s" s="0">
        <v>77</v>
      </c>
      <c r="AN436" t="s" s="0">
        <v>77</v>
      </c>
      <c r="AO436" t="s" s="0">
        <v>77</v>
      </c>
      <c r="AP436" t="s" s="0">
        <v>160</v>
      </c>
      <c r="AQ436" t="s" s="0">
        <v>10195</v>
      </c>
      <c r="AR436" t="s" s="0">
        <v>10196</v>
      </c>
      <c r="AS436" t="s" s="0">
        <v>10197</v>
      </c>
      <c r="AT436" t="s" s="0">
        <v>10198</v>
      </c>
      <c r="AU436" t="s" s="0">
        <v>10199</v>
      </c>
      <c r="AV436" t="s" s="0">
        <v>81</v>
      </c>
      <c r="AW436" t="s" s="0">
        <v>10200</v>
      </c>
      <c r="AX436" t="s" s="0">
        <v>10201</v>
      </c>
      <c r="AY436" t="s" s="0">
        <v>136</v>
      </c>
      <c r="AZ436" t="s" s="0">
        <v>136</v>
      </c>
      <c r="BA436" t="s" s="0">
        <v>10202</v>
      </c>
      <c r="BB436" t="s" s="0">
        <v>117</v>
      </c>
      <c r="BC436" t="s" s="0">
        <v>81</v>
      </c>
      <c r="BD436" t="s" s="0">
        <v>81</v>
      </c>
      <c r="BE436" t="s" s="0">
        <v>81</v>
      </c>
      <c r="BF436" t="s" s="0">
        <v>81</v>
      </c>
      <c r="BG436" t="s" s="0">
        <v>10203</v>
      </c>
      <c r="BH436" t="s" s="0">
        <v>10204</v>
      </c>
      <c r="BI436" t="s" s="0">
        <v>81</v>
      </c>
      <c r="BJ436" t="s" s="0">
        <v>10205</v>
      </c>
      <c r="BK436" t="s" s="868">
        <f>HYPERLINK("http://dx.doi.org/10.32604/cmes.2025.070272","http://dx.doi.org/10.32604/cmes.2025.070272")</f>
        <v>10206</v>
      </c>
      <c r="BL436" t="s" s="0">
        <v>81</v>
      </c>
      <c r="BM436" t="s" s="0">
        <v>3082</v>
      </c>
      <c r="BN436" t="s" s="0">
        <v>337</v>
      </c>
      <c r="BO436" t="s" s="0">
        <v>10207</v>
      </c>
      <c r="BP436" t="s" s="0">
        <v>10208</v>
      </c>
      <c r="BQ436" t="s" s="0">
        <v>10209</v>
      </c>
      <c r="BR436" t="s" s="0">
        <v>81</v>
      </c>
      <c r="BS436" t="s" s="0">
        <v>10210</v>
      </c>
      <c r="BT436" t="s" s="869">
        <f>HYPERLINK("https://www.webofscience.com/wos/woscc/full-record/WOS:001590054200001","View Record in Web of Science")</f>
        <v>114</v>
      </c>
      <c r="BU436" t="s" s="0">
        <v>115</v>
      </c>
      <c r="BV436" t="s" s="0">
        <v>81</v>
      </c>
      <c r="BW436" t="s" s="0">
        <v>81</v>
      </c>
      <c r="BX436" t="s" s="0">
        <v>116</v>
      </c>
    </row>
    <row r="437">
      <c r="A437" t="s" s="0">
        <v>77</v>
      </c>
      <c r="B437" t="s" s="0">
        <v>77</v>
      </c>
      <c r="C437" t="s" s="0">
        <v>77</v>
      </c>
      <c r="D437" t="s" s="0">
        <v>77</v>
      </c>
      <c r="E437" t="s" s="0">
        <v>10211</v>
      </c>
      <c r="F437" t="s" s="0">
        <v>10212</v>
      </c>
      <c r="G437" t="s" s="0">
        <v>10213</v>
      </c>
      <c r="H437" t="s" s="0">
        <v>81</v>
      </c>
      <c r="I437" t="s" s="0">
        <v>82</v>
      </c>
      <c r="J437" t="s" s="0">
        <v>10214</v>
      </c>
      <c r="K437" t="s" s="0">
        <v>10215</v>
      </c>
      <c r="L437" t="s" s="0">
        <v>10216</v>
      </c>
      <c r="M437" t="s" s="0">
        <v>10217</v>
      </c>
      <c r="N437" t="s" s="0">
        <v>10218</v>
      </c>
      <c r="O437" t="s" s="0">
        <v>10219</v>
      </c>
      <c r="P437" t="s" s="0">
        <v>10220</v>
      </c>
      <c r="Q437" t="s" s="0">
        <v>90</v>
      </c>
      <c r="R437" t="s" s="0">
        <v>81</v>
      </c>
      <c r="S437" t="s" s="0">
        <v>81</v>
      </c>
      <c r="T437" t="s" s="0">
        <v>81</v>
      </c>
      <c r="U437" t="s" s="0">
        <v>81</v>
      </c>
      <c r="V437" t="s" s="0">
        <v>10221</v>
      </c>
      <c r="W437" t="s" s="0">
        <v>125</v>
      </c>
      <c r="X437" t="s" s="0">
        <v>81</v>
      </c>
      <c r="Y437" t="s" s="0">
        <v>81</v>
      </c>
      <c r="Z437" t="s" s="0">
        <v>93</v>
      </c>
      <c r="AA437" t="s" s="0">
        <v>94</v>
      </c>
      <c r="AB437" t="s" s="0">
        <v>81</v>
      </c>
      <c r="AC437" t="s" s="0">
        <v>81</v>
      </c>
      <c r="AD437" t="s" s="0">
        <v>81</v>
      </c>
      <c r="AE437" t="s" s="0">
        <v>81</v>
      </c>
      <c r="AF437" t="s" s="0">
        <v>81</v>
      </c>
      <c r="AG437" t="s" s="0">
        <v>10222</v>
      </c>
      <c r="AH437" t="s" s="0">
        <v>10223</v>
      </c>
      <c r="AI437" t="s" s="0">
        <v>81</v>
      </c>
      <c r="AJ437" t="s" s="0">
        <v>81</v>
      </c>
      <c r="AK437" t="s" s="0">
        <v>81</v>
      </c>
      <c r="AL437" t="s" s="0">
        <v>318</v>
      </c>
      <c r="AM437" t="s" s="0">
        <v>227</v>
      </c>
      <c r="AN437" t="s" s="0">
        <v>227</v>
      </c>
      <c r="AO437" t="s" s="0">
        <v>227</v>
      </c>
      <c r="AP437" t="s" s="0">
        <v>161</v>
      </c>
      <c r="AQ437" t="s" s="0">
        <v>97</v>
      </c>
      <c r="AR437" t="s" s="0">
        <v>98</v>
      </c>
      <c r="AS437" t="s" s="0">
        <v>99</v>
      </c>
      <c r="AT437" t="s" s="0">
        <v>81</v>
      </c>
      <c r="AU437" t="s" s="0">
        <v>132</v>
      </c>
      <c r="AV437" t="s" s="0">
        <v>81</v>
      </c>
      <c r="AW437" t="s" s="0">
        <v>133</v>
      </c>
      <c r="AX437" t="s" s="0">
        <v>134</v>
      </c>
      <c r="AY437" t="s" s="0">
        <v>10224</v>
      </c>
      <c r="AZ437" t="s" s="0">
        <v>136</v>
      </c>
      <c r="BA437" t="s" s="0">
        <v>137</v>
      </c>
      <c r="BB437" t="s" s="0">
        <v>81</v>
      </c>
      <c r="BC437" t="s" s="0">
        <v>81</v>
      </c>
      <c r="BD437" t="s" s="0">
        <v>81</v>
      </c>
      <c r="BE437" t="s" s="0">
        <v>81</v>
      </c>
      <c r="BF437" t="s" s="0">
        <v>81</v>
      </c>
      <c r="BG437" t="s" s="0">
        <v>81</v>
      </c>
      <c r="BH437" t="s" s="0">
        <v>81</v>
      </c>
      <c r="BI437" t="s" s="0">
        <v>10225</v>
      </c>
      <c r="BJ437" t="s" s="0">
        <v>10226</v>
      </c>
      <c r="BK437" t="s" s="870">
        <f>HYPERLINK("http://dx.doi.org/10.3389/fphys.2025.1558997","http://dx.doi.org/10.3389/fphys.2025.1558997")</f>
        <v>10227</v>
      </c>
      <c r="BL437" t="s" s="0">
        <v>81</v>
      </c>
      <c r="BM437" t="s" s="0">
        <v>81</v>
      </c>
      <c r="BN437" t="s" s="0">
        <v>129</v>
      </c>
      <c r="BO437" t="s" s="0">
        <v>141</v>
      </c>
      <c r="BP437" t="s" s="0">
        <v>141</v>
      </c>
      <c r="BQ437" t="s" s="0">
        <v>10228</v>
      </c>
      <c r="BR437" t="s" s="0">
        <v>10229</v>
      </c>
      <c r="BS437" t="s" s="0">
        <v>10230</v>
      </c>
      <c r="BT437" t="s" s="871">
        <f>HYPERLINK("https://www.webofscience.com/wos/woscc/full-record/WOS:001449371000001","View Record in Web of Science")</f>
        <v>114</v>
      </c>
      <c r="BU437" t="s" s="0">
        <v>145</v>
      </c>
      <c r="BV437" t="s" s="0">
        <v>81</v>
      </c>
      <c r="BW437" t="s" s="0">
        <v>81</v>
      </c>
      <c r="BX437" t="s" s="0">
        <v>116</v>
      </c>
    </row>
    <row r="438">
      <c r="A438" t="s" s="0">
        <v>77</v>
      </c>
      <c r="B438" t="s" s="0">
        <v>77</v>
      </c>
      <c r="C438" t="s" s="0">
        <v>227</v>
      </c>
      <c r="D438" t="s" s="0">
        <v>117</v>
      </c>
      <c r="E438" t="s" s="0">
        <v>10231</v>
      </c>
      <c r="F438" t="s" s="0">
        <v>10232</v>
      </c>
      <c r="G438" t="s" s="0">
        <v>10233</v>
      </c>
      <c r="H438" t="s" s="0">
        <v>81</v>
      </c>
      <c r="I438" t="s" s="0">
        <v>82</v>
      </c>
      <c r="J438" t="s" s="0">
        <v>10234</v>
      </c>
      <c r="K438" t="s" s="0">
        <v>10235</v>
      </c>
      <c r="L438" t="s" s="0">
        <v>10236</v>
      </c>
      <c r="M438" t="s" s="0">
        <v>10237</v>
      </c>
      <c r="N438" t="s" s="0">
        <v>1632</v>
      </c>
      <c r="O438" t="s" s="0">
        <v>10238</v>
      </c>
      <c r="P438" t="s" s="0">
        <v>10239</v>
      </c>
      <c r="Q438" t="s" s="0">
        <v>90</v>
      </c>
      <c r="R438" t="s" s="0">
        <v>81</v>
      </c>
      <c r="S438" t="s" s="0">
        <v>81</v>
      </c>
      <c r="T438" t="s" s="0">
        <v>81</v>
      </c>
      <c r="U438" t="s" s="0">
        <v>81</v>
      </c>
      <c r="V438" t="s" s="0">
        <v>10240</v>
      </c>
      <c r="W438" t="s" s="0">
        <v>2649</v>
      </c>
      <c r="X438" t="s" s="0">
        <v>81</v>
      </c>
      <c r="Y438" t="s" s="0">
        <v>81</v>
      </c>
      <c r="Z438" t="s" s="0">
        <v>93</v>
      </c>
      <c r="AA438" t="s" s="0">
        <v>94</v>
      </c>
      <c r="AB438" t="s" s="0">
        <v>81</v>
      </c>
      <c r="AC438" t="s" s="0">
        <v>81</v>
      </c>
      <c r="AD438" t="s" s="0">
        <v>81</v>
      </c>
      <c r="AE438" t="s" s="0">
        <v>81</v>
      </c>
      <c r="AF438" t="s" s="0">
        <v>81</v>
      </c>
      <c r="AG438" t="s" s="0">
        <v>10241</v>
      </c>
      <c r="AH438" t="s" s="0">
        <v>10242</v>
      </c>
      <c r="AI438" t="s" s="0">
        <v>10243</v>
      </c>
      <c r="AJ438" t="s" s="0">
        <v>10244</v>
      </c>
      <c r="AK438" t="s" s="0">
        <v>81</v>
      </c>
      <c r="AL438" t="s" s="0">
        <v>258</v>
      </c>
      <c r="AM438" t="s" s="0">
        <v>128</v>
      </c>
      <c r="AN438" t="s" s="0">
        <v>226</v>
      </c>
      <c r="AO438" t="s" s="0">
        <v>77</v>
      </c>
      <c r="AP438" t="s" s="0">
        <v>167</v>
      </c>
      <c r="AQ438" t="s" s="0">
        <v>476</v>
      </c>
      <c r="AR438" t="s" s="0">
        <v>477</v>
      </c>
      <c r="AS438" t="s" s="0">
        <v>478</v>
      </c>
      <c r="AT438" t="s" s="0">
        <v>81</v>
      </c>
      <c r="AU438" t="s" s="0">
        <v>2652</v>
      </c>
      <c r="AV438" t="s" s="0">
        <v>81</v>
      </c>
      <c r="AW438" t="s" s="0">
        <v>2653</v>
      </c>
      <c r="AX438" t="s" s="0">
        <v>2654</v>
      </c>
      <c r="AY438" t="s" s="0">
        <v>3295</v>
      </c>
      <c r="AZ438" t="s" s="0">
        <v>1519</v>
      </c>
      <c r="BA438" t="s" s="0">
        <v>541</v>
      </c>
      <c r="BB438" t="s" s="0">
        <v>337</v>
      </c>
      <c r="BC438" t="s" s="0">
        <v>81</v>
      </c>
      <c r="BD438" t="s" s="0">
        <v>81</v>
      </c>
      <c r="BE438" t="s" s="0">
        <v>81</v>
      </c>
      <c r="BF438" t="s" s="0">
        <v>81</v>
      </c>
      <c r="BG438" t="s" s="0">
        <v>81</v>
      </c>
      <c r="BH438" t="s" s="0">
        <v>81</v>
      </c>
      <c r="BI438" t="s" s="0">
        <v>10245</v>
      </c>
      <c r="BJ438" t="s" s="0">
        <v>10246</v>
      </c>
      <c r="BK438" t="s" s="872">
        <f>HYPERLINK("http://dx.doi.org/10.3390/s23249834","http://dx.doi.org/10.3390/s23249834")</f>
        <v>10247</v>
      </c>
      <c r="BL438" t="s" s="0">
        <v>81</v>
      </c>
      <c r="BM438" t="s" s="0">
        <v>81</v>
      </c>
      <c r="BN438" t="s" s="0">
        <v>137</v>
      </c>
      <c r="BO438" t="s" s="0">
        <v>2659</v>
      </c>
      <c r="BP438" t="s" s="0">
        <v>2660</v>
      </c>
      <c r="BQ438" t="s" s="0">
        <v>10248</v>
      </c>
      <c r="BR438" t="s" s="0">
        <v>10249</v>
      </c>
      <c r="BS438" t="s" s="0">
        <v>10250</v>
      </c>
      <c r="BT438" t="s" s="873">
        <f>HYPERLINK("https://www.webofscience.com/wos/woscc/full-record/WOS:001130933800001","View Record in Web of Science")</f>
        <v>114</v>
      </c>
      <c r="BU438" t="s" s="0">
        <v>145</v>
      </c>
      <c r="BV438" t="s" s="0">
        <v>81</v>
      </c>
      <c r="BW438" t="s" s="0">
        <v>81</v>
      </c>
      <c r="BX438" t="s" s="0">
        <v>116</v>
      </c>
    </row>
    <row r="439">
      <c r="A439" t="s" s="0">
        <v>77</v>
      </c>
      <c r="B439" t="s" s="0">
        <v>77</v>
      </c>
      <c r="C439" t="s" s="0">
        <v>77</v>
      </c>
      <c r="D439" t="s" s="0">
        <v>77</v>
      </c>
      <c r="E439" t="s" s="0">
        <v>10251</v>
      </c>
      <c r="F439" t="s" s="0">
        <v>10252</v>
      </c>
      <c r="G439" t="s" s="0">
        <v>10253</v>
      </c>
      <c r="H439" t="s" s="0">
        <v>81</v>
      </c>
      <c r="I439" t="s" s="0">
        <v>82</v>
      </c>
      <c r="J439" t="s" s="0">
        <v>10254</v>
      </c>
      <c r="K439" t="s" s="0">
        <v>10255</v>
      </c>
      <c r="L439" t="s" s="0">
        <v>81</v>
      </c>
      <c r="M439" t="s" s="0">
        <v>81</v>
      </c>
      <c r="N439" t="s" s="0">
        <v>81</v>
      </c>
      <c r="O439" t="s" s="0">
        <v>10256</v>
      </c>
      <c r="P439" t="s" s="0">
        <v>10257</v>
      </c>
      <c r="Q439" t="s" s="0">
        <v>90</v>
      </c>
      <c r="R439" t="s" s="0">
        <v>81</v>
      </c>
      <c r="S439" t="s" s="0">
        <v>81</v>
      </c>
      <c r="T439" t="s" s="0">
        <v>81</v>
      </c>
      <c r="U439" t="s" s="0">
        <v>81</v>
      </c>
      <c r="V439" t="s" s="0">
        <v>10258</v>
      </c>
      <c r="W439" t="s" s="0">
        <v>9406</v>
      </c>
      <c r="X439" t="s" s="0">
        <v>81</v>
      </c>
      <c r="Y439" t="s" s="0">
        <v>81</v>
      </c>
      <c r="Z439" t="s" s="0">
        <v>93</v>
      </c>
      <c r="AA439" t="s" s="0">
        <v>94</v>
      </c>
      <c r="AB439" t="s" s="0">
        <v>81</v>
      </c>
      <c r="AC439" t="s" s="0">
        <v>81</v>
      </c>
      <c r="AD439" t="s" s="0">
        <v>81</v>
      </c>
      <c r="AE439" t="s" s="0">
        <v>81</v>
      </c>
      <c r="AF439" t="s" s="0">
        <v>81</v>
      </c>
      <c r="AG439" t="s" s="0">
        <v>10259</v>
      </c>
      <c r="AH439" t="s" s="0">
        <v>5736</v>
      </c>
      <c r="AI439" t="s" s="0">
        <v>10260</v>
      </c>
      <c r="AJ439" t="s" s="0">
        <v>10261</v>
      </c>
      <c r="AK439" t="s" s="0">
        <v>81</v>
      </c>
      <c r="AL439" t="s" s="0">
        <v>1097</v>
      </c>
      <c r="AM439" t="s" s="0">
        <v>77</v>
      </c>
      <c r="AN439" t="s" s="0">
        <v>77</v>
      </c>
      <c r="AO439" t="s" s="0">
        <v>227</v>
      </c>
      <c r="AP439" t="s" s="0">
        <v>227</v>
      </c>
      <c r="AQ439" t="s" s="0">
        <v>194</v>
      </c>
      <c r="AR439" t="s" s="0">
        <v>195</v>
      </c>
      <c r="AS439" t="s" s="0">
        <v>196</v>
      </c>
      <c r="AT439" t="s" s="0">
        <v>9408</v>
      </c>
      <c r="AU439" t="s" s="0">
        <v>9409</v>
      </c>
      <c r="AV439" t="s" s="0">
        <v>81</v>
      </c>
      <c r="AW439" t="s" s="0">
        <v>9410</v>
      </c>
      <c r="AX439" t="s" s="0">
        <v>9411</v>
      </c>
      <c r="AY439" t="s" s="0">
        <v>9412</v>
      </c>
      <c r="AZ439" t="s" s="0">
        <v>104</v>
      </c>
      <c r="BA439" t="s" s="0">
        <v>224</v>
      </c>
      <c r="BB439" t="s" s="0">
        <v>117</v>
      </c>
      <c r="BC439" t="s" s="0">
        <v>81</v>
      </c>
      <c r="BD439" t="s" s="0">
        <v>81</v>
      </c>
      <c r="BE439" t="s" s="0">
        <v>81</v>
      </c>
      <c r="BF439" t="s" s="0">
        <v>81</v>
      </c>
      <c r="BG439" t="s" s="0">
        <v>81</v>
      </c>
      <c r="BH439" t="s" s="0">
        <v>81</v>
      </c>
      <c r="BI439" t="s" s="0">
        <v>10262</v>
      </c>
      <c r="BJ439" t="s" s="0">
        <v>10263</v>
      </c>
      <c r="BK439" t="s" s="874">
        <f>HYPERLINK("http://dx.doi.org/10.1080/07853890.2026.2664903","http://dx.doi.org/10.1080/07853890.2026.2664903")</f>
        <v>10264</v>
      </c>
      <c r="BL439" t="s" s="0">
        <v>81</v>
      </c>
      <c r="BM439" t="s" s="0">
        <v>81</v>
      </c>
      <c r="BN439" t="s" s="0">
        <v>204</v>
      </c>
      <c r="BO439" t="s" s="0">
        <v>486</v>
      </c>
      <c r="BP439" t="s" s="0">
        <v>487</v>
      </c>
      <c r="BQ439" t="s" s="0">
        <v>10265</v>
      </c>
      <c r="BR439" t="s" s="0">
        <v>10266</v>
      </c>
      <c r="BS439" t="s" s="0">
        <v>10267</v>
      </c>
      <c r="BT439" t="s" s="875">
        <f>HYPERLINK("https://www.webofscience.com/wos/woscc/full-record/WOS:001762373500001","View Record in Web of Science")</f>
        <v>114</v>
      </c>
      <c r="BU439" t="s" s="0">
        <v>145</v>
      </c>
      <c r="BV439" t="s" s="0">
        <v>81</v>
      </c>
      <c r="BW439" t="s" s="0">
        <v>81</v>
      </c>
      <c r="BX439" t="s" s="0">
        <v>116</v>
      </c>
    </row>
    <row r="440">
      <c r="A440" t="s" s="0">
        <v>117</v>
      </c>
      <c r="B440" t="s" s="0">
        <v>77</v>
      </c>
      <c r="C440" t="s" s="0">
        <v>77</v>
      </c>
      <c r="D440" t="s" s="0">
        <v>77</v>
      </c>
      <c r="E440" t="s" s="0">
        <v>10268</v>
      </c>
      <c r="F440" t="s" s="0">
        <v>10269</v>
      </c>
      <c r="G440" t="s" s="0">
        <v>10270</v>
      </c>
      <c r="H440" t="s" s="0">
        <v>81</v>
      </c>
      <c r="I440" t="s" s="0">
        <v>82</v>
      </c>
      <c r="J440" t="s" s="0">
        <v>10271</v>
      </c>
      <c r="K440" t="s" s="0">
        <v>10272</v>
      </c>
      <c r="L440" t="s" s="0">
        <v>81</v>
      </c>
      <c r="M440" t="s" s="0">
        <v>81</v>
      </c>
      <c r="N440" t="s" s="0">
        <v>81</v>
      </c>
      <c r="O440" t="s" s="0">
        <v>10273</v>
      </c>
      <c r="P440" t="s" s="0">
        <v>10274</v>
      </c>
      <c r="Q440" t="s" s="0">
        <v>90</v>
      </c>
      <c r="R440" t="s" s="0">
        <v>81</v>
      </c>
      <c r="S440" t="s" s="0">
        <v>81</v>
      </c>
      <c r="T440" t="s" s="0">
        <v>81</v>
      </c>
      <c r="U440" t="s" s="0">
        <v>81</v>
      </c>
      <c r="V440" t="s" s="0">
        <v>10275</v>
      </c>
      <c r="W440" t="s" s="0">
        <v>10276</v>
      </c>
      <c r="X440" t="s" s="0">
        <v>81</v>
      </c>
      <c r="Y440" t="s" s="0">
        <v>81</v>
      </c>
      <c r="Z440" t="s" s="0">
        <v>93</v>
      </c>
      <c r="AA440" t="s" s="0">
        <v>94</v>
      </c>
      <c r="AB440" t="s" s="0">
        <v>81</v>
      </c>
      <c r="AC440" t="s" s="0">
        <v>81</v>
      </c>
      <c r="AD440" t="s" s="0">
        <v>81</v>
      </c>
      <c r="AE440" t="s" s="0">
        <v>81</v>
      </c>
      <c r="AF440" t="s" s="0">
        <v>81</v>
      </c>
      <c r="AG440" t="s" s="0">
        <v>10277</v>
      </c>
      <c r="AH440" t="s" s="0">
        <v>81</v>
      </c>
      <c r="AI440" t="s" s="0">
        <v>10278</v>
      </c>
      <c r="AJ440" t="s" s="0">
        <v>10279</v>
      </c>
      <c r="AK440" t="s" s="0">
        <v>81</v>
      </c>
      <c r="AL440" t="s" s="0">
        <v>109</v>
      </c>
      <c r="AM440" t="s" s="0">
        <v>130</v>
      </c>
      <c r="AN440" t="s" s="0">
        <v>227</v>
      </c>
      <c r="AO440" t="s" s="0">
        <v>160</v>
      </c>
      <c r="AP440" t="s" s="0">
        <v>129</v>
      </c>
      <c r="AQ440" t="s" s="0">
        <v>370</v>
      </c>
      <c r="AR440" t="s" s="0">
        <v>1099</v>
      </c>
      <c r="AS440" t="s" s="0">
        <v>1873</v>
      </c>
      <c r="AT440" t="s" s="0">
        <v>10280</v>
      </c>
      <c r="AU440" t="s" s="0">
        <v>10281</v>
      </c>
      <c r="AV440" t="s" s="0">
        <v>81</v>
      </c>
      <c r="AW440" t="s" s="0">
        <v>10282</v>
      </c>
      <c r="AX440" t="s" s="0">
        <v>10283</v>
      </c>
      <c r="AY440" t="s" s="0">
        <v>1080</v>
      </c>
      <c r="AZ440" t="s" s="0">
        <v>136</v>
      </c>
      <c r="BA440" t="s" s="0">
        <v>1067</v>
      </c>
      <c r="BB440" t="s" s="0">
        <v>128</v>
      </c>
      <c r="BC440" t="s" s="0">
        <v>81</v>
      </c>
      <c r="BD440" t="s" s="0">
        <v>81</v>
      </c>
      <c r="BE440" t="s" s="0">
        <v>81</v>
      </c>
      <c r="BF440" t="s" s="0">
        <v>81</v>
      </c>
      <c r="BG440" t="s" s="0">
        <v>10284</v>
      </c>
      <c r="BH440" t="s" s="0">
        <v>10285</v>
      </c>
      <c r="BI440" t="s" s="0">
        <v>81</v>
      </c>
      <c r="BJ440" t="s" s="0">
        <v>10286</v>
      </c>
      <c r="BK440" t="s" s="876">
        <f>HYPERLINK("http://dx.doi.org/10.1007/s00464-025-12021-8","http://dx.doi.org/10.1007/s00464-025-12021-8")</f>
        <v>10287</v>
      </c>
      <c r="BL440" t="s" s="0">
        <v>81</v>
      </c>
      <c r="BM440" t="s" s="0">
        <v>632</v>
      </c>
      <c r="BN440" t="s" s="0">
        <v>129</v>
      </c>
      <c r="BO440" t="s" s="0">
        <v>2819</v>
      </c>
      <c r="BP440" t="s" s="0">
        <v>2819</v>
      </c>
      <c r="BQ440" t="s" s="0">
        <v>10288</v>
      </c>
      <c r="BR440" t="s" s="0">
        <v>10289</v>
      </c>
      <c r="BS440" t="s" s="0">
        <v>10290</v>
      </c>
      <c r="BT440" t="s" s="877">
        <f>HYPERLINK("https://www.webofscience.com/wos/woscc/full-record/WOS:001546386800001","View Record in Web of Science")</f>
        <v>114</v>
      </c>
      <c r="BU440" t="s" s="0">
        <v>81</v>
      </c>
      <c r="BV440" t="s" s="0">
        <v>81</v>
      </c>
      <c r="BW440" t="s" s="0">
        <v>81</v>
      </c>
      <c r="BX440" t="s" s="0">
        <v>116</v>
      </c>
    </row>
    <row r="441">
      <c r="A441" t="s" s="0">
        <v>77</v>
      </c>
      <c r="B441" t="s" s="0">
        <v>77</v>
      </c>
      <c r="C441" t="s" s="0">
        <v>77</v>
      </c>
      <c r="D441" t="s" s="0">
        <v>77</v>
      </c>
      <c r="E441" t="s" s="0">
        <v>10291</v>
      </c>
      <c r="F441" t="s" s="0">
        <v>10292</v>
      </c>
      <c r="G441" t="s" s="0">
        <v>10293</v>
      </c>
      <c r="H441" t="s" s="0">
        <v>81</v>
      </c>
      <c r="I441" t="s" s="0">
        <v>82</v>
      </c>
      <c r="J441" t="s" s="0">
        <v>10294</v>
      </c>
      <c r="K441" t="s" s="0">
        <v>10295</v>
      </c>
      <c r="L441" t="s" s="0">
        <v>10296</v>
      </c>
      <c r="M441" t="s" s="0">
        <v>10297</v>
      </c>
      <c r="N441" t="s" s="0">
        <v>10298</v>
      </c>
      <c r="O441" t="s" s="0">
        <v>10299</v>
      </c>
      <c r="P441" t="s" s="0">
        <v>10300</v>
      </c>
      <c r="Q441" t="s" s="0">
        <v>90</v>
      </c>
      <c r="R441" t="s" s="0">
        <v>81</v>
      </c>
      <c r="S441" t="s" s="0">
        <v>81</v>
      </c>
      <c r="T441" t="s" s="0">
        <v>81</v>
      </c>
      <c r="U441" t="s" s="0">
        <v>81</v>
      </c>
      <c r="V441" t="s" s="0">
        <v>10301</v>
      </c>
      <c r="W441" t="s" s="0">
        <v>2386</v>
      </c>
      <c r="X441" t="s" s="0">
        <v>81</v>
      </c>
      <c r="Y441" t="s" s="0">
        <v>81</v>
      </c>
      <c r="Z441" t="s" s="0">
        <v>93</v>
      </c>
      <c r="AA441" t="s" s="0">
        <v>94</v>
      </c>
      <c r="AB441" t="s" s="0">
        <v>81</v>
      </c>
      <c r="AC441" t="s" s="0">
        <v>81</v>
      </c>
      <c r="AD441" t="s" s="0">
        <v>81</v>
      </c>
      <c r="AE441" t="s" s="0">
        <v>81</v>
      </c>
      <c r="AF441" t="s" s="0">
        <v>81</v>
      </c>
      <c r="AG441" t="s" s="0">
        <v>10302</v>
      </c>
      <c r="AH441" t="s" s="0">
        <v>10303</v>
      </c>
      <c r="AI441" t="s" s="0">
        <v>10304</v>
      </c>
      <c r="AJ441" t="s" s="0">
        <v>81</v>
      </c>
      <c r="AK441" t="s" s="0">
        <v>81</v>
      </c>
      <c r="AL441" t="s" s="0">
        <v>657</v>
      </c>
      <c r="AM441" t="s" s="0">
        <v>77</v>
      </c>
      <c r="AN441" t="s" s="0">
        <v>77</v>
      </c>
      <c r="AO441" t="s" s="0">
        <v>226</v>
      </c>
      <c r="AP441" t="s" s="0">
        <v>226</v>
      </c>
      <c r="AQ441" t="s" s="0">
        <v>305</v>
      </c>
      <c r="AR441" t="s" s="0">
        <v>306</v>
      </c>
      <c r="AS441" t="s" s="0">
        <v>307</v>
      </c>
      <c r="AT441" t="s" s="0">
        <v>2390</v>
      </c>
      <c r="AU441" t="s" s="0">
        <v>2391</v>
      </c>
      <c r="AV441" t="s" s="0">
        <v>81</v>
      </c>
      <c r="AW441" t="s" s="0">
        <v>2392</v>
      </c>
      <c r="AX441" t="s" s="0">
        <v>2393</v>
      </c>
      <c r="AY441" t="s" s="0">
        <v>10305</v>
      </c>
      <c r="AZ441" t="s" s="0">
        <v>104</v>
      </c>
      <c r="BA441" t="s" s="0">
        <v>10306</v>
      </c>
      <c r="BB441" t="s" s="0">
        <v>81</v>
      </c>
      <c r="BC441" t="s" s="0">
        <v>81</v>
      </c>
      <c r="BD441" t="s" s="0">
        <v>81</v>
      </c>
      <c r="BE441" t="s" s="0">
        <v>81</v>
      </c>
      <c r="BF441" t="s" s="0">
        <v>81</v>
      </c>
      <c r="BG441" t="s" s="0">
        <v>81</v>
      </c>
      <c r="BH441" t="s" s="0">
        <v>81</v>
      </c>
      <c r="BI441" t="s" s="0">
        <v>10307</v>
      </c>
      <c r="BJ441" t="s" s="0">
        <v>10308</v>
      </c>
      <c r="BK441" t="s" s="878">
        <f>HYPERLINK("http://dx.doi.org/10.1016/j.eswa.2026.131440","http://dx.doi.org/10.1016/j.eswa.2026.131440")</f>
        <v>10309</v>
      </c>
      <c r="BL441" t="s" s="0">
        <v>81</v>
      </c>
      <c r="BM441" t="s" s="0">
        <v>2583</v>
      </c>
      <c r="BN441" t="s" s="0">
        <v>337</v>
      </c>
      <c r="BO441" t="s" s="0">
        <v>2400</v>
      </c>
      <c r="BP441" t="s" s="0">
        <v>2401</v>
      </c>
      <c r="BQ441" t="s" s="0">
        <v>10310</v>
      </c>
      <c r="BR441" t="s" s="0">
        <v>81</v>
      </c>
      <c r="BS441" t="s" s="0">
        <v>10311</v>
      </c>
      <c r="BT441" t="s" s="879">
        <f>HYPERLINK("https://www.webofscience.com/wos/woscc/full-record/WOS:001689609400001","View Record in Web of Science")</f>
        <v>114</v>
      </c>
      <c r="BU441" t="s" s="0">
        <v>81</v>
      </c>
      <c r="BV441" t="s" s="0">
        <v>81</v>
      </c>
      <c r="BW441" t="s" s="0">
        <v>81</v>
      </c>
      <c r="BX441" t="s" s="0">
        <v>116</v>
      </c>
    </row>
    <row r="442">
      <c r="A442" t="s" s="0">
        <v>77</v>
      </c>
      <c r="B442" t="s" s="0">
        <v>77</v>
      </c>
      <c r="C442" t="s" s="0">
        <v>128</v>
      </c>
      <c r="D442" t="s" s="0">
        <v>77</v>
      </c>
      <c r="E442" t="s" s="0">
        <v>10312</v>
      </c>
      <c r="F442" t="s" s="0">
        <v>10313</v>
      </c>
      <c r="G442" t="s" s="0">
        <v>10314</v>
      </c>
      <c r="H442" t="s" s="0">
        <v>81</v>
      </c>
      <c r="I442" t="s" s="0">
        <v>82</v>
      </c>
      <c r="J442" t="s" s="0">
        <v>10315</v>
      </c>
      <c r="K442" t="s" s="0">
        <v>10316</v>
      </c>
      <c r="L442" t="s" s="0">
        <v>10317</v>
      </c>
      <c r="M442" t="s" s="0">
        <v>10318</v>
      </c>
      <c r="N442" t="s" s="0">
        <v>10319</v>
      </c>
      <c r="O442" t="s" s="0">
        <v>10320</v>
      </c>
      <c r="P442" t="s" s="0">
        <v>10321</v>
      </c>
      <c r="Q442" t="s" s="0">
        <v>90</v>
      </c>
      <c r="R442" t="s" s="0">
        <v>81</v>
      </c>
      <c r="S442" t="s" s="0">
        <v>81</v>
      </c>
      <c r="T442" t="s" s="0">
        <v>81</v>
      </c>
      <c r="U442" t="s" s="0">
        <v>81</v>
      </c>
      <c r="V442" t="s" s="0">
        <v>10322</v>
      </c>
      <c r="W442" t="s" s="0">
        <v>271</v>
      </c>
      <c r="X442" t="s" s="0">
        <v>81</v>
      </c>
      <c r="Y442" t="s" s="0">
        <v>81</v>
      </c>
      <c r="Z442" t="s" s="0">
        <v>93</v>
      </c>
      <c r="AA442" t="s" s="0">
        <v>94</v>
      </c>
      <c r="AB442" t="s" s="0">
        <v>81</v>
      </c>
      <c r="AC442" t="s" s="0">
        <v>81</v>
      </c>
      <c r="AD442" t="s" s="0">
        <v>81</v>
      </c>
      <c r="AE442" t="s" s="0">
        <v>81</v>
      </c>
      <c r="AF442" t="s" s="0">
        <v>81</v>
      </c>
      <c r="AG442" t="s" s="0">
        <v>81</v>
      </c>
      <c r="AH442" t="s" s="0">
        <v>10323</v>
      </c>
      <c r="AI442" t="s" s="0">
        <v>10324</v>
      </c>
      <c r="AJ442" t="s" s="0">
        <v>10325</v>
      </c>
      <c r="AK442" t="s" s="0">
        <v>81</v>
      </c>
      <c r="AL442" t="s" s="0">
        <v>706</v>
      </c>
      <c r="AM442" t="s" s="0">
        <v>1067</v>
      </c>
      <c r="AN442" t="s" s="0">
        <v>451</v>
      </c>
      <c r="AO442" t="s" s="0">
        <v>130</v>
      </c>
      <c r="AP442" t="s" s="0">
        <v>228</v>
      </c>
      <c r="AQ442" t="s" s="0">
        <v>274</v>
      </c>
      <c r="AR442" t="s" s="0">
        <v>275</v>
      </c>
      <c r="AS442" t="s" s="0">
        <v>276</v>
      </c>
      <c r="AT442" t="s" s="0">
        <v>277</v>
      </c>
      <c r="AU442" t="s" s="0">
        <v>81</v>
      </c>
      <c r="AV442" t="s" s="0">
        <v>81</v>
      </c>
      <c r="AW442" t="s" s="0">
        <v>278</v>
      </c>
      <c r="AX442" t="s" s="0">
        <v>279</v>
      </c>
      <c r="AY442" t="s" s="0">
        <v>10326</v>
      </c>
      <c r="AZ442" t="s" s="0">
        <v>482</v>
      </c>
      <c r="BA442" t="s" s="0">
        <v>226</v>
      </c>
      <c r="BB442" t="s" s="0">
        <v>117</v>
      </c>
      <c r="BC442" t="s" s="0">
        <v>81</v>
      </c>
      <c r="BD442" t="s" s="0">
        <v>81</v>
      </c>
      <c r="BE442" t="s" s="0">
        <v>81</v>
      </c>
      <c r="BF442" t="s" s="0">
        <v>81</v>
      </c>
      <c r="BG442" t="s" s="0">
        <v>81</v>
      </c>
      <c r="BH442" t="s" s="0">
        <v>81</v>
      </c>
      <c r="BI442" t="s" s="0">
        <v>10327</v>
      </c>
      <c r="BJ442" t="s" s="0">
        <v>10328</v>
      </c>
      <c r="BK442" t="s" s="880">
        <f>HYPERLINK("http://dx.doi.org/10.1038/s41598-022-06273-w","http://dx.doi.org/10.1038/s41598-022-06273-w")</f>
        <v>10329</v>
      </c>
      <c r="BL442" t="s" s="0">
        <v>81</v>
      </c>
      <c r="BM442" t="s" s="0">
        <v>81</v>
      </c>
      <c r="BN442" t="s" s="0">
        <v>204</v>
      </c>
      <c r="BO442" t="s" s="0">
        <v>285</v>
      </c>
      <c r="BP442" t="s" s="0">
        <v>286</v>
      </c>
      <c r="BQ442" t="s" s="0">
        <v>10330</v>
      </c>
      <c r="BR442" t="s" s="0">
        <v>10331</v>
      </c>
      <c r="BS442" t="s" s="0">
        <v>10332</v>
      </c>
      <c r="BT442" t="s" s="881">
        <f>HYPERLINK("https://www.webofscience.com/wos/woscc/full-record/WOS:000757107700067","View Record in Web of Science")</f>
        <v>114</v>
      </c>
      <c r="BU442" t="s" s="0">
        <v>145</v>
      </c>
      <c r="BV442" t="s" s="0">
        <v>81</v>
      </c>
      <c r="BW442" t="s" s="0">
        <v>81</v>
      </c>
      <c r="BX442" t="s" s="0">
        <v>116</v>
      </c>
    </row>
    <row r="443">
      <c r="A443" t="s" s="0">
        <v>77</v>
      </c>
      <c r="B443" t="s" s="0">
        <v>77</v>
      </c>
      <c r="C443" t="s" s="0">
        <v>77</v>
      </c>
      <c r="D443" t="s" s="0">
        <v>77</v>
      </c>
      <c r="E443" t="s" s="0">
        <v>10333</v>
      </c>
      <c r="F443" t="s" s="0">
        <v>10334</v>
      </c>
      <c r="G443" t="s" s="0">
        <v>10335</v>
      </c>
      <c r="H443" t="s" s="0">
        <v>81</v>
      </c>
      <c r="I443" t="s" s="0">
        <v>82</v>
      </c>
      <c r="J443" t="s" s="0">
        <v>10336</v>
      </c>
      <c r="K443" t="s" s="0">
        <v>10337</v>
      </c>
      <c r="L443" t="s" s="0">
        <v>81</v>
      </c>
      <c r="M443" t="s" s="0">
        <v>81</v>
      </c>
      <c r="N443" t="s" s="0">
        <v>81</v>
      </c>
      <c r="O443" t="s" s="0">
        <v>10338</v>
      </c>
      <c r="P443" t="s" s="0">
        <v>10339</v>
      </c>
      <c r="Q443" t="s" s="0">
        <v>90</v>
      </c>
      <c r="R443" t="s" s="0">
        <v>81</v>
      </c>
      <c r="S443" t="s" s="0">
        <v>81</v>
      </c>
      <c r="T443" t="s" s="0">
        <v>81</v>
      </c>
      <c r="U443" t="s" s="0">
        <v>81</v>
      </c>
      <c r="V443" t="s" s="0">
        <v>10340</v>
      </c>
      <c r="W443" t="s" s="0">
        <v>10341</v>
      </c>
      <c r="X443" t="s" s="0">
        <v>81</v>
      </c>
      <c r="Y443" t="s" s="0">
        <v>81</v>
      </c>
      <c r="Z443" t="s" s="0">
        <v>93</v>
      </c>
      <c r="AA443" t="s" s="0">
        <v>94</v>
      </c>
      <c r="AB443" t="s" s="0">
        <v>81</v>
      </c>
      <c r="AC443" t="s" s="0">
        <v>81</v>
      </c>
      <c r="AD443" t="s" s="0">
        <v>81</v>
      </c>
      <c r="AE443" t="s" s="0">
        <v>81</v>
      </c>
      <c r="AF443" t="s" s="0">
        <v>81</v>
      </c>
      <c r="AG443" t="s" s="0">
        <v>10342</v>
      </c>
      <c r="AH443" t="s" s="0">
        <v>8939</v>
      </c>
      <c r="AI443" t="s" s="0">
        <v>10343</v>
      </c>
      <c r="AJ443" t="s" s="0">
        <v>81</v>
      </c>
      <c r="AK443" t="s" s="0">
        <v>81</v>
      </c>
      <c r="AL443" t="s" s="0">
        <v>226</v>
      </c>
      <c r="AM443" t="s" s="0">
        <v>77</v>
      </c>
      <c r="AN443" t="s" s="0">
        <v>77</v>
      </c>
      <c r="AO443" t="s" s="0">
        <v>77</v>
      </c>
      <c r="AP443" t="s" s="0">
        <v>77</v>
      </c>
      <c r="AQ443" t="s" s="0">
        <v>3684</v>
      </c>
      <c r="AR443" t="s" s="0">
        <v>339</v>
      </c>
      <c r="AS443" t="s" s="0">
        <v>3685</v>
      </c>
      <c r="AT443" t="s" s="0">
        <v>10344</v>
      </c>
      <c r="AU443" t="s" s="0">
        <v>81</v>
      </c>
      <c r="AV443" t="s" s="0">
        <v>81</v>
      </c>
      <c r="AW443" t="s" s="0">
        <v>10341</v>
      </c>
      <c r="AX443" t="s" s="0">
        <v>10345</v>
      </c>
      <c r="AY443" t="s" s="0">
        <v>10346</v>
      </c>
      <c r="AZ443" t="s" s="0">
        <v>104</v>
      </c>
      <c r="BA443" t="s" s="0">
        <v>226</v>
      </c>
      <c r="BB443" t="s" s="0">
        <v>227</v>
      </c>
      <c r="BC443" t="s" s="0">
        <v>81</v>
      </c>
      <c r="BD443" t="s" s="0">
        <v>81</v>
      </c>
      <c r="BE443" t="s" s="0">
        <v>81</v>
      </c>
      <c r="BF443" t="s" s="0">
        <v>81</v>
      </c>
      <c r="BG443" t="s" s="0">
        <v>81</v>
      </c>
      <c r="BH443" t="s" s="0">
        <v>81</v>
      </c>
      <c r="BI443" t="s" s="0">
        <v>10347</v>
      </c>
      <c r="BJ443" t="s" s="0">
        <v>10348</v>
      </c>
      <c r="BK443" t="s" s="882">
        <f>HYPERLINK("http://dx.doi.org/10.1136/rmdopen-2026-006995","http://dx.doi.org/10.1136/rmdopen-2026-006995")</f>
        <v>10349</v>
      </c>
      <c r="BL443" t="s" s="0">
        <v>81</v>
      </c>
      <c r="BM443" t="s" s="0">
        <v>81</v>
      </c>
      <c r="BN443" t="s" s="0">
        <v>129</v>
      </c>
      <c r="BO443" t="s" s="0">
        <v>10350</v>
      </c>
      <c r="BP443" t="s" s="0">
        <v>10350</v>
      </c>
      <c r="BQ443" t="s" s="0">
        <v>10351</v>
      </c>
      <c r="BR443" t="s" s="0">
        <v>10352</v>
      </c>
      <c r="BS443" t="s" s="0">
        <v>10353</v>
      </c>
      <c r="BT443" t="s" s="883">
        <f>HYPERLINK("https://www.webofscience.com/wos/woscc/full-record/WOS:001818773500001","View Record in Web of Science")</f>
        <v>114</v>
      </c>
      <c r="BU443" t="s" s="0">
        <v>145</v>
      </c>
      <c r="BV443" t="s" s="0">
        <v>81</v>
      </c>
      <c r="BW443" t="s" s="0">
        <v>81</v>
      </c>
      <c r="BX443" t="s" s="0">
        <v>116</v>
      </c>
    </row>
    <row r="444">
      <c r="A444" t="s" s="0">
        <v>77</v>
      </c>
      <c r="B444" t="s" s="0">
        <v>77</v>
      </c>
      <c r="C444" t="s" s="0">
        <v>77</v>
      </c>
      <c r="D444" t="s" s="0">
        <v>77</v>
      </c>
      <c r="E444" t="s" s="0">
        <v>10354</v>
      </c>
      <c r="F444" t="s" s="0">
        <v>10355</v>
      </c>
      <c r="G444" t="s" s="0">
        <v>10356</v>
      </c>
      <c r="H444" t="s" s="0">
        <v>81</v>
      </c>
      <c r="I444" t="s" s="0">
        <v>82</v>
      </c>
      <c r="J444" t="s" s="0">
        <v>10357</v>
      </c>
      <c r="K444" t="s" s="0">
        <v>10358</v>
      </c>
      <c r="L444" t="s" s="0">
        <v>81</v>
      </c>
      <c r="M444" t="s" s="0">
        <v>81</v>
      </c>
      <c r="N444" t="s" s="0">
        <v>81</v>
      </c>
      <c r="O444" t="s" s="0">
        <v>10359</v>
      </c>
      <c r="P444" t="s" s="0">
        <v>10360</v>
      </c>
      <c r="Q444" t="s" s="0">
        <v>90</v>
      </c>
      <c r="R444" t="s" s="0">
        <v>81</v>
      </c>
      <c r="S444" t="s" s="0">
        <v>81</v>
      </c>
      <c r="T444" t="s" s="0">
        <v>81</v>
      </c>
      <c r="U444" t="s" s="0">
        <v>81</v>
      </c>
      <c r="V444" t="s" s="0">
        <v>10361</v>
      </c>
      <c r="W444" t="s" s="0">
        <v>10362</v>
      </c>
      <c r="X444" t="s" s="0">
        <v>81</v>
      </c>
      <c r="Y444" t="s" s="0">
        <v>81</v>
      </c>
      <c r="Z444" t="s" s="0">
        <v>93</v>
      </c>
      <c r="AA444" t="s" s="0">
        <v>94</v>
      </c>
      <c r="AB444" t="s" s="0">
        <v>81</v>
      </c>
      <c r="AC444" t="s" s="0">
        <v>81</v>
      </c>
      <c r="AD444" t="s" s="0">
        <v>81</v>
      </c>
      <c r="AE444" t="s" s="0">
        <v>81</v>
      </c>
      <c r="AF444" t="s" s="0">
        <v>81</v>
      </c>
      <c r="AG444" t="s" s="0">
        <v>10363</v>
      </c>
      <c r="AH444" t="s" s="0">
        <v>81</v>
      </c>
      <c r="AI444" t="s" s="0">
        <v>81</v>
      </c>
      <c r="AJ444" t="s" s="0">
        <v>81</v>
      </c>
      <c r="AK444" t="s" s="0">
        <v>81</v>
      </c>
      <c r="AL444" t="s" s="0">
        <v>562</v>
      </c>
      <c r="AM444" t="s" s="0">
        <v>77</v>
      </c>
      <c r="AN444" t="s" s="0">
        <v>77</v>
      </c>
      <c r="AO444" t="s" s="0">
        <v>77</v>
      </c>
      <c r="AP444" t="s" s="0">
        <v>77</v>
      </c>
      <c r="AQ444" t="s" s="0">
        <v>97</v>
      </c>
      <c r="AR444" t="s" s="0">
        <v>98</v>
      </c>
      <c r="AS444" t="s" s="0">
        <v>99</v>
      </c>
      <c r="AT444" t="s" s="0">
        <v>81</v>
      </c>
      <c r="AU444" t="s" s="0">
        <v>10364</v>
      </c>
      <c r="AV444" t="s" s="0">
        <v>81</v>
      </c>
      <c r="AW444" t="s" s="0">
        <v>10365</v>
      </c>
      <c r="AX444" t="s" s="0">
        <v>10366</v>
      </c>
      <c r="AY444" t="s" s="0">
        <v>10367</v>
      </c>
      <c r="AZ444" t="s" s="0">
        <v>104</v>
      </c>
      <c r="BA444" t="s" s="0">
        <v>563</v>
      </c>
      <c r="BB444" t="s" s="0">
        <v>81</v>
      </c>
      <c r="BC444" t="s" s="0">
        <v>81</v>
      </c>
      <c r="BD444" t="s" s="0">
        <v>81</v>
      </c>
      <c r="BE444" t="s" s="0">
        <v>81</v>
      </c>
      <c r="BF444" t="s" s="0">
        <v>81</v>
      </c>
      <c r="BG444" t="s" s="0">
        <v>81</v>
      </c>
      <c r="BH444" t="s" s="0">
        <v>81</v>
      </c>
      <c r="BI444" t="s" s="0">
        <v>10368</v>
      </c>
      <c r="BJ444" t="s" s="0">
        <v>10369</v>
      </c>
      <c r="BK444" t="s" s="884">
        <f>HYPERLINK("http://dx.doi.org/10.3389/fphar.2026.1753893","http://dx.doi.org/10.3389/fphar.2026.1753893")</f>
        <v>10370</v>
      </c>
      <c r="BL444" t="s" s="0">
        <v>81</v>
      </c>
      <c r="BM444" t="s" s="0">
        <v>81</v>
      </c>
      <c r="BN444" t="s" s="0">
        <v>172</v>
      </c>
      <c r="BO444" t="s" s="0">
        <v>7861</v>
      </c>
      <c r="BP444" t="s" s="0">
        <v>7861</v>
      </c>
      <c r="BQ444" t="s" s="0">
        <v>10371</v>
      </c>
      <c r="BR444" t="s" s="0">
        <v>10372</v>
      </c>
      <c r="BS444" t="s" s="0">
        <v>10373</v>
      </c>
      <c r="BT444" t="s" s="885">
        <f>HYPERLINK("https://www.webofscience.com/wos/woscc/full-record/WOS:001828687000001","View Record in Web of Science")</f>
        <v>114</v>
      </c>
      <c r="BU444" t="s" s="0">
        <v>145</v>
      </c>
      <c r="BV444" t="s" s="0">
        <v>81</v>
      </c>
      <c r="BW444" t="s" s="0">
        <v>81</v>
      </c>
      <c r="BX444" t="s" s="0">
        <v>116</v>
      </c>
    </row>
    <row r="445">
      <c r="A445" t="s" s="0">
        <v>77</v>
      </c>
      <c r="B445" t="s" s="0">
        <v>77</v>
      </c>
      <c r="C445" t="s" s="0">
        <v>117</v>
      </c>
      <c r="D445" t="s" s="0">
        <v>77</v>
      </c>
      <c r="E445" t="s" s="0">
        <v>10374</v>
      </c>
      <c r="F445" t="s" s="0">
        <v>10375</v>
      </c>
      <c r="G445" t="s" s="0">
        <v>10376</v>
      </c>
      <c r="H445" t="s" s="0">
        <v>81</v>
      </c>
      <c r="I445" t="s" s="0">
        <v>82</v>
      </c>
      <c r="J445" t="s" s="0">
        <v>10377</v>
      </c>
      <c r="K445" t="s" s="0">
        <v>10378</v>
      </c>
      <c r="L445" t="s" s="0">
        <v>81</v>
      </c>
      <c r="M445" t="s" s="0">
        <v>81</v>
      </c>
      <c r="N445" t="s" s="0">
        <v>81</v>
      </c>
      <c r="O445" t="s" s="0">
        <v>10379</v>
      </c>
      <c r="P445" t="s" s="0">
        <v>10380</v>
      </c>
      <c r="Q445" t="s" s="0">
        <v>90</v>
      </c>
      <c r="R445" t="s" s="0">
        <v>81</v>
      </c>
      <c r="S445" t="s" s="0">
        <v>81</v>
      </c>
      <c r="T445" t="s" s="0">
        <v>81</v>
      </c>
      <c r="U445" t="s" s="0">
        <v>81</v>
      </c>
      <c r="V445" t="s" s="0">
        <v>10381</v>
      </c>
      <c r="W445" t="s" s="0">
        <v>10382</v>
      </c>
      <c r="X445" t="s" s="0">
        <v>81</v>
      </c>
      <c r="Y445" t="s" s="0">
        <v>81</v>
      </c>
      <c r="Z445" t="s" s="0">
        <v>93</v>
      </c>
      <c r="AA445" t="s" s="0">
        <v>94</v>
      </c>
      <c r="AB445" t="s" s="0">
        <v>81</v>
      </c>
      <c r="AC445" t="s" s="0">
        <v>81</v>
      </c>
      <c r="AD445" t="s" s="0">
        <v>81</v>
      </c>
      <c r="AE445" t="s" s="0">
        <v>81</v>
      </c>
      <c r="AF445" t="s" s="0">
        <v>81</v>
      </c>
      <c r="AG445" t="s" s="0">
        <v>10383</v>
      </c>
      <c r="AH445" t="s" s="0">
        <v>10384</v>
      </c>
      <c r="AI445" t="s" s="0">
        <v>81</v>
      </c>
      <c r="AJ445" t="s" s="0">
        <v>81</v>
      </c>
      <c r="AK445" t="s" s="0">
        <v>81</v>
      </c>
      <c r="AL445" t="s" s="0">
        <v>1217</v>
      </c>
      <c r="AM445" t="s" s="0">
        <v>131</v>
      </c>
      <c r="AN445" t="s" s="0">
        <v>128</v>
      </c>
      <c r="AO445" t="s" s="0">
        <v>77</v>
      </c>
      <c r="AP445" t="s" s="0">
        <v>131</v>
      </c>
      <c r="AQ445" t="s" s="0">
        <v>4552</v>
      </c>
      <c r="AR445" t="s" s="0">
        <v>4553</v>
      </c>
      <c r="AS445" t="s" s="0">
        <v>4554</v>
      </c>
      <c r="AT445" t="s" s="0">
        <v>81</v>
      </c>
      <c r="AU445" t="s" s="0">
        <v>10385</v>
      </c>
      <c r="AV445" t="s" s="0">
        <v>81</v>
      </c>
      <c r="AW445" t="s" s="0">
        <v>10382</v>
      </c>
      <c r="AX445" t="s" s="0">
        <v>10386</v>
      </c>
      <c r="AY445" t="s" s="0">
        <v>6002</v>
      </c>
      <c r="AZ445" t="s" s="0">
        <v>1519</v>
      </c>
      <c r="BA445" t="s" s="0">
        <v>128</v>
      </c>
      <c r="BB445" t="s" s="0">
        <v>131</v>
      </c>
      <c r="BC445" t="s" s="0">
        <v>81</v>
      </c>
      <c r="BD445" t="s" s="0">
        <v>81</v>
      </c>
      <c r="BE445" t="s" s="0">
        <v>81</v>
      </c>
      <c r="BF445" t="s" s="0">
        <v>81</v>
      </c>
      <c r="BG445" t="s" s="0">
        <v>81</v>
      </c>
      <c r="BH445" t="s" s="0">
        <v>81</v>
      </c>
      <c r="BI445" t="s" s="0">
        <v>10387</v>
      </c>
      <c r="BJ445" t="s" s="0">
        <v>10388</v>
      </c>
      <c r="BK445" t="s" s="886">
        <f>HYPERLINK("http://dx.doi.org/10.1016/j.heliyon.2023.e16552","http://dx.doi.org/10.1016/j.heliyon.2023.e16552")</f>
        <v>10389</v>
      </c>
      <c r="BL445" t="s" s="0">
        <v>81</v>
      </c>
      <c r="BM445" t="s" s="0">
        <v>4675</v>
      </c>
      <c r="BN445" t="s" s="0">
        <v>564</v>
      </c>
      <c r="BO445" t="s" s="0">
        <v>285</v>
      </c>
      <c r="BP445" t="s" s="0">
        <v>286</v>
      </c>
      <c r="BQ445" t="s" s="0">
        <v>10390</v>
      </c>
      <c r="BR445" t="s" s="0">
        <v>10391</v>
      </c>
      <c r="BS445" t="s" s="0">
        <v>10392</v>
      </c>
      <c r="BT445" t="s" s="887">
        <f>HYPERLINK("https://www.webofscience.com/wos/woscc/full-record/WOS:001022048000001","View Record in Web of Science")</f>
        <v>114</v>
      </c>
      <c r="BU445" t="s" s="0">
        <v>145</v>
      </c>
      <c r="BV445" t="s" s="0">
        <v>81</v>
      </c>
      <c r="BW445" t="s" s="0">
        <v>81</v>
      </c>
      <c r="BX445" t="s" s="0">
        <v>116</v>
      </c>
    </row>
    <row r="446">
      <c r="A446" t="s" s="0">
        <v>77</v>
      </c>
      <c r="B446" t="s" s="0">
        <v>77</v>
      </c>
      <c r="C446" t="s" s="0">
        <v>77</v>
      </c>
      <c r="D446" t="s" s="0">
        <v>77</v>
      </c>
      <c r="E446" t="s" s="0">
        <v>10393</v>
      </c>
      <c r="F446" t="s" s="0">
        <v>10394</v>
      </c>
      <c r="G446" t="s" s="0">
        <v>10395</v>
      </c>
      <c r="H446" t="s" s="0">
        <v>81</v>
      </c>
      <c r="I446" t="s" s="0">
        <v>82</v>
      </c>
      <c r="J446" t="s" s="0">
        <v>10396</v>
      </c>
      <c r="K446" t="s" s="0">
        <v>10397</v>
      </c>
      <c r="L446" t="s" s="0">
        <v>81</v>
      </c>
      <c r="M446" t="s" s="0">
        <v>81</v>
      </c>
      <c r="N446" t="s" s="0">
        <v>81</v>
      </c>
      <c r="O446" t="s" s="0">
        <v>10398</v>
      </c>
      <c r="P446" t="s" s="0">
        <v>81</v>
      </c>
      <c r="Q446" t="s" s="0">
        <v>90</v>
      </c>
      <c r="R446" t="s" s="0">
        <v>81</v>
      </c>
      <c r="S446" t="s" s="0">
        <v>81</v>
      </c>
      <c r="T446" t="s" s="0">
        <v>81</v>
      </c>
      <c r="U446" t="s" s="0">
        <v>81</v>
      </c>
      <c r="V446" t="s" s="0">
        <v>10399</v>
      </c>
      <c r="W446" t="s" s="0">
        <v>3181</v>
      </c>
      <c r="X446" t="s" s="0">
        <v>81</v>
      </c>
      <c r="Y446" t="s" s="0">
        <v>81</v>
      </c>
      <c r="Z446" t="s" s="0">
        <v>93</v>
      </c>
      <c r="AA446" t="s" s="0">
        <v>94</v>
      </c>
      <c r="AB446" t="s" s="0">
        <v>81</v>
      </c>
      <c r="AC446" t="s" s="0">
        <v>81</v>
      </c>
      <c r="AD446" t="s" s="0">
        <v>81</v>
      </c>
      <c r="AE446" t="s" s="0">
        <v>81</v>
      </c>
      <c r="AF446" t="s" s="0">
        <v>81</v>
      </c>
      <c r="AG446" t="s" s="0">
        <v>10400</v>
      </c>
      <c r="AH446" t="s" s="0">
        <v>10401</v>
      </c>
      <c r="AI446" t="s" s="0">
        <v>81</v>
      </c>
      <c r="AJ446" t="s" s="0">
        <v>81</v>
      </c>
      <c r="AK446" t="s" s="0">
        <v>81</v>
      </c>
      <c r="AL446" t="s" s="0">
        <v>1097</v>
      </c>
      <c r="AM446" t="s" s="0">
        <v>77</v>
      </c>
      <c r="AN446" t="s" s="0">
        <v>77</v>
      </c>
      <c r="AO446" t="s" s="0">
        <v>77</v>
      </c>
      <c r="AP446" t="s" s="0">
        <v>77</v>
      </c>
      <c r="AQ446" t="s" s="0">
        <v>1068</v>
      </c>
      <c r="AR446" t="s" s="0">
        <v>1069</v>
      </c>
      <c r="AS446" t="s" s="0">
        <v>1070</v>
      </c>
      <c r="AT446" t="s" s="0">
        <v>3187</v>
      </c>
      <c r="AU446" t="s" s="0">
        <v>3188</v>
      </c>
      <c r="AV446" t="s" s="0">
        <v>81</v>
      </c>
      <c r="AW446" t="s" s="0">
        <v>3189</v>
      </c>
      <c r="AX446" t="s" s="0">
        <v>3190</v>
      </c>
      <c r="AY446" t="s" s="0">
        <v>5344</v>
      </c>
      <c r="AZ446" t="s" s="0">
        <v>104</v>
      </c>
      <c r="BA446" t="s" s="0">
        <v>4068</v>
      </c>
      <c r="BB446" t="s" s="0">
        <v>81</v>
      </c>
      <c r="BC446" t="s" s="0">
        <v>81</v>
      </c>
      <c r="BD446" t="s" s="0">
        <v>5345</v>
      </c>
      <c r="BE446" t="s" s="0">
        <v>81</v>
      </c>
      <c r="BF446" t="s" s="0">
        <v>81</v>
      </c>
      <c r="BG446" t="s" s="0">
        <v>81</v>
      </c>
      <c r="BH446" t="s" s="0">
        <v>81</v>
      </c>
      <c r="BI446" t="s" s="0">
        <v>10402</v>
      </c>
      <c r="BJ446" t="s" s="0">
        <v>10403</v>
      </c>
      <c r="BK446" t="s" s="888">
        <f>HYPERLINK("http://dx.doi.org/10.1016/j.bspc.2026.110977","http://dx.doi.org/10.1016/j.bspc.2026.110977")</f>
        <v>10404</v>
      </c>
      <c r="BL446" t="s" s="0">
        <v>81</v>
      </c>
      <c r="BM446" t="s" s="0">
        <v>317</v>
      </c>
      <c r="BN446" t="s" s="0">
        <v>137</v>
      </c>
      <c r="BO446" t="s" s="0">
        <v>238</v>
      </c>
      <c r="BP446" t="s" s="0">
        <v>239</v>
      </c>
      <c r="BQ446" t="s" s="0">
        <v>10405</v>
      </c>
      <c r="BR446" t="s" s="0">
        <v>81</v>
      </c>
      <c r="BS446" t="s" s="0">
        <v>10406</v>
      </c>
      <c r="BT446" t="s" s="889">
        <f>HYPERLINK("https://www.webofscience.com/wos/woscc/full-record/WOS:001819971700001","View Record in Web of Science")</f>
        <v>114</v>
      </c>
      <c r="BU446" t="s" s="0">
        <v>81</v>
      </c>
      <c r="BV446" t="s" s="0">
        <v>81</v>
      </c>
      <c r="BW446" t="s" s="0">
        <v>81</v>
      </c>
      <c r="BX446" t="s" s="0">
        <v>116</v>
      </c>
    </row>
    <row r="447">
      <c r="A447" t="s" s="0">
        <v>77</v>
      </c>
      <c r="B447" t="s" s="0">
        <v>77</v>
      </c>
      <c r="C447" t="s" s="0">
        <v>227</v>
      </c>
      <c r="D447" t="s" s="0">
        <v>77</v>
      </c>
      <c r="E447" t="s" s="0">
        <v>10407</v>
      </c>
      <c r="F447" t="s" s="0">
        <v>10408</v>
      </c>
      <c r="G447" t="s" s="0">
        <v>10409</v>
      </c>
      <c r="H447" t="s" s="0">
        <v>81</v>
      </c>
      <c r="I447" t="s" s="0">
        <v>82</v>
      </c>
      <c r="J447" t="s" s="0">
        <v>10410</v>
      </c>
      <c r="K447" t="s" s="0">
        <v>10411</v>
      </c>
      <c r="L447" t="s" s="0">
        <v>10412</v>
      </c>
      <c r="M447" t="s" s="0">
        <v>10413</v>
      </c>
      <c r="N447" t="s" s="0">
        <v>10414</v>
      </c>
      <c r="O447" t="s" s="0">
        <v>10415</v>
      </c>
      <c r="P447" t="s" s="0">
        <v>10416</v>
      </c>
      <c r="Q447" t="s" s="0">
        <v>90</v>
      </c>
      <c r="R447" t="s" s="0">
        <v>81</v>
      </c>
      <c r="S447" t="s" s="0">
        <v>81</v>
      </c>
      <c r="T447" t="s" s="0">
        <v>81</v>
      </c>
      <c r="U447" t="s" s="0">
        <v>81</v>
      </c>
      <c r="V447" t="s" s="0">
        <v>10417</v>
      </c>
      <c r="W447" t="s" s="0">
        <v>10418</v>
      </c>
      <c r="X447" t="s" s="0">
        <v>81</v>
      </c>
      <c r="Y447" t="s" s="0">
        <v>81</v>
      </c>
      <c r="Z447" t="s" s="0">
        <v>93</v>
      </c>
      <c r="AA447" t="s" s="0">
        <v>94</v>
      </c>
      <c r="AB447" t="s" s="0">
        <v>81</v>
      </c>
      <c r="AC447" t="s" s="0">
        <v>81</v>
      </c>
      <c r="AD447" t="s" s="0">
        <v>81</v>
      </c>
      <c r="AE447" t="s" s="0">
        <v>81</v>
      </c>
      <c r="AF447" t="s" s="0">
        <v>81</v>
      </c>
      <c r="AG447" t="s" s="0">
        <v>10419</v>
      </c>
      <c r="AH447" t="s" s="0">
        <v>10420</v>
      </c>
      <c r="AI447" t="s" s="0">
        <v>10421</v>
      </c>
      <c r="AJ447" t="s" s="0">
        <v>10422</v>
      </c>
      <c r="AK447" t="s" s="0">
        <v>81</v>
      </c>
      <c r="AL447" t="s" s="0">
        <v>798</v>
      </c>
      <c r="AM447" t="s" s="0">
        <v>129</v>
      </c>
      <c r="AN447" t="s" s="0">
        <v>129</v>
      </c>
      <c r="AO447" t="s" s="0">
        <v>117</v>
      </c>
      <c r="AP447" t="s" s="0">
        <v>2623</v>
      </c>
      <c r="AQ447" t="s" s="0">
        <v>10423</v>
      </c>
      <c r="AR447" t="s" s="0">
        <v>10424</v>
      </c>
      <c r="AS447" t="s" s="0">
        <v>10425</v>
      </c>
      <c r="AT447" t="s" s="0">
        <v>10426</v>
      </c>
      <c r="AU447" t="s" s="0">
        <v>10427</v>
      </c>
      <c r="AV447" t="s" s="0">
        <v>81</v>
      </c>
      <c r="AW447" t="s" s="0">
        <v>10428</v>
      </c>
      <c r="AX447" t="s" s="0">
        <v>10429</v>
      </c>
      <c r="AY447" t="s" s="0">
        <v>10430</v>
      </c>
      <c r="AZ447" t="s" s="0">
        <v>573</v>
      </c>
      <c r="BA447" t="s" s="0">
        <v>475</v>
      </c>
      <c r="BB447" t="s" s="0">
        <v>160</v>
      </c>
      <c r="BC447" t="s" s="0">
        <v>81</v>
      </c>
      <c r="BD447" t="s" s="0">
        <v>81</v>
      </c>
      <c r="BE447" t="s" s="0">
        <v>81</v>
      </c>
      <c r="BF447" t="s" s="0">
        <v>81</v>
      </c>
      <c r="BG447" t="s" s="0">
        <v>10431</v>
      </c>
      <c r="BH447" t="s" s="0">
        <v>10432</v>
      </c>
      <c r="BI447" t="s" s="0">
        <v>81</v>
      </c>
      <c r="BJ447" t="s" s="0">
        <v>10433</v>
      </c>
      <c r="BK447" t="s" s="890">
        <f>HYPERLINK("http://dx.doi.org/10.1109/TCBB.2022.3204619","http://dx.doi.org/10.1109/TCBB.2022.3204619")</f>
        <v>10434</v>
      </c>
      <c r="BL447" t="s" s="0">
        <v>81</v>
      </c>
      <c r="BM447" t="s" s="0">
        <v>81</v>
      </c>
      <c r="BN447" t="s" s="0">
        <v>228</v>
      </c>
      <c r="BO447" t="s" s="0">
        <v>10435</v>
      </c>
      <c r="BP447" t="s" s="0">
        <v>10436</v>
      </c>
      <c r="BQ447" t="s" s="0">
        <v>10437</v>
      </c>
      <c r="BR447" t="s" s="0">
        <v>10438</v>
      </c>
      <c r="BS447" t="s" s="0">
        <v>10439</v>
      </c>
      <c r="BT447" t="s" s="891">
        <f>HYPERLINK("https://www.webofscience.com/wos/woscc/full-record/WOS:001290429100049","View Record in Web of Science")</f>
        <v>114</v>
      </c>
      <c r="BU447" t="s" s="0">
        <v>81</v>
      </c>
      <c r="BV447" t="s" s="0">
        <v>81</v>
      </c>
      <c r="BW447" t="s" s="0">
        <v>81</v>
      </c>
      <c r="BX447" t="s" s="0">
        <v>116</v>
      </c>
    </row>
    <row r="448">
      <c r="A448" t="s" s="0">
        <v>77</v>
      </c>
      <c r="B448" t="s" s="0">
        <v>77</v>
      </c>
      <c r="C448" t="s" s="0">
        <v>253</v>
      </c>
      <c r="D448" t="s" s="0">
        <v>77</v>
      </c>
      <c r="E448" t="s" s="0">
        <v>10440</v>
      </c>
      <c r="F448" t="s" s="0">
        <v>10441</v>
      </c>
      <c r="G448" t="s" s="0">
        <v>10442</v>
      </c>
      <c r="H448" t="s" s="0">
        <v>81</v>
      </c>
      <c r="I448" t="s" s="0">
        <v>82</v>
      </c>
      <c r="J448" t="s" s="0">
        <v>10443</v>
      </c>
      <c r="K448" t="s" s="0">
        <v>10444</v>
      </c>
      <c r="L448" t="s" s="0">
        <v>10445</v>
      </c>
      <c r="M448" t="s" s="0">
        <v>10446</v>
      </c>
      <c r="N448" t="s" s="0">
        <v>10447</v>
      </c>
      <c r="O448" t="s" s="0">
        <v>10448</v>
      </c>
      <c r="P448" t="s" s="0">
        <v>9828</v>
      </c>
      <c r="Q448" t="s" s="0">
        <v>90</v>
      </c>
      <c r="R448" t="s" s="0">
        <v>81</v>
      </c>
      <c r="S448" t="s" s="0">
        <v>81</v>
      </c>
      <c r="T448" t="s" s="0">
        <v>81</v>
      </c>
      <c r="U448" t="s" s="0">
        <v>81</v>
      </c>
      <c r="V448" t="s" s="0">
        <v>10449</v>
      </c>
      <c r="W448" t="s" s="0">
        <v>10450</v>
      </c>
      <c r="X448" t="s" s="0">
        <v>81</v>
      </c>
      <c r="Y448" t="s" s="0">
        <v>81</v>
      </c>
      <c r="Z448" t="s" s="0">
        <v>93</v>
      </c>
      <c r="AA448" t="s" s="0">
        <v>94</v>
      </c>
      <c r="AB448" t="s" s="0">
        <v>81</v>
      </c>
      <c r="AC448" t="s" s="0">
        <v>81</v>
      </c>
      <c r="AD448" t="s" s="0">
        <v>81</v>
      </c>
      <c r="AE448" t="s" s="0">
        <v>81</v>
      </c>
      <c r="AF448" t="s" s="0">
        <v>81</v>
      </c>
      <c r="AG448" t="s" s="0">
        <v>10451</v>
      </c>
      <c r="AH448" t="s" s="0">
        <v>10452</v>
      </c>
      <c r="AI448" t="s" s="0">
        <v>10453</v>
      </c>
      <c r="AJ448" t="s" s="0">
        <v>81</v>
      </c>
      <c r="AK448" t="s" s="0">
        <v>81</v>
      </c>
      <c r="AL448" t="s" s="0">
        <v>1161</v>
      </c>
      <c r="AM448" t="s" s="0">
        <v>225</v>
      </c>
      <c r="AN448" t="s" s="0">
        <v>128</v>
      </c>
      <c r="AO448" t="s" s="0">
        <v>130</v>
      </c>
      <c r="AP448" t="s" s="0">
        <v>258</v>
      </c>
      <c r="AQ448" t="s" s="0">
        <v>305</v>
      </c>
      <c r="AR448" t="s" s="0">
        <v>306</v>
      </c>
      <c r="AS448" t="s" s="0">
        <v>307</v>
      </c>
      <c r="AT448" t="s" s="0">
        <v>10454</v>
      </c>
      <c r="AU448" t="s" s="0">
        <v>10455</v>
      </c>
      <c r="AV448" t="s" s="0">
        <v>81</v>
      </c>
      <c r="AW448" t="s" s="0">
        <v>10456</v>
      </c>
      <c r="AX448" t="s" s="0">
        <v>10457</v>
      </c>
      <c r="AY448" t="s" s="0">
        <v>1798</v>
      </c>
      <c r="AZ448" t="s" s="0">
        <v>573</v>
      </c>
      <c r="BA448" t="s" s="0">
        <v>10458</v>
      </c>
      <c r="BB448" t="s" s="0">
        <v>81</v>
      </c>
      <c r="BC448" t="s" s="0">
        <v>81</v>
      </c>
      <c r="BD448" t="s" s="0">
        <v>81</v>
      </c>
      <c r="BE448" t="s" s="0">
        <v>81</v>
      </c>
      <c r="BF448" t="s" s="0">
        <v>81</v>
      </c>
      <c r="BG448" t="s" s="0">
        <v>81</v>
      </c>
      <c r="BH448" t="s" s="0">
        <v>81</v>
      </c>
      <c r="BI448" t="s" s="0">
        <v>10459</v>
      </c>
      <c r="BJ448" t="s" s="0">
        <v>10460</v>
      </c>
      <c r="BK448" t="s" s="892">
        <f>HYPERLINK("http://dx.doi.org/10.1016/j.cie.2024.110625","http://dx.doi.org/10.1016/j.cie.2024.110625")</f>
        <v>10461</v>
      </c>
      <c r="BL448" t="s" s="0">
        <v>81</v>
      </c>
      <c r="BM448" t="s" s="0">
        <v>572</v>
      </c>
      <c r="BN448" t="s" s="0">
        <v>172</v>
      </c>
      <c r="BO448" t="s" s="0">
        <v>10462</v>
      </c>
      <c r="BP448" t="s" s="0">
        <v>206</v>
      </c>
      <c r="BQ448" t="s" s="0">
        <v>10463</v>
      </c>
      <c r="BR448" t="s" s="0">
        <v>81</v>
      </c>
      <c r="BS448" t="s" s="0">
        <v>10464</v>
      </c>
      <c r="BT448" t="s" s="893">
        <f>HYPERLINK("https://www.webofscience.com/wos/woscc/full-record/WOS:001334915400001","View Record in Web of Science")</f>
        <v>114</v>
      </c>
      <c r="BU448" t="s" s="0">
        <v>81</v>
      </c>
      <c r="BV448" t="s" s="0">
        <v>81</v>
      </c>
      <c r="BW448" t="s" s="0">
        <v>81</v>
      </c>
      <c r="BX448" t="s" s="0">
        <v>116</v>
      </c>
    </row>
    <row r="449">
      <c r="A449" t="s" s="0">
        <v>227</v>
      </c>
      <c r="B449" t="s" s="0">
        <v>77</v>
      </c>
      <c r="C449" t="s" s="0">
        <v>130</v>
      </c>
      <c r="D449" t="s" s="0">
        <v>77</v>
      </c>
      <c r="E449" t="s" s="0">
        <v>10465</v>
      </c>
      <c r="F449" t="s" s="0">
        <v>10466</v>
      </c>
      <c r="G449" t="s" s="0">
        <v>10467</v>
      </c>
      <c r="H449" t="s" s="0">
        <v>81</v>
      </c>
      <c r="I449" t="s" s="0">
        <v>82</v>
      </c>
      <c r="J449" t="s" s="0">
        <v>10468</v>
      </c>
      <c r="K449" t="s" s="0">
        <v>10469</v>
      </c>
      <c r="L449" t="s" s="0">
        <v>4079</v>
      </c>
      <c r="M449" t="s" s="0">
        <v>184</v>
      </c>
      <c r="N449" t="s" s="0">
        <v>10470</v>
      </c>
      <c r="O449" t="s" s="0">
        <v>10471</v>
      </c>
      <c r="P449" t="s" s="0">
        <v>10472</v>
      </c>
      <c r="Q449" t="s" s="0">
        <v>90</v>
      </c>
      <c r="R449" t="s" s="0">
        <v>81</v>
      </c>
      <c r="S449" t="s" s="0">
        <v>81</v>
      </c>
      <c r="T449" t="s" s="0">
        <v>81</v>
      </c>
      <c r="U449" t="s" s="0">
        <v>81</v>
      </c>
      <c r="V449" t="s" s="0">
        <v>10473</v>
      </c>
      <c r="W449" t="s" s="0">
        <v>6872</v>
      </c>
      <c r="X449" t="s" s="0">
        <v>81</v>
      </c>
      <c r="Y449" t="s" s="0">
        <v>81</v>
      </c>
      <c r="Z449" t="s" s="0">
        <v>93</v>
      </c>
      <c r="AA449" t="s" s="0">
        <v>94</v>
      </c>
      <c r="AB449" t="s" s="0">
        <v>81</v>
      </c>
      <c r="AC449" t="s" s="0">
        <v>81</v>
      </c>
      <c r="AD449" t="s" s="0">
        <v>81</v>
      </c>
      <c r="AE449" t="s" s="0">
        <v>81</v>
      </c>
      <c r="AF449" t="s" s="0">
        <v>81</v>
      </c>
      <c r="AG449" t="s" s="0">
        <v>10474</v>
      </c>
      <c r="AH449" t="s" s="0">
        <v>10475</v>
      </c>
      <c r="AI449" t="s" s="0">
        <v>10476</v>
      </c>
      <c r="AJ449" t="s" s="0">
        <v>10477</v>
      </c>
      <c r="AK449" t="s" s="0">
        <v>81</v>
      </c>
      <c r="AL449" t="s" s="0">
        <v>304</v>
      </c>
      <c r="AM449" t="s" s="0">
        <v>204</v>
      </c>
      <c r="AN449" t="s" s="0">
        <v>228</v>
      </c>
      <c r="AO449" t="s" s="0">
        <v>253</v>
      </c>
      <c r="AP449" t="s" s="0">
        <v>345</v>
      </c>
      <c r="AQ449" t="s" s="0">
        <v>370</v>
      </c>
      <c r="AR449" t="s" s="0">
        <v>1099</v>
      </c>
      <c r="AS449" t="s" s="0">
        <v>1873</v>
      </c>
      <c r="AT449" t="s" s="0">
        <v>6875</v>
      </c>
      <c r="AU449" t="s" s="0">
        <v>6876</v>
      </c>
      <c r="AV449" t="s" s="0">
        <v>81</v>
      </c>
      <c r="AW449" t="s" s="0">
        <v>6877</v>
      </c>
      <c r="AX449" t="s" s="0">
        <v>6878</v>
      </c>
      <c r="AY449" t="s" s="0">
        <v>636</v>
      </c>
      <c r="AZ449" t="s" s="0">
        <v>136</v>
      </c>
      <c r="BA449" t="s" s="0">
        <v>1161</v>
      </c>
      <c r="BB449" t="s" s="0">
        <v>131</v>
      </c>
      <c r="BC449" t="s" s="0">
        <v>81</v>
      </c>
      <c r="BD449" t="s" s="0">
        <v>81</v>
      </c>
      <c r="BE449" t="s" s="0">
        <v>81</v>
      </c>
      <c r="BF449" t="s" s="0">
        <v>81</v>
      </c>
      <c r="BG449" t="s" s="0">
        <v>10478</v>
      </c>
      <c r="BH449" t="s" s="0">
        <v>10479</v>
      </c>
      <c r="BI449" t="s" s="0">
        <v>81</v>
      </c>
      <c r="BJ449" t="s" s="0">
        <v>10480</v>
      </c>
      <c r="BK449" t="s" s="894">
        <f>HYPERLINK("http://dx.doi.org/10.1007/s00259-024-07065-2","http://dx.doi.org/10.1007/s00259-024-07065-2")</f>
        <v>10481</v>
      </c>
      <c r="BL449" t="s" s="0">
        <v>81</v>
      </c>
      <c r="BM449" t="s" s="0">
        <v>382</v>
      </c>
      <c r="BN449" t="s" s="0">
        <v>167</v>
      </c>
      <c r="BO449" t="s" s="0">
        <v>1881</v>
      </c>
      <c r="BP449" t="s" s="0">
        <v>1881</v>
      </c>
      <c r="BQ449" t="s" s="0">
        <v>10482</v>
      </c>
      <c r="BR449" t="s" s="0">
        <v>10483</v>
      </c>
      <c r="BS449" t="s" s="0">
        <v>10484</v>
      </c>
      <c r="BT449" t="s" s="895">
        <f>HYPERLINK("https://www.webofscience.com/wos/woscc/full-record/WOS:001405809100001","View Record in Web of Science")</f>
        <v>114</v>
      </c>
      <c r="BU449" t="s" s="0">
        <v>81</v>
      </c>
      <c r="BV449" t="s" s="0">
        <v>81</v>
      </c>
      <c r="BW449" t="s" s="0">
        <v>81</v>
      </c>
      <c r="BX449" t="s" s="0">
        <v>116</v>
      </c>
    </row>
    <row r="450">
      <c r="A450" t="s" s="0">
        <v>77</v>
      </c>
      <c r="B450" t="s" s="0">
        <v>77</v>
      </c>
      <c r="C450" t="s" s="0">
        <v>77</v>
      </c>
      <c r="D450" t="s" s="0">
        <v>77</v>
      </c>
      <c r="E450" t="s" s="0">
        <v>10485</v>
      </c>
      <c r="F450" t="s" s="0">
        <v>10486</v>
      </c>
      <c r="G450" t="s" s="0">
        <v>10487</v>
      </c>
      <c r="H450" t="s" s="0">
        <v>81</v>
      </c>
      <c r="I450" t="s" s="0">
        <v>82</v>
      </c>
      <c r="J450" t="s" s="0">
        <v>10488</v>
      </c>
      <c r="K450" t="s" s="0">
        <v>10489</v>
      </c>
      <c r="L450" t="s" s="0">
        <v>10490</v>
      </c>
      <c r="M450" t="s" s="0">
        <v>10491</v>
      </c>
      <c r="N450" t="s" s="0">
        <v>10492</v>
      </c>
      <c r="O450" t="s" s="0">
        <v>10493</v>
      </c>
      <c r="P450" t="s" s="0">
        <v>10494</v>
      </c>
      <c r="Q450" t="s" s="0">
        <v>90</v>
      </c>
      <c r="R450" t="s" s="0">
        <v>81</v>
      </c>
      <c r="S450" t="s" s="0">
        <v>81</v>
      </c>
      <c r="T450" t="s" s="0">
        <v>81</v>
      </c>
      <c r="U450" t="s" s="0">
        <v>81</v>
      </c>
      <c r="V450" t="s" s="0">
        <v>10495</v>
      </c>
      <c r="W450" t="s" s="0">
        <v>1391</v>
      </c>
      <c r="X450" t="s" s="0">
        <v>81</v>
      </c>
      <c r="Y450" t="s" s="0">
        <v>81</v>
      </c>
      <c r="Z450" t="s" s="0">
        <v>93</v>
      </c>
      <c r="AA450" t="s" s="0">
        <v>94</v>
      </c>
      <c r="AB450" t="s" s="0">
        <v>81</v>
      </c>
      <c r="AC450" t="s" s="0">
        <v>81</v>
      </c>
      <c r="AD450" t="s" s="0">
        <v>81</v>
      </c>
      <c r="AE450" t="s" s="0">
        <v>81</v>
      </c>
      <c r="AF450" t="s" s="0">
        <v>81</v>
      </c>
      <c r="AG450" t="s" s="0">
        <v>81</v>
      </c>
      <c r="AH450" t="s" s="0">
        <v>81</v>
      </c>
      <c r="AI450" t="s" s="0">
        <v>10496</v>
      </c>
      <c r="AJ450" t="s" s="0">
        <v>10497</v>
      </c>
      <c r="AK450" t="s" s="0">
        <v>81</v>
      </c>
      <c r="AL450" t="s" s="0">
        <v>252</v>
      </c>
      <c r="AM450" t="s" s="0">
        <v>117</v>
      </c>
      <c r="AN450" t="s" s="0">
        <v>130</v>
      </c>
      <c r="AO450" t="s" s="0">
        <v>227</v>
      </c>
      <c r="AP450" t="s" s="0">
        <v>227</v>
      </c>
      <c r="AQ450" t="s" s="0">
        <v>274</v>
      </c>
      <c r="AR450" t="s" s="0">
        <v>275</v>
      </c>
      <c r="AS450" t="s" s="0">
        <v>276</v>
      </c>
      <c r="AT450" t="s" s="0">
        <v>1395</v>
      </c>
      <c r="AU450" t="s" s="0">
        <v>81</v>
      </c>
      <c r="AV450" t="s" s="0">
        <v>81</v>
      </c>
      <c r="AW450" t="s" s="0">
        <v>1396</v>
      </c>
      <c r="AX450" t="s" s="0">
        <v>1397</v>
      </c>
      <c r="AY450" t="s" s="0">
        <v>4742</v>
      </c>
      <c r="AZ450" t="s" s="0">
        <v>104</v>
      </c>
      <c r="BA450" t="s" s="0">
        <v>128</v>
      </c>
      <c r="BB450" t="s" s="0">
        <v>117</v>
      </c>
      <c r="BC450" t="s" s="0">
        <v>81</v>
      </c>
      <c r="BD450" t="s" s="0">
        <v>81</v>
      </c>
      <c r="BE450" t="s" s="0">
        <v>81</v>
      </c>
      <c r="BF450" t="s" s="0">
        <v>81</v>
      </c>
      <c r="BG450" t="s" s="0">
        <v>81</v>
      </c>
      <c r="BH450" t="s" s="0">
        <v>81</v>
      </c>
      <c r="BI450" t="s" s="0">
        <v>10498</v>
      </c>
      <c r="BJ450" t="s" s="0">
        <v>10499</v>
      </c>
      <c r="BK450" t="s" s="896">
        <f>HYPERLINK("http://dx.doi.org/10.1038/s41746-025-02255-0","http://dx.doi.org/10.1038/s41746-025-02255-0")</f>
        <v>10500</v>
      </c>
      <c r="BL450" t="s" s="0">
        <v>81</v>
      </c>
      <c r="BM450" t="s" s="0">
        <v>349</v>
      </c>
      <c r="BN450" t="s" s="0">
        <v>228</v>
      </c>
      <c r="BO450" t="s" s="0">
        <v>1172</v>
      </c>
      <c r="BP450" t="s" s="0">
        <v>1172</v>
      </c>
      <c r="BQ450" t="s" s="0">
        <v>10501</v>
      </c>
      <c r="BR450" t="s" s="0">
        <v>10502</v>
      </c>
      <c r="BS450" t="s" s="0">
        <v>10503</v>
      </c>
      <c r="BT450" t="s" s="897">
        <f>HYPERLINK("https://www.webofscience.com/wos/woscc/full-record/WOS:001789879400001","View Record in Web of Science")</f>
        <v>114</v>
      </c>
      <c r="BU450" t="s" s="0">
        <v>145</v>
      </c>
      <c r="BV450" t="s" s="0">
        <v>81</v>
      </c>
      <c r="BW450" t="s" s="0">
        <v>81</v>
      </c>
      <c r="BX450" t="s" s="0">
        <v>116</v>
      </c>
    </row>
    <row r="451">
      <c r="A451" t="s" s="0">
        <v>117</v>
      </c>
      <c r="B451" t="s" s="0">
        <v>77</v>
      </c>
      <c r="C451" t="s" s="0">
        <v>130</v>
      </c>
      <c r="D451" t="s" s="0">
        <v>77</v>
      </c>
      <c r="E451" t="s" s="0">
        <v>10504</v>
      </c>
      <c r="F451" t="s" s="0">
        <v>10505</v>
      </c>
      <c r="G451" t="s" s="0">
        <v>10506</v>
      </c>
      <c r="H451" t="s" s="0">
        <v>81</v>
      </c>
      <c r="I451" t="s" s="0">
        <v>213</v>
      </c>
      <c r="J451" t="s" s="0">
        <v>10507</v>
      </c>
      <c r="K451" t="s" s="0">
        <v>10508</v>
      </c>
      <c r="L451" t="s" s="0">
        <v>10509</v>
      </c>
      <c r="M451" t="s" s="0">
        <v>10510</v>
      </c>
      <c r="N451" t="s" s="0">
        <v>10511</v>
      </c>
      <c r="O451" t="s" s="0">
        <v>10512</v>
      </c>
      <c r="P451" t="s" s="0">
        <v>10513</v>
      </c>
      <c r="Q451" t="s" s="0">
        <v>90</v>
      </c>
      <c r="R451" t="s" s="0">
        <v>81</v>
      </c>
      <c r="S451" t="s" s="0">
        <v>81</v>
      </c>
      <c r="T451" t="s" s="0">
        <v>81</v>
      </c>
      <c r="U451" t="s" s="0">
        <v>81</v>
      </c>
      <c r="V451" t="s" s="0">
        <v>10514</v>
      </c>
      <c r="W451" t="s" s="0">
        <v>10515</v>
      </c>
      <c r="X451" t="s" s="0">
        <v>81</v>
      </c>
      <c r="Y451" t="s" s="0">
        <v>81</v>
      </c>
      <c r="Z451" t="s" s="0">
        <v>93</v>
      </c>
      <c r="AA451" t="s" s="0">
        <v>94</v>
      </c>
      <c r="AB451" t="s" s="0">
        <v>81</v>
      </c>
      <c r="AC451" t="s" s="0">
        <v>81</v>
      </c>
      <c r="AD451" t="s" s="0">
        <v>81</v>
      </c>
      <c r="AE451" t="s" s="0">
        <v>81</v>
      </c>
      <c r="AF451" t="s" s="0">
        <v>81</v>
      </c>
      <c r="AG451" t="s" s="0">
        <v>10516</v>
      </c>
      <c r="AH451" t="s" s="0">
        <v>10517</v>
      </c>
      <c r="AI451" t="s" s="0">
        <v>10518</v>
      </c>
      <c r="AJ451" t="s" s="0">
        <v>10519</v>
      </c>
      <c r="AK451" t="s" s="0">
        <v>81</v>
      </c>
      <c r="AL451" t="s" s="0">
        <v>337</v>
      </c>
      <c r="AM451" t="s" s="0">
        <v>131</v>
      </c>
      <c r="AN451" t="s" s="0">
        <v>225</v>
      </c>
      <c r="AO451" t="s" s="0">
        <v>117</v>
      </c>
      <c r="AP451" t="s" s="0">
        <v>160</v>
      </c>
      <c r="AQ451" t="s" s="0">
        <v>406</v>
      </c>
      <c r="AR451" t="s" s="0">
        <v>407</v>
      </c>
      <c r="AS451" t="s" s="0">
        <v>408</v>
      </c>
      <c r="AT451" t="s" s="0">
        <v>10520</v>
      </c>
      <c r="AU451" t="s" s="0">
        <v>81</v>
      </c>
      <c r="AV451" t="s" s="0">
        <v>81</v>
      </c>
      <c r="AW451" t="s" s="0">
        <v>10515</v>
      </c>
      <c r="AX451" t="s" s="0">
        <v>10521</v>
      </c>
      <c r="AY451" t="s" s="0">
        <v>6183</v>
      </c>
      <c r="AZ451" t="s" s="0">
        <v>573</v>
      </c>
      <c r="BA451" t="s" s="0">
        <v>253</v>
      </c>
      <c r="BB451" t="s" s="0">
        <v>161</v>
      </c>
      <c r="BC451" t="s" s="0">
        <v>81</v>
      </c>
      <c r="BD451" t="s" s="0">
        <v>81</v>
      </c>
      <c r="BE451" t="s" s="0">
        <v>81</v>
      </c>
      <c r="BF451" t="s" s="0">
        <v>81</v>
      </c>
      <c r="BG451" t="s" s="0">
        <v>10522</v>
      </c>
      <c r="BH451" t="s" s="0">
        <v>10523</v>
      </c>
      <c r="BI451" t="s" s="0">
        <v>81</v>
      </c>
      <c r="BJ451" t="s" s="0">
        <v>10524</v>
      </c>
      <c r="BK451" t="s" s="898">
        <f>HYPERLINK("http://dx.doi.org/10.1016/j.hroo.2024.04.014","http://dx.doi.org/10.1016/j.hroo.2024.04.014")</f>
        <v>10525</v>
      </c>
      <c r="BL451" t="s" s="0">
        <v>81</v>
      </c>
      <c r="BM451" t="s" s="0">
        <v>6183</v>
      </c>
      <c r="BN451" t="s" s="0">
        <v>225</v>
      </c>
      <c r="BO451" t="s" s="0">
        <v>515</v>
      </c>
      <c r="BP451" t="s" s="0">
        <v>516</v>
      </c>
      <c r="BQ451" t="s" s="0">
        <v>10526</v>
      </c>
      <c r="BR451" t="s" s="0">
        <v>10527</v>
      </c>
      <c r="BS451" t="s" s="0">
        <v>10528</v>
      </c>
      <c r="BT451" t="s" s="899">
        <f>HYPERLINK("https://www.webofscience.com/wos/woscc/full-record/WOS:001275592500001","View Record in Web of Science")</f>
        <v>114</v>
      </c>
      <c r="BU451" t="s" s="0">
        <v>145</v>
      </c>
      <c r="BV451" t="s" s="0">
        <v>81</v>
      </c>
      <c r="BW451" t="s" s="0">
        <v>81</v>
      </c>
      <c r="BX451" t="s" s="0">
        <v>116</v>
      </c>
    </row>
    <row r="452">
      <c r="A452" t="s" s="0">
        <v>77</v>
      </c>
      <c r="B452" t="s" s="0">
        <v>77</v>
      </c>
      <c r="C452" t="s" s="0">
        <v>130</v>
      </c>
      <c r="D452" t="s" s="0">
        <v>77</v>
      </c>
      <c r="E452" t="s" s="0">
        <v>10529</v>
      </c>
      <c r="F452" t="s" s="0">
        <v>10530</v>
      </c>
      <c r="G452" t="s" s="0">
        <v>10531</v>
      </c>
      <c r="H452" t="s" s="0">
        <v>81</v>
      </c>
      <c r="I452" t="s" s="0">
        <v>82</v>
      </c>
      <c r="J452" t="s" s="0">
        <v>10532</v>
      </c>
      <c r="K452" t="s" s="0">
        <v>10533</v>
      </c>
      <c r="L452" t="s" s="0">
        <v>10534</v>
      </c>
      <c r="M452" t="s" s="0">
        <v>10535</v>
      </c>
      <c r="N452" t="s" s="0">
        <v>10536</v>
      </c>
      <c r="O452" t="s" s="0">
        <v>10537</v>
      </c>
      <c r="P452" t="s" s="0">
        <v>10538</v>
      </c>
      <c r="Q452" t="s" s="0">
        <v>90</v>
      </c>
      <c r="R452" t="s" s="0">
        <v>81</v>
      </c>
      <c r="S452" t="s" s="0">
        <v>81</v>
      </c>
      <c r="T452" t="s" s="0">
        <v>81</v>
      </c>
      <c r="U452" t="s" s="0">
        <v>81</v>
      </c>
      <c r="V452" t="s" s="0">
        <v>10539</v>
      </c>
      <c r="W452" t="s" s="0">
        <v>9406</v>
      </c>
      <c r="X452" t="s" s="0">
        <v>81</v>
      </c>
      <c r="Y452" t="s" s="0">
        <v>81</v>
      </c>
      <c r="Z452" t="s" s="0">
        <v>93</v>
      </c>
      <c r="AA452" t="s" s="0">
        <v>94</v>
      </c>
      <c r="AB452" t="s" s="0">
        <v>81</v>
      </c>
      <c r="AC452" t="s" s="0">
        <v>81</v>
      </c>
      <c r="AD452" t="s" s="0">
        <v>81</v>
      </c>
      <c r="AE452" t="s" s="0">
        <v>81</v>
      </c>
      <c r="AF452" t="s" s="0">
        <v>81</v>
      </c>
      <c r="AG452" t="s" s="0">
        <v>10540</v>
      </c>
      <c r="AH452" t="s" s="0">
        <v>10541</v>
      </c>
      <c r="AI452" t="s" s="0">
        <v>10542</v>
      </c>
      <c r="AJ452" t="s" s="0">
        <v>81</v>
      </c>
      <c r="AK452" t="s" s="0">
        <v>81</v>
      </c>
      <c r="AL452" t="s" s="0">
        <v>159</v>
      </c>
      <c r="AM452" t="s" s="0">
        <v>131</v>
      </c>
      <c r="AN452" t="s" s="0">
        <v>131</v>
      </c>
      <c r="AO452" t="s" s="0">
        <v>117</v>
      </c>
      <c r="AP452" t="s" s="0">
        <v>105</v>
      </c>
      <c r="AQ452" t="s" s="0">
        <v>194</v>
      </c>
      <c r="AR452" t="s" s="0">
        <v>195</v>
      </c>
      <c r="AS452" t="s" s="0">
        <v>196</v>
      </c>
      <c r="AT452" t="s" s="0">
        <v>9408</v>
      </c>
      <c r="AU452" t="s" s="0">
        <v>9409</v>
      </c>
      <c r="AV452" t="s" s="0">
        <v>81</v>
      </c>
      <c r="AW452" t="s" s="0">
        <v>9410</v>
      </c>
      <c r="AX452" t="s" s="0">
        <v>9411</v>
      </c>
      <c r="AY452" t="s" s="0">
        <v>10543</v>
      </c>
      <c r="AZ452" t="s" s="0">
        <v>573</v>
      </c>
      <c r="BA452" t="s" s="0">
        <v>5139</v>
      </c>
      <c r="BB452" t="s" s="0">
        <v>117</v>
      </c>
      <c r="BC452" t="s" s="0">
        <v>81</v>
      </c>
      <c r="BD452" t="s" s="0">
        <v>81</v>
      </c>
      <c r="BE452" t="s" s="0">
        <v>81</v>
      </c>
      <c r="BF452" t="s" s="0">
        <v>81</v>
      </c>
      <c r="BG452" t="s" s="0">
        <v>81</v>
      </c>
      <c r="BH452" t="s" s="0">
        <v>81</v>
      </c>
      <c r="BI452" t="s" s="0">
        <v>10544</v>
      </c>
      <c r="BJ452" t="s" s="0">
        <v>10545</v>
      </c>
      <c r="BK452" t="s" s="900">
        <f>HYPERLINK("http://dx.doi.org/10.1080/07853890.2024.2399759","http://dx.doi.org/10.1080/07853890.2024.2399759")</f>
        <v>10546</v>
      </c>
      <c r="BL452" t="s" s="0">
        <v>81</v>
      </c>
      <c r="BM452" t="s" s="0">
        <v>81</v>
      </c>
      <c r="BN452" t="s" s="0">
        <v>228</v>
      </c>
      <c r="BO452" t="s" s="0">
        <v>486</v>
      </c>
      <c r="BP452" t="s" s="0">
        <v>487</v>
      </c>
      <c r="BQ452" t="s" s="0">
        <v>10547</v>
      </c>
      <c r="BR452" t="s" s="0">
        <v>10548</v>
      </c>
      <c r="BS452" t="s" s="0">
        <v>10549</v>
      </c>
      <c r="BT452" t="s" s="901">
        <f>HYPERLINK("https://www.webofscience.com/wos/woscc/full-record/WOS:001310526600001","View Record in Web of Science")</f>
        <v>114</v>
      </c>
      <c r="BU452" t="s" s="0">
        <v>145</v>
      </c>
      <c r="BV452" t="s" s="0">
        <v>81</v>
      </c>
      <c r="BW452" t="s" s="0">
        <v>81</v>
      </c>
      <c r="BX452" t="s" s="0">
        <v>116</v>
      </c>
    </row>
    <row r="453">
      <c r="A453" t="s" s="0">
        <v>77</v>
      </c>
      <c r="B453" t="s" s="0">
        <v>77</v>
      </c>
      <c r="C453" t="s" s="0">
        <v>77</v>
      </c>
      <c r="D453" t="s" s="0">
        <v>77</v>
      </c>
      <c r="E453" t="s" s="0">
        <v>10550</v>
      </c>
      <c r="F453" t="s" s="0">
        <v>10551</v>
      </c>
      <c r="G453" t="s" s="0">
        <v>10552</v>
      </c>
      <c r="H453" t="s" s="0">
        <v>81</v>
      </c>
      <c r="I453" t="s" s="0">
        <v>82</v>
      </c>
      <c r="J453" t="s" s="0">
        <v>10553</v>
      </c>
      <c r="K453" t="s" s="0">
        <v>10554</v>
      </c>
      <c r="L453" t="s" s="0">
        <v>10555</v>
      </c>
      <c r="M453" t="s" s="0">
        <v>10556</v>
      </c>
      <c r="N453" t="s" s="0">
        <v>10557</v>
      </c>
      <c r="O453" t="s" s="0">
        <v>10558</v>
      </c>
      <c r="P453" t="s" s="0">
        <v>10559</v>
      </c>
      <c r="Q453" t="s" s="0">
        <v>90</v>
      </c>
      <c r="R453" t="s" s="0">
        <v>81</v>
      </c>
      <c r="S453" t="s" s="0">
        <v>81</v>
      </c>
      <c r="T453" t="s" s="0">
        <v>81</v>
      </c>
      <c r="U453" t="s" s="0">
        <v>81</v>
      </c>
      <c r="V453" t="s" s="0">
        <v>10560</v>
      </c>
      <c r="W453" t="s" s="0">
        <v>10561</v>
      </c>
      <c r="X453" t="s" s="0">
        <v>81</v>
      </c>
      <c r="Y453" t="s" s="0">
        <v>81</v>
      </c>
      <c r="Z453" t="s" s="0">
        <v>93</v>
      </c>
      <c r="AA453" t="s" s="0">
        <v>94</v>
      </c>
      <c r="AB453" t="s" s="0">
        <v>81</v>
      </c>
      <c r="AC453" t="s" s="0">
        <v>81</v>
      </c>
      <c r="AD453" t="s" s="0">
        <v>81</v>
      </c>
      <c r="AE453" t="s" s="0">
        <v>81</v>
      </c>
      <c r="AF453" t="s" s="0">
        <v>81</v>
      </c>
      <c r="AG453" t="s" s="0">
        <v>10562</v>
      </c>
      <c r="AH453" t="s" s="0">
        <v>10563</v>
      </c>
      <c r="AI453" t="s" s="0">
        <v>10564</v>
      </c>
      <c r="AJ453" t="s" s="0">
        <v>81</v>
      </c>
      <c r="AK453" t="s" s="0">
        <v>81</v>
      </c>
      <c r="AL453" t="s" s="0">
        <v>1900</v>
      </c>
      <c r="AM453" t="s" s="0">
        <v>227</v>
      </c>
      <c r="AN453" t="s" s="0">
        <v>160</v>
      </c>
      <c r="AO453" t="s" s="0">
        <v>227</v>
      </c>
      <c r="AP453" t="s" s="0">
        <v>161</v>
      </c>
      <c r="AQ453" t="s" s="0">
        <v>708</v>
      </c>
      <c r="AR453" t="s" s="0">
        <v>709</v>
      </c>
      <c r="AS453" t="s" s="0">
        <v>710</v>
      </c>
      <c r="AT453" t="s" s="0">
        <v>10565</v>
      </c>
      <c r="AU453" t="s" s="0">
        <v>81</v>
      </c>
      <c r="AV453" t="s" s="0">
        <v>81</v>
      </c>
      <c r="AW453" t="s" s="0">
        <v>10566</v>
      </c>
      <c r="AX453" t="s" s="0">
        <v>10567</v>
      </c>
      <c r="AY453" t="s" s="0">
        <v>5910</v>
      </c>
      <c r="AZ453" t="s" s="0">
        <v>136</v>
      </c>
      <c r="BA453" t="s" s="0">
        <v>228</v>
      </c>
      <c r="BB453" t="s" s="0">
        <v>172</v>
      </c>
      <c r="BC453" t="s" s="0">
        <v>81</v>
      </c>
      <c r="BD453" t="s" s="0">
        <v>81</v>
      </c>
      <c r="BE453" t="s" s="0">
        <v>81</v>
      </c>
      <c r="BF453" t="s" s="0">
        <v>81</v>
      </c>
      <c r="BG453" t="s" s="0">
        <v>81</v>
      </c>
      <c r="BH453" t="s" s="0">
        <v>81</v>
      </c>
      <c r="BI453" t="s" s="0">
        <v>10568</v>
      </c>
      <c r="BJ453" t="s" s="0">
        <v>10569</v>
      </c>
      <c r="BK453" t="s" s="902">
        <f>HYPERLINK("http://dx.doi.org/10.1002/cam4.71077","http://dx.doi.org/10.1002/cam4.71077")</f>
        <v>10570</v>
      </c>
      <c r="BL453" t="s" s="0">
        <v>81</v>
      </c>
      <c r="BM453" t="s" s="0">
        <v>81</v>
      </c>
      <c r="BN453" t="s" s="0">
        <v>226</v>
      </c>
      <c r="BO453" t="s" s="0">
        <v>939</v>
      </c>
      <c r="BP453" t="s" s="0">
        <v>939</v>
      </c>
      <c r="BQ453" t="s" s="0">
        <v>10571</v>
      </c>
      <c r="BR453" t="s" s="0">
        <v>10572</v>
      </c>
      <c r="BS453" t="s" s="0">
        <v>10573</v>
      </c>
      <c r="BT453" t="s" s="903">
        <f>HYPERLINK("https://www.webofscience.com/wos/woscc/full-record/WOS:001543956200001","View Record in Web of Science")</f>
        <v>114</v>
      </c>
      <c r="BU453" t="s" s="0">
        <v>145</v>
      </c>
      <c r="BV453" t="s" s="0">
        <v>81</v>
      </c>
      <c r="BW453" t="s" s="0">
        <v>81</v>
      </c>
      <c r="BX453" t="s" s="0">
        <v>116</v>
      </c>
    </row>
    <row r="454">
      <c r="A454" t="s" s="0">
        <v>77</v>
      </c>
      <c r="B454" t="s" s="0">
        <v>77</v>
      </c>
      <c r="C454" t="s" s="0">
        <v>77</v>
      </c>
      <c r="D454" t="s" s="0">
        <v>77</v>
      </c>
      <c r="E454" t="s" s="0">
        <v>10574</v>
      </c>
      <c r="F454" t="s" s="0">
        <v>10575</v>
      </c>
      <c r="G454" t="s" s="0">
        <v>10576</v>
      </c>
      <c r="H454" t="s" s="0">
        <v>81</v>
      </c>
      <c r="I454" t="s" s="0">
        <v>82</v>
      </c>
      <c r="J454" t="s" s="0">
        <v>10577</v>
      </c>
      <c r="K454" t="s" s="0">
        <v>10578</v>
      </c>
      <c r="L454" t="s" s="0">
        <v>81</v>
      </c>
      <c r="M454" t="s" s="0">
        <v>81</v>
      </c>
      <c r="N454" t="s" s="0">
        <v>81</v>
      </c>
      <c r="O454" t="s" s="0">
        <v>10579</v>
      </c>
      <c r="P454" t="s" s="0">
        <v>10580</v>
      </c>
      <c r="Q454" t="s" s="0">
        <v>90</v>
      </c>
      <c r="R454" t="s" s="0">
        <v>81</v>
      </c>
      <c r="S454" t="s" s="0">
        <v>81</v>
      </c>
      <c r="T454" t="s" s="0">
        <v>81</v>
      </c>
      <c r="U454" t="s" s="0">
        <v>81</v>
      </c>
      <c r="V454" t="s" s="0">
        <v>10581</v>
      </c>
      <c r="W454" t="s" s="0">
        <v>10582</v>
      </c>
      <c r="X454" t="s" s="0">
        <v>81</v>
      </c>
      <c r="Y454" t="s" s="0">
        <v>81</v>
      </c>
      <c r="Z454" t="s" s="0">
        <v>93</v>
      </c>
      <c r="AA454" t="s" s="0">
        <v>94</v>
      </c>
      <c r="AB454" t="s" s="0">
        <v>81</v>
      </c>
      <c r="AC454" t="s" s="0">
        <v>81</v>
      </c>
      <c r="AD454" t="s" s="0">
        <v>81</v>
      </c>
      <c r="AE454" t="s" s="0">
        <v>81</v>
      </c>
      <c r="AF454" t="s" s="0">
        <v>81</v>
      </c>
      <c r="AG454" t="s" s="0">
        <v>81</v>
      </c>
      <c r="AH454" t="s" s="0">
        <v>2294</v>
      </c>
      <c r="AI454" t="s" s="0">
        <v>10583</v>
      </c>
      <c r="AJ454" t="s" s="0">
        <v>81</v>
      </c>
      <c r="AK454" t="s" s="0">
        <v>81</v>
      </c>
      <c r="AL454" t="s" s="0">
        <v>405</v>
      </c>
      <c r="AM454" t="s" s="0">
        <v>77</v>
      </c>
      <c r="AN454" t="s" s="0">
        <v>77</v>
      </c>
      <c r="AO454" t="s" s="0">
        <v>77</v>
      </c>
      <c r="AP454" t="s" s="0">
        <v>77</v>
      </c>
      <c r="AQ454" t="s" s="0">
        <v>10584</v>
      </c>
      <c r="AR454" t="s" s="0">
        <v>10585</v>
      </c>
      <c r="AS454" t="s" s="0">
        <v>10586</v>
      </c>
      <c r="AT454" t="s" s="0">
        <v>10587</v>
      </c>
      <c r="AU454" t="s" s="0">
        <v>81</v>
      </c>
      <c r="AV454" t="s" s="0">
        <v>81</v>
      </c>
      <c r="AW454" t="s" s="0">
        <v>10588</v>
      </c>
      <c r="AX454" t="s" s="0">
        <v>10589</v>
      </c>
      <c r="AY454" t="s" s="0">
        <v>10590</v>
      </c>
      <c r="AZ454" t="s" s="0">
        <v>104</v>
      </c>
      <c r="BA454" t="s" s="0">
        <v>105</v>
      </c>
      <c r="BB454" t="s" s="0">
        <v>227</v>
      </c>
      <c r="BC454" t="s" s="0">
        <v>81</v>
      </c>
      <c r="BD454" t="s" s="0">
        <v>81</v>
      </c>
      <c r="BE454" t="s" s="0">
        <v>81</v>
      </c>
      <c r="BF454" t="s" s="0">
        <v>81</v>
      </c>
      <c r="BG454" t="s" s="0">
        <v>2058</v>
      </c>
      <c r="BH454" t="s" s="0">
        <v>10591</v>
      </c>
      <c r="BI454" t="s" s="0">
        <v>81</v>
      </c>
      <c r="BJ454" t="s" s="0">
        <v>10592</v>
      </c>
      <c r="BK454" t="s" s="904">
        <f>HYPERLINK("http://dx.doi.org/10.3837/tiis.2026.03.004","http://dx.doi.org/10.3837/tiis.2026.03.004")</f>
        <v>10593</v>
      </c>
      <c r="BL454" t="s" s="0">
        <v>81</v>
      </c>
      <c r="BM454" t="s" s="0">
        <v>81</v>
      </c>
      <c r="BN454" t="s" s="0">
        <v>345</v>
      </c>
      <c r="BO454" t="s" s="0">
        <v>10594</v>
      </c>
      <c r="BP454" t="s" s="0">
        <v>10595</v>
      </c>
      <c r="BQ454" t="s" s="0">
        <v>10596</v>
      </c>
      <c r="BR454" t="s" s="0">
        <v>81</v>
      </c>
      <c r="BS454" t="s" s="0">
        <v>10597</v>
      </c>
      <c r="BT454" t="s" s="905">
        <f>HYPERLINK("https://www.webofscience.com/wos/woscc/full-record/WOS:001733493400004","View Record in Web of Science")</f>
        <v>114</v>
      </c>
      <c r="BU454" t="s" s="0">
        <v>115</v>
      </c>
      <c r="BV454" t="s" s="0">
        <v>81</v>
      </c>
      <c r="BW454" t="s" s="0">
        <v>81</v>
      </c>
      <c r="BX454" t="s" s="0">
        <v>116</v>
      </c>
    </row>
    <row r="455">
      <c r="A455" t="s" s="0">
        <v>117</v>
      </c>
      <c r="B455" t="s" s="0">
        <v>77</v>
      </c>
      <c r="C455" t="s" s="0">
        <v>129</v>
      </c>
      <c r="D455" t="s" s="0">
        <v>77</v>
      </c>
      <c r="E455" t="s" s="0">
        <v>10598</v>
      </c>
      <c r="F455" t="s" s="0">
        <v>10599</v>
      </c>
      <c r="G455" t="s" s="0">
        <v>10600</v>
      </c>
      <c r="H455" t="s" s="0">
        <v>81</v>
      </c>
      <c r="I455" t="s" s="0">
        <v>82</v>
      </c>
      <c r="J455" t="s" s="0">
        <v>10601</v>
      </c>
      <c r="K455" t="s" s="0">
        <v>10602</v>
      </c>
      <c r="L455" t="s" s="0">
        <v>10603</v>
      </c>
      <c r="M455" t="s" s="0">
        <v>7871</v>
      </c>
      <c r="N455" t="s" s="0">
        <v>10604</v>
      </c>
      <c r="O455" t="s" s="0">
        <v>10605</v>
      </c>
      <c r="P455" t="s" s="0">
        <v>10606</v>
      </c>
      <c r="Q455" t="s" s="0">
        <v>90</v>
      </c>
      <c r="R455" t="s" s="0">
        <v>81</v>
      </c>
      <c r="S455" t="s" s="0">
        <v>81</v>
      </c>
      <c r="T455" t="s" s="0">
        <v>81</v>
      </c>
      <c r="U455" t="s" s="0">
        <v>81</v>
      </c>
      <c r="V455" t="s" s="0">
        <v>10607</v>
      </c>
      <c r="W455" t="s" s="0">
        <v>8773</v>
      </c>
      <c r="X455" t="s" s="0">
        <v>81</v>
      </c>
      <c r="Y455" t="s" s="0">
        <v>81</v>
      </c>
      <c r="Z455" t="s" s="0">
        <v>93</v>
      </c>
      <c r="AA455" t="s" s="0">
        <v>94</v>
      </c>
      <c r="AB455" t="s" s="0">
        <v>81</v>
      </c>
      <c r="AC455" t="s" s="0">
        <v>81</v>
      </c>
      <c r="AD455" t="s" s="0">
        <v>81</v>
      </c>
      <c r="AE455" t="s" s="0">
        <v>81</v>
      </c>
      <c r="AF455" t="s" s="0">
        <v>81</v>
      </c>
      <c r="AG455" t="s" s="0">
        <v>81</v>
      </c>
      <c r="AH455" t="s" s="0">
        <v>156</v>
      </c>
      <c r="AI455" t="s" s="0">
        <v>10608</v>
      </c>
      <c r="AJ455" t="s" s="0">
        <v>10609</v>
      </c>
      <c r="AK455" t="s" s="0">
        <v>81</v>
      </c>
      <c r="AL455" t="s" s="0">
        <v>1161</v>
      </c>
      <c r="AM455" t="s" s="0">
        <v>137</v>
      </c>
      <c r="AN455" t="s" s="0">
        <v>563</v>
      </c>
      <c r="AO455" t="s" s="0">
        <v>227</v>
      </c>
      <c r="AP455" t="s" s="0">
        <v>258</v>
      </c>
      <c r="AQ455" t="s" s="0">
        <v>738</v>
      </c>
      <c r="AR455" t="s" s="0">
        <v>306</v>
      </c>
      <c r="AS455" t="s" s="0">
        <v>739</v>
      </c>
      <c r="AT455" t="s" s="0">
        <v>8776</v>
      </c>
      <c r="AU455" t="s" s="0">
        <v>8777</v>
      </c>
      <c r="AV455" t="s" s="0">
        <v>81</v>
      </c>
      <c r="AW455" t="s" s="0">
        <v>8773</v>
      </c>
      <c r="AX455" t="s" s="0">
        <v>8778</v>
      </c>
      <c r="AY455" t="s" s="0">
        <v>10610</v>
      </c>
      <c r="AZ455" t="s" s="0">
        <v>1519</v>
      </c>
      <c r="BA455" t="s" s="0">
        <v>1067</v>
      </c>
      <c r="BB455" t="s" s="0">
        <v>226</v>
      </c>
      <c r="BC455" t="s" s="0">
        <v>81</v>
      </c>
      <c r="BD455" t="s" s="0">
        <v>81</v>
      </c>
      <c r="BE455" t="s" s="0">
        <v>81</v>
      </c>
      <c r="BF455" t="s" s="0">
        <v>81</v>
      </c>
      <c r="BG455" t="s" s="0">
        <v>81</v>
      </c>
      <c r="BH455" t="s" s="0">
        <v>81</v>
      </c>
      <c r="BI455" t="s" s="0">
        <v>10611</v>
      </c>
      <c r="BJ455" t="s" s="0">
        <v>10612</v>
      </c>
      <c r="BK455" t="s" s="906">
        <f>HYPERLINK("http://dx.doi.org/10.1093/bioinformatics/btad717","http://dx.doi.org/10.1093/bioinformatics/btad717")</f>
        <v>10613</v>
      </c>
      <c r="BL455" t="s" s="0">
        <v>81</v>
      </c>
      <c r="BM455" t="s" s="0">
        <v>3295</v>
      </c>
      <c r="BN455" t="s" s="0">
        <v>129</v>
      </c>
      <c r="BO455" t="s" s="0">
        <v>8783</v>
      </c>
      <c r="BP455" t="s" s="0">
        <v>8784</v>
      </c>
      <c r="BQ455" t="s" s="0">
        <v>10614</v>
      </c>
      <c r="BR455" t="s" s="0">
        <v>10615</v>
      </c>
      <c r="BS455" t="s" s="0">
        <v>10616</v>
      </c>
      <c r="BT455" t="s" s="907">
        <f>HYPERLINK("https://www.webofscience.com/wos/woscc/full-record/WOS:001127409600002","View Record in Web of Science")</f>
        <v>114</v>
      </c>
      <c r="BU455" t="s" s="0">
        <v>3605</v>
      </c>
      <c r="BV455" t="s" s="0">
        <v>81</v>
      </c>
      <c r="BW455" t="s" s="0">
        <v>81</v>
      </c>
      <c r="BX455" t="s" s="0">
        <v>116</v>
      </c>
    </row>
    <row r="456">
      <c r="A456" t="s" s="0">
        <v>77</v>
      </c>
      <c r="B456" t="s" s="0">
        <v>77</v>
      </c>
      <c r="C456" t="s" s="0">
        <v>77</v>
      </c>
      <c r="D456" t="s" s="0">
        <v>77</v>
      </c>
      <c r="E456" t="s" s="0">
        <v>10617</v>
      </c>
      <c r="F456" t="s" s="0">
        <v>10618</v>
      </c>
      <c r="G456" t="s" s="0">
        <v>10619</v>
      </c>
      <c r="H456" t="s" s="0">
        <v>81</v>
      </c>
      <c r="I456" t="s" s="0">
        <v>82</v>
      </c>
      <c r="J456" t="s" s="0">
        <v>10620</v>
      </c>
      <c r="K456" t="s" s="0">
        <v>10621</v>
      </c>
      <c r="L456" t="s" s="0">
        <v>10622</v>
      </c>
      <c r="M456" t="s" s="0">
        <v>10623</v>
      </c>
      <c r="N456" t="s" s="0">
        <v>10624</v>
      </c>
      <c r="O456" t="s" s="0">
        <v>10625</v>
      </c>
      <c r="P456" t="s" s="0">
        <v>10626</v>
      </c>
      <c r="Q456" t="s" s="0">
        <v>90</v>
      </c>
      <c r="R456" t="s" s="0">
        <v>81</v>
      </c>
      <c r="S456" t="s" s="0">
        <v>81</v>
      </c>
      <c r="T456" t="s" s="0">
        <v>81</v>
      </c>
      <c r="U456" t="s" s="0">
        <v>81</v>
      </c>
      <c r="V456" t="s" s="0">
        <v>10627</v>
      </c>
      <c r="W456" t="s" s="0">
        <v>10628</v>
      </c>
      <c r="X456" t="s" s="0">
        <v>81</v>
      </c>
      <c r="Y456" t="s" s="0">
        <v>81</v>
      </c>
      <c r="Z456" t="s" s="0">
        <v>93</v>
      </c>
      <c r="AA456" t="s" s="0">
        <v>94</v>
      </c>
      <c r="AB456" t="s" s="0">
        <v>81</v>
      </c>
      <c r="AC456" t="s" s="0">
        <v>81</v>
      </c>
      <c r="AD456" t="s" s="0">
        <v>81</v>
      </c>
      <c r="AE456" t="s" s="0">
        <v>81</v>
      </c>
      <c r="AF456" t="s" s="0">
        <v>81</v>
      </c>
      <c r="AG456" t="s" s="0">
        <v>10629</v>
      </c>
      <c r="AH456" t="s" s="0">
        <v>10630</v>
      </c>
      <c r="AI456" t="s" s="0">
        <v>10631</v>
      </c>
      <c r="AJ456" t="s" s="0">
        <v>81</v>
      </c>
      <c r="AK456" t="s" s="0">
        <v>81</v>
      </c>
      <c r="AL456" t="s" s="0">
        <v>1421</v>
      </c>
      <c r="AM456" t="s" s="0">
        <v>117</v>
      </c>
      <c r="AN456" t="s" s="0">
        <v>117</v>
      </c>
      <c r="AO456" t="s" s="0">
        <v>128</v>
      </c>
      <c r="AP456" t="s" s="0">
        <v>128</v>
      </c>
      <c r="AQ456" t="s" s="0">
        <v>10632</v>
      </c>
      <c r="AR456" t="s" s="0">
        <v>1236</v>
      </c>
      <c r="AS456" t="s" s="0">
        <v>10633</v>
      </c>
      <c r="AT456" t="s" s="0">
        <v>10634</v>
      </c>
      <c r="AU456" t="s" s="0">
        <v>81</v>
      </c>
      <c r="AV456" t="s" s="0">
        <v>81</v>
      </c>
      <c r="AW456" t="s" s="0">
        <v>10628</v>
      </c>
      <c r="AX456" t="s" s="0">
        <v>10635</v>
      </c>
      <c r="AY456" t="s" s="0">
        <v>3249</v>
      </c>
      <c r="AZ456" t="s" s="0">
        <v>104</v>
      </c>
      <c r="BA456" t="s" s="0">
        <v>204</v>
      </c>
      <c r="BB456" t="s" s="0">
        <v>227</v>
      </c>
      <c r="BC456" t="s" s="0">
        <v>81</v>
      </c>
      <c r="BD456" t="s" s="0">
        <v>81</v>
      </c>
      <c r="BE456" t="s" s="0">
        <v>81</v>
      </c>
      <c r="BF456" t="s" s="0">
        <v>81</v>
      </c>
      <c r="BG456" t="s" s="0">
        <v>10636</v>
      </c>
      <c r="BH456" t="s" s="0">
        <v>10637</v>
      </c>
      <c r="BI456" t="s" s="0">
        <v>81</v>
      </c>
      <c r="BJ456" t="s" s="0">
        <v>10638</v>
      </c>
      <c r="BK456" t="s" s="908">
        <f>HYPERLINK("http://dx.doi.org/10.1021/acssensors.5c04441","http://dx.doi.org/10.1021/acssensors.5c04441")</f>
        <v>10639</v>
      </c>
      <c r="BL456" t="s" s="0">
        <v>81</v>
      </c>
      <c r="BM456" t="s" s="0">
        <v>284</v>
      </c>
      <c r="BN456" t="s" s="0">
        <v>226</v>
      </c>
      <c r="BO456" t="s" s="0">
        <v>10640</v>
      </c>
      <c r="BP456" t="s" s="0">
        <v>10641</v>
      </c>
      <c r="BQ456" t="s" s="0">
        <v>10642</v>
      </c>
      <c r="BR456" t="s" s="0">
        <v>10643</v>
      </c>
      <c r="BS456" t="s" s="0">
        <v>10644</v>
      </c>
      <c r="BT456" t="s" s="909">
        <f>HYPERLINK("https://www.webofscience.com/wos/woscc/full-record/WOS:001778370100001","View Record in Web of Science")</f>
        <v>114</v>
      </c>
      <c r="BU456" t="s" s="0">
        <v>804</v>
      </c>
      <c r="BV456" t="s" s="0">
        <v>81</v>
      </c>
      <c r="BW456" t="s" s="0">
        <v>81</v>
      </c>
      <c r="BX456" t="s" s="0">
        <v>116</v>
      </c>
    </row>
    <row r="457">
      <c r="A457" t="s" s="0">
        <v>77</v>
      </c>
      <c r="B457" t="s" s="0">
        <v>77</v>
      </c>
      <c r="C457" t="s" s="0">
        <v>253</v>
      </c>
      <c r="D457" t="s" s="0">
        <v>77</v>
      </c>
      <c r="E457" t="s" s="0">
        <v>10645</v>
      </c>
      <c r="F457" t="s" s="0">
        <v>10646</v>
      </c>
      <c r="G457" t="s" s="0">
        <v>10647</v>
      </c>
      <c r="H457" t="s" s="0">
        <v>81</v>
      </c>
      <c r="I457" t="s" s="0">
        <v>82</v>
      </c>
      <c r="J457" t="s" s="0">
        <v>10648</v>
      </c>
      <c r="K457" t="s" s="0">
        <v>10649</v>
      </c>
      <c r="L457" t="s" s="0">
        <v>10650</v>
      </c>
      <c r="M457" t="s" s="0">
        <v>10651</v>
      </c>
      <c r="N457" t="s" s="0">
        <v>10652</v>
      </c>
      <c r="O457" t="s" s="0">
        <v>10653</v>
      </c>
      <c r="P457" t="s" s="0">
        <v>10654</v>
      </c>
      <c r="Q457" t="s" s="0">
        <v>90</v>
      </c>
      <c r="R457" t="s" s="0">
        <v>81</v>
      </c>
      <c r="S457" t="s" s="0">
        <v>81</v>
      </c>
      <c r="T457" t="s" s="0">
        <v>81</v>
      </c>
      <c r="U457" t="s" s="0">
        <v>81</v>
      </c>
      <c r="V457" t="s" s="0">
        <v>10655</v>
      </c>
      <c r="W457" t="s" s="0">
        <v>2197</v>
      </c>
      <c r="X457" t="s" s="0">
        <v>81</v>
      </c>
      <c r="Y457" t="s" s="0">
        <v>81</v>
      </c>
      <c r="Z457" t="s" s="0">
        <v>93</v>
      </c>
      <c r="AA457" t="s" s="0">
        <v>94</v>
      </c>
      <c r="AB457" t="s" s="0">
        <v>81</v>
      </c>
      <c r="AC457" t="s" s="0">
        <v>81</v>
      </c>
      <c r="AD457" t="s" s="0">
        <v>81</v>
      </c>
      <c r="AE457" t="s" s="0">
        <v>81</v>
      </c>
      <c r="AF457" t="s" s="0">
        <v>81</v>
      </c>
      <c r="AG457" t="s" s="0">
        <v>10656</v>
      </c>
      <c r="AH457" t="s" s="0">
        <v>10657</v>
      </c>
      <c r="AI457" t="s" s="0">
        <v>10658</v>
      </c>
      <c r="AJ457" t="s" s="0">
        <v>10659</v>
      </c>
      <c r="AK457" t="s" s="0">
        <v>81</v>
      </c>
      <c r="AL457" t="s" s="0">
        <v>1641</v>
      </c>
      <c r="AM457" t="s" s="0">
        <v>225</v>
      </c>
      <c r="AN457" t="s" s="0">
        <v>204</v>
      </c>
      <c r="AO457" t="s" s="0">
        <v>77</v>
      </c>
      <c r="AP457" t="s" s="0">
        <v>475</v>
      </c>
      <c r="AQ457" t="s" s="0">
        <v>97</v>
      </c>
      <c r="AR457" t="s" s="0">
        <v>98</v>
      </c>
      <c r="AS457" t="s" s="0">
        <v>99</v>
      </c>
      <c r="AT457" t="s" s="0">
        <v>81</v>
      </c>
      <c r="AU457" t="s" s="0">
        <v>2200</v>
      </c>
      <c r="AV457" t="s" s="0">
        <v>81</v>
      </c>
      <c r="AW457" t="s" s="0">
        <v>2201</v>
      </c>
      <c r="AX457" t="s" s="0">
        <v>2202</v>
      </c>
      <c r="AY457" t="s" s="0">
        <v>10660</v>
      </c>
      <c r="AZ457" t="s" s="0">
        <v>1519</v>
      </c>
      <c r="BA457" t="s" s="0">
        <v>129</v>
      </c>
      <c r="BB457" t="s" s="0">
        <v>81</v>
      </c>
      <c r="BC457" t="s" s="0">
        <v>81</v>
      </c>
      <c r="BD457" t="s" s="0">
        <v>81</v>
      </c>
      <c r="BE457" t="s" s="0">
        <v>81</v>
      </c>
      <c r="BF457" t="s" s="0">
        <v>81</v>
      </c>
      <c r="BG457" t="s" s="0">
        <v>81</v>
      </c>
      <c r="BH457" t="s" s="0">
        <v>81</v>
      </c>
      <c r="BI457" t="s" s="0">
        <v>10661</v>
      </c>
      <c r="BJ457" t="s" s="0">
        <v>10662</v>
      </c>
      <c r="BK457" t="s" s="910">
        <f>HYPERLINK("http://dx.doi.org/10.3389/fmed.2023.1058919","http://dx.doi.org/10.3389/fmed.2023.1058919")</f>
        <v>10663</v>
      </c>
      <c r="BL457" t="s" s="0">
        <v>81</v>
      </c>
      <c r="BM457" t="s" s="0">
        <v>81</v>
      </c>
      <c r="BN457" t="s" s="0">
        <v>204</v>
      </c>
      <c r="BO457" t="s" s="0">
        <v>486</v>
      </c>
      <c r="BP457" t="s" s="0">
        <v>487</v>
      </c>
      <c r="BQ457" t="s" s="0">
        <v>10664</v>
      </c>
      <c r="BR457" t="s" s="0">
        <v>10665</v>
      </c>
      <c r="BS457" t="s" s="0">
        <v>10666</v>
      </c>
      <c r="BT457" t="s" s="911">
        <f>HYPERLINK("https://www.webofscience.com/wos/woscc/full-record/WOS:000953770400001","View Record in Web of Science")</f>
        <v>114</v>
      </c>
      <c r="BU457" t="s" s="0">
        <v>145</v>
      </c>
      <c r="BV457" t="s" s="0">
        <v>81</v>
      </c>
      <c r="BW457" t="s" s="0">
        <v>81</v>
      </c>
      <c r="BX457" t="s" s="0">
        <v>116</v>
      </c>
    </row>
    <row r="458">
      <c r="A458" t="s" s="0">
        <v>77</v>
      </c>
      <c r="B458" t="s" s="0">
        <v>77</v>
      </c>
      <c r="C458" t="s" s="0">
        <v>77</v>
      </c>
      <c r="D458" t="s" s="0">
        <v>77</v>
      </c>
      <c r="E458" t="s" s="0">
        <v>10667</v>
      </c>
      <c r="F458" t="s" s="0">
        <v>10668</v>
      </c>
      <c r="G458" t="s" s="0">
        <v>10669</v>
      </c>
      <c r="H458" t="s" s="0">
        <v>81</v>
      </c>
      <c r="I458" t="s" s="0">
        <v>2702</v>
      </c>
      <c r="J458" t="s" s="0">
        <v>10670</v>
      </c>
      <c r="K458" t="s" s="0">
        <v>9302</v>
      </c>
      <c r="L458" t="s" s="0">
        <v>10671</v>
      </c>
      <c r="M458" t="s" s="0">
        <v>10672</v>
      </c>
      <c r="N458" t="s" s="0">
        <v>10673</v>
      </c>
      <c r="O458" t="s" s="0">
        <v>10674</v>
      </c>
      <c r="P458" t="s" s="0">
        <v>9306</v>
      </c>
      <c r="Q458" t="s" s="0">
        <v>90</v>
      </c>
      <c r="R458" t="s" s="0">
        <v>81</v>
      </c>
      <c r="S458" t="s" s="0">
        <v>81</v>
      </c>
      <c r="T458" t="s" s="0">
        <v>81</v>
      </c>
      <c r="U458" t="s" s="0">
        <v>81</v>
      </c>
      <c r="V458" t="s" s="0">
        <v>10675</v>
      </c>
      <c r="W458" t="s" s="0">
        <v>10676</v>
      </c>
      <c r="X458" t="s" s="0">
        <v>81</v>
      </c>
      <c r="Y458" t="s" s="0">
        <v>81</v>
      </c>
      <c r="Z458" t="s" s="0">
        <v>93</v>
      </c>
      <c r="AA458" t="s" s="0">
        <v>94</v>
      </c>
      <c r="AB458" t="s" s="0">
        <v>81</v>
      </c>
      <c r="AC458" t="s" s="0">
        <v>81</v>
      </c>
      <c r="AD458" t="s" s="0">
        <v>81</v>
      </c>
      <c r="AE458" t="s" s="0">
        <v>81</v>
      </c>
      <c r="AF458" t="s" s="0">
        <v>81</v>
      </c>
      <c r="AG458" t="s" s="0">
        <v>10677</v>
      </c>
      <c r="AH458" t="s" s="0">
        <v>10678</v>
      </c>
      <c r="AI458" t="s" s="0">
        <v>81</v>
      </c>
      <c r="AJ458" t="s" s="0">
        <v>81</v>
      </c>
      <c r="AK458" t="s" s="0">
        <v>81</v>
      </c>
      <c r="AL458" t="s" s="0">
        <v>878</v>
      </c>
      <c r="AM458" t="s" s="0">
        <v>77</v>
      </c>
      <c r="AN458" t="s" s="0">
        <v>77</v>
      </c>
      <c r="AO458" t="s" s="0">
        <v>77</v>
      </c>
      <c r="AP458" t="s" s="0">
        <v>77</v>
      </c>
      <c r="AQ458" t="s" s="0">
        <v>406</v>
      </c>
      <c r="AR458" t="s" s="0">
        <v>407</v>
      </c>
      <c r="AS458" t="s" s="0">
        <v>408</v>
      </c>
      <c r="AT458" t="s" s="0">
        <v>10679</v>
      </c>
      <c r="AU458" t="s" s="0">
        <v>10680</v>
      </c>
      <c r="AV458" t="s" s="0">
        <v>81</v>
      </c>
      <c r="AW458" t="s" s="0">
        <v>10681</v>
      </c>
      <c r="AX458" t="s" s="0">
        <v>10682</v>
      </c>
      <c r="AY458" t="s" s="0">
        <v>10683</v>
      </c>
      <c r="AZ458" t="s" s="0">
        <v>104</v>
      </c>
      <c r="BA458" t="s" s="0">
        <v>10684</v>
      </c>
      <c r="BB458" t="s" s="0">
        <v>81</v>
      </c>
      <c r="BC458" t="s" s="0">
        <v>81</v>
      </c>
      <c r="BD458" t="s" s="0">
        <v>81</v>
      </c>
      <c r="BE458" t="s" s="0">
        <v>81</v>
      </c>
      <c r="BF458" t="s" s="0">
        <v>81</v>
      </c>
      <c r="BG458" t="s" s="0">
        <v>81</v>
      </c>
      <c r="BH458" t="s" s="0">
        <v>81</v>
      </c>
      <c r="BI458" t="s" s="0">
        <v>10685</v>
      </c>
      <c r="BJ458" t="s" s="0">
        <v>10686</v>
      </c>
      <c r="BK458" t="s" s="912">
        <f>HYPERLINK("http://dx.doi.org/10.1016/j.jad.2026.122270","http://dx.doi.org/10.1016/j.jad.2026.122270")</f>
        <v>10687</v>
      </c>
      <c r="BL458" t="s" s="0">
        <v>81</v>
      </c>
      <c r="BM458" t="s" s="0">
        <v>81</v>
      </c>
      <c r="BN458" t="s" s="0">
        <v>129</v>
      </c>
      <c r="BO458" t="s" s="0">
        <v>10688</v>
      </c>
      <c r="BP458" t="s" s="0">
        <v>3058</v>
      </c>
      <c r="BQ458" t="s" s="0">
        <v>10689</v>
      </c>
      <c r="BR458" t="s" s="0">
        <v>10690</v>
      </c>
      <c r="BS458" t="s" s="0">
        <v>10691</v>
      </c>
      <c r="BT458" t="s" s="913">
        <f>HYPERLINK("https://www.webofscience.com/wos/woscc/full-record/WOS:001838718900001","View Record in Web of Science")</f>
        <v>114</v>
      </c>
      <c r="BU458" t="s" s="0">
        <v>804</v>
      </c>
      <c r="BV458" t="s" s="0">
        <v>81</v>
      </c>
      <c r="BW458" t="s" s="0">
        <v>81</v>
      </c>
      <c r="BX458" t="s" s="0">
        <v>116</v>
      </c>
    </row>
    <row r="459">
      <c r="A459" t="s" s="0">
        <v>77</v>
      </c>
      <c r="B459" t="s" s="0">
        <v>77</v>
      </c>
      <c r="C459" t="s" s="0">
        <v>77</v>
      </c>
      <c r="D459" t="s" s="0">
        <v>77</v>
      </c>
      <c r="E459" t="s" s="0">
        <v>10692</v>
      </c>
      <c r="F459" t="s" s="0">
        <v>10693</v>
      </c>
      <c r="G459" t="s" s="0">
        <v>10694</v>
      </c>
      <c r="H459" t="s" s="0">
        <v>81</v>
      </c>
      <c r="I459" t="s" s="0">
        <v>82</v>
      </c>
      <c r="J459" t="s" s="0">
        <v>10695</v>
      </c>
      <c r="K459" t="s" s="0">
        <v>10696</v>
      </c>
      <c r="L459" t="s" s="0">
        <v>10697</v>
      </c>
      <c r="M459" t="s" s="0">
        <v>10698</v>
      </c>
      <c r="N459" t="s" s="0">
        <v>10699</v>
      </c>
      <c r="O459" t="s" s="0">
        <v>10700</v>
      </c>
      <c r="P459" t="s" s="0">
        <v>10701</v>
      </c>
      <c r="Q459" t="s" s="0">
        <v>90</v>
      </c>
      <c r="R459" t="s" s="0">
        <v>81</v>
      </c>
      <c r="S459" t="s" s="0">
        <v>81</v>
      </c>
      <c r="T459" t="s" s="0">
        <v>81</v>
      </c>
      <c r="U459" t="s" s="0">
        <v>81</v>
      </c>
      <c r="V459" t="s" s="0">
        <v>10702</v>
      </c>
      <c r="W459" t="s" s="0">
        <v>10703</v>
      </c>
      <c r="X459" t="s" s="0">
        <v>81</v>
      </c>
      <c r="Y459" t="s" s="0">
        <v>81</v>
      </c>
      <c r="Z459" t="s" s="0">
        <v>93</v>
      </c>
      <c r="AA459" t="s" s="0">
        <v>94</v>
      </c>
      <c r="AB459" t="s" s="0">
        <v>81</v>
      </c>
      <c r="AC459" t="s" s="0">
        <v>81</v>
      </c>
      <c r="AD459" t="s" s="0">
        <v>81</v>
      </c>
      <c r="AE459" t="s" s="0">
        <v>81</v>
      </c>
      <c r="AF459" t="s" s="0">
        <v>81</v>
      </c>
      <c r="AG459" t="s" s="0">
        <v>10704</v>
      </c>
      <c r="AH459" t="s" s="0">
        <v>81</v>
      </c>
      <c r="AI459" t="s" s="0">
        <v>10705</v>
      </c>
      <c r="AJ459" t="s" s="0">
        <v>10706</v>
      </c>
      <c r="AK459" t="s" s="0">
        <v>81</v>
      </c>
      <c r="AL459" t="s" s="0">
        <v>337</v>
      </c>
      <c r="AM459" t="s" s="0">
        <v>130</v>
      </c>
      <c r="AN459" t="s" s="0">
        <v>130</v>
      </c>
      <c r="AO459" t="s" s="0">
        <v>160</v>
      </c>
      <c r="AP459" t="s" s="0">
        <v>160</v>
      </c>
      <c r="AQ459" t="s" s="0">
        <v>406</v>
      </c>
      <c r="AR459" t="s" s="0">
        <v>407</v>
      </c>
      <c r="AS459" t="s" s="0">
        <v>408</v>
      </c>
      <c r="AT459" t="s" s="0">
        <v>10707</v>
      </c>
      <c r="AU459" t="s" s="0">
        <v>10708</v>
      </c>
      <c r="AV459" t="s" s="0">
        <v>81</v>
      </c>
      <c r="AW459" t="s" s="0">
        <v>10709</v>
      </c>
      <c r="AX459" t="s" s="0">
        <v>10710</v>
      </c>
      <c r="AY459" t="s" s="0">
        <v>203</v>
      </c>
      <c r="AZ459" t="s" s="0">
        <v>104</v>
      </c>
      <c r="BA459" t="s" s="0">
        <v>10711</v>
      </c>
      <c r="BB459" t="s" s="0">
        <v>81</v>
      </c>
      <c r="BC459" t="s" s="0">
        <v>81</v>
      </c>
      <c r="BD459" t="s" s="0">
        <v>81</v>
      </c>
      <c r="BE459" t="s" s="0">
        <v>81</v>
      </c>
      <c r="BF459" t="s" s="0">
        <v>81</v>
      </c>
      <c r="BG459" t="s" s="0">
        <v>81</v>
      </c>
      <c r="BH459" t="s" s="0">
        <v>81</v>
      </c>
      <c r="BI459" t="s" s="0">
        <v>10712</v>
      </c>
      <c r="BJ459" t="s" s="0">
        <v>10713</v>
      </c>
      <c r="BK459" t="s" s="914">
        <f>HYPERLINK("http://dx.doi.org/10.1016/j.ejogrb.2026.115018","http://dx.doi.org/10.1016/j.ejogrb.2026.115018")</f>
        <v>10714</v>
      </c>
      <c r="BL459" t="s" s="0">
        <v>81</v>
      </c>
      <c r="BM459" t="s" s="0">
        <v>81</v>
      </c>
      <c r="BN459" t="s" s="0">
        <v>128</v>
      </c>
      <c r="BO459" t="s" s="0">
        <v>10715</v>
      </c>
      <c r="BP459" t="s" s="0">
        <v>10715</v>
      </c>
      <c r="BQ459" t="s" s="0">
        <v>10716</v>
      </c>
      <c r="BR459" t="s" s="0">
        <v>10717</v>
      </c>
      <c r="BS459" t="s" s="0">
        <v>10718</v>
      </c>
      <c r="BT459" t="s" s="915">
        <f>HYPERLINK("https://www.webofscience.com/wos/woscc/full-record/WOS:001709428900001","View Record in Web of Science")</f>
        <v>114</v>
      </c>
      <c r="BU459" t="s" s="0">
        <v>81</v>
      </c>
      <c r="BV459" t="s" s="0">
        <v>81</v>
      </c>
      <c r="BW459" t="s" s="0">
        <v>81</v>
      </c>
      <c r="BX459" t="s" s="0">
        <v>116</v>
      </c>
    </row>
    <row r="460">
      <c r="A460" t="s" s="0">
        <v>77</v>
      </c>
      <c r="B460" t="s" s="0">
        <v>77</v>
      </c>
      <c r="C460" t="s" s="0">
        <v>77</v>
      </c>
      <c r="D460" t="s" s="0">
        <v>77</v>
      </c>
      <c r="E460" t="s" s="0">
        <v>10719</v>
      </c>
      <c r="F460" t="s" s="0">
        <v>10720</v>
      </c>
      <c r="G460" t="s" s="0">
        <v>10721</v>
      </c>
      <c r="H460" t="s" s="0">
        <v>81</v>
      </c>
      <c r="I460" t="s" s="0">
        <v>82</v>
      </c>
      <c r="J460" t="s" s="0">
        <v>10722</v>
      </c>
      <c r="K460" t="s" s="0">
        <v>10723</v>
      </c>
      <c r="L460" t="s" s="0">
        <v>81</v>
      </c>
      <c r="M460" t="s" s="0">
        <v>81</v>
      </c>
      <c r="N460" t="s" s="0">
        <v>81</v>
      </c>
      <c r="O460" t="s" s="0">
        <v>10724</v>
      </c>
      <c r="P460" t="s" s="0">
        <v>10725</v>
      </c>
      <c r="Q460" t="s" s="0">
        <v>90</v>
      </c>
      <c r="R460" t="s" s="0">
        <v>81</v>
      </c>
      <c r="S460" t="s" s="0">
        <v>81</v>
      </c>
      <c r="T460" t="s" s="0">
        <v>81</v>
      </c>
      <c r="U460" t="s" s="0">
        <v>81</v>
      </c>
      <c r="V460" t="s" s="0">
        <v>10726</v>
      </c>
      <c r="W460" t="s" s="0">
        <v>2649</v>
      </c>
      <c r="X460" t="s" s="0">
        <v>81</v>
      </c>
      <c r="Y460" t="s" s="0">
        <v>81</v>
      </c>
      <c r="Z460" t="s" s="0">
        <v>93</v>
      </c>
      <c r="AA460" t="s" s="0">
        <v>94</v>
      </c>
      <c r="AB460" t="s" s="0">
        <v>81</v>
      </c>
      <c r="AC460" t="s" s="0">
        <v>81</v>
      </c>
      <c r="AD460" t="s" s="0">
        <v>81</v>
      </c>
      <c r="AE460" t="s" s="0">
        <v>81</v>
      </c>
      <c r="AF460" t="s" s="0">
        <v>81</v>
      </c>
      <c r="AG460" t="s" s="0">
        <v>10727</v>
      </c>
      <c r="AH460" t="s" s="0">
        <v>81</v>
      </c>
      <c r="AI460" t="s" s="0">
        <v>81</v>
      </c>
      <c r="AJ460" t="s" s="0">
        <v>10728</v>
      </c>
      <c r="AK460" t="s" s="0">
        <v>81</v>
      </c>
      <c r="AL460" t="s" s="0">
        <v>1568</v>
      </c>
      <c r="AM460" t="s" s="0">
        <v>117</v>
      </c>
      <c r="AN460" t="s" s="0">
        <v>130</v>
      </c>
      <c r="AO460" t="s" s="0">
        <v>117</v>
      </c>
      <c r="AP460" t="s" s="0">
        <v>225</v>
      </c>
      <c r="AQ460" t="s" s="0">
        <v>476</v>
      </c>
      <c r="AR460" t="s" s="0">
        <v>477</v>
      </c>
      <c r="AS460" t="s" s="0">
        <v>478</v>
      </c>
      <c r="AT460" t="s" s="0">
        <v>81</v>
      </c>
      <c r="AU460" t="s" s="0">
        <v>2652</v>
      </c>
      <c r="AV460" t="s" s="0">
        <v>81</v>
      </c>
      <c r="AW460" t="s" s="0">
        <v>2653</v>
      </c>
      <c r="AX460" t="s" s="0">
        <v>2654</v>
      </c>
      <c r="AY460" t="s" s="0">
        <v>10729</v>
      </c>
      <c r="AZ460" t="s" s="0">
        <v>136</v>
      </c>
      <c r="BA460" t="s" s="0">
        <v>318</v>
      </c>
      <c r="BB460" t="s" s="0">
        <v>564</v>
      </c>
      <c r="BC460" t="s" s="0">
        <v>81</v>
      </c>
      <c r="BD460" t="s" s="0">
        <v>81</v>
      </c>
      <c r="BE460" t="s" s="0">
        <v>81</v>
      </c>
      <c r="BF460" t="s" s="0">
        <v>81</v>
      </c>
      <c r="BG460" t="s" s="0">
        <v>81</v>
      </c>
      <c r="BH460" t="s" s="0">
        <v>81</v>
      </c>
      <c r="BI460" t="s" s="0">
        <v>10730</v>
      </c>
      <c r="BJ460" t="s" s="0">
        <v>10731</v>
      </c>
      <c r="BK460" t="s" s="916">
        <f>HYPERLINK("http://dx.doi.org/10.3390/s25196105","http://dx.doi.org/10.3390/s25196105")</f>
        <v>10732</v>
      </c>
      <c r="BL460" t="s" s="0">
        <v>81</v>
      </c>
      <c r="BM460" t="s" s="0">
        <v>81</v>
      </c>
      <c r="BN460" t="s" s="0">
        <v>369</v>
      </c>
      <c r="BO460" t="s" s="0">
        <v>2659</v>
      </c>
      <c r="BP460" t="s" s="0">
        <v>2660</v>
      </c>
      <c r="BQ460" t="s" s="0">
        <v>10733</v>
      </c>
      <c r="BR460" t="s" s="0">
        <v>10734</v>
      </c>
      <c r="BS460" t="s" s="0">
        <v>10735</v>
      </c>
      <c r="BT460" t="s" s="917">
        <f>HYPERLINK("https://www.webofscience.com/wos/woscc/full-record/WOS:001593938200001","View Record in Web of Science")</f>
        <v>114</v>
      </c>
      <c r="BU460" t="s" s="0">
        <v>145</v>
      </c>
      <c r="BV460" t="s" s="0">
        <v>81</v>
      </c>
      <c r="BW460" t="s" s="0">
        <v>81</v>
      </c>
      <c r="BX460" t="s" s="0">
        <v>116</v>
      </c>
    </row>
    <row r="461">
      <c r="A461" t="s" s="0">
        <v>77</v>
      </c>
      <c r="B461" t="s" s="0">
        <v>77</v>
      </c>
      <c r="C461" t="s" s="0">
        <v>227</v>
      </c>
      <c r="D461" t="s" s="0">
        <v>77</v>
      </c>
      <c r="E461" t="s" s="0">
        <v>10736</v>
      </c>
      <c r="F461" t="s" s="0">
        <v>10737</v>
      </c>
      <c r="G461" t="s" s="0">
        <v>10738</v>
      </c>
      <c r="H461" t="s" s="0">
        <v>81</v>
      </c>
      <c r="I461" t="s" s="0">
        <v>82</v>
      </c>
      <c r="J461" t="s" s="0">
        <v>10739</v>
      </c>
      <c r="K461" t="s" s="0">
        <v>10740</v>
      </c>
      <c r="L461" t="s" s="0">
        <v>10741</v>
      </c>
      <c r="M461" t="s" s="0">
        <v>10742</v>
      </c>
      <c r="N461" t="s" s="0">
        <v>10743</v>
      </c>
      <c r="O461" t="s" s="0">
        <v>10744</v>
      </c>
      <c r="P461" t="s" s="0">
        <v>10745</v>
      </c>
      <c r="Q461" t="s" s="0">
        <v>90</v>
      </c>
      <c r="R461" t="s" s="0">
        <v>81</v>
      </c>
      <c r="S461" t="s" s="0">
        <v>81</v>
      </c>
      <c r="T461" t="s" s="0">
        <v>81</v>
      </c>
      <c r="U461" t="s" s="0">
        <v>81</v>
      </c>
      <c r="V461" t="s" s="0">
        <v>10746</v>
      </c>
      <c r="W461" t="s" s="0">
        <v>8506</v>
      </c>
      <c r="X461" t="s" s="0">
        <v>81</v>
      </c>
      <c r="Y461" t="s" s="0">
        <v>81</v>
      </c>
      <c r="Z461" t="s" s="0">
        <v>93</v>
      </c>
      <c r="AA461" t="s" s="0">
        <v>94</v>
      </c>
      <c r="AB461" t="s" s="0">
        <v>81</v>
      </c>
      <c r="AC461" t="s" s="0">
        <v>81</v>
      </c>
      <c r="AD461" t="s" s="0">
        <v>81</v>
      </c>
      <c r="AE461" t="s" s="0">
        <v>81</v>
      </c>
      <c r="AF461" t="s" s="0">
        <v>81</v>
      </c>
      <c r="AG461" t="s" s="0">
        <v>10747</v>
      </c>
      <c r="AH461" t="s" s="0">
        <v>10748</v>
      </c>
      <c r="AI461" t="s" s="0">
        <v>10749</v>
      </c>
      <c r="AJ461" t="s" s="0">
        <v>10750</v>
      </c>
      <c r="AK461" t="s" s="0">
        <v>81</v>
      </c>
      <c r="AL461" t="s" s="0">
        <v>5958</v>
      </c>
      <c r="AM461" t="s" s="0">
        <v>204</v>
      </c>
      <c r="AN461" t="s" s="0">
        <v>204</v>
      </c>
      <c r="AO461" t="s" s="0">
        <v>117</v>
      </c>
      <c r="AP461" t="s" s="0">
        <v>1900</v>
      </c>
      <c r="AQ461" t="s" s="0">
        <v>406</v>
      </c>
      <c r="AR461" t="s" s="0">
        <v>407</v>
      </c>
      <c r="AS461" t="s" s="0">
        <v>408</v>
      </c>
      <c r="AT461" t="s" s="0">
        <v>8510</v>
      </c>
      <c r="AU461" t="s" s="0">
        <v>8511</v>
      </c>
      <c r="AV461" t="s" s="0">
        <v>81</v>
      </c>
      <c r="AW461" t="s" s="0">
        <v>8512</v>
      </c>
      <c r="AX461" t="s" s="0">
        <v>8513</v>
      </c>
      <c r="AY461" t="s" s="0">
        <v>720</v>
      </c>
      <c r="AZ461" t="s" s="0">
        <v>573</v>
      </c>
      <c r="BA461" t="s" s="0">
        <v>10751</v>
      </c>
      <c r="BB461" t="s" s="0">
        <v>81</v>
      </c>
      <c r="BC461" t="s" s="0">
        <v>81</v>
      </c>
      <c r="BD461" t="s" s="0">
        <v>81</v>
      </c>
      <c r="BE461" t="s" s="0">
        <v>81</v>
      </c>
      <c r="BF461" t="s" s="0">
        <v>81</v>
      </c>
      <c r="BG461" t="s" s="0">
        <v>81</v>
      </c>
      <c r="BH461" t="s" s="0">
        <v>81</v>
      </c>
      <c r="BI461" t="s" s="0">
        <v>10752</v>
      </c>
      <c r="BJ461" t="s" s="0">
        <v>10753</v>
      </c>
      <c r="BK461" t="s" s="918">
        <f>HYPERLINK("http://dx.doi.org/10.1016/j.artmed.2024.102871","http://dx.doi.org/10.1016/j.artmed.2024.102871")</f>
        <v>10754</v>
      </c>
      <c r="BL461" t="s" s="0">
        <v>81</v>
      </c>
      <c r="BM461" t="s" s="0">
        <v>1651</v>
      </c>
      <c r="BN461" t="s" s="0">
        <v>228</v>
      </c>
      <c r="BO461" t="s" s="0">
        <v>8517</v>
      </c>
      <c r="BP461" t="s" s="0">
        <v>580</v>
      </c>
      <c r="BQ461" t="s" s="0">
        <v>10755</v>
      </c>
      <c r="BR461" t="s" s="0">
        <v>10756</v>
      </c>
      <c r="BS461" t="s" s="0">
        <v>10757</v>
      </c>
      <c r="BT461" t="s" s="919">
        <f>HYPERLINK("https://www.webofscience.com/wos/woscc/full-record/WOS:001236646900001","View Record in Web of Science")</f>
        <v>114</v>
      </c>
      <c r="BU461" t="s" s="0">
        <v>81</v>
      </c>
      <c r="BV461" t="s" s="0">
        <v>81</v>
      </c>
      <c r="BW461" t="s" s="0">
        <v>81</v>
      </c>
      <c r="BX461" t="s" s="0">
        <v>116</v>
      </c>
    </row>
    <row r="462">
      <c r="A462" t="s" s="0">
        <v>77</v>
      </c>
      <c r="B462" t="s" s="0">
        <v>77</v>
      </c>
      <c r="C462" t="s" s="0">
        <v>77</v>
      </c>
      <c r="D462" t="s" s="0">
        <v>77</v>
      </c>
      <c r="E462" t="s" s="0">
        <v>10758</v>
      </c>
      <c r="F462" t="s" s="0">
        <v>10759</v>
      </c>
      <c r="G462" t="s" s="0">
        <v>10760</v>
      </c>
      <c r="H462" t="s" s="0">
        <v>81</v>
      </c>
      <c r="I462" t="s" s="0">
        <v>2702</v>
      </c>
      <c r="J462" t="s" s="0">
        <v>10761</v>
      </c>
      <c r="K462" t="s" s="0">
        <v>10762</v>
      </c>
      <c r="L462" t="s" s="0">
        <v>10763</v>
      </c>
      <c r="M462" t="s" s="0">
        <v>10764</v>
      </c>
      <c r="N462" t="s" s="0">
        <v>10765</v>
      </c>
      <c r="O462" t="s" s="0">
        <v>10766</v>
      </c>
      <c r="P462" t="s" s="0">
        <v>10767</v>
      </c>
      <c r="Q462" t="s" s="0">
        <v>90</v>
      </c>
      <c r="R462" t="s" s="0">
        <v>81</v>
      </c>
      <c r="S462" t="s" s="0">
        <v>81</v>
      </c>
      <c r="T462" t="s" s="0">
        <v>81</v>
      </c>
      <c r="U462" t="s" s="0">
        <v>81</v>
      </c>
      <c r="V462" t="s" s="0">
        <v>10768</v>
      </c>
      <c r="W462" t="s" s="0">
        <v>10769</v>
      </c>
      <c r="X462" t="s" s="0">
        <v>81</v>
      </c>
      <c r="Y462" t="s" s="0">
        <v>81</v>
      </c>
      <c r="Z462" t="s" s="0">
        <v>93</v>
      </c>
      <c r="AA462" t="s" s="0">
        <v>94</v>
      </c>
      <c r="AB462" t="s" s="0">
        <v>81</v>
      </c>
      <c r="AC462" t="s" s="0">
        <v>81</v>
      </c>
      <c r="AD462" t="s" s="0">
        <v>81</v>
      </c>
      <c r="AE462" t="s" s="0">
        <v>81</v>
      </c>
      <c r="AF462" t="s" s="0">
        <v>81</v>
      </c>
      <c r="AG462" t="s" s="0">
        <v>10770</v>
      </c>
      <c r="AH462" t="s" s="0">
        <v>10771</v>
      </c>
      <c r="AI462" t="s" s="0">
        <v>10772</v>
      </c>
      <c r="AJ462" t="s" s="0">
        <v>10773</v>
      </c>
      <c r="AK462" t="s" s="0">
        <v>81</v>
      </c>
      <c r="AL462" t="s" s="0">
        <v>159</v>
      </c>
      <c r="AM462" t="s" s="0">
        <v>117</v>
      </c>
      <c r="AN462" t="s" s="0">
        <v>117</v>
      </c>
      <c r="AO462" t="s" s="0">
        <v>77</v>
      </c>
      <c r="AP462" t="s" s="0">
        <v>128</v>
      </c>
      <c r="AQ462" t="s" s="0">
        <v>305</v>
      </c>
      <c r="AR462" t="s" s="0">
        <v>306</v>
      </c>
      <c r="AS462" t="s" s="0">
        <v>307</v>
      </c>
      <c r="AT462" t="s" s="0">
        <v>10774</v>
      </c>
      <c r="AU462" t="s" s="0">
        <v>10775</v>
      </c>
      <c r="AV462" t="s" s="0">
        <v>81</v>
      </c>
      <c r="AW462" t="s" s="0">
        <v>10776</v>
      </c>
      <c r="AX462" t="s" s="0">
        <v>10777</v>
      </c>
      <c r="AY462" t="s" s="0">
        <v>418</v>
      </c>
      <c r="AZ462" t="s" s="0">
        <v>136</v>
      </c>
      <c r="BA462" t="s" s="0">
        <v>4839</v>
      </c>
      <c r="BB462" t="s" s="0">
        <v>81</v>
      </c>
      <c r="BC462" t="s" s="0">
        <v>81</v>
      </c>
      <c r="BD462" t="s" s="0">
        <v>81</v>
      </c>
      <c r="BE462" t="s" s="0">
        <v>81</v>
      </c>
      <c r="BF462" t="s" s="0">
        <v>81</v>
      </c>
      <c r="BG462" t="s" s="0">
        <v>4933</v>
      </c>
      <c r="BH462" t="s" s="0">
        <v>10778</v>
      </c>
      <c r="BI462" t="s" s="0">
        <v>81</v>
      </c>
      <c r="BJ462" t="s" s="0">
        <v>10779</v>
      </c>
      <c r="BK462" t="s" s="920">
        <f>HYPERLINK("http://dx.doi.org/10.1016/j.jpsychires.2025.01.001","http://dx.doi.org/10.1016/j.jpsychires.2025.01.001")</f>
        <v>10780</v>
      </c>
      <c r="BL462" t="s" s="0">
        <v>81</v>
      </c>
      <c r="BM462" t="s" s="0">
        <v>382</v>
      </c>
      <c r="BN462" t="s" s="0">
        <v>225</v>
      </c>
      <c r="BO462" t="s" s="0">
        <v>7721</v>
      </c>
      <c r="BP462" t="s" s="0">
        <v>7721</v>
      </c>
      <c r="BQ462" t="s" s="0">
        <v>10781</v>
      </c>
      <c r="BR462" t="s" s="0">
        <v>10782</v>
      </c>
      <c r="BS462" t="s" s="0">
        <v>10783</v>
      </c>
      <c r="BT462" t="s" s="921">
        <f>HYPERLINK("https://www.webofscience.com/wos/woscc/full-record/WOS:001404920800001","View Record in Web of Science")</f>
        <v>114</v>
      </c>
      <c r="BU462" t="s" s="0">
        <v>81</v>
      </c>
      <c r="BV462" t="s" s="0">
        <v>81</v>
      </c>
      <c r="BW462" t="s" s="0">
        <v>81</v>
      </c>
      <c r="BX462" t="s" s="0">
        <v>116</v>
      </c>
    </row>
    <row r="463">
      <c r="A463" t="s" s="0">
        <v>77</v>
      </c>
      <c r="B463" t="s" s="0">
        <v>77</v>
      </c>
      <c r="C463" t="s" s="0">
        <v>131</v>
      </c>
      <c r="D463" t="s" s="0">
        <v>77</v>
      </c>
      <c r="E463" t="s" s="0">
        <v>10784</v>
      </c>
      <c r="F463" t="s" s="0">
        <v>10785</v>
      </c>
      <c r="G463" t="s" s="0">
        <v>10786</v>
      </c>
      <c r="H463" t="s" s="0">
        <v>81</v>
      </c>
      <c r="I463" t="s" s="0">
        <v>82</v>
      </c>
      <c r="J463" t="s" s="0">
        <v>10787</v>
      </c>
      <c r="K463" t="s" s="0">
        <v>10788</v>
      </c>
      <c r="L463" t="s" s="0">
        <v>10789</v>
      </c>
      <c r="M463" t="s" s="0">
        <v>10790</v>
      </c>
      <c r="N463" t="s" s="0">
        <v>10791</v>
      </c>
      <c r="O463" t="s" s="0">
        <v>10792</v>
      </c>
      <c r="P463" t="s" s="0">
        <v>10793</v>
      </c>
      <c r="Q463" t="s" s="0">
        <v>90</v>
      </c>
      <c r="R463" t="s" s="0">
        <v>81</v>
      </c>
      <c r="S463" t="s" s="0">
        <v>10794</v>
      </c>
      <c r="T463" t="s" s="0">
        <v>81</v>
      </c>
      <c r="U463" t="s" s="0">
        <v>81</v>
      </c>
      <c r="V463" t="s" s="0">
        <v>10795</v>
      </c>
      <c r="W463" t="s" s="0">
        <v>10796</v>
      </c>
      <c r="X463" t="s" s="0">
        <v>81</v>
      </c>
      <c r="Y463" t="s" s="0">
        <v>81</v>
      </c>
      <c r="Z463" t="s" s="0">
        <v>93</v>
      </c>
      <c r="AA463" t="s" s="0">
        <v>94</v>
      </c>
      <c r="AB463" t="s" s="0">
        <v>81</v>
      </c>
      <c r="AC463" t="s" s="0">
        <v>81</v>
      </c>
      <c r="AD463" t="s" s="0">
        <v>81</v>
      </c>
      <c r="AE463" t="s" s="0">
        <v>81</v>
      </c>
      <c r="AF463" t="s" s="0">
        <v>81</v>
      </c>
      <c r="AG463" t="s" s="0">
        <v>81</v>
      </c>
      <c r="AH463" t="s" s="0">
        <v>10797</v>
      </c>
      <c r="AI463" t="s" s="0">
        <v>10798</v>
      </c>
      <c r="AJ463" t="s" s="0">
        <v>10799</v>
      </c>
      <c r="AK463" t="s" s="0">
        <v>81</v>
      </c>
      <c r="AL463" t="s" s="0">
        <v>706</v>
      </c>
      <c r="AM463" t="s" s="0">
        <v>105</v>
      </c>
      <c r="AN463" t="s" s="0">
        <v>475</v>
      </c>
      <c r="AO463" t="s" s="0">
        <v>160</v>
      </c>
      <c r="AP463" t="s" s="0">
        <v>225</v>
      </c>
      <c r="AQ463" t="s" s="0">
        <v>406</v>
      </c>
      <c r="AR463" t="s" s="0">
        <v>407</v>
      </c>
      <c r="AS463" t="s" s="0">
        <v>408</v>
      </c>
      <c r="AT463" t="s" s="0">
        <v>81</v>
      </c>
      <c r="AU463" t="s" s="0">
        <v>10800</v>
      </c>
      <c r="AV463" t="s" s="0">
        <v>81</v>
      </c>
      <c r="AW463" t="s" s="0">
        <v>10801</v>
      </c>
      <c r="AX463" t="s" s="0">
        <v>10802</v>
      </c>
      <c r="AY463" t="s" s="0">
        <v>824</v>
      </c>
      <c r="AZ463" t="s" s="0">
        <v>136</v>
      </c>
      <c r="BA463" t="s" s="0">
        <v>161</v>
      </c>
      <c r="BB463" t="s" s="0">
        <v>161</v>
      </c>
      <c r="BC463" t="s" s="0">
        <v>81</v>
      </c>
      <c r="BD463" t="s" s="0">
        <v>81</v>
      </c>
      <c r="BE463" t="s" s="0">
        <v>81</v>
      </c>
      <c r="BF463" t="s" s="0">
        <v>81</v>
      </c>
      <c r="BG463" t="s" s="0">
        <v>81</v>
      </c>
      <c r="BH463" t="s" s="0">
        <v>81</v>
      </c>
      <c r="BI463" t="s" s="0">
        <v>10803</v>
      </c>
      <c r="BJ463" t="s" s="0">
        <v>10804</v>
      </c>
      <c r="BK463" t="s" s="922">
        <f>HYPERLINK("http://dx.doi.org/10.1016/j.landig.2025.100885","http://dx.doi.org/10.1016/j.landig.2025.100885")</f>
        <v>10805</v>
      </c>
      <c r="BL463" t="s" s="0">
        <v>81</v>
      </c>
      <c r="BM463" t="s" s="0">
        <v>632</v>
      </c>
      <c r="BN463" t="s" s="0">
        <v>137</v>
      </c>
      <c r="BO463" t="s" s="0">
        <v>10806</v>
      </c>
      <c r="BP463" t="s" s="0">
        <v>10807</v>
      </c>
      <c r="BQ463" t="s" s="0">
        <v>10808</v>
      </c>
      <c r="BR463" t="s" s="0">
        <v>10809</v>
      </c>
      <c r="BS463" t="s" s="0">
        <v>10810</v>
      </c>
      <c r="BT463" t="s" s="923">
        <f>HYPERLINK("https://www.webofscience.com/wos/woscc/full-record/WOS:001583605800007","View Record in Web of Science")</f>
        <v>114</v>
      </c>
      <c r="BU463" t="s" s="0">
        <v>10811</v>
      </c>
      <c r="BV463" t="s" s="0">
        <v>81</v>
      </c>
      <c r="BW463" t="s" s="0">
        <v>81</v>
      </c>
      <c r="BX463" t="s" s="0">
        <v>116</v>
      </c>
    </row>
    <row r="464">
      <c r="A464" t="s" s="0">
        <v>227</v>
      </c>
      <c r="B464" t="s" s="0">
        <v>77</v>
      </c>
      <c r="C464" t="s" s="0">
        <v>130</v>
      </c>
      <c r="D464" t="s" s="0">
        <v>77</v>
      </c>
      <c r="E464" t="s" s="0">
        <v>10812</v>
      </c>
      <c r="F464" t="s" s="0">
        <v>10813</v>
      </c>
      <c r="G464" t="s" s="0">
        <v>10814</v>
      </c>
      <c r="H464" t="s" s="0">
        <v>81</v>
      </c>
      <c r="I464" t="s" s="0">
        <v>82</v>
      </c>
      <c r="J464" t="s" s="0">
        <v>10815</v>
      </c>
      <c r="K464" t="s" s="0">
        <v>10816</v>
      </c>
      <c r="L464" t="s" s="0">
        <v>10817</v>
      </c>
      <c r="M464" t="s" s="0">
        <v>10818</v>
      </c>
      <c r="N464" t="s" s="0">
        <v>10819</v>
      </c>
      <c r="O464" t="s" s="0">
        <v>10820</v>
      </c>
      <c r="P464" t="s" s="0">
        <v>10821</v>
      </c>
      <c r="Q464" t="s" s="0">
        <v>90</v>
      </c>
      <c r="R464" t="s" s="0">
        <v>81</v>
      </c>
      <c r="S464" t="s" s="0">
        <v>81</v>
      </c>
      <c r="T464" t="s" s="0">
        <v>81</v>
      </c>
      <c r="U464" t="s" s="0">
        <v>81</v>
      </c>
      <c r="V464" t="s" s="0">
        <v>10822</v>
      </c>
      <c r="W464" t="s" s="0">
        <v>1157</v>
      </c>
      <c r="X464" t="s" s="0">
        <v>81</v>
      </c>
      <c r="Y464" t="s" s="0">
        <v>81</v>
      </c>
      <c r="Z464" t="s" s="0">
        <v>93</v>
      </c>
      <c r="AA464" t="s" s="0">
        <v>94</v>
      </c>
      <c r="AB464" t="s" s="0">
        <v>81</v>
      </c>
      <c r="AC464" t="s" s="0">
        <v>81</v>
      </c>
      <c r="AD464" t="s" s="0">
        <v>81</v>
      </c>
      <c r="AE464" t="s" s="0">
        <v>81</v>
      </c>
      <c r="AF464" t="s" s="0">
        <v>81</v>
      </c>
      <c r="AG464" t="s" s="0">
        <v>10823</v>
      </c>
      <c r="AH464" t="s" s="0">
        <v>10824</v>
      </c>
      <c r="AI464" t="s" s="0">
        <v>10825</v>
      </c>
      <c r="AJ464" t="s" s="0">
        <v>10826</v>
      </c>
      <c r="AK464" t="s" s="0">
        <v>81</v>
      </c>
      <c r="AL464" t="s" s="0">
        <v>1138</v>
      </c>
      <c r="AM464" t="s" s="0">
        <v>706</v>
      </c>
      <c r="AN464" t="s" s="0">
        <v>369</v>
      </c>
      <c r="AO464" t="s" s="0">
        <v>117</v>
      </c>
      <c r="AP464" t="s" s="0">
        <v>105</v>
      </c>
      <c r="AQ464" t="s" s="0">
        <v>1162</v>
      </c>
      <c r="AR464" t="s" s="0">
        <v>1163</v>
      </c>
      <c r="AS464" t="s" s="0">
        <v>1164</v>
      </c>
      <c r="AT464" t="s" s="0">
        <v>10827</v>
      </c>
      <c r="AU464" t="s" s="0">
        <v>1165</v>
      </c>
      <c r="AV464" t="s" s="0">
        <v>81</v>
      </c>
      <c r="AW464" t="s" s="0">
        <v>1166</v>
      </c>
      <c r="AX464" t="s" s="0">
        <v>1167</v>
      </c>
      <c r="AY464" t="s" s="0">
        <v>10828</v>
      </c>
      <c r="AZ464" t="s" s="0">
        <v>573</v>
      </c>
      <c r="BA464" t="s" s="0">
        <v>345</v>
      </c>
      <c r="BB464" t="s" s="0">
        <v>81</v>
      </c>
      <c r="BC464" t="s" s="0">
        <v>81</v>
      </c>
      <c r="BD464" t="s" s="0">
        <v>81</v>
      </c>
      <c r="BE464" t="s" s="0">
        <v>81</v>
      </c>
      <c r="BF464" t="s" s="0">
        <v>81</v>
      </c>
      <c r="BG464" t="s" s="0">
        <v>81</v>
      </c>
      <c r="BH464" t="s" s="0">
        <v>81</v>
      </c>
      <c r="BI464" t="s" s="0">
        <v>10829</v>
      </c>
      <c r="BJ464" t="s" s="0">
        <v>10830</v>
      </c>
      <c r="BK464" t="s" s="924">
        <f>HYPERLINK("http://dx.doi.org/10.2196/54538","http://dx.doi.org/10.2196/54538")</f>
        <v>10831</v>
      </c>
      <c r="BL464" t="s" s="0">
        <v>81</v>
      </c>
      <c r="BM464" t="s" s="0">
        <v>81</v>
      </c>
      <c r="BN464" t="s" s="0">
        <v>258</v>
      </c>
      <c r="BO464" t="s" s="0">
        <v>1172</v>
      </c>
      <c r="BP464" t="s" s="0">
        <v>1172</v>
      </c>
      <c r="BQ464" t="s" s="0">
        <v>10832</v>
      </c>
      <c r="BR464" t="s" s="0">
        <v>10833</v>
      </c>
      <c r="BS464" t="s" s="0">
        <v>10834</v>
      </c>
      <c r="BT464" t="s" s="925">
        <f>HYPERLINK("https://www.webofscience.com/wos/woscc/full-record/WOS:001223618300006","View Record in Web of Science")</f>
        <v>114</v>
      </c>
      <c r="BU464" t="s" s="0">
        <v>145</v>
      </c>
      <c r="BV464" t="s" s="0">
        <v>81</v>
      </c>
      <c r="BW464" t="s" s="0">
        <v>81</v>
      </c>
      <c r="BX464" t="s" s="0">
        <v>116</v>
      </c>
    </row>
    <row r="465"/>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T102" r:id="rId201"/>
    <hyperlink ref="BK103" r:id="rId202"/>
    <hyperlink ref="BT103" r:id="rId203"/>
    <hyperlink ref="BK104" r:id="rId204"/>
    <hyperlink ref="BT104" r:id="rId205"/>
    <hyperlink ref="BK105" r:id="rId206"/>
    <hyperlink ref="BT105" r:id="rId207"/>
    <hyperlink ref="BK106" r:id="rId208"/>
    <hyperlink ref="BT106" r:id="rId209"/>
    <hyperlink ref="BK107" r:id="rId210"/>
    <hyperlink ref="BT107" r:id="rId211"/>
    <hyperlink ref="BK108" r:id="rId212"/>
    <hyperlink ref="BT108" r:id="rId213"/>
    <hyperlink ref="BK109" r:id="rId214"/>
    <hyperlink ref="BT109" r:id="rId215"/>
    <hyperlink ref="BK110" r:id="rId216"/>
    <hyperlink ref="BT110" r:id="rId217"/>
    <hyperlink ref="BK111" r:id="rId218"/>
    <hyperlink ref="BT111" r:id="rId219"/>
    <hyperlink ref="BK112" r:id="rId220"/>
    <hyperlink ref="BT112" r:id="rId221"/>
    <hyperlink ref="BK113" r:id="rId222"/>
    <hyperlink ref="BT113" r:id="rId223"/>
    <hyperlink ref="BK114" r:id="rId224"/>
    <hyperlink ref="BT114" r:id="rId225"/>
    <hyperlink ref="BK115" r:id="rId226"/>
    <hyperlink ref="BT115" r:id="rId227"/>
    <hyperlink ref="BK116" r:id="rId228"/>
    <hyperlink ref="BT116" r:id="rId229"/>
    <hyperlink ref="BK117" r:id="rId230"/>
    <hyperlink ref="BT117" r:id="rId231"/>
    <hyperlink ref="BK118" r:id="rId232"/>
    <hyperlink ref="BT118" r:id="rId233"/>
    <hyperlink ref="BK119" r:id="rId234"/>
    <hyperlink ref="BT119" r:id="rId235"/>
    <hyperlink ref="BK120" r:id="rId236"/>
    <hyperlink ref="BT120" r:id="rId237"/>
    <hyperlink ref="BK121" r:id="rId238"/>
    <hyperlink ref="BT121" r:id="rId239"/>
    <hyperlink ref="BK122" r:id="rId240"/>
    <hyperlink ref="BT122" r:id="rId241"/>
    <hyperlink ref="BK123" r:id="rId242"/>
    <hyperlink ref="BT123" r:id="rId243"/>
    <hyperlink ref="BK124" r:id="rId244"/>
    <hyperlink ref="BT124" r:id="rId245"/>
    <hyperlink ref="BK125" r:id="rId246"/>
    <hyperlink ref="BT125" r:id="rId247"/>
    <hyperlink ref="BK126" r:id="rId248"/>
    <hyperlink ref="BT126" r:id="rId249"/>
    <hyperlink ref="BK127" r:id="rId250"/>
    <hyperlink ref="BT127" r:id="rId251"/>
    <hyperlink ref="BK128" r:id="rId252"/>
    <hyperlink ref="BT128" r:id="rId253"/>
    <hyperlink ref="BK129" r:id="rId254"/>
    <hyperlink ref="BT129" r:id="rId255"/>
    <hyperlink ref="BK130" r:id="rId256"/>
    <hyperlink ref="BT130" r:id="rId257"/>
    <hyperlink ref="BK131" r:id="rId258"/>
    <hyperlink ref="BT131" r:id="rId259"/>
    <hyperlink ref="BK132" r:id="rId260"/>
    <hyperlink ref="BT132" r:id="rId261"/>
    <hyperlink ref="BK133" r:id="rId262"/>
    <hyperlink ref="BT133" r:id="rId263"/>
    <hyperlink ref="BK134" r:id="rId264"/>
    <hyperlink ref="BT134" r:id="rId265"/>
    <hyperlink ref="BK135" r:id="rId266"/>
    <hyperlink ref="BT135" r:id="rId267"/>
    <hyperlink ref="BK136" r:id="rId268"/>
    <hyperlink ref="BT136" r:id="rId269"/>
    <hyperlink ref="BK137" r:id="rId270"/>
    <hyperlink ref="BT137" r:id="rId271"/>
    <hyperlink ref="BK138" r:id="rId272"/>
    <hyperlink ref="BT138" r:id="rId273"/>
    <hyperlink ref="BK139" r:id="rId274"/>
    <hyperlink ref="BT139" r:id="rId275"/>
    <hyperlink ref="BK140" r:id="rId276"/>
    <hyperlink ref="BT140" r:id="rId277"/>
    <hyperlink ref="BK141" r:id="rId278"/>
    <hyperlink ref="BT141" r:id="rId279"/>
    <hyperlink ref="BK142" r:id="rId280"/>
    <hyperlink ref="BT142" r:id="rId281"/>
    <hyperlink ref="BK143" r:id="rId282"/>
    <hyperlink ref="BT143" r:id="rId283"/>
    <hyperlink ref="BK144" r:id="rId284"/>
    <hyperlink ref="BT144" r:id="rId285"/>
    <hyperlink ref="BK145" r:id="rId286"/>
    <hyperlink ref="BT145" r:id="rId287"/>
    <hyperlink ref="BK146" r:id="rId288"/>
    <hyperlink ref="BT146" r:id="rId289"/>
    <hyperlink ref="BK147" r:id="rId290"/>
    <hyperlink ref="BT147" r:id="rId291"/>
    <hyperlink ref="BK148" r:id="rId292"/>
    <hyperlink ref="BT148" r:id="rId293"/>
    <hyperlink ref="BK149" r:id="rId294"/>
    <hyperlink ref="BT149" r:id="rId295"/>
    <hyperlink ref="BK150" r:id="rId296"/>
    <hyperlink ref="BT150" r:id="rId297"/>
    <hyperlink ref="BK151" r:id="rId298"/>
    <hyperlink ref="BT151" r:id="rId299"/>
    <hyperlink ref="BK152" r:id="rId300"/>
    <hyperlink ref="BT152" r:id="rId301"/>
    <hyperlink ref="BK153" r:id="rId302"/>
    <hyperlink ref="BT153" r:id="rId303"/>
    <hyperlink ref="BK154" r:id="rId304"/>
    <hyperlink ref="BT154" r:id="rId305"/>
    <hyperlink ref="BK155" r:id="rId306"/>
    <hyperlink ref="BT155" r:id="rId307"/>
    <hyperlink ref="BK156" r:id="rId308"/>
    <hyperlink ref="BT156" r:id="rId309"/>
    <hyperlink ref="BK157" r:id="rId310"/>
    <hyperlink ref="BT157" r:id="rId311"/>
    <hyperlink ref="BK158" r:id="rId312"/>
    <hyperlink ref="BT158" r:id="rId313"/>
    <hyperlink ref="BK159" r:id="rId314"/>
    <hyperlink ref="BT159" r:id="rId315"/>
    <hyperlink ref="BK160" r:id="rId316"/>
    <hyperlink ref="BT160" r:id="rId317"/>
    <hyperlink ref="BK161" r:id="rId318"/>
    <hyperlink ref="BT161" r:id="rId319"/>
    <hyperlink ref="BK162" r:id="rId320"/>
    <hyperlink ref="BT162" r:id="rId321"/>
    <hyperlink ref="BK163" r:id="rId322"/>
    <hyperlink ref="BT163" r:id="rId323"/>
    <hyperlink ref="BK164" r:id="rId324"/>
    <hyperlink ref="BT164" r:id="rId325"/>
    <hyperlink ref="BK165" r:id="rId326"/>
    <hyperlink ref="BT165" r:id="rId327"/>
    <hyperlink ref="BK166" r:id="rId328"/>
    <hyperlink ref="BT166" r:id="rId329"/>
    <hyperlink ref="BK167" r:id="rId330"/>
    <hyperlink ref="BT167" r:id="rId331"/>
    <hyperlink ref="BK168" r:id="rId332"/>
    <hyperlink ref="BT168" r:id="rId333"/>
    <hyperlink ref="BK169" r:id="rId334"/>
    <hyperlink ref="BT169" r:id="rId335"/>
    <hyperlink ref="BK170" r:id="rId336"/>
    <hyperlink ref="BT170" r:id="rId337"/>
    <hyperlink ref="BK171" r:id="rId338"/>
    <hyperlink ref="BT171" r:id="rId339"/>
    <hyperlink ref="BK172" r:id="rId340"/>
    <hyperlink ref="BT172" r:id="rId341"/>
    <hyperlink ref="BK173" r:id="rId342"/>
    <hyperlink ref="BT173" r:id="rId343"/>
    <hyperlink ref="BK174" r:id="rId344"/>
    <hyperlink ref="BT174" r:id="rId345"/>
    <hyperlink ref="BK175" r:id="rId346"/>
    <hyperlink ref="BT175" r:id="rId347"/>
    <hyperlink ref="BK176" r:id="rId348"/>
    <hyperlink ref="BT176" r:id="rId349"/>
    <hyperlink ref="BK177" r:id="rId350"/>
    <hyperlink ref="BT177" r:id="rId351"/>
    <hyperlink ref="BK178" r:id="rId352"/>
    <hyperlink ref="BT178" r:id="rId353"/>
    <hyperlink ref="BK179" r:id="rId354"/>
    <hyperlink ref="BT179" r:id="rId355"/>
    <hyperlink ref="BK180" r:id="rId356"/>
    <hyperlink ref="BT180" r:id="rId357"/>
    <hyperlink ref="BK181" r:id="rId358"/>
    <hyperlink ref="BT181" r:id="rId359"/>
    <hyperlink ref="BK182" r:id="rId360"/>
    <hyperlink ref="BT182" r:id="rId361"/>
    <hyperlink ref="BK183" r:id="rId362"/>
    <hyperlink ref="BT183" r:id="rId363"/>
    <hyperlink ref="BK184" r:id="rId364"/>
    <hyperlink ref="BT184" r:id="rId365"/>
    <hyperlink ref="BK185" r:id="rId366"/>
    <hyperlink ref="BT185" r:id="rId367"/>
    <hyperlink ref="BK186" r:id="rId368"/>
    <hyperlink ref="BT186" r:id="rId369"/>
    <hyperlink ref="BK187" r:id="rId370"/>
    <hyperlink ref="BT187" r:id="rId371"/>
    <hyperlink ref="BK188" r:id="rId372"/>
    <hyperlink ref="BT188" r:id="rId373"/>
    <hyperlink ref="BK189" r:id="rId374"/>
    <hyperlink ref="BT189" r:id="rId375"/>
    <hyperlink ref="BK190" r:id="rId376"/>
    <hyperlink ref="BT190" r:id="rId377"/>
    <hyperlink ref="BK191" r:id="rId378"/>
    <hyperlink ref="BT191" r:id="rId379"/>
    <hyperlink ref="BK192" r:id="rId380"/>
    <hyperlink ref="BT192" r:id="rId381"/>
    <hyperlink ref="BK193" r:id="rId382"/>
    <hyperlink ref="BT193" r:id="rId383"/>
    <hyperlink ref="BK194" r:id="rId384"/>
    <hyperlink ref="BT194" r:id="rId385"/>
    <hyperlink ref="BK195" r:id="rId386"/>
    <hyperlink ref="BT195" r:id="rId387"/>
    <hyperlink ref="BK196" r:id="rId388"/>
    <hyperlink ref="BT196" r:id="rId389"/>
    <hyperlink ref="BK197" r:id="rId390"/>
    <hyperlink ref="BT197" r:id="rId391"/>
    <hyperlink ref="BK198" r:id="rId392"/>
    <hyperlink ref="BT198" r:id="rId393"/>
    <hyperlink ref="BK199" r:id="rId394"/>
    <hyperlink ref="BT199" r:id="rId395"/>
    <hyperlink ref="BK200" r:id="rId396"/>
    <hyperlink ref="BT200" r:id="rId397"/>
    <hyperlink ref="BK201" r:id="rId398"/>
    <hyperlink ref="BT201" r:id="rId399"/>
    <hyperlink ref="BK202" r:id="rId400"/>
    <hyperlink ref="BT202" r:id="rId401"/>
    <hyperlink ref="BK203" r:id="rId402"/>
    <hyperlink ref="BT203" r:id="rId403"/>
    <hyperlink ref="BK204" r:id="rId404"/>
    <hyperlink ref="BT204" r:id="rId405"/>
    <hyperlink ref="BK205" r:id="rId406"/>
    <hyperlink ref="BT205" r:id="rId407"/>
    <hyperlink ref="BK206" r:id="rId408"/>
    <hyperlink ref="BT206" r:id="rId409"/>
    <hyperlink ref="BK207" r:id="rId410"/>
    <hyperlink ref="BT207" r:id="rId411"/>
    <hyperlink ref="BK208" r:id="rId412"/>
    <hyperlink ref="BT208" r:id="rId413"/>
    <hyperlink ref="BK209" r:id="rId414"/>
    <hyperlink ref="BT209" r:id="rId415"/>
    <hyperlink ref="BK210" r:id="rId416"/>
    <hyperlink ref="BT210" r:id="rId417"/>
    <hyperlink ref="BK211" r:id="rId418"/>
    <hyperlink ref="BT211" r:id="rId419"/>
    <hyperlink ref="BK212" r:id="rId420"/>
    <hyperlink ref="BT212" r:id="rId421"/>
    <hyperlink ref="BK213" r:id="rId422"/>
    <hyperlink ref="BT213" r:id="rId423"/>
    <hyperlink ref="BK214" r:id="rId424"/>
    <hyperlink ref="BT214" r:id="rId425"/>
    <hyperlink ref="BK215" r:id="rId426"/>
    <hyperlink ref="BT215" r:id="rId427"/>
    <hyperlink ref="BK216" r:id="rId428"/>
    <hyperlink ref="BT216" r:id="rId429"/>
    <hyperlink ref="BK217" r:id="rId430"/>
    <hyperlink ref="BT217" r:id="rId431"/>
    <hyperlink ref="BK218" r:id="rId432"/>
    <hyperlink ref="BT218" r:id="rId433"/>
    <hyperlink ref="BK219" r:id="rId434"/>
    <hyperlink ref="BT219" r:id="rId435"/>
    <hyperlink ref="BK220" r:id="rId436"/>
    <hyperlink ref="BT220" r:id="rId437"/>
    <hyperlink ref="BK221" r:id="rId438"/>
    <hyperlink ref="BT221" r:id="rId439"/>
    <hyperlink ref="BK222" r:id="rId440"/>
    <hyperlink ref="BT222" r:id="rId441"/>
    <hyperlink ref="BK223" r:id="rId442"/>
    <hyperlink ref="BT223" r:id="rId443"/>
    <hyperlink ref="BK224" r:id="rId444"/>
    <hyperlink ref="BT224" r:id="rId445"/>
    <hyperlink ref="BK225" r:id="rId446"/>
    <hyperlink ref="BT225" r:id="rId447"/>
    <hyperlink ref="BK226" r:id="rId448"/>
    <hyperlink ref="BT226" r:id="rId449"/>
    <hyperlink ref="BK227" r:id="rId450"/>
    <hyperlink ref="BT227" r:id="rId451"/>
    <hyperlink ref="BK228" r:id="rId452"/>
    <hyperlink ref="BT228" r:id="rId453"/>
    <hyperlink ref="BK229" r:id="rId454"/>
    <hyperlink ref="BT229" r:id="rId455"/>
    <hyperlink ref="BK230" r:id="rId456"/>
    <hyperlink ref="BT230" r:id="rId457"/>
    <hyperlink ref="BK231" r:id="rId458"/>
    <hyperlink ref="BT231" r:id="rId459"/>
    <hyperlink ref="BK232" r:id="rId460"/>
    <hyperlink ref="BT232" r:id="rId461"/>
    <hyperlink ref="BK233" r:id="rId462"/>
    <hyperlink ref="BT233" r:id="rId463"/>
    <hyperlink ref="BK234" r:id="rId464"/>
    <hyperlink ref="BT234" r:id="rId465"/>
    <hyperlink ref="BK235" r:id="rId466"/>
    <hyperlink ref="BT235" r:id="rId467"/>
    <hyperlink ref="BK236" r:id="rId468"/>
    <hyperlink ref="BT236" r:id="rId469"/>
    <hyperlink ref="BK237" r:id="rId470"/>
    <hyperlink ref="BT237" r:id="rId471"/>
    <hyperlink ref="BK238" r:id="rId472"/>
    <hyperlink ref="BT238" r:id="rId473"/>
    <hyperlink ref="BK239" r:id="rId474"/>
    <hyperlink ref="BT239" r:id="rId475"/>
    <hyperlink ref="BK240" r:id="rId476"/>
    <hyperlink ref="BT240" r:id="rId477"/>
    <hyperlink ref="BK241" r:id="rId478"/>
    <hyperlink ref="BT241" r:id="rId479"/>
    <hyperlink ref="BK242" r:id="rId480"/>
    <hyperlink ref="BT242" r:id="rId481"/>
    <hyperlink ref="BK243" r:id="rId482"/>
    <hyperlink ref="BT243" r:id="rId483"/>
    <hyperlink ref="BK244" r:id="rId484"/>
    <hyperlink ref="BT244" r:id="rId485"/>
    <hyperlink ref="BK245" r:id="rId486"/>
    <hyperlink ref="BT245" r:id="rId487"/>
    <hyperlink ref="BK246" r:id="rId488"/>
    <hyperlink ref="BT246" r:id="rId489"/>
    <hyperlink ref="BK247" r:id="rId490"/>
    <hyperlink ref="BT247" r:id="rId491"/>
    <hyperlink ref="BK248" r:id="rId492"/>
    <hyperlink ref="BT248" r:id="rId493"/>
    <hyperlink ref="BK249" r:id="rId494"/>
    <hyperlink ref="BT249" r:id="rId495"/>
    <hyperlink ref="BK250" r:id="rId496"/>
    <hyperlink ref="BT250" r:id="rId497"/>
    <hyperlink ref="BK251" r:id="rId498"/>
    <hyperlink ref="BT251" r:id="rId499"/>
    <hyperlink ref="BK252" r:id="rId500"/>
    <hyperlink ref="BT252" r:id="rId501"/>
    <hyperlink ref="BK253" r:id="rId502"/>
    <hyperlink ref="BT253" r:id="rId503"/>
    <hyperlink ref="BK254" r:id="rId504"/>
    <hyperlink ref="BT254" r:id="rId505"/>
    <hyperlink ref="BK255" r:id="rId506"/>
    <hyperlink ref="BT255" r:id="rId507"/>
    <hyperlink ref="BK256" r:id="rId508"/>
    <hyperlink ref="BT256" r:id="rId509"/>
    <hyperlink ref="BK257" r:id="rId510"/>
    <hyperlink ref="BT257" r:id="rId511"/>
    <hyperlink ref="BK258" r:id="rId512"/>
    <hyperlink ref="BT258" r:id="rId513"/>
    <hyperlink ref="BK259" r:id="rId514"/>
    <hyperlink ref="BT259" r:id="rId515"/>
    <hyperlink ref="BK260" r:id="rId516"/>
    <hyperlink ref="BT260" r:id="rId517"/>
    <hyperlink ref="BK261" r:id="rId518"/>
    <hyperlink ref="BT261" r:id="rId519"/>
    <hyperlink ref="BK262" r:id="rId520"/>
    <hyperlink ref="BT262" r:id="rId521"/>
    <hyperlink ref="BK263" r:id="rId522"/>
    <hyperlink ref="BT263" r:id="rId523"/>
    <hyperlink ref="BK264" r:id="rId524"/>
    <hyperlink ref="BT264" r:id="rId525"/>
    <hyperlink ref="BK265" r:id="rId526"/>
    <hyperlink ref="BT265" r:id="rId527"/>
    <hyperlink ref="BK266" r:id="rId528"/>
    <hyperlink ref="BT266" r:id="rId529"/>
    <hyperlink ref="BK267" r:id="rId530"/>
    <hyperlink ref="BT267" r:id="rId531"/>
    <hyperlink ref="BK268" r:id="rId532"/>
    <hyperlink ref="BT268" r:id="rId533"/>
    <hyperlink ref="BK269" r:id="rId534"/>
    <hyperlink ref="BT269" r:id="rId535"/>
    <hyperlink ref="BK270" r:id="rId536"/>
    <hyperlink ref="BT270" r:id="rId537"/>
    <hyperlink ref="BK271" r:id="rId538"/>
    <hyperlink ref="BT271" r:id="rId539"/>
    <hyperlink ref="BK272" r:id="rId540"/>
    <hyperlink ref="BT272" r:id="rId541"/>
    <hyperlink ref="BK273" r:id="rId542"/>
    <hyperlink ref="BT273" r:id="rId543"/>
    <hyperlink ref="BK274" r:id="rId544"/>
    <hyperlink ref="BT274" r:id="rId545"/>
    <hyperlink ref="BK275" r:id="rId546"/>
    <hyperlink ref="BT275" r:id="rId547"/>
    <hyperlink ref="BK276" r:id="rId548"/>
    <hyperlink ref="BT276" r:id="rId549"/>
    <hyperlink ref="BK277" r:id="rId550"/>
    <hyperlink ref="BT277" r:id="rId551"/>
    <hyperlink ref="BK278" r:id="rId552"/>
    <hyperlink ref="BT278" r:id="rId553"/>
    <hyperlink ref="BK279" r:id="rId554"/>
    <hyperlink ref="BT279" r:id="rId555"/>
    <hyperlink ref="BK280" r:id="rId556"/>
    <hyperlink ref="BT280" r:id="rId557"/>
    <hyperlink ref="BK281" r:id="rId558"/>
    <hyperlink ref="BT281" r:id="rId559"/>
    <hyperlink ref="BK282" r:id="rId560"/>
    <hyperlink ref="BT282" r:id="rId561"/>
    <hyperlink ref="BK283" r:id="rId562"/>
    <hyperlink ref="BT283" r:id="rId563"/>
    <hyperlink ref="BK284" r:id="rId564"/>
    <hyperlink ref="BT284" r:id="rId565"/>
    <hyperlink ref="BK285" r:id="rId566"/>
    <hyperlink ref="BT285" r:id="rId567"/>
    <hyperlink ref="BK286" r:id="rId568"/>
    <hyperlink ref="BT286" r:id="rId569"/>
    <hyperlink ref="BK287" r:id="rId570"/>
    <hyperlink ref="BT287" r:id="rId571"/>
    <hyperlink ref="BK288" r:id="rId572"/>
    <hyperlink ref="BT288" r:id="rId573"/>
    <hyperlink ref="BK289" r:id="rId574"/>
    <hyperlink ref="BT289" r:id="rId575"/>
    <hyperlink ref="BK290" r:id="rId576"/>
    <hyperlink ref="BT290" r:id="rId577"/>
    <hyperlink ref="BK291" r:id="rId578"/>
    <hyperlink ref="BT291" r:id="rId579"/>
    <hyperlink ref="BK292" r:id="rId580"/>
    <hyperlink ref="BT292" r:id="rId581"/>
    <hyperlink ref="BK293" r:id="rId582"/>
    <hyperlink ref="BT293" r:id="rId583"/>
    <hyperlink ref="BK294" r:id="rId584"/>
    <hyperlink ref="BT294" r:id="rId585"/>
    <hyperlink ref="BK295" r:id="rId586"/>
    <hyperlink ref="BT295" r:id="rId587"/>
    <hyperlink ref="BK296" r:id="rId588"/>
    <hyperlink ref="BT296" r:id="rId589"/>
    <hyperlink ref="BK297" r:id="rId590"/>
    <hyperlink ref="BT297" r:id="rId591"/>
    <hyperlink ref="BK298" r:id="rId592"/>
    <hyperlink ref="BT298" r:id="rId593"/>
    <hyperlink ref="BK299" r:id="rId594"/>
    <hyperlink ref="BT299" r:id="rId595"/>
    <hyperlink ref="BK300" r:id="rId596"/>
    <hyperlink ref="BT300" r:id="rId597"/>
    <hyperlink ref="BK301" r:id="rId598"/>
    <hyperlink ref="BT301" r:id="rId599"/>
    <hyperlink ref="BK302" r:id="rId600"/>
    <hyperlink ref="BT302" r:id="rId601"/>
    <hyperlink ref="BK303" r:id="rId602"/>
    <hyperlink ref="BT303" r:id="rId603"/>
    <hyperlink ref="BK304" r:id="rId604"/>
    <hyperlink ref="BT304" r:id="rId605"/>
    <hyperlink ref="BK305" r:id="rId606"/>
    <hyperlink ref="BT305" r:id="rId607"/>
    <hyperlink ref="BK306" r:id="rId608"/>
    <hyperlink ref="BT306" r:id="rId609"/>
    <hyperlink ref="BK307" r:id="rId610"/>
    <hyperlink ref="BT307" r:id="rId611"/>
    <hyperlink ref="BK308" r:id="rId612"/>
    <hyperlink ref="BT308" r:id="rId613"/>
    <hyperlink ref="BK309" r:id="rId614"/>
    <hyperlink ref="BT309" r:id="rId615"/>
    <hyperlink ref="BK310" r:id="rId616"/>
    <hyperlink ref="BT310" r:id="rId617"/>
    <hyperlink ref="BK311" r:id="rId618"/>
    <hyperlink ref="BT311" r:id="rId619"/>
    <hyperlink ref="BK312" r:id="rId620"/>
    <hyperlink ref="BT312" r:id="rId621"/>
    <hyperlink ref="BK313" r:id="rId622"/>
    <hyperlink ref="BT313" r:id="rId623"/>
    <hyperlink ref="BK314" r:id="rId624"/>
    <hyperlink ref="BT314" r:id="rId625"/>
    <hyperlink ref="BK315" r:id="rId626"/>
    <hyperlink ref="BT315" r:id="rId627"/>
    <hyperlink ref="BK316" r:id="rId628"/>
    <hyperlink ref="BT316" r:id="rId629"/>
    <hyperlink ref="BK317" r:id="rId630"/>
    <hyperlink ref="BT317" r:id="rId631"/>
    <hyperlink ref="BK318" r:id="rId632"/>
    <hyperlink ref="BT318" r:id="rId633"/>
    <hyperlink ref="BK319" r:id="rId634"/>
    <hyperlink ref="BT319" r:id="rId635"/>
    <hyperlink ref="BK320" r:id="rId636"/>
    <hyperlink ref="BT320" r:id="rId637"/>
    <hyperlink ref="BK321" r:id="rId638"/>
    <hyperlink ref="BT321" r:id="rId639"/>
    <hyperlink ref="BK322" r:id="rId640"/>
    <hyperlink ref="BT322" r:id="rId641"/>
    <hyperlink ref="BK323" r:id="rId642"/>
    <hyperlink ref="BT323" r:id="rId643"/>
    <hyperlink ref="BK324" r:id="rId644"/>
    <hyperlink ref="BT324" r:id="rId645"/>
    <hyperlink ref="BK325" r:id="rId646"/>
    <hyperlink ref="BT325" r:id="rId647"/>
    <hyperlink ref="BK326" r:id="rId648"/>
    <hyperlink ref="BT326" r:id="rId649"/>
    <hyperlink ref="BK327" r:id="rId650"/>
    <hyperlink ref="BT327" r:id="rId651"/>
    <hyperlink ref="BK328" r:id="rId652"/>
    <hyperlink ref="BT328" r:id="rId653"/>
    <hyperlink ref="BK329" r:id="rId654"/>
    <hyperlink ref="BT329" r:id="rId655"/>
    <hyperlink ref="BK330" r:id="rId656"/>
    <hyperlink ref="BT330" r:id="rId657"/>
    <hyperlink ref="BK331" r:id="rId658"/>
    <hyperlink ref="BT331" r:id="rId659"/>
    <hyperlink ref="BK332" r:id="rId660"/>
    <hyperlink ref="BT332" r:id="rId661"/>
    <hyperlink ref="BK333" r:id="rId662"/>
    <hyperlink ref="BT333" r:id="rId663"/>
    <hyperlink ref="BK334" r:id="rId664"/>
    <hyperlink ref="BT334" r:id="rId665"/>
    <hyperlink ref="BK335" r:id="rId666"/>
    <hyperlink ref="BT335" r:id="rId667"/>
    <hyperlink ref="BK336" r:id="rId668"/>
    <hyperlink ref="BT336" r:id="rId669"/>
    <hyperlink ref="BK337" r:id="rId670"/>
    <hyperlink ref="BT337" r:id="rId671"/>
    <hyperlink ref="BK338" r:id="rId672"/>
    <hyperlink ref="BT338" r:id="rId673"/>
    <hyperlink ref="BK339" r:id="rId674"/>
    <hyperlink ref="BT339" r:id="rId675"/>
    <hyperlink ref="BK340" r:id="rId676"/>
    <hyperlink ref="BT340" r:id="rId677"/>
    <hyperlink ref="BK341" r:id="rId678"/>
    <hyperlink ref="BT341" r:id="rId679"/>
    <hyperlink ref="BK342" r:id="rId680"/>
    <hyperlink ref="BT342" r:id="rId681"/>
    <hyperlink ref="BK343" r:id="rId682"/>
    <hyperlink ref="BT343" r:id="rId683"/>
    <hyperlink ref="BK344" r:id="rId684"/>
    <hyperlink ref="BT344" r:id="rId685"/>
    <hyperlink ref="BK345" r:id="rId686"/>
    <hyperlink ref="BT345" r:id="rId687"/>
    <hyperlink ref="BK346" r:id="rId688"/>
    <hyperlink ref="BT346" r:id="rId689"/>
    <hyperlink ref="BK347" r:id="rId690"/>
    <hyperlink ref="BT347" r:id="rId691"/>
    <hyperlink ref="BK348" r:id="rId692"/>
    <hyperlink ref="BT348" r:id="rId693"/>
    <hyperlink ref="BK349" r:id="rId694"/>
    <hyperlink ref="BT349" r:id="rId695"/>
    <hyperlink ref="BK350" r:id="rId696"/>
    <hyperlink ref="BT350" r:id="rId697"/>
    <hyperlink ref="BK351" r:id="rId698"/>
    <hyperlink ref="BT351" r:id="rId699"/>
    <hyperlink ref="BK352" r:id="rId700"/>
    <hyperlink ref="BT352" r:id="rId701"/>
    <hyperlink ref="BK353" r:id="rId702"/>
    <hyperlink ref="BT353" r:id="rId703"/>
    <hyperlink ref="BK354" r:id="rId704"/>
    <hyperlink ref="BT354" r:id="rId705"/>
    <hyperlink ref="BK355" r:id="rId706"/>
    <hyperlink ref="BT355" r:id="rId707"/>
    <hyperlink ref="BK356" r:id="rId708"/>
    <hyperlink ref="BT356" r:id="rId709"/>
    <hyperlink ref="BK357" r:id="rId710"/>
    <hyperlink ref="BT357" r:id="rId711"/>
    <hyperlink ref="BK358" r:id="rId712"/>
    <hyperlink ref="BT358" r:id="rId713"/>
    <hyperlink ref="BK359" r:id="rId714"/>
    <hyperlink ref="BT359" r:id="rId715"/>
    <hyperlink ref="BK360" r:id="rId716"/>
    <hyperlink ref="BT360" r:id="rId717"/>
    <hyperlink ref="BK361" r:id="rId718"/>
    <hyperlink ref="BT361" r:id="rId719"/>
    <hyperlink ref="BK362" r:id="rId720"/>
    <hyperlink ref="BT362" r:id="rId721"/>
    <hyperlink ref="BK363" r:id="rId722"/>
    <hyperlink ref="BT363" r:id="rId723"/>
    <hyperlink ref="BK364" r:id="rId724"/>
    <hyperlink ref="BT364" r:id="rId725"/>
    <hyperlink ref="BK365" r:id="rId726"/>
    <hyperlink ref="BT365" r:id="rId727"/>
    <hyperlink ref="BK366" r:id="rId728"/>
    <hyperlink ref="BT366" r:id="rId729"/>
    <hyperlink ref="BK367" r:id="rId730"/>
    <hyperlink ref="BT367" r:id="rId731"/>
    <hyperlink ref="BK368" r:id="rId732"/>
    <hyperlink ref="BT368" r:id="rId733"/>
    <hyperlink ref="BK369" r:id="rId734"/>
    <hyperlink ref="BT369" r:id="rId735"/>
    <hyperlink ref="BK370" r:id="rId736"/>
    <hyperlink ref="BT370" r:id="rId737"/>
    <hyperlink ref="BK371" r:id="rId738"/>
    <hyperlink ref="BT371" r:id="rId739"/>
    <hyperlink ref="BK372" r:id="rId740"/>
    <hyperlink ref="BT372" r:id="rId741"/>
    <hyperlink ref="BK373" r:id="rId742"/>
    <hyperlink ref="BT373" r:id="rId743"/>
    <hyperlink ref="BK374" r:id="rId744"/>
    <hyperlink ref="BT374" r:id="rId745"/>
    <hyperlink ref="BK375" r:id="rId746"/>
    <hyperlink ref="BT375" r:id="rId747"/>
    <hyperlink ref="BK376" r:id="rId748"/>
    <hyperlink ref="BT376" r:id="rId749"/>
    <hyperlink ref="BK377" r:id="rId750"/>
    <hyperlink ref="BT377" r:id="rId751"/>
    <hyperlink ref="BK378" r:id="rId752"/>
    <hyperlink ref="BT378" r:id="rId753"/>
    <hyperlink ref="BK379" r:id="rId754"/>
    <hyperlink ref="BT379" r:id="rId755"/>
    <hyperlink ref="BK380" r:id="rId756"/>
    <hyperlink ref="BT380" r:id="rId757"/>
    <hyperlink ref="BK381" r:id="rId758"/>
    <hyperlink ref="BT381" r:id="rId759"/>
    <hyperlink ref="BK382" r:id="rId760"/>
    <hyperlink ref="BT382" r:id="rId761"/>
    <hyperlink ref="BK383" r:id="rId762"/>
    <hyperlink ref="BT383" r:id="rId763"/>
    <hyperlink ref="BK384" r:id="rId764"/>
    <hyperlink ref="BT384" r:id="rId765"/>
    <hyperlink ref="BK385" r:id="rId766"/>
    <hyperlink ref="BT385" r:id="rId767"/>
    <hyperlink ref="BK386" r:id="rId768"/>
    <hyperlink ref="BT386" r:id="rId769"/>
    <hyperlink ref="BK387" r:id="rId770"/>
    <hyperlink ref="BT387" r:id="rId771"/>
    <hyperlink ref="BK388" r:id="rId772"/>
    <hyperlink ref="BT388" r:id="rId773"/>
    <hyperlink ref="BK389" r:id="rId774"/>
    <hyperlink ref="BT389" r:id="rId775"/>
    <hyperlink ref="BK390" r:id="rId776"/>
    <hyperlink ref="BT390" r:id="rId777"/>
    <hyperlink ref="BK391" r:id="rId778"/>
    <hyperlink ref="BT391" r:id="rId779"/>
    <hyperlink ref="BK392" r:id="rId780"/>
    <hyperlink ref="BT392" r:id="rId781"/>
    <hyperlink ref="BK393" r:id="rId782"/>
    <hyperlink ref="BT393" r:id="rId783"/>
    <hyperlink ref="BK394" r:id="rId784"/>
    <hyperlink ref="BT394" r:id="rId785"/>
    <hyperlink ref="BK395" r:id="rId786"/>
    <hyperlink ref="BT395" r:id="rId787"/>
    <hyperlink ref="BK396" r:id="rId788"/>
    <hyperlink ref="BT396" r:id="rId789"/>
    <hyperlink ref="BK397" r:id="rId790"/>
    <hyperlink ref="BT397" r:id="rId791"/>
    <hyperlink ref="BK398" r:id="rId792"/>
    <hyperlink ref="BT398" r:id="rId793"/>
    <hyperlink ref="BK399" r:id="rId794"/>
    <hyperlink ref="BT399" r:id="rId795"/>
    <hyperlink ref="BK400" r:id="rId796"/>
    <hyperlink ref="BT400" r:id="rId797"/>
    <hyperlink ref="BK401" r:id="rId798"/>
    <hyperlink ref="BT401" r:id="rId799"/>
    <hyperlink ref="BK402" r:id="rId800"/>
    <hyperlink ref="BT402" r:id="rId801"/>
    <hyperlink ref="BK403" r:id="rId802"/>
    <hyperlink ref="BT403" r:id="rId803"/>
    <hyperlink ref="BK404" r:id="rId804"/>
    <hyperlink ref="BT404" r:id="rId805"/>
    <hyperlink ref="BK405" r:id="rId806"/>
    <hyperlink ref="BT405" r:id="rId807"/>
    <hyperlink ref="BK406" r:id="rId808"/>
    <hyperlink ref="BT406" r:id="rId809"/>
    <hyperlink ref="BK407" r:id="rId810"/>
    <hyperlink ref="BT407" r:id="rId811"/>
    <hyperlink ref="BK408" r:id="rId812"/>
    <hyperlink ref="BT408" r:id="rId813"/>
    <hyperlink ref="BK409" r:id="rId814"/>
    <hyperlink ref="BT409" r:id="rId815"/>
    <hyperlink ref="BK410" r:id="rId816"/>
    <hyperlink ref="BT410" r:id="rId817"/>
    <hyperlink ref="BK411" r:id="rId818"/>
    <hyperlink ref="BT411" r:id="rId819"/>
    <hyperlink ref="BK412" r:id="rId820"/>
    <hyperlink ref="BT412" r:id="rId821"/>
    <hyperlink ref="BK413" r:id="rId822"/>
    <hyperlink ref="BT413" r:id="rId823"/>
    <hyperlink ref="BK414" r:id="rId824"/>
    <hyperlink ref="BT414" r:id="rId825"/>
    <hyperlink ref="BK415" r:id="rId826"/>
    <hyperlink ref="BT415" r:id="rId827"/>
    <hyperlink ref="BK416" r:id="rId828"/>
    <hyperlink ref="BT416" r:id="rId829"/>
    <hyperlink ref="BK417" r:id="rId830"/>
    <hyperlink ref="BT417" r:id="rId831"/>
    <hyperlink ref="BK418" r:id="rId832"/>
    <hyperlink ref="BT418" r:id="rId833"/>
    <hyperlink ref="BK419" r:id="rId834"/>
    <hyperlink ref="BT419" r:id="rId835"/>
    <hyperlink ref="BK420" r:id="rId836"/>
    <hyperlink ref="BT420" r:id="rId837"/>
    <hyperlink ref="BK421" r:id="rId838"/>
    <hyperlink ref="BT421" r:id="rId839"/>
    <hyperlink ref="BK422" r:id="rId840"/>
    <hyperlink ref="BT422" r:id="rId841"/>
    <hyperlink ref="BK423" r:id="rId842"/>
    <hyperlink ref="BT423" r:id="rId843"/>
    <hyperlink ref="BK424" r:id="rId844"/>
    <hyperlink ref="BT424" r:id="rId845"/>
    <hyperlink ref="BK425" r:id="rId846"/>
    <hyperlink ref="BT425" r:id="rId847"/>
    <hyperlink ref="BK426" r:id="rId848"/>
    <hyperlink ref="BT426" r:id="rId849"/>
    <hyperlink ref="BK427" r:id="rId850"/>
    <hyperlink ref="BT427" r:id="rId851"/>
    <hyperlink ref="BK428" r:id="rId852"/>
    <hyperlink ref="BT428" r:id="rId853"/>
    <hyperlink ref="BK429" r:id="rId854"/>
    <hyperlink ref="BT429" r:id="rId855"/>
    <hyperlink ref="BK430" r:id="rId856"/>
    <hyperlink ref="BT430" r:id="rId857"/>
    <hyperlink ref="BK431" r:id="rId858"/>
    <hyperlink ref="BT431" r:id="rId859"/>
    <hyperlink ref="BK432" r:id="rId860"/>
    <hyperlink ref="BT432" r:id="rId861"/>
    <hyperlink ref="BK433" r:id="rId862"/>
    <hyperlink ref="BT433" r:id="rId863"/>
    <hyperlink ref="BK434" r:id="rId864"/>
    <hyperlink ref="BT434" r:id="rId865"/>
    <hyperlink ref="BK435" r:id="rId866"/>
    <hyperlink ref="BT435" r:id="rId867"/>
    <hyperlink ref="BK436" r:id="rId868"/>
    <hyperlink ref="BT436" r:id="rId869"/>
    <hyperlink ref="BK437" r:id="rId870"/>
    <hyperlink ref="BT437" r:id="rId871"/>
    <hyperlink ref="BK438" r:id="rId872"/>
    <hyperlink ref="BT438" r:id="rId873"/>
    <hyperlink ref="BK439" r:id="rId874"/>
    <hyperlink ref="BT439" r:id="rId875"/>
    <hyperlink ref="BK440" r:id="rId876"/>
    <hyperlink ref="BT440" r:id="rId877"/>
    <hyperlink ref="BK441" r:id="rId878"/>
    <hyperlink ref="BT441" r:id="rId879"/>
    <hyperlink ref="BK442" r:id="rId880"/>
    <hyperlink ref="BT442" r:id="rId881"/>
    <hyperlink ref="BK443" r:id="rId882"/>
    <hyperlink ref="BT443" r:id="rId883"/>
    <hyperlink ref="BK444" r:id="rId884"/>
    <hyperlink ref="BT444" r:id="rId885"/>
    <hyperlink ref="BK445" r:id="rId886"/>
    <hyperlink ref="BT445" r:id="rId887"/>
    <hyperlink ref="BK446" r:id="rId888"/>
    <hyperlink ref="BT446" r:id="rId889"/>
    <hyperlink ref="BK447" r:id="rId890"/>
    <hyperlink ref="BT447" r:id="rId891"/>
    <hyperlink ref="BK448" r:id="rId892"/>
    <hyperlink ref="BT448" r:id="rId893"/>
    <hyperlink ref="BK449" r:id="rId894"/>
    <hyperlink ref="BT449" r:id="rId895"/>
    <hyperlink ref="BK450" r:id="rId896"/>
    <hyperlink ref="BT450" r:id="rId897"/>
    <hyperlink ref="BK451" r:id="rId898"/>
    <hyperlink ref="BT451" r:id="rId899"/>
    <hyperlink ref="BK452" r:id="rId900"/>
    <hyperlink ref="BT452" r:id="rId901"/>
    <hyperlink ref="BK453" r:id="rId902"/>
    <hyperlink ref="BT453" r:id="rId903"/>
    <hyperlink ref="BK454" r:id="rId904"/>
    <hyperlink ref="BT454" r:id="rId905"/>
    <hyperlink ref="BK455" r:id="rId906"/>
    <hyperlink ref="BT455" r:id="rId907"/>
    <hyperlink ref="BK456" r:id="rId908"/>
    <hyperlink ref="BT456" r:id="rId909"/>
    <hyperlink ref="BK457" r:id="rId910"/>
    <hyperlink ref="BT457" r:id="rId911"/>
    <hyperlink ref="BK458" r:id="rId912"/>
    <hyperlink ref="BT458" r:id="rId913"/>
    <hyperlink ref="BK459" r:id="rId914"/>
    <hyperlink ref="BT459" r:id="rId915"/>
    <hyperlink ref="BK460" r:id="rId916"/>
    <hyperlink ref="BT460" r:id="rId917"/>
    <hyperlink ref="BK461" r:id="rId918"/>
    <hyperlink ref="BT461" r:id="rId919"/>
    <hyperlink ref="BK462" r:id="rId920"/>
    <hyperlink ref="BT462" r:id="rId921"/>
    <hyperlink ref="BK463" r:id="rId922"/>
    <hyperlink ref="BT463" r:id="rId923"/>
    <hyperlink ref="BK464" r:id="rId924"/>
    <hyperlink ref="BT464" r:id="rId925"/>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2026-08-26T15:31:15Z</dcterms:created>
  <dc:creator>Apache POI</dc:creator>
</cp:coreProperties>
</file>
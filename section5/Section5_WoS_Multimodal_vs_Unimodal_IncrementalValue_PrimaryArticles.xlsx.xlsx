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ublications" r:id="rId3" sheetId="1"/>
  </sheets>
</workbook>
</file>

<file path=xl/sharedStrings.xml><?xml version="1.0" encoding="utf-8"?>
<sst xmlns="http://schemas.openxmlformats.org/spreadsheetml/2006/main" count="20674" uniqueCount="6633">
  <si>
    <t>Times Cited, CSCD</t>
  </si>
  <si>
    <t>Times Cited, ARCI</t>
  </si>
  <si>
    <t>Times Cited, BCI</t>
  </si>
  <si>
    <t>Times Cited, SCIELO</t>
  </si>
  <si>
    <t>Authors</t>
  </si>
  <si>
    <t>Abstract</t>
  </si>
  <si>
    <t>Author Full Names</t>
  </si>
  <si>
    <t>Book Author Full Names</t>
  </si>
  <si>
    <t>Web of Science Index</t>
  </si>
  <si>
    <t>Reprint Addresses</t>
  </si>
  <si>
    <t>Email Addresses</t>
  </si>
  <si>
    <t>Funding Orgs</t>
  </si>
  <si>
    <t>Funding Name Preferred</t>
  </si>
  <si>
    <t>Funding Text</t>
  </si>
  <si>
    <t>Addresses</t>
  </si>
  <si>
    <t>Affiliations</t>
  </si>
  <si>
    <t>Publication Type</t>
  </si>
  <si>
    <t>Book Authors</t>
  </si>
  <si>
    <t>Group Authors</t>
  </si>
  <si>
    <t>Book Group Authors</t>
  </si>
  <si>
    <t>Book Editors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</si>
  <si>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</si>
  <si>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</si>
  <si>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</si>
  <si>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</si>
  <si>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</si>
  <si>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</si>
  <si>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</si>
  <si>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</si>
  <si>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</si>
  <si>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</si>
  <si>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</si>
  <si>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</si>
  <si>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</si>
  <si>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Researcher Ids</t>
  </si>
  <si>
    <t>ORCIDs</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</si>
  <si>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</si>
  <si>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</si>
  <si>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</si>
  <si>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</si>
  <si>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</si>
  <si>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</si>
  <si>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</si>
  <si>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</si>
  <si>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</si>
  <si>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</si>
  <si>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</si>
  <si>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</si>
  <si>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</si>
  <si>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</si>
  <si>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</si>
  <si>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</si>
  <si>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</si>
  <si>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</si>
  <si>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Special Issue</t>
  </si>
  <si>
    <t>Part Number</t>
  </si>
  <si>
    <t>Supplement</t>
  </si>
  <si>
    <t>Meeting Abstract</t>
  </si>
  <si>
    <t>Start Page</t>
  </si>
  <si>
    <t>End Page</t>
  </si>
  <si>
    <t>Article Number</t>
  </si>
  <si>
    <t>DOI</t>
  </si>
  <si>
    <t>DOI Link</t>
  </si>
  <si>
    <t>Book DOI</t>
  </si>
  <si>
    <t>Early Access Date</t>
  </si>
  <si>
    <t>Number of Pages</t>
  </si>
  <si>
    <t>WoS Categories</t>
  </si>
  <si>
    <t>Research Areas</t>
  </si>
  <si>
    <t>IDS Number</t>
  </si>
  <si>
    <t>Pubmed Id</t>
  </si>
  <si>
    <t>UT (Unique WOS ID)</t>
  </si>
  <si>
    <t>Web of Science Record</t>
  </si>
  <si>
    <t>Open Access Designations</t>
  </si>
  <si>
    <t>Hot Paper Status</t>
  </si>
  <si>
    <t>Highly Cited Status</t>
  </si>
  <si>
    <t>Date of Export</t>
  </si>
  <si>
    <t xml:space="preserve">  </t>
  </si>
  <si>
    <t>0</t>
  </si>
  <si>
    <t>Boadu, F; Wang, YL; Cheng, JL</t>
  </si>
  <si>
    <t>Motivation Predicting protein function is a fundamental and challenging task that requires integrating diverse biological data modalities to capture complex functional relationships. Traditional machine learning methods often rely on single modalities or combine only a limited number (typically two), without aligning them in a unified representation, thereby constraining predictive accuracy. Moreover, most existing machine learning approaches are limited to preselected subsets of Gene Ontology (GO) function terms with sufficient annotations, making the prediction of novel function terms a persistent challenge.Results Here, we present FunBind, a multimodal AI model that jointly learns from five modalities, i.e., protein sequences, textual descriptions, domain annotations, structures, and GO terms, to enhance prediction accuracy and infer previously unseen functions. FunBind operates in two modes: (1) self-supervised pretraining using contrastive learning to align the sequence modality with other heterogeneous modalities in a unified latent space, enabling unsupervised zero-shot function prediction, and (2) supervised fine-tuning of the pretrained model to leverage all non-function modalities for comprehensive and accurate function classification. Our results show that FunBind's zero-shot capabilities allow it to generalize effectively to novel function terms never encountered before, while its joint multimodal fine-tuning strategy outperforms single-modality models and current state-of-the-art deep learning methods in typical function prediction settings.Availability https://github.com/jianlin-cheng/FunBind</t>
  </si>
  <si>
    <t>Boadu, Frimpong; Wang, Yanli; Cheng, Jianlin</t>
  </si>
  <si>
    <t/>
  </si>
  <si>
    <t>Science Citation Index Expanded (SCI-EXPANDED)</t>
  </si>
  <si>
    <t>Cheng, JL (corresponding author), Univ Missouri, Dept Elect Engn &amp; Comp Sci, Columbia, MO 65211 USA.; Cheng, JL (corresponding author), Univ Missouri, Roy Blunt NextGen Precis Hlth, Columbia, MO 65211 USA.</t>
  </si>
  <si>
    <t>chengji@missouri.edu</t>
  </si>
  <si>
    <t>[Boadu, Frimpong; Wang, Yanli; Cheng, Jianlin] Univ Missouri, Dept Elect Engn &amp; Comp Sci, Columbia, MO 65211 USA; [Boadu, Frimpong; Wang, Yanli; Cheng, Jianlin] Univ Missouri, Roy Blunt NextGen Precis Hlth, Columbia, MO 65211 USA</t>
  </si>
  <si>
    <t>University of Missouri System; University of Missouri Columbia; University of Missouri System; University of Missouri Columbia</t>
  </si>
  <si>
    <t>J</t>
  </si>
  <si>
    <t>A unified multimodal model for generalizable zero-shot and supervised protein function prediction</t>
  </si>
  <si>
    <t>BIOINFORMATICS</t>
  </si>
  <si>
    <t>English</t>
  </si>
  <si>
    <t>Article</t>
  </si>
  <si>
    <t>Cheng, Jianlin/N-8209-2013</t>
  </si>
  <si>
    <t>29</t>
  </si>
  <si>
    <t>OXFORD UNIV PRESS</t>
  </si>
  <si>
    <t>OXFORD</t>
  </si>
  <si>
    <t>GREAT CLARENDON ST, OXFORD OX2 6DP, ENGLAND</t>
  </si>
  <si>
    <t>1367-4803</t>
  </si>
  <si>
    <t>1367-4811</t>
  </si>
  <si>
    <t>Bioinformatics</t>
  </si>
  <si>
    <t>JUN 2026</t>
  </si>
  <si>
    <t>2026</t>
  </si>
  <si>
    <t>42</t>
  </si>
  <si>
    <t>6</t>
  </si>
  <si>
    <t>btag356</t>
  </si>
  <si>
    <t>10.1093/bioinformatics/btag356</t>
  </si>
  <si>
    <t>http://dx.doi.org/10.1093/bioinformatics/btag356</t>
  </si>
  <si>
    <t>10</t>
  </si>
  <si>
    <t>Biochemical Research Methods; Biotechnology &amp; Applied Microbiology; Computer Science, Interdisciplinary Applications; Mathematical &amp; Computational Biology; Statistics &amp; Probability</t>
  </si>
  <si>
    <t>Biochemistry &amp; Molecular Biology; Biotechnology &amp; Applied Microbiology; Computer Science; Mathematical &amp; Computational Biology; Mathematics</t>
  </si>
  <si>
    <t>JT0GH</t>
  </si>
  <si>
    <t>42244114</t>
  </si>
  <si>
    <t>WOS:001797266200001</t>
  </si>
  <si>
    <t>View Record in Web of Science</t>
  </si>
  <si>
    <t>gold; Green Accepted; Green Submitted</t>
  </si>
  <si>
    <t>2026-08-26</t>
  </si>
  <si>
    <t>3</t>
  </si>
  <si>
    <t>Mao, Y; Xu, WH; Shun, Y; Chai, LX; Xue, L; Yang, Y; Li, M</t>
  </si>
  <si>
    <t>Protein function, which is determined by sequence, structure, and other characteristics, plays a crucial role in an organism's performance. Existing protein function prediction methods mainly rely on sequence data and often ignore structural properties that are crucial for accurate prediction. Protein structure provides richer spatial and functional insights, which can significantly improve prediction accuracy. In this work, we propose a multi-modal protein function prediction model (MMPFP) that integrates protein sequence and structure information through the use of GCN, CNN, and Transformer models. We validate the model using the PDBest dataset, demonstrating that MMPFP outperforms traditional single-modal models in the molecular function (MF), biological process (BP), and cellular component (CC) prediction tasks. Specifically, MMPFP achieved AUPR scores of 0.693, 0.355, and 0.478; \documentclass[12pt]{minimal} \usepackage{amsmath} \usepackage{wasysym} \usepackage{amsfonts} \usepackage{amssymb} \usepackage{amsbsy} \usepackage{mathrsfs} \usepackage{upgreek} \setlength{\oddsidemargin}{-69pt} \begin{document}$$F_{max}$$\end{document} scores of 0.752, 0.629, and 0.691; and \documentclass[12pt]{minimal} \usepackage{amsmath} \usepackage{wasysym} \usepackage{amsfonts} \usepackage{amssymb} \usepackage{amsbsy} \usepackage{mathrsfs} \usepackage{upgreek} \setlength{\oddsidemargin}{-69pt} \begin{document}$$S_{min}$$\end{document} scores of 0.336, 0.488, and 0.459, showing a 3-5% improvement over single-modal models. Additionally, ablation studies confirm the effectiveness of the Transformer module within the GCN branch, further validating MMPFP's superior performance over existing methods. This multi-modal approach offers a more accurate and comprehensive framework for protein function prediction, addressing key limitations of current models.</t>
  </si>
  <si>
    <t>Mao, Yu; Xu, Wenhui; Shun, Yue; Chai, Longxin; Xue, Lei; Yang, Yong; Li, Mei</t>
  </si>
  <si>
    <t>Yang, Y; Li, M (corresponding author), Hubei Univ, Sch Life Sci, State Key Lab Biocatalysis &amp; Enzyme Engn, Wuhan 430062, Hubei, Peoples R China.</t>
  </si>
  <si>
    <t>meili@hubu.edu.cn; yangyong@hubu.edu.cn</t>
  </si>
  <si>
    <t>Hubei Provincial Talent Project [1070202403147]</t>
  </si>
  <si>
    <t>Hubei Provincial Talent Project</t>
  </si>
  <si>
    <t>This work was supported by Hubei Provincial Talent Project (1070202403147).</t>
  </si>
  <si>
    <t>[Mao, Yu; Xu, Wenhui; Shun, Yue; Chai, Longxin; Xue, Lei; Yang, Yong; Li, Mei] Hubei Univ, Sch Life Sci, State Key Lab Biocatalysis &amp; Enzyme Engn, Wuhan 430062, Hubei, Peoples R China</t>
  </si>
  <si>
    <t>Hubei University</t>
  </si>
  <si>
    <t>A multimodal model for protein function prediction</t>
  </si>
  <si>
    <t>SCIENTIFIC REPORTS</t>
  </si>
  <si>
    <t>Protein function prediction; Multi-modal models; GCN; CNN; Transformer; Protein sequence; Protein structure</t>
  </si>
  <si>
    <t>SEQUENCE; REPRESENTATION</t>
  </si>
  <si>
    <t>Mao, Yu/0009-0000-9093-6264</t>
  </si>
  <si>
    <t>31</t>
  </si>
  <si>
    <t>9</t>
  </si>
  <si>
    <t>13</t>
  </si>
  <si>
    <t>NATURE PORTFOLIO</t>
  </si>
  <si>
    <t>BERLIN</t>
  </si>
  <si>
    <t>HEIDELBERGER PLATZ 3, BERLIN, 14197, GERMANY</t>
  </si>
  <si>
    <t>2045-2322</t>
  </si>
  <si>
    <t>SCI REP-UK</t>
  </si>
  <si>
    <t>Sci Rep</t>
  </si>
  <si>
    <t>MAR 26 2025</t>
  </si>
  <si>
    <t>2025</t>
  </si>
  <si>
    <t>15</t>
  </si>
  <si>
    <t>1</t>
  </si>
  <si>
    <t>10465</t>
  </si>
  <si>
    <t>10.1038/s41598-025-94612-y</t>
  </si>
  <si>
    <t>http://dx.doi.org/10.1038/s41598-025-94612-y</t>
  </si>
  <si>
    <t>Multidisciplinary Sciences</t>
  </si>
  <si>
    <t>Science &amp; Technology - Other Topics</t>
  </si>
  <si>
    <t>0RT6K</t>
  </si>
  <si>
    <t>40140535</t>
  </si>
  <si>
    <t>WOS:001454464200002</t>
  </si>
  <si>
    <t>gold; Green Submitted</t>
  </si>
  <si>
    <t>Chen, HZ; Liu, PR; Zhou, GY; Lu, ML; Yu, D</t>
  </si>
  <si>
    <t>Work-related injuries from overexertion, particularly lifting, are a major concern in occupational safety. Traditional assessment tools, such as the Revised NIOSH Lifting Equation (RNLE), require significant training and practice for deployment. This study presents an approach that integrates tactile gloves with computer vision (CV) to enhance the assessment of lifting-related injury risks, addressing the limitations of existing single-modality methods. Thirty-one participants performed 2747 lifting tasks across three lifting risk categories (LI &lt; 1, 1 &lt;= LI &lt;= 2, LI &gt; 2). Features including hand pressure measured by tactile gloves during each lift and 3D body poses estimated using CV algorithms from video recordings were combined and used to develop prediction models. The Convolutional Neural Network (CNN) model achieved an overall accuracy of 89 % in predicting the three lifting risk categories. The results highlight the potential for a real-time, non-intrusive risk assessment tool to assist ergonomic practitioners in mitigating musculoskeletal injury risks in workplace environments.</t>
  </si>
  <si>
    <t>Chen, Haozhi; Liu, Peiran; Zhou, Guoyang; Lu, Ming-Lun; Yu, Denny</t>
  </si>
  <si>
    <t>Science Citation Index Expanded (SCI-EXPANDED); Social Science Citation Index (SSCI)</t>
  </si>
  <si>
    <t>Yu, D (corresponding author), Purdue Univ, 315 N Grant St, W Lafayette, IN 47907 USA.</t>
  </si>
  <si>
    <t>dennyyu@purdue.edu</t>
  </si>
  <si>
    <t>NIOSH [1R21OH012710]</t>
  </si>
  <si>
    <t>NIOSH (United States Department of Health &amp; Human Services, Centers for Disease Control &amp; Prevention - USA, National Institute for Occupational Safety &amp; Health (NIOSH))</t>
  </si>
  <si>
    <t>This work was funded in part by a grant from NIOSH (#1R21OH012710). Findings and conclusions in this report are those of the authors and do not necessarily represent the official positions of the National Institute for Occupational Safety and Health (NIOSH), the Center for Disease Control and Prevention (CDC). The mention of any company or product does not constitute endorsement by NIOSH, CDC.</t>
  </si>
  <si>
    <t>[Chen, Haozhi; Liu, Peiran; Zhou, Guoyang; Yu, Denny] Purdue Univ, 315 N Grant St, W Lafayette, IN 47907 USA; [Lu, Ming-Lun] Natl Inst Occupat Safety &amp; Hlth, Cincinnati, OH USA</t>
  </si>
  <si>
    <t>Purdue University System; Purdue University; Centers for Disease Control &amp; Prevention - USA; National Institute for Occupational Safety &amp; Health (NIOSH)</t>
  </si>
  <si>
    <t>Computer vision and tactile glove: A multimodal model in lifting task risk assessment</t>
  </si>
  <si>
    <t>APPLIED ERGONOMICS</t>
  </si>
  <si>
    <t>Computer vision; Tactile gloves; Lifting risk prediction</t>
  </si>
  <si>
    <t>WORK ACTIVITIES; PREDICTIVE METHODS; NIOSH EQUATION; DESIGN; DISORDERS; ACCURACY; SAFETY; MOTION</t>
  </si>
  <si>
    <t>Yu, Denny/OEP-2469-2025; liu, peiran/LFU-4067-2024</t>
  </si>
  <si>
    <t>Yu, Denny/0000-0002-5083-1713; Chen, Haozhi/0009-0001-2347-1601</t>
  </si>
  <si>
    <t>72</t>
  </si>
  <si>
    <t>8</t>
  </si>
  <si>
    <t>11</t>
  </si>
  <si>
    <t>ELSEVIER SCI LTD</t>
  </si>
  <si>
    <t>London</t>
  </si>
  <si>
    <t>125 London Wall, London, ENGLAND</t>
  </si>
  <si>
    <t>0003-6870</t>
  </si>
  <si>
    <t>1872-9126</t>
  </si>
  <si>
    <t>APPL ERGON</t>
  </si>
  <si>
    <t>Appl. Ergon.</t>
  </si>
  <si>
    <t>SEP 2025</t>
  </si>
  <si>
    <t>127</t>
  </si>
  <si>
    <t>104513</t>
  </si>
  <si>
    <t>10.1016/j.apergo.2025.104513</t>
  </si>
  <si>
    <t>http://dx.doi.org/10.1016/j.apergo.2025.104513</t>
  </si>
  <si>
    <t>APR 2025</t>
  </si>
  <si>
    <t>12</t>
  </si>
  <si>
    <t>Engineering, Industrial; Ergonomics; Psychology, Applied</t>
  </si>
  <si>
    <t>Engineering; Psychology</t>
  </si>
  <si>
    <t>1CW0F</t>
  </si>
  <si>
    <t>40174433</t>
  </si>
  <si>
    <t>WOS:001462000900001</t>
  </si>
  <si>
    <t>hybrid</t>
  </si>
  <si>
    <t>Hou, WP; Liu, Q; Ma, HF; Qu, YL; Ji, ZC</t>
  </si>
  <si>
    <t>Image classification plays a pivotal role in analyzing biomedical images, serving as a cornerstone for both biological research and clinical diagnostics. It is demonstrated that large multimodal models (LMMs), like GPT-4, excel in one-shot learning, generalization, interpretability, and text-driven image classification across diverse biomedical tasks. These tasks include the classification of tissues, cell types, cellular states, and disease status. LMMs stand out from traditional single-modal classification approaches, which often require large training datasets and offer limited interpretability.</t>
  </si>
  <si>
    <t>Hou, Wenpin; Liu, Qi; Ma, Huifang; Qu, Yilong; Ji, Zhicheng</t>
  </si>
  <si>
    <t>Hou, WP (corresponding author), Columbia Univ, Mailman Sch Publ Hlth, Dept Biostat, New York, NY 10032 USA.; Ji, ZC (corresponding author), Duke Univ, Sch Med, Dept Biostat &amp; Bioinformat, Durham, NC 27705 USA.</t>
  </si>
  <si>
    <t>wh2526@cumc.columbia.edu; zhicheng.ji@duke.edu</t>
  </si>
  <si>
    <t>NIH [U54AG075936, R35GM154865]; National Institutes of Health [K99/R00HG011468]; National Human Genome Research Institute of the National Institutes of Health [R35GM150887]; National Institute of General Medical Sciences of the National Institutes of Health; General Fund at Columbia University Department of Biostatistics</t>
  </si>
  <si>
    <t>NIH (United States Department of Health &amp; Human Services, National Institutes of Health (NIH) - USA); National Institutes of Health (United States Department of Health &amp; Human Services, National Institutes of Health (NIH) - USA); National Human Genome Research Institute of the National Institutes of Health (United States Department of Health &amp; Human Services, National Institutes of Health (NIH) - USA, NIH National Human Genome Research Institute (NHGRI)); National Institute of General Medical Sciences of the National Institutes of Health (United States Department of Health &amp; Human Services, National Institutes of Health (NIH) - USA, NIH National Institute of General Medical Sciences (NIGMS)); General Fund at Columbia University Department of Biostatistics</t>
  </si>
  <si>
    <t>Z.J., H.M., and Y.Q. were supported by the National Institutes of Health under (Award Number U54AG075936 and R35GM154865). W.H. was supported by the National Human Genome Research Institute of the National Institutes of Health under (Award Number K99/R00HG011468) and by the National Institute of General Medical Sciences of the National Institutes of Health under (Award Number R35GM150887). Q.L. was supported by the General Fund at Columbia University Department of Biostatistics. The content is solely the responsibility of the authors and does not necessarily represent the official views of the National Institutes of Health. We would like to thank Columbia HPC (Insomnia) for supporting our computing needs.</t>
  </si>
  <si>
    <t>[Hou, Wenpin; Liu, Qi] Columbia Univ, Mailman Sch Publ Hlth, Dept Biostat, New York, NY 10032 USA; [Ma, Huifang; Qu, Yilong; Ji, Zhicheng] Duke Univ, Sch Med, Dept Biostat &amp; Bioinformat, Durham, NC 27705 USA</t>
  </si>
  <si>
    <t>Columbia University; Duke University</t>
  </si>
  <si>
    <t>Assessing Large Multimodal Models for One-Shot Learning and Interpretability in Biomedical Image Classification</t>
  </si>
  <si>
    <t>ADVANCED INTELLIGENT SYSTEMS</t>
  </si>
  <si>
    <t>biomedical image; image classification; large language model; large multimodal model; machine learning</t>
  </si>
  <si>
    <t>HOU, WENPIN/AAT-4099-2020</t>
  </si>
  <si>
    <t>HOU, WENPIN/0000-0003-0972-2192</t>
  </si>
  <si>
    <t>32</t>
  </si>
  <si>
    <t>4</t>
  </si>
  <si>
    <t>23</t>
  </si>
  <si>
    <t>WILEY-V C H VERLAG GMBH</t>
  </si>
  <si>
    <t>WEINHEIM</t>
  </si>
  <si>
    <t>POSTFACH 101161, 69451 WEINHEIM, GERMANY</t>
  </si>
  <si>
    <t>2640-4567</t>
  </si>
  <si>
    <t>ADV INTELL SYST-GER</t>
  </si>
  <si>
    <t>Adv. Intell. Syst.</t>
  </si>
  <si>
    <t>OCT 2025</t>
  </si>
  <si>
    <t>7</t>
  </si>
  <si>
    <t>SI</t>
  </si>
  <si>
    <t>2400947</t>
  </si>
  <si>
    <t>10.1002/aisy.202400947</t>
  </si>
  <si>
    <t>http://dx.doi.org/10.1002/aisy.202400947</t>
  </si>
  <si>
    <t>Automation &amp; Control Systems; Computer Science, Artificial Intelligence; Robotics</t>
  </si>
  <si>
    <t>Automation &amp; Control Systems; Computer Science; Robotics</t>
  </si>
  <si>
    <t>9BT6R</t>
  </si>
  <si>
    <t>40836950</t>
  </si>
  <si>
    <t>WOS:001459881100001</t>
  </si>
  <si>
    <t>Wang, JC; Zhang, YL; Xie, FY; Liu, J</t>
  </si>
  <si>
    <t>Psoriasis is a chronic inflammatory disease with significant physical and psychological impacts. To overcome the limitations of single-modality artificial intelligence models in diagnosing inflammatory skin diseases, we propose a multimodal framework-spatial alignment multimodal contrastive learning-integrating dermoscopic and clinical photographs and trained on the developed Peking Union Medical College Hospital - Inflammatory Skin Diseases dataset, which includes 8 inflammatory skin diseases. On the Peking Union Medical College Hospital - Inflammatory Skin Diseases dataset, our model achieved classification accuracies of 0.822 for an 8-class classification task and 0.911 for a binary classification task, outperforming single-modality models and simple fusion approaches. Furthermore, on the publicly available Derm7pt dataset, the proposed model surpassed 11 state-of-the-art multimodal methods, achieving an accuracy of 0.807. When used for diagnostic assistance, the model significantly improved the diagnostic accuracy of 20 dermatologists, increasing from 0.775 to 0.890 (P &lt; .05). Among 110 test cases, 87 (79.1%) showed improved diagnostic accuracy. The model demonstrated notable enhancements in diagnosing specific conditions, such as lichen planus, acne, rosacea, and morphea. Validation using heatmaps confirmed that the model's attention aligned with key lesion features in most cases. This study introduces a multimodal model that bridges scale discrepancies between dermoscopic and clinical photographs, offering an efficient tool for diagnosing psoriasis and other inflammatory skin diseases.</t>
  </si>
  <si>
    <t>Wang, Juncheng; Zhang, Yilan; Xie, Fengying; Liu, Jie</t>
  </si>
  <si>
    <t>Xie, FY (corresponding author), Beihang Univ, Image Proc Ctr, Sch Astronaut, 37 Xueyuan Rd, Beijing 100191, Peoples R China.; Liu, J (corresponding author), Chinese Acad Med Sci &amp; Peking Union Med Coll, Peking Union Med Coll Hosp, Dept Dermatol, 1 Shuaifuyuan Alley, Beijing 100730, Peoples R China.</t>
  </si>
  <si>
    <t>Liujie04672@pumch.cn; xfy_73@buaa.edu.cn</t>
  </si>
  <si>
    <t>National High Level Hospital Clinical Research Funding [2022-PUMCH-B-092]; Fundamental Research Funds for the Central Universities [3332023119]; National Natural Science Foundation of China [82173449]; Beijing Natural Science Foundation [7232114, L242106]; National Key Clinical Specialty Project of China</t>
  </si>
  <si>
    <t>National High Level Hospital Clinical Research Funding; Fundamental Research Funds for the Central Universities (Fundamental Research Funds for the Central Universities); National Natural Science Foundation of China (National Natural Science Foundation of China (NSFC)); Beijing Natural Science Foundation (Beijing Natural Science Foundation); National Key Clinical Specialty Project of China</t>
  </si>
  <si>
    <t>This work was supported by the National High Level Hospital Clinical Research Funding (2022-PUMCH-B-092) , the Fundamental Research Funds for the Central Universities (3332023119) , the National Natural Science Foundation of China (82173449) , the Beijing Natural Science Foundation (7232114 and L242106) , and the National Key Clinical Specialty Project of China. FX serves as the guarantor for this work.</t>
  </si>
  <si>
    <t>[Wang, Juncheng; Liu, Jie] Chinese Acad Med Sci &amp; Peking Union Med Coll, Peking Union Med Coll Hosp,Dept Dermatol, Natl Clin Res Ctr Dermatol &amp; Immunol Dis, State Key Lab Complex Severe &amp; Rare Dis, Beijing, Peoples R China; [Zhang, Yilan; Xie, Fengying] Beihang Univ, Image Proc Ctr, Sch Astronaut, 37 Xueyuan Rd, Beijing 100191, Peoples R China</t>
  </si>
  <si>
    <t>Chinese Academy of Medical Sciences - Peking Union Medical College; Peking Union Medical College; Peking Union Medical College Hospital; Beihang University</t>
  </si>
  <si>
    <t>Enhancing Diagnosis of Psoriasis and Inflammatory Skin Diseases: A Spatially Aligned Multimodal Model Integrating Clinical and Dermoscopic Images</t>
  </si>
  <si>
    <t>JOURNAL OF INVESTIGATIVE DERMATOLOGY</t>
  </si>
  <si>
    <t>Computer-aided diagnosis; Contrastive learning; Dermoscopy; Multimodal classification; Psoriasis</t>
  </si>
  <si>
    <t>COMORBIDITIES</t>
  </si>
  <si>
    <t>Zhang, Yilan/QLV-7798-2026</t>
  </si>
  <si>
    <t>Zhang, Yilan/0000-0003-3633-7038; Liu, Jie/0000-0001-8219-2429</t>
  </si>
  <si>
    <t>14</t>
  </si>
  <si>
    <t>ELSEVIER SCIENCE INC</t>
  </si>
  <si>
    <t>NEW YORK</t>
  </si>
  <si>
    <t>101 Park Avenue, 24th Floor, NEW YORK, NY, UNITED STATES</t>
  </si>
  <si>
    <t>0022-202X</t>
  </si>
  <si>
    <t>1523-1747</t>
  </si>
  <si>
    <t>J INVEST DERMATOL</t>
  </si>
  <si>
    <t>J. Invest. Dermatol.</t>
  </si>
  <si>
    <t>NOV 2025</t>
  </si>
  <si>
    <t>145</t>
  </si>
  <si>
    <t>10.1016/j.jid.2025.03.034</t>
  </si>
  <si>
    <t>http://dx.doi.org/10.1016/j.jid.2025.03.034</t>
  </si>
  <si>
    <t>Dermatology</t>
  </si>
  <si>
    <t>9GE6I</t>
  </si>
  <si>
    <t>40216156</t>
  </si>
  <si>
    <t>WOS:001605584200016</t>
  </si>
  <si>
    <t>Lin, JX; Yang, J; Yin, MY; Tang, YX; Chen, LQ; Xu, C; Zhu, SQ; Gao, JW; Liu, L; Liu, XL; Gu, CQ; Huang, Z; Wei, Y; Zhu, JZ</t>
  </si>
  <si>
    <t>We aimed to develop and validate multimodal ICU patient prognosis models that combine clinical parameters data and chest X-ray (CXR) images. A total of 3798 subjects with clinical parameters and CXR images were extracted from the Medical Information Mart for Intensive Care IV (MIMIC-IV) database and an external hospital (the test set). The primary outcome was 30-day mortality after ICU admission. Automated machine learning (AutoML) and convolutional neural networks (CNNs) were used to construct single-modal models based on clinical parameters and CXR separately. An early fusion approach was used to integrate both modalities (clinical parameters and CXR) into a multimodal model named PrismICU. Compared to the single-modal models, i.e., the clinical parameter model (AUC = 0.80, F1-score = 0.43) and the CXR model (AUC = 0.76, F1-score = 0.45) and the scoring system APACHE II (AUC = 0.83, F1-score = 0.77), PrismICU (AUC = 0.95, F1 score = 0.95) showed improved performance in predicting the 30-day mortality in the validation set. In the test set, PrismICU (AUC = 0.82, F1-score = 0.61) was also better than the clinical parameters model (AUC = 0.72, F1-score = 0.50), CXR model (AUC = 0.71, F1-score = 0.36), and APACHE II (AUC = 0.62, F1-score = 0.50). PrismICU, which integrated clinical parameters data and CXR images, performed better than single-modal models and the existing scoring system. It supports the potential of multimodal models based on structured data and imaging in clinical management.</t>
  </si>
  <si>
    <t>Lin, Jiaxi; Yang, Jin; Yin, Minyue; Tang, Yuxiu; Chen, Liquan; Xu, Chang; Zhu, Shiqi; Gao, Jingwen; Liu, Lu; Liu, Xiaolin; Gu, Chenqi; Huang, Zhou; Wei, Yao; Zhu, Jinzhou</t>
  </si>
  <si>
    <t>Zhu, JZ (corresponding author), Soochow Univ, Dept Gastroenterol, Affiliated Hosp 1, 188 Shizi St, Suzhou 215006, Jiangsu, Peoples R China.; Zhu, JZ (corresponding author), Suzhou Clin Ctr Digest Dis, Suzhou 215000, Peoples R China.; Wei, Y (corresponding author), Soochow Univ, Dept Crit Care Med, Affiliated Hosp 1, 188 Shizi St, Suzhou 215006, Jiangsu, Peoples R China.</t>
  </si>
  <si>
    <t>dr_betty@126.com; jzzhu@zju.edu.cn</t>
  </si>
  <si>
    <t>National Natural Science Foundation of China</t>
  </si>
  <si>
    <t>National Natural Science Foundation of China (National Natural Science Foundation of China (NSFC))</t>
  </si>
  <si>
    <t>No Statement Available</t>
  </si>
  <si>
    <t>[Lin, Jiaxi; Yin, Minyue; Xu, Chang; Zhu, Shiqi; Gao, Jingwen; Liu, Lu; Liu, Xiaolin; Zhu, Jinzhou] Soochow Univ, Dept Gastroenterol, Affiliated Hosp 1, 188 Shizi St, Suzhou 215006, Jiangsu, Peoples R China; [Lin, Jiaxi; Yin, Minyue; Xu, Chang; Zhu, Shiqi; Gao, Jingwen; Liu, Lu; Liu, Xiaolin; Zhu, Jinzhou] Suzhou Clin Ctr Digest Dis, Suzhou 215000, Peoples R China; [Yang, Jin; Tang, Yuxiu; Chen, Liquan; Wei, Yao] Soochow Univ, Dept Crit Care Med, Affiliated Hosp 1, 188 Shizi St, Suzhou 215006, Jiangsu, Peoples R China; [Gu, Chenqi; Huang, Zhou] Soochow Univ, Dept Radiol, Affiliated Hosp 1, Suzhou, Peoples R China</t>
  </si>
  <si>
    <t>Soochow University - China</t>
  </si>
  <si>
    <t>Development and Validation of Multimodal Models to Predict the 30-Day Mortality of ICU Patients Based on Clinical Parameters and Chest X-Rays</t>
  </si>
  <si>
    <t>JOURNAL OF IMAGING INFORMATICS IN MEDICINE</t>
  </si>
  <si>
    <t>Automated machine learning (AutoML); Deep learning; Intensive care unit; Mortality; Multimodal; Feature fusion</t>
  </si>
  <si>
    <t>Wei, Yao/MFK-1734-2025; Yin, Minyue/GRJ-2214-2022; Lu, Liu/ODL-9245-2025; jingwen, gao/MSX-1089-2025</t>
  </si>
  <si>
    <t>ZHU, JINZHOU/0000-0003-0544-9248</t>
  </si>
  <si>
    <t>36</t>
  </si>
  <si>
    <t>17</t>
  </si>
  <si>
    <t>SPRINGER</t>
  </si>
  <si>
    <t>ONE NEW YORK PLAZA, SUITE 4600, NEW YORK, NY, UNITED STATES</t>
  </si>
  <si>
    <t>2948-2925</t>
  </si>
  <si>
    <t>2948-2933</t>
  </si>
  <si>
    <t>J IMAGING INFORM MED</t>
  </si>
  <si>
    <t>J. Imaging Inform. Med.</t>
  </si>
  <si>
    <t>AUG 2024</t>
  </si>
  <si>
    <t>2024</t>
  </si>
  <si>
    <t>37</t>
  </si>
  <si>
    <t>1312</t>
  </si>
  <si>
    <t>1322</t>
  </si>
  <si>
    <t>10.1007/s10278-024-01066-1</t>
  </si>
  <si>
    <t>http://dx.doi.org/10.1007/s10278-024-01066-1</t>
  </si>
  <si>
    <t>MAR 2024</t>
  </si>
  <si>
    <t>Radiology, Nuclear Medicine &amp; Medical Imaging</t>
  </si>
  <si>
    <t>A8E1I</t>
  </si>
  <si>
    <t>38448758</t>
  </si>
  <si>
    <t>WOS:001194042800001</t>
  </si>
  <si>
    <t>Green Submitted</t>
  </si>
  <si>
    <t>Wang, TJ; Zhu, QL; Yu, TX; Leonov, D; Shi, XR; Zhou, ZH; Lv, K; Xiao, MS; Li, JC</t>
  </si>
  <si>
    <t>Objectives: To propose a multimodal deep learning method for the classification of benign and malignant breast non-mass lesions (NMLs) using grayscale and color Doppler ultrasound and to compare the performance of multi-modality and single-modality breast ultrasound (BUS) models. Methods: This retrospective study collected 248 pathologically confirmed NMLs from 241 female patients comprising grayscale and color Doppler BUS images from March 2018 to November 2024. Three types of convolutional neural networks (CNNs), including ResNet50, ResNet18, and VGG16, were evaluated as single-modality (grayscale or color Doppler) models via five-fold cross-validations. The optimal model for each single-modality approach was chosen as the backbone network for multimodal deep learning. Features extracted from grayscale and color Doppler BUS images were then concatenated to predict the probabilities of benignity and malignancy. The diagnostic efficacy of the multi-modality BUS models was comparatively evaluated against single-modality counterparts. Results: The single-modality VGG16 models outperformed the other two CNN types for both grayscale and color Doppler BUS using five-fold cross-validations. Additionally, single-modality grayscale models outperformed single-modality color Doppler models. With a mean accuracy of 91.54%, sensitivity of 94.15%, specificity of 87.30%, F1 score of 0.93, and area under the receiver operating characteristic curve (AUC) of 0.96, the multimodal VGG16 models performed better than single-modality counterparts. Conclusions: VGG 16-based multimodal ultrasound deep learning showed excellent diagnostic efficacy in distinguishing between benign and malignant NMLs, indicating therapeutic potential to help radiologists assess NMLs.</t>
  </si>
  <si>
    <t>Wang, Tianjiao; Zhu, Qingli; Yu, Tianxiang; Leonov, Denis; Shi, Xinran; Zhou, Zhuhuang; Lv, Ke; Xiao, Mengsu; Li, Jianchu</t>
  </si>
  <si>
    <t>Xiao, MS; Li, JC (corresponding author), Chinese Acad Med Sci &amp; Peking Union Med Coll, Peking Union Med Coll Hosp, Dept Ultrasound, Beijing 100730, Peoples R China.</t>
  </si>
  <si>
    <t>lvke@163.com; wangtianjiao_19@163.com; zqlpumch@126.com; ytx_pedestrian@163.com; zhouzh@bjut.edu.cn; xiaomengsu_2000@sina.com; jianchuli_0301@163.com; strat89@mail.ru; shixinran09@163.com</t>
  </si>
  <si>
    <t>National High Level Hospital Clinical Research Funding [2022-PUMCH-B-065]; National Natural Science Foundation of China [82171967]</t>
  </si>
  <si>
    <t>National High Level Hospital Clinical Research Funding; National Natural Science Foundation of China (National Natural Science Foundation of China (NSFC))</t>
  </si>
  <si>
    <t>This research was funded by the National Natural Science Foundation of China (grant number: 82171967) and the National High Level Hospital Clinical Research Funding (grant number: 2022-PUMCH-B-065).</t>
  </si>
  <si>
    <t>[Wang, Tianjiao; Zhu, Qingli; Lv, Ke; Xiao, Mengsu; Li, Jianchu] Chinese Acad Med Sci &amp; Peking Union Med Coll, Peking Union Med Coll Hosp, Dept Ultrasound, Beijing 100730, Peoples R China; [Yu, Tianxiang; Shi, Xinran; Zhou, Zhuhuang] Beijing Univ Technol, Coll Chem &amp; Life Sci, Dept Biomed Engn, Beijing 100124, Peoples R China; [Leonov, Denis] Moscow Hlth Care Dept, Res &amp; Pract Clin Ctr Diagnost &amp; Telemed Technol, Res &amp; Educ Lab, Moscow 127051, Russia; [Leonov, Denis] Moscow Power Engn Inst, Dept Fundamentals Radio Engn, Moscow 111250, Russia; [Leonov, Denis] Russian Acad Sci, Fed Res Ctr Comp Sci &amp; Control, Dept 41, Moscow 119333, Russia</t>
  </si>
  <si>
    <t>Chinese Academy of Medical Sciences - Peking Union Medical College; Peking Union Medical College; Peking Union Medical College Hospital; Beijing University of Technology; Moscow Power Engineering Institute; Russian Academy of Sciences; Federal Research Center Computer Science &amp; Control of RAS</t>
  </si>
  <si>
    <t>Multimodal Deep Learning-Based Classification of Breast Non-Mass Lesions Using Gray Scale and Color Doppler Ultrasound</t>
  </si>
  <si>
    <t>DIAGNOSTICS</t>
  </si>
  <si>
    <t>breast disease; breast non-mass lesion; ultrasound imaging; artificial intelligence; computer-aided diagnosis</t>
  </si>
  <si>
    <t>SHEAR-WAVE ELASTOGRAPHY; DIFFERENTIAL-DIAGNOSIS</t>
  </si>
  <si>
    <t>Wang, Tianjiao/KHZ-7567-2024; ZHU, QINGLI/ITU-6591-2023; Leonov, Denis/HPH-4318-2023; Zhou, Zhuhuang/M-3301-2019</t>
  </si>
  <si>
    <t>Lv, Ke/0000-0001-8779-9860; Leonov, Denis/0000-0003-0916-6552; Zhou, Zhuhuang/0000-0003-0570-8473</t>
  </si>
  <si>
    <t>2</t>
  </si>
  <si>
    <t>MDPI</t>
  </si>
  <si>
    <t>BASEL</t>
  </si>
  <si>
    <t>MDPI AG, Grosspeteranlage 5, CH-4052 BASEL, SWITZERLAND</t>
  </si>
  <si>
    <t>2075-4418</t>
  </si>
  <si>
    <t>Diagnostics</t>
  </si>
  <si>
    <t>NOV 22 2025</t>
  </si>
  <si>
    <t>2967</t>
  </si>
  <si>
    <t>10.3390/diagnostics15232967</t>
  </si>
  <si>
    <t>http://dx.doi.org/10.3390/diagnostics15232967</t>
  </si>
  <si>
    <t>16</t>
  </si>
  <si>
    <t>Medicine, General &amp; Internal</t>
  </si>
  <si>
    <t>General &amp; Internal Medicine</t>
  </si>
  <si>
    <t>R4077</t>
  </si>
  <si>
    <t>41374348</t>
  </si>
  <si>
    <t>WOS:001635561700001</t>
  </si>
  <si>
    <t>Ren, H; Jing, FS; Zhou, Y; Luo, ZY; Yu, X; Jin, W; Chen, LZ</t>
  </si>
  <si>
    <t>BackgroundAlzheimer's disease (AD) exhibits highly heterogeneous clinical courses. Early, accurate prediction and subgroup identification remain challenging due to reliance on single-modality data and coarse subtype schemes.ObjectiveTo develop and validate a multimodal framework that integrates 3D MRI and clinical indicators to (1) stratify patients into clinically meaningful progression subtypes and (2) forecast individual memory/cognitive trajectories at 6, 12, and 48 months.MethodsUsing ADNI-2 (n = 453), we extracted 3D T1-weighted MRI features via a pre-trained Med3D network and combined them with cognitive, functional, and genetic indicators. Non-negative matrix factorization projected patients into a two-dimensional progression space, and K-means defined three prognostic subgroups ("Low," "Mild," "Fast"). We compared several longitudinal architectures (CNN, Transformer, LSTM variants, ConvLSTM); interpretability was assessed with SHAP.ResultsClustering metrics (Silhouette peak at k = 3) supported three distinct trajectories. Stacked LSTM led image-only prediction, while standard LSTM favored indicator-only data. Multimodal LSTM with attention achieved the lowest errors-MAE 0.196, 0.203, and 0.261 at 6, 12, and 48 months-alongside accuracies of 0.903, 0.845, and 0.791. SHAP highlighted memory- and language-related features as dominant contributors.ConclusionAn interpretable, fully automated multimodal framework enables robust subgroup stratification and individualized cognitive forecasting up to four years, supporting personalized prognosis and targeted clinical decision-making.</t>
  </si>
  <si>
    <t>Ren, Hao; Jing, Fengshi; Zhou, Yue; Luo, Zeyu; Yu, Xu; Jin, Wen; Chen, Lizhi</t>
  </si>
  <si>
    <t>Jing, FS (corresponding author), City Univ Macau, Fac Data Sci, Taipa 999078, Macao Sar, Peoples R China.; Chen, LZ (corresponding author), Jinan Univ, Affiliated Guangdong Prov Gen Hosp 2, Dept Sci &amp; Educ, Guangzhou, Guangdong, Peoples R China.; Jin, W (corresponding author), Jinan Univ, Cardiovasc Hosp, Affiliated Guangdong Prov Gen Hosp 2, Dept Cardiac Intens Care Unit, Guangzhou, Peoples R China.</t>
  </si>
  <si>
    <t>jinw@gd2h.org.cn; fsjing@cityu.edu.mo; chenlzh7@mail2.sysu.edu.cn</t>
  </si>
  <si>
    <t>Medical Science and Technology Project of Zhejiang Province [025A04J5526, 2024A03J1067]; National Natural Science Foundation of China [82204791]; Natural Science Foundation of Guangdong Province [2020A1515010002]; Guangdong Provincial Key Laboratory Of Computational Science And Material Design [B2024030]</t>
  </si>
  <si>
    <t>Medical Science and Technology Project of Zhejiang Province; National Natural Science Foundation of China (National Natural Science Foundation of China (NSFC)); Natural Science Foundation of Guangdong Province (National Natural Science Foundation of Guangdong Province); Guangdong Provincial Key Laboratory Of Computational Science And Material Design</t>
  </si>
  <si>
    <t>This work was funded by National Natural Science Foundation of China (No. 82204791), Natural Science Foundation of Guangdong Province (No. 2020A1515010002), Science and Technology Projects in Guangzhou (Nos. 2025A04J5526, 2024A03J1067) and the Guangdong Provincial Medical Science Research Fund (No. B2024030).</t>
  </si>
  <si>
    <t>[Ren, Hao] Jinan Univ, Affiliated Guangdong Prov Gen Hosp 2, Inst Healthcare Artificial Intelligence Applicat, Guangzhou 510317, Peoples R China; [Ren, Hao; Jing, Fengshi; Luo, Zeyu] City Univ Macau, Fac Data Sci, Taipa 999078, Macao Sar, Peoples R China; [Zhou, Yue; Chen, Lizhi] Jinan Univ, Affiliated Guangdong Prov Gen Hosp 2, Dept Sci &amp; Educ, Guangzhou, Guangdong, Peoples R China; [Zhou, Yue] Guangzhou Dongsheng Hosp, Guangzhou Tianhe Dist Cent Hosp, Dept Emergency, Guangzhou, Guangdong, Peoples R China; [Yu, Xu] Soochow Univ, Coll Chem Chem Engn &amp; Mat Sci, Suzhou 215123, Peoples R China; [Jin, Wen] Jinan Univ, Cardiovasc Hosp, Affiliated Guangdong Prov Gen Hosp 2, Dept Cardiac Intens Care Unit, Guangzhou, Peoples R China</t>
  </si>
  <si>
    <t>Jinan University; City University of Macau; Jinan University; Soochow University - China; Jinan University</t>
  </si>
  <si>
    <t>Utilizing multimodal models to forecast Alzheimer's disease progression and clinical subtypes</t>
  </si>
  <si>
    <t>HEALTH INFORMATION SCIENCE AND SYSTEMS</t>
  </si>
  <si>
    <t>Alzheimer's disease; Multimodal data integration; Non-negative matrix factorization; Attention-based LSTM; Cognitive trajectory prediction</t>
  </si>
  <si>
    <t>PARKINSONS-DISEASE; RATING-SCALE; DEMENTIA; ROBUST; RECOMMENDATIONS; OPTIMIZATION; REGISTRATION; PREVALENCE; SUBGROUPS; DIAGNOSIS</t>
  </si>
  <si>
    <t>Luo, Zeyu/NPJ-2931-2025; Jing, Fengshi/KHD-2106-2024</t>
  </si>
  <si>
    <t>Ren, Hao/0000-0003-1127-4608</t>
  </si>
  <si>
    <t>47</t>
  </si>
  <si>
    <t>2047-2501</t>
  </si>
  <si>
    <t>HEALTH INF SCI SYST</t>
  </si>
  <si>
    <t>Health Inf. Sci. Syst.</t>
  </si>
  <si>
    <t>DEC 8 2025</t>
  </si>
  <si>
    <t>10.1007/s13755-025-00407-w</t>
  </si>
  <si>
    <t>http://dx.doi.org/10.1007/s13755-025-00407-w</t>
  </si>
  <si>
    <t>Medical Informatics</t>
  </si>
  <si>
    <t>O3177</t>
  </si>
  <si>
    <t>41376794</t>
  </si>
  <si>
    <t>WOS:001632455900001</t>
  </si>
  <si>
    <t>Green Accepted</t>
  </si>
  <si>
    <t>Wen, W; Zhang, TR; Zhao, HA; Liu, JY; Jiang, H; He, YS; Jiang, ZK</t>
  </si>
  <si>
    <t>Background: Facing challenges in differentiating benign/malignant hypervascular thyroid nodules due to overlapping ultrasound features and limited vascular characterization, this study developed multimodal machine learning models integrating B-mode and power Doppler imaging (PDI) features. Methods: A retrospective cohort of 315 patients with pathologically confirmed hypervascular thyroid nodules (Adler grade 2/3) was divided into training (n=220) and test (n=95) sets. Multimodal ultrasound images were processed using a deep learning-based segmentation model and red-channel thresholding method, followed by radiomics feature extraction (1,910 features via PyRadiomics) and deep learning feature derivation (1,000 ResNet-derived features). Feature selection employed analysis of variance (ANOVA) F-tests, yielding hybrid feature sets. Five machine learning algorithms, including random forest, logistic regression, support vector machine (SVM), eXtreme Gradient Boosting (XGBoost), and Tabular Prior-data Fitted Network (TABPFN), were trained and validated. A fused model integrated optimal B-mode and PDI SVM models. Performance was assessed via area under the curve (AUC), accuracy, precision, recall, and SHapley Additive exPlanations (SHAP) analysis. Clinical trial registration number: ChinCTR2100049742. Results: SVM outperformed other models in single-modality analyses: B-mode SVM achieved an AUC of 0.89 (accuracy: 0.84; recall: 0.94), while PDI SVM attained an AUC of 0.86 (accuracy: 0.82; recall: 0.97). The combined model demonstrated near-perfect training performance (AUC: 1.00; accuracy: 0.96) but moderated in testing (AUC: 0.89; accuracy: 0.78), indicating potential overfitting. Radiomics features dominated feature importance, including Logarithm_firstorder_Energy (B-mode) and squareroot_firstorder_ Minimum (PDI). The fused model showed superior recall (0.95) and F1-score (0.86) compared to single modalities, highlighting complementary diagnostic value. Conclusions: Multimodal ultrasound fusion models, particularly SVM-based frameworks, enhance diagnostic accuracy for hypervascular thyroid nodules by synergizing morphological and vascular features. Despite challenges in generalizability, the integration of radiomics and deep learning features offers clinically reliable tools to reduce invasive biopsies.</t>
  </si>
  <si>
    <t>Wen, Wen; Zhang, Tingrui; Zhao, Haina; Liu, Jingyan; Jiang, Heng; He, Yushuang; Jiang, Zekun</t>
  </si>
  <si>
    <t>He, YS (corresponding author), Sichuan Univ, West China Hosp, Dept Ultrasound, 37 Guoxue Alley, Chengdu 610000, Peoples R China.; Jiang, ZK (corresponding author), Sichuan Univ, West China Hosp, West China Biomed Big Data Ctr, 37 Guoxue Alley, Chengdu 610041, Peoples R China.</t>
  </si>
  <si>
    <t>121586214@qq.com; zekun_jiang@163.com</t>
  </si>
  <si>
    <t>Natural Science Foundation of Sichuan Province [2024YFFK0226, 2023NSFSC1722]</t>
  </si>
  <si>
    <t>Natural Science Foundation of Sichuan Province</t>
  </si>
  <si>
    <t>This study was supported by the Natural Science Foundation of Sichuan Province under Grant (No. 2023NSFSC1722) and the Natural Science Foundation of Sichuan Province under Grant (No. 2024YFFK0226) .</t>
  </si>
  <si>
    <t>[Wen, Wen; Zhao, Haina; Liu, Jingyan; He, Yushuang] Sichuan Univ, West China Hosp, Dept Ultrasound, 37 Guoxue Alley, Chengdu 610000, Peoples R China; [Zhang, Tingrui] Univ Michigan, Dept Elect &amp; Comp Engn, Ann Arbor, MI USA; [Jiang, Heng] Westchester Med Ctr, Dept Med, Valhalla, NY USA; [Jiang, Zekun] Sichuan Univ, West China Hosp, West China Biomed Big Data Ctr, 37 Guoxue Alley, Chengdu 610041, Peoples R China</t>
  </si>
  <si>
    <t>Sichuan University; University of Michigan System; University of Michigan; Westchester Medical Center; Sichuan University</t>
  </si>
  <si>
    <t>Multimodal model enhances qualitative diagnosis of hypervascular thyroid nodules: integrating radiomics and deep learning features based on B-mode and PDI images</t>
  </si>
  <si>
    <t>GLAND SURGERY</t>
  </si>
  <si>
    <t>Hypervascular thyroid nodules; ultrasound; power Doppler imaging (PDI); artificial intelligence (AI)</t>
  </si>
  <si>
    <t>Jiang, Zekun/ABE-2831-2020; HE, YUSHUANG/GYR-2289-2022</t>
  </si>
  <si>
    <t>Jiang, Zekun/0000-0002-3178-7761; ZHANG, TINGRUI/0009-0008-0527-3872</t>
  </si>
  <si>
    <t>5</t>
  </si>
  <si>
    <t>AME PUBLISHING COMPANY</t>
  </si>
  <si>
    <t>SHATIN</t>
  </si>
  <si>
    <t>FLAT-RM C 16F, KINGS WING PLAZA 1, NO 3 KWAN ST, SHATIN, HONG KONG 00000, PEOPLES R CHINA</t>
  </si>
  <si>
    <t>2227-684X</t>
  </si>
  <si>
    <t>2227-8575</t>
  </si>
  <si>
    <t>GLAND SURG</t>
  </si>
  <si>
    <t>Gland Surg.</t>
  </si>
  <si>
    <t>AUG 2025</t>
  </si>
  <si>
    <t>10.21037/gs-2025-183</t>
  </si>
  <si>
    <t>http://dx.doi.org/10.21037/gs-2025-183</t>
  </si>
  <si>
    <t>Surgery</t>
  </si>
  <si>
    <t>7HG3S</t>
  </si>
  <si>
    <t>40948925</t>
  </si>
  <si>
    <t>WOS:001570982600014</t>
  </si>
  <si>
    <t>Yang, YC; Wu, JJ; Shi, F; Ren, QG; Gao, P; Meng, XS</t>
  </si>
  <si>
    <t>Purpose This study intends to develop and validate a multiclass system that efficiently integrates complementary information from patients' multimodal data (clinical, imaging, and pathological) to identify individuals at a high risk of 5-year postoperative recurrence among patients with clear cell renal cell carcinoma (ccRCC).Methods This retrospective multicenter study enrolled 270 clear cell renal cell carcinoma (ccRCC) patients, allocating 215 (79.6%) for model development/validation and 55 (20.4%) to an independent test cohort. Patients were categorized into recurrence and non-recurrence groups based on whether tumor recurrence occurred within 5 years after surgery. The final included case in this cohort underwent surgery in July 2018. Single-modality models were created using radiomics, deep learning (ResNet34), and deep features-based radiomics. Subsequently, multi-modality models were constructed by combining the predicted probabilities from the single-modality models and transferring them to another classifier. All models was assessed using the area under the receiver operating characteristic curve (AUROC).Results A total of 25 classification models were constructed. Notably, single-modality fusion models generally outperform their radiomics and deep learning-based radiomics (DL) counterparts. Among five single-modality fusion models, the Fused_Non-enhanced model demonstrates best predictive performance, achieving an AUROC value of 0.837 (95% confidence interval [CI]: 0.729-0.946). Similarly, multi-modality radiomics or DL models exhibit superior performance compared to single-modality counterparts. The multi-modality radiomics-DL model demonstrates the highest prediction performance, achieving an AUROC value of 0.967 (95% CI: 0.929-1.0) in the independent testing dataset.Conclusion The multi-modality radiomics-DL model demonstrates high accuracy in predicting the 5-year postoperative recurrence risk of clear cell renal cell carcinoma (ccRCC).</t>
  </si>
  <si>
    <t>Yang, Youchang; Wu, Jiaojiao; Shi, Feng; Ren, Qingguo; Gao, Peng; Meng, Xiangshui</t>
  </si>
  <si>
    <t>Meng, XS (corresponding author), Shandong Univ, Qilu Hosp Qingdao, Cheeloo Coll Med, Dept Radiol, Shandong, Peoples R China.; Gao, P (corresponding author), Shandong Univ, Qilu Hosp, Dept Radiol, Jinan, Peoples R China.</t>
  </si>
  <si>
    <t>mengxiangshui2021@126.com; gaopeng@sdu.edu.cn</t>
  </si>
  <si>
    <t>Natural Science Foundation of Shandong Province [ZR2023MH042]; Shandong Provincial Healthcare Workers' Technological Innovation Collaborative Project [SDYWZGKCJHLH202434]; Qingdao Key Clinical Specialty Project Fund [QDZDZK-2024-067]</t>
  </si>
  <si>
    <t>Natural Science Foundation of Shandong Province (Natural Science Foundation of Shandong Province); Shandong Provincial Healthcare Workers' Technological Innovation Collaborative Project; Qingdao Key Clinical Specialty Project Fund</t>
  </si>
  <si>
    <t>The author(s) declared financial support was received for this work and/or its publication. This work was supported by the Natural Science Foundation of Shandong Province (ZR2023MH042), Shandong Provincial Healthcare Workers' Technological Innovation Collaborative Project (SDYWZGKCJHLH202434), Qingdao Key Clinical Specialty Project Fund (QDZDZK-2024-067).</t>
  </si>
  <si>
    <t>[Yang, Youchang; Ren, Qingguo; Meng, Xiangshui] Shandong Univ, Qilu Hosp Qingdao, Cheeloo Coll Med, Dept Radiol, Shandong, Peoples R China; [Wu, Jiaojiao; Shi, Feng] United Imaging Intelligence, Dept Res &amp; Dev, Shanghai, Peoples R China; [Gao, Peng] Shandong Univ, Qilu Hosp, Dept Radiol, Jinan, Peoples R China</t>
  </si>
  <si>
    <t>Shandong University; Shandong University</t>
  </si>
  <si>
    <t>Multimodal deep learning for prediction of postoperative recurrence in clear cell renal cell carcinoma: a clinical-radiologic-pathologic approach</t>
  </si>
  <si>
    <t>FRONTIERS IN ONCOLOGY</t>
  </si>
  <si>
    <t>clear cell renal cell carcinoma; multi-classifier system; prediction; radiomics; recurrence</t>
  </si>
  <si>
    <t>IMMUNOTHERAPY; SURVIVAL; GRADE; STAGE; RISK</t>
  </si>
  <si>
    <t>39</t>
  </si>
  <si>
    <t>FRONTIERS MEDIA SA</t>
  </si>
  <si>
    <t>LAUSANNE</t>
  </si>
  <si>
    <t>AVENUE DU TRIBUNAL FEDERAL 34, LAUSANNE, CH-1015, SWITZERLAND</t>
  </si>
  <si>
    <t>2234-943X</t>
  </si>
  <si>
    <t>FRONT ONCOL</t>
  </si>
  <si>
    <t>Front. Oncol.</t>
  </si>
  <si>
    <t>AUG 6 2026</t>
  </si>
  <si>
    <t>1831252</t>
  </si>
  <si>
    <t>10.3389/fonc.2026.1831252</t>
  </si>
  <si>
    <t>http://dx.doi.org/10.3389/fonc.2026.1831252</t>
  </si>
  <si>
    <t>Oncology</t>
  </si>
  <si>
    <t>MX2WG</t>
  </si>
  <si>
    <t>WOS:001853076100001</t>
  </si>
  <si>
    <t>Xu, GT; Zhou, Y; Liu, LH; Zou, ZY; Zhu, ZX; Zhu, JZ; Wu, AR</t>
  </si>
  <si>
    <t>ObjectiveTo establish and validate a multimodal model based on radiomics and deep learning for classifying gastric stromal tumors (GSTs) and gastric leiomyomas (GLMs).MethodsThe study collected clinical case data of 200 patients (137 GSTs and 63 GLMs) hospitalized for gastric submucosal tumors at the First Affiliated Hospital of Soochow University. The collected data included white light endoscopy, ultrasound endoscopic images, computed tomography (CT) images, records of endoscopic intervention, and pathological results. The patients were randomly divided into a training set (134 cases) and a validation set (66 cases) at a ratio of 7:3. A radiomics model was constructed by extracting radiomic features from three-dimensional CT images using XGBoost algorithm, while a deep learning model was developed based on convolutional neural network to extract deep features. Finally, clinical features and the predictions from the models were integrated to establish a multimodal model based on XGBoost algorithm. To enhance model visualization, variable importance ranking and local interpretable visualization were used. Area under the curve (AUC), sensitivity, specificity, false-negative rate (FNR), decision curve analysis net benefit, calibration, and tenfold stratified cross-validation stability assessed model performance.ResultsIn the multimodal model for the classification of GSTs and GLMs, the prediction of the deep learning model was the most important variable, followed by tumor echo homogeneity, age, the prediction of the radiomics model, and major axis of tumor. The multimodal model achieved excellent AUCs (0.927 in the training set, 0.882 in the validation set), outperforming both radiomics and deep learning models. It exhibited favorable calibration, minimal overfitting, a low FNR, and stable performance via tenfold cross-validation.ConclusionBased on the integration of clinical tabular data, radiomics, and deep learning features, the multimodal model could classify GSTs and GLMs, whose performance was better than the single modalities.</t>
  </si>
  <si>
    <t>Xu, Guoting; Zhou, Ye; Liu, Lihe; Zou, Zhaoyang; Zhu, Zixiang; Zhu, Jinzhou; Wu, Airong</t>
  </si>
  <si>
    <t>Zhu, JZ; Wu, AR (corresponding author), Soochow Univ, Affiliated Hosp 1, Dept Gastroenterol, Suzhou, Peoples R China.</t>
  </si>
  <si>
    <t>arwu@suda.edu.cn; jzzhu@zju.edu.cn</t>
  </si>
  <si>
    <t>Youth Program of Suzhou Health Committee [KJXW2019001]; Boxi Clinical Research Program of The First Affiliated Hospital of Soochow University [BXLC2025012]; Suzhou Clinical Center of Digestive Diseases [Szlcyxzx202101]; National Natural Science Foundation of China [82000540]; the Open Fund of Key Laboratory of Hepatosplenic Surgery, Ministry of Education [GPKF202304]</t>
  </si>
  <si>
    <t>Youth Program of Suzhou Health Committee; Boxi Clinical Research Program of The First Affiliated Hospital of Soochow University; Suzhou Clinical Center of Digestive Diseases; National Natural Science Foundation of China (National Natural Science Foundation of China (NSFC)); the Open Fund of Key Laboratory of Hepatosplenic Surgery, Ministry of Education</t>
  </si>
  <si>
    <t>This study was supported by the National Natural Science Foundation of China (82000540), Suzhou Clinical Center of Digestive Diseases (Szlcyxzx202101), Youth Program of Suzhou Health Committee (KJXW2019001), Boxi Clinical Research Program of The First Affiliated Hospital of Soochow University (BXLC2025012), and the Open Fund of Key Laboratory of Hepatosplenic Surgery, Ministry of Education (GPKF202304).</t>
  </si>
  <si>
    <t>[Xu, Guoting] Suzhou Municipal Hosp, Dept Clin Nutr, Suzhou, Jiangsu, Peoples R China; [Zhou, Ye; Liu, Lihe; Zou, Zhaoyang; Zhu, Zixiang; Zhu, Jinzhou; Wu, Airong] Soochow Univ, Affiliated Hosp 1, Dept Gastroenterol, Suzhou, Peoples R China</t>
  </si>
  <si>
    <t>Multimodal models based on radiomics and deep learning in the classification of gastric stromal tumors and gastric leiomyomas</t>
  </si>
  <si>
    <t>SURGICAL ENDOSCOPY AND OTHER INTERVENTIONAL TECHNIQUES</t>
  </si>
  <si>
    <t>Gastric stromal tumor; Gastric leiomyoma; Radiomics; Deep learning; Multimodal fusion</t>
  </si>
  <si>
    <t>PERFORMANCE; ENDOSCOPY; GIST</t>
  </si>
  <si>
    <t>35</t>
  </si>
  <si>
    <t>0930-2794</t>
  </si>
  <si>
    <t>1432-2218</t>
  </si>
  <si>
    <t>SURG ENDOSC</t>
  </si>
  <si>
    <t>Surg. Endosc.</t>
  </si>
  <si>
    <t>40</t>
  </si>
  <si>
    <t>4717</t>
  </si>
  <si>
    <t>4732</t>
  </si>
  <si>
    <t>10.1007/s00464-026-12803-8</t>
  </si>
  <si>
    <t>http://dx.doi.org/10.1007/s00464-026-12803-8</t>
  </si>
  <si>
    <t>APR 2026</t>
  </si>
  <si>
    <t>JJ2HS</t>
  </si>
  <si>
    <t>42257953</t>
  </si>
  <si>
    <t>WOS:001744035100001</t>
  </si>
  <si>
    <t>Yu, HY; Li, XK; Yu, Y; Sui, YY; Zhang, JH; Zhang, L; Qi, JT; Zhang, N; Jiang, RZ</t>
  </si>
  <si>
    <t>Rice sheath blight (ShB) poses a major threat to global rice production. To address early disease detection, this study developed a multimodal predictive model identifying presymptomatic infections using data integration and processing techniques. Current detection methods often fail to capture these infections; the proposed model integrates disease-specific spectral features with cophysiological parameters and applies data transformation to detect early-stage ShB with high accuracy. Spectral and physiological data were collected using ASD HH2, Li6800, and OS1P systems during the infection process. A 12-combination method of 5 interval and 2 individual variables was employed to extract sensitive spectral features, and Pearson correlation analysis was used to screen critical cophysiological parameters. One-dimensional (1D) data were transformed into two-dimensional (2D) Gramian Angular Summation Field images to reveal underlying data structures. The novel dual-branch multimodal deep learning model, MMCG-MHA, combines a gated recurrent unit (GRU) for 1D data analysis with a convolutional neural network (CNN) for 2D image analysis, integrating multimodal data spatiotemporal characteristics through a multi-head attention mechanism. Results revealed that the MMCG-MHA model significantly outperformed the single-modal approach, achieving a classification accuracy of 94.1667 % using the optimal feature band extraction method (IVISSA-CARS) and cophysiological parameters, representing 18.96 % and 11.65 % improvements over GRU and CNN, respectively. Key spectral bands in the 500-585 and 737-855 nm ranges, along with eight physiological parameters, were essential for accurate and early detection of ShB, correlating with changes in chlorophyll content and leaf internal structure. This study highlights the potential of multi-source data fusion and advanced processing for early crop disease detection, advancing agricultural monitoring systems.</t>
  </si>
  <si>
    <t>Yu, Haiye; Li, Xiaokai; Yu, Yue; Sui, Yuanyuan; Zhang, Junhe; Zhang, Lei; Qi, Jiangtao; Zhang, Nan; Jiang, Ranzhe</t>
  </si>
  <si>
    <t>Sui, YY (corresponding author), Jilin Univ, Coll Biol &amp; Agr Engn, Changchun 130012, Peoples R China.</t>
  </si>
  <si>
    <t>suiyuan@jlu.edu.cn</t>
  </si>
  <si>
    <t>Education Ministry Co-Sponsored Synergistic Innovation Center Modern Agriculture Equipment [XTCX1006]</t>
  </si>
  <si>
    <t>Education Ministry Co-Sponsored Synergistic Innovation Center Modern Agriculture Equipment</t>
  </si>
  <si>
    <t>The work was supported by the Sub-themes of the National Key Technologies Research and Development Program of China during the 14th Five-Year Plan Period [No. 2022YFD2002305-2] ; the National Natural Science Foundation of China [No. 32272006] ; Jilin Provincial Scientific and Technological Development Program [No. 20200402015NC, 20240303036NC] ; and the Jiangsu Province and Education Ministry Co-Sponsored Synergistic Innovation Center Modern Agriculture Equipment [No. XTCX1006] .</t>
  </si>
  <si>
    <t>[Yu, Haiye; Li, Xiaokai; Sui, Yuanyuan; Zhang, Junhe; Zhang, Lei; Qi, Jiangtao; Zhang, Nan; Jiang, Ranzhe] Jilin Univ, Coll Biol &amp; Agr Engn, Changchun 130012, Peoples R China; [Yu, Yue] Jilin Agr Univ, Coll Hort, Changchun 130118, Peoples R China</t>
  </si>
  <si>
    <t>Jilin University; Jilin Agricultural University</t>
  </si>
  <si>
    <t>A dual-branch multimodal model for early detection of rice sheath blight: Fusing spectral and physiological signatures</t>
  </si>
  <si>
    <t>COMPUTERS AND ELECTRONICS IN AGRICULTURE</t>
  </si>
  <si>
    <t>Rice sheath blight; Early detection; Multimodal; Data modality transformation; Spectral feature; Physiological parameters</t>
  </si>
  <si>
    <t>PARTIAL LEAST-SQUARES; INTERVAL; SPECTROSCOPY</t>
  </si>
  <si>
    <t>QI, JIANGTAO/AAL-6502-2020; Yu, Yue/AAM-9329-2020</t>
  </si>
  <si>
    <t>95</t>
  </si>
  <si>
    <t>81</t>
  </si>
  <si>
    <t>0168-1699</t>
  </si>
  <si>
    <t>1872-7107</t>
  </si>
  <si>
    <t>COMPUT ELECTRON AGR</t>
  </si>
  <si>
    <t>Comput. Electron. Agric.</t>
  </si>
  <si>
    <t>231</t>
  </si>
  <si>
    <t>110031</t>
  </si>
  <si>
    <t>10.1016/j.compag.2025.110031</t>
  </si>
  <si>
    <t>http://dx.doi.org/10.1016/j.compag.2025.110031</t>
  </si>
  <si>
    <t>JAN 2025</t>
  </si>
  <si>
    <t>18</t>
  </si>
  <si>
    <t>Agriculture, Multidisciplinary; Computer Science, Interdisciplinary Applications</t>
  </si>
  <si>
    <t>Agriculture; Computer Science</t>
  </si>
  <si>
    <t>W7P3L</t>
  </si>
  <si>
    <t>WOS:001420443400001</t>
  </si>
  <si>
    <t>hybrid; Green Accepted</t>
  </si>
  <si>
    <t>Zhou, Y; Duan, YY; Zhu, QW; Li, SY; Zhang, CX</t>
  </si>
  <si>
    <t>Rationale and Objectives: This study aimed to develop a predictive model for peritoneal metastasis (PM) in ovarian cancer using a combination radiomics and clinical biomarkers to improve diagnostic accuracy. Patients and Methods: This retrospective cohort study of 619 ovarian cancer patients involved demographic data, radiomics, O-RADS standardized description, clinical biomarkers, and histological findings. Radiomics features were extracted using 3D Slicer and Pyradiomics, with selective feature extraction using Least Absolute Shrinkage and Selection Operator regression. Model development and validation were carried out using logistic regression and machine learning methods Results: Interobserver agreement was high for radiomics features, with 1049 features initially extracted and 7 features selected through regression analysis. Multi-modal information such as Ascites, Fallopian tube invasion, Greatest diameter, HE4 and D-dimer levels were significant predictors of PM. The developed radiomics nomogram demonstrated strong discriminatory power, with AUC values of 0.912, 0.883, and 0.831 in the training, internal test, and external test sets respectively. The nomogram displayed superior diagnostic performance compared to single-modality models. Conclusion: The integration of multimodal information in a predictive model for PM in ovarian cancer shows promise for enhancing diagnostic accuracy and guiding personalized treatment. This multi-modal approach offers a potential strategy for improving patient outcomes in ovarian cancer management with PM.</t>
  </si>
  <si>
    <t>Zhou, Yi; Duan, Yayang; Zhu, Qiwei; Li, Siyao; Zhang, Chaoxue</t>
  </si>
  <si>
    <t>Zhang, CX (corresponding author), Anhui Med Univ, Affiliated Hosp 1, Dept Ultrasound, Hefei 230022, Anhui, Peoples R China.</t>
  </si>
  <si>
    <t>zcxtgzs@163.com</t>
  </si>
  <si>
    <t>Natural Science Foundation project of Anhui Province [2308085MH278]; Scientific re-search project of Health Commission of Anhui Province [AHWJ2023A10017]</t>
  </si>
  <si>
    <t>Natural Science Foundation project of Anhui Province; Scientific re-search project of Health Commission of Anhui Province</t>
  </si>
  <si>
    <t>Funding This work was supported by the Natural Science Foundation project of Anhui Province (2308085MH278) .Scientific re-search project of Health Commission of Anhui Province (AHWJ2023A10017) .</t>
  </si>
  <si>
    <t>[Zhou, Yi; Duan, Yayang; Zhu, Qiwei; Zhang, Chaoxue] Anhui Med Univ, Affiliated Hosp 1, Dept Ultrasound, Hefei 230022, Anhui, Peoples R China; [Li, Siyao] Anhui Med Univ, Affiliated Hosp 2, Dept Ultrasound, Hefei 230601, Anhui, Peoples R China</t>
  </si>
  <si>
    <t>Anhui Medical University; Anhui Medical University</t>
  </si>
  <si>
    <t>A Multimodal Model Based on Transvaginal Ultrasound-Based Radiomics to Predict the Risk of Peritoneal Metastasis in Ovarian Cancer: A Multicenter Study</t>
  </si>
  <si>
    <t>ACADEMIC RADIOLOGY</t>
  </si>
  <si>
    <t>Ovarian cancer; Oncology; Ultrasound; Radiomics; Peritoneal metastasis.</t>
  </si>
  <si>
    <t>CIRCULATING TUMOR-CELLS; PLATELETS; TUBE</t>
  </si>
  <si>
    <t>25</t>
  </si>
  <si>
    <t>STE 800, 230 PARK AVE, NEW YORK, NY 10169 USA</t>
  </si>
  <si>
    <t>1076-6332</t>
  </si>
  <si>
    <t>1878-4046</t>
  </si>
  <si>
    <t>ACAD RADIOL</t>
  </si>
  <si>
    <t>Acad. Radiol.</t>
  </si>
  <si>
    <t>JUN 2025</t>
  </si>
  <si>
    <t>3498</t>
  </si>
  <si>
    <t>3510</t>
  </si>
  <si>
    <t>10.1016/j.acra.2024.12.074</t>
  </si>
  <si>
    <t>http://dx.doi.org/10.1016/j.acra.2024.12.074</t>
  </si>
  <si>
    <t>MAY 2025</t>
  </si>
  <si>
    <t>3OJ8O</t>
  </si>
  <si>
    <t>39814662</t>
  </si>
  <si>
    <t>WOS:001505161600022</t>
  </si>
  <si>
    <t>Yin, MY; Lin, JX; Wang, Y; Liu, YJ; Zhang, RF; Duan, WB; Zhou, ZR; Zhu, SQ; Gao, JW; Liu, L; Liu, XL; Gu, CQ; Huang, Z; Xu, XD; Xu, CF; Zhu, JZ</t>
  </si>
  <si>
    <t>Objective: Aim to establish a multimodal model for predicting severe acute pancreatitis (SAP) using machine learning (ML) and deep learning (DL). Methods: In this multicentre retrospective study, patients diagnosed with acute pancreatitis at admission were enrolled from January 2017 to December 2021. Clinical information within 24 h and CT scans within 72 h of admission were collected. First, we trained Model alpha based on clinical features selected by least absolute shrinkage and selection operator analysis. Second, radiomics features were extracted from 3D-CT scans and Model beta was developed on the features after dimensionality reduction using principal component analysis. Third, Model gamma was trained on 2D-CT images. Lastly, a multimodal model, namely PrismSAP, was constructed based on aforementioned features in the training set. The predictive accuracy of PrismSAP was verified in the validation and internal test sets and further validated in the external test set. Model performance was evaluated using area under the curve (AUC), accuracy, sensitivity, specificity, recall, precision and F1-score. Results: A total of 1,221 eligible patients were randomly split into a training set (n = 864), a validation set (n = 209) and an internal test set (n = 148). Data of 266 patients were for external testing. In the external test set, PrismSAP performed best with the highest AUC of 0.916 (0.873-0.960) among all models [Model alpha: 0.709 (0.618-0.800); Model beta: 0.749 (0.675-0.824); Model gamma: 0.687 (0.592-0.782); MCTSI: 0.778 (0.698-0.857); RANSON: 0.642 (0.559-0.725); BISAP: 0.751 (0.668-0.833); SABP: 0.710 (0.621-0.798)]. Conclusion: The proposed multimodal model outperformed any single-modality models and traditional scoring systems.</t>
  </si>
  <si>
    <t>Yin, Minyue; Lin, Jiaxi; Wang, Yu; Liu, Yuanjun; Zhang, Rufa; Duan, Wenbin; Zhou, Zhirun; Zhu, Shiqi; Gao, Jingwen; Liu, Lu; Liu, Xiaolin; Gu, Chenqi; Huang, Zhou; Xu, Xiaodan; Xu, Chunfang; Zhu, Jinzhou</t>
  </si>
  <si>
    <t>Xu, XD (corresponding author), Soochow Univ, Changshu Affiliated Hosp, Dept Gastroenterol, 1 Shuyuan St, Suzhou 215500, Jiangsu, Peoples R China.; Xu, CF; Zhu, JZ (corresponding author), Soochow Univ, Affiliated Hosp 1, Dept Gastroenterol, 188 Shizi St, Suzhou 215006, Jiangsu, Peoples R China.</t>
  </si>
  <si>
    <t>xuchunfang@suda.edu.cn; xxd20@163.com; jzzhu@zju.edu.cn</t>
  </si>
  <si>
    <t>National Natural Science Foundation of China [82000540]; Medical Education Collaborative Innovation Fund of Jiangsu University [JDY2022018]; Science and Technology Plan (Apply Basic Research) of Changzhou City [CJ20210006]; Youth Program of Suzhou Health Committee [KJXW2019001]; Science and Technology Plan of Suzhou City [SKY2021038]; Open Fund of Key Laboratory of Hepatoaplenic Surgery, Ministry of Education, Harbin, China [GPKF202304]</t>
  </si>
  <si>
    <t>National Natural Science Foundation of China (National Natural Science Foundation of China (NSFC)); Medical Education Collaborative Innovation Fund of Jiangsu University; Science and Technology Plan (Apply Basic Research) of Changzhou City; Youth Program of Suzhou Health Committee; Science and Technology Plan of Suzhou City; Open Fund of Key Laboratory of Hepatoaplenic Surgery, Ministry of Education, Harbin, China</t>
  </si>
  <si>
    <t>This study was supported by the National Natural Science Foundation of China [82000540] ; Medical Education Collaborative Innovation Fund of Jiangsu University [JDY2022018] ; Science and Technology Plan (Apply Basic Research) of Changzhou City [CJ20210006] ; the Youth Program of Suzhou Health Committee [KJXW2019001] ; Science and Technology Plan of Suzhou City [SKY2021038] ; the Open Fund of Key Laboratory of Hepatoaplenic Surgery, Ministry of Education, Harbin, China [GPKF202304] .</t>
  </si>
  <si>
    <t>[Yin, Minyue; Lin, Jiaxi; Wang, Yu; Zhu, Shiqi; Gao, Jingwen; Liu, Lu; Liu, Xiaolin; Xu, Chunfang; Zhu, Jinzhou] Soochow Univ, Affiliated Hosp 1, Dept Gastroenterol, Suzhou 215006, Jiangsu, Peoples R China; [Yin, Minyue; Lin, Jiaxi; Zhu, Shiqi; Gao, Jingwen; Liu, Lu; Liu, Xiaolin; Xu, Chunfang; Zhu, Jinzhou] Suzhou Clin Ctr Digest Dis, Suzhou 215006, Jiangsu, Peoples R China; [Wang, Yu] Jiangsu Univ, Jintan Hosp, Dept Gen Surg, Changzhou 213299, Jiangsu, Peoples R China; [Liu, Yuanjun] Soochow Univ, Sch Comp Sci &amp; Technol, Suzhou 215006, Jiangsu, Peoples R China; [Zhang, Rufa; Xu, Xiaodan] Soochow Univ, Changshu Hosp, Changshu Peoples Hosp 1, Dept Gastroenterol, Suzhou 215500, Jiangsu, Peoples R China; [Duan, Wenbin] Peoples Hosp Hunan Prov, Dept Hepatobiliary Surg, Changsha 410002, Hunan, Peoples R China; [Zhou, Zhirun] Soochow Univ, Affiliated Hosp 2, Dept Obstet &amp; Gynaecol, Suzhou 215004, Jiangsu, Peoples R China; [Gu, Chenqi; Huang, Zhou] Soochow Univ, Affiliated Hosp 1, Dept Radiol, Suzhou 215006, Jiangsu, Peoples R China; [Zhu, Jinzhou] Harbin Med Univ, Affiliated Hosp 1, Minist Educ, Key Lab Hepatosplen Surg, Harbin 150000, Peoples R China; [Xu, Xiaodan] Soochow Univ, Changshu Affiliated Hosp, Dept Gastroenterol, 1 Shuyuan St, Suzhou 215500, Jiangsu, Peoples R China; [Xu, Chunfang; Zhu, Jinzhou] Soochow Univ, Affiliated Hosp 1, Dept Gastroenterol, 188 Shizi St, Suzhou 215006, Jiangsu, Peoples R China</t>
  </si>
  <si>
    <t>Soochow University - China; Jiangsu University; Soochow University - China; Soochow University - China; Soochow University - China; Soochow University - China; Harbin Medical University; Soochow University - China; Soochow University - China</t>
  </si>
  <si>
    <t>Development and validation of a multimodal model in predicting severe acute pancreatitis based on radiomics and deep learning</t>
  </si>
  <si>
    <t>INTERNATIONAL JOURNAL OF MEDICAL INFORMATICS</t>
  </si>
  <si>
    <t>Multimodal fusion; Machine learning; Deep learning; Severe acute pancreatitis; Model visualization</t>
  </si>
  <si>
    <t>CLINICAL SCORING SYSTEMS</t>
  </si>
  <si>
    <t>jingwen, gao/MSX-1089-2025; Lu, Liu/ODL-9245-2025; wang, yu/AFY-3078-2022; Yin, Minyue/GRJ-2214-2022</t>
  </si>
  <si>
    <t>Lin, Jiaxi/0000-0003-4171-7457; jingwen, gao/0000-0002-9772-4608; ZHU, JINZHOU/0000-0003-0544-9248</t>
  </si>
  <si>
    <t>51</t>
  </si>
  <si>
    <t>34</t>
  </si>
  <si>
    <t>33</t>
  </si>
  <si>
    <t>ELSEVIER IRELAND LTD</t>
  </si>
  <si>
    <t>CLARE</t>
  </si>
  <si>
    <t>ELSEVIER HOUSE, BROOKVALE PLAZA, EAST PARK SHANNON, CO, CLARE, 00000, IRELAND</t>
  </si>
  <si>
    <t>1386-5056</t>
  </si>
  <si>
    <t>1872-8243</t>
  </si>
  <si>
    <t>INT J MED INFORM</t>
  </si>
  <si>
    <t>Int. J. Med. Inform.</t>
  </si>
  <si>
    <t>APR 2024</t>
  </si>
  <si>
    <t>184</t>
  </si>
  <si>
    <t>105341</t>
  </si>
  <si>
    <t>10.1016/j.ijmedinf.2024.105341</t>
  </si>
  <si>
    <t>http://dx.doi.org/10.1016/j.ijmedinf.2024.105341</t>
  </si>
  <si>
    <t>JAN 2024</t>
  </si>
  <si>
    <t>Computer Science, Information Systems; Health Care Sciences &amp; Services; Medical Informatics</t>
  </si>
  <si>
    <t>Computer Science; Health Care Sciences &amp; Services; Medical Informatics</t>
  </si>
  <si>
    <t>KF4V6</t>
  </si>
  <si>
    <t>38290243</t>
  </si>
  <si>
    <t>WOS:001178538400001</t>
  </si>
  <si>
    <t>Li, DY; Zhao, ZX; Wei, GX; Qiu, WH; Lin, ZH; He, JK; Li, BB; Wang, J; Zheng, LS; Feng, FY; Wu, XK; Zhang, ZY; Li, JB; Qiu, MX; Guo, SJ; Zhao, CL; Tan, Y; Liu, YP; Zhang, QL; Zhang, Y; Liang, L</t>
  </si>
  <si>
    <t>Stage III colorectal cancer (CRC) patients exhibit substantial variability in survival outcomes despite standardized Tumor-Node-Metastasis (TNM) staging and oxaliplatin-based adjuvant chemotherapy. Current prognostic models often rely on single-modality data, limiting their predictive accuracy and clinical utility. We developed a novel Multimodal Prognostic Index (MMPI) that integrates histopathological features from hematoxylin and eosin-stained whole-slide images and radiomic features from preoperative computed tomography scans. This retrospective, multicenter study included 253 stage III CRC patients from three institutions, all of whom received oxaliplatin-based adjuvant chemotherapy. Prognostic predictions were generated using a robust, risk-aware joint and individual representation learning algorithm (Robust risk-Aware Joint and Individual [RAJI]). MMPI was trained and tested on internal cohorts and validated externally. Feature contributions were interpreted using SHapley Additive exPlanations. MMPI consistently outperformed unimodal models based solely on pathomics or radiomics in predicting overall survival (concordance index: training set, 0.716 vs. 0.596-0.620; testing set, 0.672 vs. 0.594-0.642; external validation set, 0.632 vs. 0.580-0.605) and recurrence-free survival (C-index: training set, 0.713 vs. 0.609-0.656; testing set, 0.735 vs. 0.611-0.639). It remained an independent prognostic factor after multivariate adjustment and improved risk stratification within TNM-defined subgroups. Furthermore, MMPI effectively predicted chemotherapy efficacy, particularly distinguishing high-risk patients less responsive to 3- or 6-month XELOX and FOLFOX regimens. This study is the first to integrate radiological and pathological imaging for prognostic assessment in stage III CRC. It offers a non-invasive, interpretable tool to improve survival prediction and guide individualized chemotherapy decisions.</t>
  </si>
  <si>
    <t>Li, Danyi; Zhao, Zhangxin; Wei, Genxia; Qiu, Weihao; Lin, Zhihao; He, Jiankun; Li, Bingbing; Wang, Jing; Zheng, Lisheng; Feng, Feiyan; Wu, Xiangkun; Zhang, Zhengyu; Li, Jinbang; Qiu, Mingxing; Guo, Shujing; Zhao, Chenglong; Tan, Ying; Liu, Yueping; Zhang, Qingling; Zhang, Yu; Liang, Li</t>
  </si>
  <si>
    <t>Emerging Sources Citation Index (ESCI)</t>
  </si>
  <si>
    <t>Liang, L (corresponding author), Southern Med Univ, Nanfang Hosp, Sch Basic Med Sci, Dept Pathol, Guangzhou 510515, Peoples R China.; Zhang, Y (corresponding author), Southern Med Univ, Sch Biomed Engn, Guangzhou 510515, Peoples R China.; Zhang, QL (corresponding author), Southern Med Univ, Guangdong Prov Peoples Hosp, Guangdong Acad Med Sci, Dept Pathol, Guangzhou 510515, Peoples R China.; Liu, YP (corresponding author), Hebei Med Univ, Dept Pathol, Hosp 4, Shijiazhuang 050011, Peoples R China.</t>
  </si>
  <si>
    <t>yuzhang@smu.edu.cn; lli@smu.edu.cn; annama@163.com; zhangqingling@gdph.org.cn</t>
  </si>
  <si>
    <t>Chongqing Technology innovation and application development special major project [CSTB2024TIAD-STX0003]; High-level Hospital Construction Project [YKY-KF202204, DFJHBF202108]; National Natural Science Foundation of China [82273358]; Key R&amp;D Program Projects in Guangdong Province [2021B0101420005]</t>
  </si>
  <si>
    <t>Chongqing Technology innovation and application development special major project; High-level Hospital Construction Project; National Natural Science Foundation of China (National Natural Science Foundation of China (NSFC)); Key R&amp;D Program Projects in Guangdong Province</t>
  </si>
  <si>
    <t>Chongqing Technology innovation and application development special major project, Grant No.: CSTB2024TIAD-STX0003; National Natural Science Foundation of China, Grant No.: 82273358; High-level Hospital Construction Project, Grant No.: YKY-KF202204 andDFJHBF202108; Key R&amp;D Program Projects in Guangdong Province, Grant No.: 2021B0101420005</t>
  </si>
  <si>
    <t>[Li, Danyi; Qiu, Weihao; Li, Bingbing; Wang, Jing; Wu, Xiangkun; Zhang, Zhengyu; Li, Jinbang; Qiu, Mingxing; Guo, Shujing; Zhao, Chenglong; Tan, Ying; Liang, Li] Southern Med Univ, Nanfang Hosp, Sch Basic Med Sci, Dept Pathol, Guangzhou 510515, Peoples R China; [Li, Danyi; Qiu, Weihao; Li, Bingbing; Wang, Jing; Wu, Xiangkun; Zhang, Zhengyu; Li, Jinbang; Qiu, Mingxing; Guo, Shujing; Zhao, Chenglong; Tan, Ying; Liang, Li] Guangdong Prov Key Lab Mol Tumor Pathol, Guangzhou, Peoples R China; [Li, Danyi; Qiu, Weihao; Li, Bingbing; Wang, Jing; Wu, Xiangkun; Zhang, Zhengyu; Li, Jinbang; Qiu, Mingxing; Guo, Shujing; Zhao, Chenglong; Tan, Ying; Liang, Li] Jinfeng Lab, Chongqing, Peoples R China; [Zhao, Zhangxin; Zhang, Yu] Southern Med Univ, Sch Biomed Engn, Guangzhou 510515, Peoples R China; [Zhao, Zhangxin; Zhang, Yu] Guangdong Prov Key Lab Med Image Proc, Guangzhou, Peoples R China; [Zhao, Zhangxin; Zhang, Yu] Guangdong Prov Engn Lab Med Imaging &amp; Diagnost Tec, Guangzhou, Peoples R China; [Wei, Genxia] Southern Med Univ, Nanfang Hosp, Huiqiao Med Ctr, Guangzhou, Peoples R China; [Lin, Zhihao; Zheng, Lisheng; Feng, Feiyan; Zhang, Qingling] Southern Med Univ, Guangdong Prov Peoples Hosp, Guangdong Acad Med Sci, Dept Pathol, Guangzhou 510515, Peoples R China; [He, Jiankun; Liu, Yueping] Hebei Med Univ, Dept Pathol, Hosp 4, Shijiazhuang 050011, Peoples R China</t>
  </si>
  <si>
    <t>Southern Medical University - China; Jinfeng Laboratory; Southern Medical University - China; Southern Medical University - China; Guangdong Academy of Medical Sciences &amp; Guangdong General Hospital; Southern Medical University - China; Hebei Medical University</t>
  </si>
  <si>
    <t>Development and validation of a multimodal model based on histopathological and computed tomography imaging for predicting survival outcomes in stage III colorectal cancer</t>
  </si>
  <si>
    <t>VIEW</t>
  </si>
  <si>
    <t>computed tomography image; machine learning; multimodal fusion; prognostic prediction; whole slide image</t>
  </si>
  <si>
    <t>COLON-CANCER; PROGNOSTIC PREDICTION; RADIOTHERAPY; INTEGRATION</t>
  </si>
  <si>
    <t>zhao, zhangxin/GYR-1096-2022</t>
  </si>
  <si>
    <t>Zhao, Zhangxin/0000-0002-5589-4510</t>
  </si>
  <si>
    <t>WILEY</t>
  </si>
  <si>
    <t>HOBOKEN</t>
  </si>
  <si>
    <t>111 RIVER ST, HOBOKEN 07030-5774, NJ USA</t>
  </si>
  <si>
    <t>2688-3988</t>
  </si>
  <si>
    <t>2688-268X</t>
  </si>
  <si>
    <t>VIEW-CHINA</t>
  </si>
  <si>
    <t>View-China</t>
  </si>
  <si>
    <t>10.1002/VIW.20250131</t>
  </si>
  <si>
    <t>http://dx.doi.org/10.1002/VIW.20250131</t>
  </si>
  <si>
    <t>FEB 2026</t>
  </si>
  <si>
    <t>Nanoscience &amp; Nanotechnology; Materials Science, Biomaterials</t>
  </si>
  <si>
    <t>Science &amp; Technology - Other Topics; Materials Science</t>
  </si>
  <si>
    <t>GS6SN</t>
  </si>
  <si>
    <t>WOS:001679190400001</t>
  </si>
  <si>
    <t>Lu, DH; Sun, PF; Li, H; Liang, Z; Zhang, ZH; Cao, QH; Zhang, DL; He, Q; Jia, JS; Wang, YX; Dong, ZR; Wang, DX; Li, T</t>
  </si>
  <si>
    <t>Background &amp; Aims: While combined interventional therapies and targeted immunotherapy have improved outcomes for unresectable hepatocellular carcinoma (HCC), radiographic tumor shrinkage does not guarantee prolonged survival (the "responder paradox"). We hypothesized that these distinct endpoints may be associated with different clinical and biological factors and require separate predictive strategies. This study aimed to develop the predictive radiomics-integrated multimodal estimation (PRIME) system to independently predict and biologically characterize treatment response versus overall survival (OS). Methods: In this multicenter study comprising 246 patients receiving combined interventional therapies and targeted immunotherapy, we integrated clinical data and dual-phase CT radiomics. We employed multimodal fusion algorithms to construct two models: PRIME-R (predicting 3-month objective response) and PRIME-S (predicting OS). Model performance was rigorously tested in an external validation cohort. Furthermore, we utilized SHapley Additive exPlanations and matched imaging-transcriptomic data to elucidate the specific clinical and molecular features associated with each outcome. Results: The PRIME models demonstrated superior accuracy compared to single-modality approaches. In external validation, PRIME-R achieved an AUC of 0.85, while PRIME-S achieved a C-index of 0.72. Significant risk stratification was confirmed (HR = 3.31, 95% CI: 2.06-5.31, P &lt; 0.001). Crucially, feature analysis revealed a distinct divergence: PRIME-R was primarily driven by tumor morphology. In contrast, PRIME-S relied heavily on systemic inflammation and liver function reserve. Transcriptomic profiling supported this interpretation, showing that response was associated with acute immune activation, whereas survival was associated with metabolic adaptation and tissue homeostasis. Conclusion: Short-term response and long-term survival in HCC are distinct clinical endpoints associated with different biological drivers. The PRIME system effectively distinguishes these outcomes, offering insights into the responder paradox and supporting dual-endpoint risk stratification pending further prospective validation.</t>
  </si>
  <si>
    <t>Lu, Donghai; Sun, Pengfei; Li, Han; Liang, Zeng; Zhang, Zhaohan; Cao, Qihang; Zhang, Daolin; He, Qiao; Jia, Jisen; Wang, Yuxuan; Dong, Zhaoru; Wang, Dongxu; Li, Tao</t>
  </si>
  <si>
    <t>Wang, DX; Li, T (corresponding author), Shandong Univ, Qilu Hosp, Dept Gen Surg, 107 Wenhua Xi Rd, Jinan 250012, Shandong, Peoples R China.</t>
  </si>
  <si>
    <t>drwangdongxu@163.com; litao7706@163.com</t>
  </si>
  <si>
    <t>Noncommunicable Chronic Diseases-National Science and Technology Major Project [2026ZD0553200-2026ZD0553203]; China Postdoctoral Science Foundation [2025M782095]; National Natural Science Foundation of China [82203000]; Major basic research of Shandong Provincial Natural Science Foundation [ZR2021ZD26]; Founds for Independent Cultivation of Innovative Team from Universities in Jinan [2020GXRC023]; Taishan Scholars Program of Shandong Province [tstp20221158, tsqnz20221164]; Shandong Provincial Natural Science Foundation [ZR2022QH300]</t>
  </si>
  <si>
    <t>Noncommunicable Chronic Diseases-National Science and Technology Major Project; China Postdoctoral Science Foundation (China Postdoctoral Science Foundation); National Natural Science Foundation of China (National Natural Science Foundation of China (NSFC)); Major basic research of Shandong Provincial Natural Science Foundation; Founds for Independent Cultivation of Innovative Team from Universities in Jinan; Taishan Scholars Program of Shandong Province; Shandong Provincial Natural Science Foundation (Natural Science Foundation of Shandong Province)</t>
  </si>
  <si>
    <t>This work was supported by the Noncommunicable Chronic Diseases-National Science and Technology Major Project (Grant No. 2026ZD0553200-2026ZD0553203), China Postdoctoral Science Foundation (Grant No. 2025M782095), National Natural Science Foundation of China (Grant No. 82203000), Major basic research of Shandong Provincial Natural Science Foundation (Grant No. ZR2021ZD26), Founds for Independent Cultivation of Innovative Team from Universities in Jinan (Grant No. 2020GXRC023), the Taishan Scholars Program of Shandong Province (tstp20221158, tsqnz20221164), and Shandong Provincial Natural Science Foundation (ZR2022QH300).</t>
  </si>
  <si>
    <t>[Lu, Donghai; Sun, Pengfei; Li, Han; Liang, Zeng; Zhang, Zhaohan; Cao, Qihang; Zhang, Daolin; He, Qiao; Jia, Jisen; Wang, Yuxuan; Dong, Zhaoru; Wang, Dongxu; Li, Tao] Shandong Univ, Qilu Hosp, Dept Gen Surg, 107 Wenhua Xi Rd, Jinan 250012, Shandong, Peoples R China; [Sun, Pengfei] Shandong First Med Univ &amp; Shandong Acad Med Sci, Shandong Canc Hosp, Dept HPB Surg, Jinan, Shandong, Peoples R China</t>
  </si>
  <si>
    <t>Shandong University; Shandong First Medical University &amp; Shandong Academy of Medical Sciences</t>
  </si>
  <si>
    <t>Multimodal Modeling Distinguishes Treatment Response from Overall Survival in Hepatocellular Carcinoma Receiving Combined Interventional and Targeted Immunotherapy</t>
  </si>
  <si>
    <t>JOURNAL OF HEPATOCELLULAR CARCINOMA</t>
  </si>
  <si>
    <t>hepatocellular carcinoma; multimodal; targeted immunotherapy; responder; non-invasive; multimodal models; treatment response; survival; paradox; precision stratification</t>
  </si>
  <si>
    <t>TRANSARTERIAL CHEMOEMBOLIZATION; DOUBLE-BLIND; PLACEBO; MRECIST</t>
  </si>
  <si>
    <t>Li, Tao/KCK-8900-2024</t>
  </si>
  <si>
    <t>DOVE MEDICAL PRESS LTD</t>
  </si>
  <si>
    <t>ALBANY</t>
  </si>
  <si>
    <t>PO BOX 300-008, ALBANY, AUCKLAND 0752, NEW ZEALAND</t>
  </si>
  <si>
    <t>2253-5969</t>
  </si>
  <si>
    <t>J HEPATOCELL CARCINO</t>
  </si>
  <si>
    <t>J. HEPATOCELL. CARCINOMA</t>
  </si>
  <si>
    <t>613014</t>
  </si>
  <si>
    <t>10.2147/JHC.S613014</t>
  </si>
  <si>
    <t>http://dx.doi.org/10.2147/JHC.S613014</t>
  </si>
  <si>
    <t>KD5BV</t>
  </si>
  <si>
    <t>42367187</t>
  </si>
  <si>
    <t>WOS:001804370000001</t>
  </si>
  <si>
    <t>Zhang, YD; Han, ZH; Chen, J; Xu, C; Qin, YZ; Wang, B; Zhang, XS; Zhang, LX</t>
  </si>
  <si>
    <t>Accurate and timely diagnosis of crop pests and diseases is vital for safeguarding agricultural productivity and quality. Artificial intelligence has emerged as a powerful tool in this domain, significantly enhancing decision-making in crop health management. However, existing approaches primarily rely on single-modality data for diagnosing specific crops and lack the ability to provide explainable diagnostic reasoning, thereby limiting their scalability and generalizability to diverse crop species in practical applications. To overcome these limitations, this study proposes a large multimodal model named CropGPT to enable diagnosis across all crop types and provide interactive diagnostic explanations. CropGPT is an end-to-end framework that integrates a visual encoder and a large language model. The visual encoder employs the proposed DynamicFocus module to extract multi-level image features encompassing global, local, and object-level information. The large language model incorporates a chain-of-thought design, enabling step-by-step interactive diagnosis of crop diseases along with explanatory reasoning. To enable effective fine-tuning of our model and achieve strong performance across various crops, a dataset named CropInstruct is built based on an automated and cost-efficient paradigm, significantly alleviating the scarcity of high-quality multimodal crop disease data. In addition, we introduce a test-time knowledge augmentation strategy that enhances zero-shot diagnostic performance without requiring retraining, further improving the model's generalizability to a wide range of crops. Experimental results show that CropGPT achieves 0.931 accuracy in diagnosis (&gt;= 35.6% improvement), 71.2 BLEU-4 in image description (&gt;= 44.4%), and 85.3 BLEU-4 in reasoning (&gt;= 47.3%) on 79 crop pest and disease categories, outperforming stateof-the-art multimodal models such as GPT-4o and classical deep learning models under unimodal settings. In zero-shot evaluation, it reaches 0.795 accuracy on 10 unseen crops, surpassing Qwen-VL-Max by 7.3%. These results highlight CropGPT's high precision, interpretability, and generalizability across crop species.</t>
  </si>
  <si>
    <t>Zhang, Yiding; Han, Zonghuan; Chen, Jian; Xu, Chang; Qin, Yuanze; Wang, Bo; Zhang, Xiaoshuan; Zhang, Lingxian</t>
  </si>
  <si>
    <t>Zhang, XS (corresponding author), China Agr Univ, Coll Engn, Beijing 100083, Peoples R China.; Zhang, LX (corresponding author), China Agr Univ, Coll Informat &amp; Elect Engn, Beijing 100083, Peoples R China.</t>
  </si>
  <si>
    <t>zhangyiding117@cau.edu.cn; hanzonghuan@cau.edu.cn; bs20253081002@cau.edu.cn; zhxshuan@cau.edu.cn; zhanglx@cau.edu.cn; qinyuanze@cau.edu.cn; jchen@cau.edu.cn; xuchang@cau.edu.cn</t>
  </si>
  <si>
    <t>China Postdoctoral Science Foundation, China [2024M763577]; National Natural Science Foundation of China [62376272]</t>
  </si>
  <si>
    <t>China Postdoctoral Science Foundation, China (China Postdoctoral Science Foundation); National Natural Science Foundation of China (National Natural Science Foundation of China (NSFC))</t>
  </si>
  <si>
    <t>Acknowledgments This work was supported by the China Postdoctoral Science Foundation, China (NO. 2024M763577) and the National Natural Science Foundation of China (NO. 62376272) .</t>
  </si>
  <si>
    <t>[Zhang, Yiding; Chen, Jian; Zhang, Xiaoshuan] China Agr Univ, Coll Engn, Beijing 100083, Peoples R China; [Han, Zonghuan; Xu, Chang; Qin, Yuanze; Wang, Bo; Zhang, Lingxian] China Agr Univ, Coll Informat &amp; Elect Engn, Beijing 100083, Peoples R China; [Zhang, Lingxian] Minist Agr &amp; Rural Affairs, Key Lab Agr Informatizat Standardizat, Beijing, Peoples R China; [Zhang, Lingxian] Minist Agr &amp; Rural Affairs, Natl Digital Agr Prod Circulat Supply Chain &amp; Logi, Beijing, Peoples R China</t>
  </si>
  <si>
    <t>China Agricultural University; China Agricultural University</t>
  </si>
  <si>
    <t>CropGPT: A large multimodal model for precise and explainable diagnosis of crop pests and diseases</t>
  </si>
  <si>
    <t>JOURNAL OF INDUSTRIAL INFORMATION INTEGRATION</t>
  </si>
  <si>
    <t>Multimodal; Large language model; Zero-shot; Reasoning; Crop pests and diseases</t>
  </si>
  <si>
    <t>DATASET</t>
  </si>
  <si>
    <t>Zhang, Yiding/LXU-7763-2024</t>
  </si>
  <si>
    <t>Han, Zonghuan/0009-0005-0396-9401</t>
  </si>
  <si>
    <t>50</t>
  </si>
  <si>
    <t>ELSEVIER</t>
  </si>
  <si>
    <t>AMSTERDAM</t>
  </si>
  <si>
    <t>RADARWEG 29, 1043 NX AMSTERDAM, NETHERLANDS</t>
  </si>
  <si>
    <t>2467-964X</t>
  </si>
  <si>
    <t>2452-414X</t>
  </si>
  <si>
    <t>J IND INF INTEGR</t>
  </si>
  <si>
    <t>J. Ind. Inf. Integr.</t>
  </si>
  <si>
    <t>MAY 2026</t>
  </si>
  <si>
    <t>101107</t>
  </si>
  <si>
    <t>10.1016/j.jii.2026.101107</t>
  </si>
  <si>
    <t>http://dx.doi.org/10.1016/j.jii.2026.101107</t>
  </si>
  <si>
    <t>19</t>
  </si>
  <si>
    <t>Computer Science, Interdisciplinary Applications; Engineering, Industrial</t>
  </si>
  <si>
    <t>Computer Science; Engineering</t>
  </si>
  <si>
    <t>FH2FZ</t>
  </si>
  <si>
    <t>WOS:001718685100001</t>
  </si>
  <si>
    <t>Kita, K; Suzuki, Y; Fujimoto, T; Uemura, K; Otake, Y; Furuya, M; Kanie, Y; Wataya, T; Nishigaki, D; Sato, J; Tomiyama, M; Tomiyama, N; Okada, S; Hori, M; Fujimori, T</t>
  </si>
  <si>
    <t>Background Sarcopenia is a muscle disease that increases the risk of falls, fractures, and mortality. Appendicular lean mass (ALM) assessment is central to its diagnosis, but standard methods like dual-energy X-ray absorptiometry (DXA) have accessibility and cost issues. Previous artificial intelligence (AI) studies for sarcopenia assessment have been limited to single modalities and have not adequately addressed missing data modalities. This study aimed to develop and validate a multimodal AI model using frontal and lateral chest radiographs and electronic health record (EHR) data to estimate ALM and detect low muscle mass, and to investigate the robustness of a transformer-based algorithm to missing modalities. Methods This model development and validation study adhered to TRIPOD guidelines. The derivation cohort included 3,295 observations from 1,524 participants (mean age 61.9 years, 30% female). External validation was performed on an independent cohort of 3,771 observations from 1,976 participants (mean age 58.4 years, 59% female). Our multimodal model uses a transformer-based TabPFN to predict ALM from 75 features, which integrate 18 features extracted from each of the frontal and lateral chest radiographs by TorchXray with 39 features from EHR data (demographics and blood tests). Model performance for ALM estimation was evaluated using the root mean square error (RMSE), and mean absolute error (MAE), and Pearson correlation coefficient. Estimation of appendicular lean mass performance was assessed using the area under the receiver operating characteristic curve (AUROC). Results The prevalence of low muscle mass was 30% in the derivation set and 29% in the external validation set. The multimodal model achieved high accuracy in ALM estimation, with an RMSE of 1.23 kg, MAE of 0.96 kg, and correlation coefficient of 0.958 in the internal test set. In external validation, the model yielded an RMSE of 1.87 kg, and MAE of 1.41 kg, and correlation of 0.930. For estimation of appendicular lean mass in the external validation set, the model yielded an AUROC of 0.825 for males and 0.730 for females. Sensitivity analyses demonstrated the model's robustness to missing modalities, maintaining stable prediction errors in participants missing part of the EHR (RMSE: 2.00 kg), frontal (RMSE: 1.99 kg), or lateral (RMSE: 2.08 kg) chest radiographs. Conclusions Our transformer-based multimodal AI model accurately estimates ALM and detects low muscle mass from routinely collected clinical data, outperforming unimodal approaches. The model demonstrated robustness even with missing data modalities, supporting its potential utility as a screening tool in clinical settings where data completeness varies. This approach has the potential to serve as an accessible screening tool for low muscle mass, especially in settings where DXA is not readily available.</t>
  </si>
  <si>
    <t>Kita, Kosuke; Suzuki, Yuki; Fujimoto, Takashi; Uemura, Keisuke; Otake, Yoshito; Furuya, Masayuki; Kanie, Yuya; Wataya, Tomohiro; Nishigaki, Daiki; Sato, Junya; Tomiyama, Miyuki; Tomiyama, Noriyuki; Okada, Seiji; Hori, Masatoshi; Fujimori, Takahito</t>
  </si>
  <si>
    <t>Fujimori, T (corresponding author), Univ Osaka, Grad Sch Med, Dept Orthoped Surg, 2-2 Yamadaoka, Suita, Osaka 5650871, Japan.</t>
  </si>
  <si>
    <t>fujimori-takahito-ys@alumni.osaka-u.ac.jp</t>
  </si>
  <si>
    <t>JSPS KAKENHI [JP24KJ1559]; Japan Osteoporosis Foundation [JP21K20966]</t>
  </si>
  <si>
    <t>JSPS KAKENHI (Ministry of Education, Culture, Sports, Science and Technology, Japan (MEXT), Japan Society for the Promotion of Science, Grants-in-Aid for Scientific Research (KAKENHI)); Japan Osteoporosis Foundation (Japan Osteoporosis Foundation)</t>
  </si>
  <si>
    <t>This work was supported by Japan Osteoporosis Foundation, JSPS KAKENHI Grant Numbers JP21K20966, JP24KJ1559, JP26K12146, and the Project Research Grant of the Japanese Orthopaedic Association.</t>
  </si>
  <si>
    <t>[Kita, Kosuke; Suzuki, Yuki; Wataya, Tomohiro; Nishigaki, Daiki; Sato, Junya; Tomiyama, Miyuki; Hori, Masatoshi] Univ Osaka, Dept Artificial Intelligence Diagnost Radiol, Grad Sch Med, 2-2 Yamadaoka, Suita, Osaka 5650871, Japan; [Fujimoto, Takashi] Sumitomo Hosp, Hlth Care Ctr, 5-3-20 Kitaku Nakanoshima, Osaka, Osaka 5300005, Japan; [Uemura, Keisuke] Univ Osaka, Grad Sch Med, Dept Orthopaed Med Engn, 2-2 Yamadaoka, Suita, Osaka, Japan; [Otake, Yoshito] Nara Inst Sci &amp; Technol, Grad Sch Sci &amp; Technol, Div Informat Sci, Ikoma, Nara 89165, Japan; [Furuya, Masayuki; Kanie, Yuya; Okada, Seiji; Fujimori, Takahito] Univ Osaka, Grad Sch Med, Dept Orthoped Surg, 2-2 Yamadaoka, Suita, Osaka 5650871, Japan; [Tomiyama, Noriyuki] Univ Osaka, Dept Radiol, Grad Sch Med, 2-2 Yamadaoka, Suita, Osaka 5650871, Japan</t>
  </si>
  <si>
    <t>University of Osaka; Sumitomo Hospital; University of Osaka; Nara Institute of Science &amp; Technology; University of Osaka; University of Osaka</t>
  </si>
  <si>
    <t>Transformer-based multimodal model for estimation of appendicular lean mass using incomplete chest radiographs and electronic health record</t>
  </si>
  <si>
    <t>JOURNAL OF TRANSLATIONAL MEDICINE</t>
  </si>
  <si>
    <t>Sarcopenia; Multimodal artificial intelligence; Transformer; Missing modality; Chest radiography</t>
  </si>
  <si>
    <t>Uemura, Keisuke/ABC-5817-2020; Kanie, Yuya/OBO-1739-2025; Fujimori, Takahito/AFJ-9807-2022; Okada, Seiji/F-5785-2013</t>
  </si>
  <si>
    <t>BMC</t>
  </si>
  <si>
    <t>LONDON</t>
  </si>
  <si>
    <t>CAMPUS, 4 CRINAN ST, LONDON N1 9XW, ENGLAND</t>
  </si>
  <si>
    <t>1479-5876</t>
  </si>
  <si>
    <t>J TRANSL MED</t>
  </si>
  <si>
    <t>J. Transl. Med.</t>
  </si>
  <si>
    <t>APR 2 2026</t>
  </si>
  <si>
    <t>24</t>
  </si>
  <si>
    <t>589</t>
  </si>
  <si>
    <t>10.1186/s12967-026-08079-0</t>
  </si>
  <si>
    <t>http://dx.doi.org/10.1186/s12967-026-08079-0</t>
  </si>
  <si>
    <t>Medicine, Research &amp; Experimental</t>
  </si>
  <si>
    <t>Research &amp; Experimental Medicine</t>
  </si>
  <si>
    <t>HE7GB</t>
  </si>
  <si>
    <t>41928289</t>
  </si>
  <si>
    <t>WOS:001752283100001</t>
  </si>
  <si>
    <t>Vianto, J; Divakaran, A; Yang, H; Yeom, S; Kim, S; Kim, S; Shin, J</t>
  </si>
  <si>
    <t>Pain assessment is a challenging task for clinicians due to its subjective nature, particularly in individuals with communication difficulties, cognitive impairments, or severe disabilities. Traditional methods such as the Visual Analogue Scale (VAS), Numerical Rating Scale (NRS), and Verbal Rating Scale (VRS) rely heavily on patient feedback, which can be inconsistent and subjective. To address these limitations, developing objective and reliable pain assessment tools that incorporate advanced technologies, such as multimodal data integration from video and fNIRS, is important for improving clinical outcomes. However, challenges such as noise susceptibility in fNIRS signals must be carefully addressed to realize their full potential. Recent studies have explored automatic pain assessment using machine learning and deep learning techniques, which require high-quality data that can accurately represent pain categories. In response to the introduction of a new dataset in the AI4Pain Challenge, we proposed a multimodal neural network model utilizing attention-based fusion to improve overall accuracy (MMAPA). Our model leverages video and fNIRS modalities as well as manually extracted statistical features. We also implemented fNIRS signal preprocessing and artifact noise filtering, which significantly improved performance on both the fNIRS and statistical feature branches. On the hidden test set, our model achieved an accuracy of 51.33%, outperforming the official baseline of 43.33%. To evaluate generalizability, we further tested our method on the BioVid Heat Pain Database, where our fusion model achieved the highest accuracy in the 10-fold cross-validation setting, outperforming PainAttNet and unimodal variants. These results highlight the effectiveness of our multimodal attention-based approach in improving pain classification performance across datasets.</t>
  </si>
  <si>
    <t>Vianto, Jo; Divakaran, Anjitha; Yang, Hyungjeong; Yeom, Soonja; Kim, Seungwon; Kim, Soohyung; Shin, Jieun</t>
  </si>
  <si>
    <t>Yang, H (corresponding author), Chonnam Natl Univ, Dept Artificial Intelligence Convergence, Gwangju 61186, South Korea.</t>
  </si>
  <si>
    <t>seungwon.kim@jnu.ac.kr; soonja.yeom@utas.edu.au; hjyang@jnu.ac.kr; anjithadivakaran@jnu.ac.kr; jieunshin@jnu.ac.kr; sjovianto@jnu.ac.kr; shkim@jnu.ac.kr</t>
  </si>
  <si>
    <t>Institute of Information &amp; Communications Technology Planning &amp; Evaluation (IITP)-Innovative Human Resource Development for Local Intellectualization program [IITP-2025-RS-2022-00156287]; Institute of Information &amp; Communications Technology Planning &amp; Evaluation (IITP)-Innovative Human Resource Development - Korea government (MSIT) [RS-2023-00208397]; National Research Foundation of Korea (NRF) - Korea government (MSIT) [IITP-2023-RS-2023-00256629]; Institute of Information &amp; communications Technology Planning &amp; Evaluation (IITP) - Korea government (MSIT) [IITP-2025-RS-2024-00437718]; MSIT (Ministry of Science and ICT), Korea, under the ITRC (Information Technology Research Center) support program</t>
  </si>
  <si>
    <t>Institute of Information &amp; Communications Technology Planning &amp; Evaluation (IITP)-Innovative Human Resource Development for Local Intellectualization program; Institute of Information &amp; Communications Technology Planning &amp; Evaluation (IITP)-Innovative Human Resource Development - Korea government (MSIT); National Research Foundation of Korea (NRF) - Korea government (MSIT) (National Research Foundation of Korea, Ministry of Science &amp; ICT (MMSTI)); Institute of Information &amp; communications Technology Planning &amp; Evaluation (IITP) - Korea government (MSIT) (Institute for Information &amp; Communication Technology Planning &amp; Evaluation (IITP), Republic of Korea); MSIT (Ministry of Science and ICT), Korea, under the ITRC (Information Technology Research Center) support program (Ministry of Science &amp; ICT (MMSTI))</t>
  </si>
  <si>
    <t>This work was partly supported by the Institute of Information &amp; Communications Technology Planning &amp; Evaluation (IITP)-Innovative Human Resource Development for Local Intellectualization program grant funded by the Korea government (MSIT) (IITP-2025-RS-2022-00156287, 25%), the National Research Foundation of Korea (NRF) grant funded by the Korea government (MSIT) (RS-2023-00208397, 25%), the Institute of Information &amp; communications Technology Planning &amp; Evaluation (IITP) under the Artificial Intelligence Convergence Innovation Human Resources Development grant funded by the Korea government (MSIT) (IITP-2023-RS-2023-00256629, 25%), and the MSIT (Ministry of Science and ICT), Korea, under the ITRC (Information Technology Research Center) support program (IITP-2025-RS-2024-00437718, 25%) supervised by the IITP (Institute for Information &amp; Communications Technology Planning &amp; Evaluation).</t>
  </si>
  <si>
    <t>[Vianto, Jo; Divakaran, Anjitha; Yang, Hyungjeong; Kim, Seungwon; Kim, Soohyung] Chonnam Natl Univ, Dept Artificial Intelligence Convergence, Gwangju 61186, South Korea; [Yeom, Soonja] Univ Tasmania, Sch ICT, Sandy Bay, Tas 7005, Australia; [Shin, Jieun] Chonnam Natl Univ, Dept Psychol, Gwangju 61186, South Korea</t>
  </si>
  <si>
    <t>Chonnam National University; University of Tasmania; Chonnam National University</t>
  </si>
  <si>
    <t>Multimodal Model for Automated Pain Assessment: Leveraging Video and fNIRS</t>
  </si>
  <si>
    <t>APPLIED SCIENCES-BASEL</t>
  </si>
  <si>
    <t>attention-based fusion; brain-computer interface; deep learning; fNIRS; multimodal model; pain assessment</t>
  </si>
  <si>
    <t>DEPRESSION</t>
  </si>
  <si>
    <t>Yang, Hyung-Jeong/GXV-4819-2022</t>
  </si>
  <si>
    <t>Kim, Seungwon/0000-0003-4221-3058; Yeom, Soonja/0000-0002-5843-101X; Vianto, Jo/0009-0000-6817-9578; Yang, Hyung-Jeong/0000-0003-3024-5060; Divakaran, Anjitha/0009-0006-2847-7611</t>
  </si>
  <si>
    <t>2076-3417</t>
  </si>
  <si>
    <t>APPL SCI-BASEL</t>
  </si>
  <si>
    <t>Appl. Sci.-Basel</t>
  </si>
  <si>
    <t>MAY 6 2025</t>
  </si>
  <si>
    <t>5151</t>
  </si>
  <si>
    <t>10.3390/app15095151</t>
  </si>
  <si>
    <t>http://dx.doi.org/10.3390/app15095151</t>
  </si>
  <si>
    <t>20</t>
  </si>
  <si>
    <t>Chemistry, Multidisciplinary; Engineering, Multidisciplinary; Materials Science, Multidisciplinary; Physics, Applied</t>
  </si>
  <si>
    <t>Chemistry; Engineering; Materials Science; Physics</t>
  </si>
  <si>
    <t>2ME2X</t>
  </si>
  <si>
    <t>WOS:001485957800001</t>
  </si>
  <si>
    <t>Pigoni, A; Tesic, I; Pini, C; Enrico, P; Di Consoli, L; Siri, F; Nosari, G; Ferro, A; Squarcina, L; Delvecchio, G; Brambilla, P</t>
  </si>
  <si>
    <t>Introduction Bipolar disorder (BD) patients present an increased risk of suicide attempts. Most current machine learning (ML) studies predicting suicide attempts are cross-sectional, do not employ time-dependent variables, and do not assess more than one modality. Therefore, we aimed to predict 12-month suicide attempts in a sample of BD patients, using clinical and brain imaging data. Methods A sample of 163 BD patients were recruited and followed up for 12 months. Gray matter volumes and cortical thickness were extracted from the T1-weighted images. Based on previous literature, we extracted 56 clinical and demographic features from digital health records. Support Vector Machine was used to differentiate BD subjects who attempted suicide. First, we explored single modality prediction (clinical features, GM, and thickness). Second, we implemented a multimodal stacking-based data fusion framework. Results During the 12 months, 6.13% of patients attempted suicide. The unimodal classifier based on clinical data reached an area under the curve (AUC) of 0.83 and balanced accuracy (BAC) of 72.7%. The model based on GM reached an AUC of 0.86 and BAC of 76.4%. The multimodal classifier (clinical + GM) reached an AUC of 0.88 and BAC of 83.4%, significantly increasing the sensitivity. The most important features were related to suicide attempts history, medications, comorbidities, and depressive polarity. In the GM model, the most relevant features mapped in the frontal, temporal, and cerebellar regions. Conclusions By combining models, we increased the detection of suicide attempts, reaching a sensitivity of 80%. Combining more than one modality proved a valid method to overcome limitations from single-modality models and increasing overall accuracy.</t>
  </si>
  <si>
    <t>Pigoni, Alessandro; Tesic, Isidora; Pini, Cecilia; Enrico, Paolo; Di Consoli, Lorena; Siri, Francesca; Nosari, Guido; Ferro, Adele; Squarcina, Letizia; Delvecchio, Giuseppe; Brambilla, Paolo</t>
  </si>
  <si>
    <t>Brambilla, P (corresponding author), Osped Maggiore Policlin, Fdn IRCCS Ca Granda, Dept Neurosci &amp; Mental Hlth, Milan, Italy.; Brambilla, P (corresponding author), Univ Milan, Dept Pathophysiol &amp; Transplantat, Milan, Italy.</t>
  </si>
  <si>
    <t>paolo.brambilla1@unimi.it</t>
  </si>
  <si>
    <t>Fondazione Cariplo, Ministero dell'Universita e della Ricerca, Ministero della Salute</t>
  </si>
  <si>
    <t>This work was supported by Fondazione Cariplo, Ministero dell'Universita e della Ricerca, Ministero della Salute.</t>
  </si>
  <si>
    <t>[Pigoni, Alessandro; Enrico, Paolo; Di Consoli, Lorena; Siri, Francesca; Nosari, Guido; Ferro, Adele; Delvecchio, Giuseppe; Brambilla, Paolo] Osped Maggiore Policlin, Fdn IRCCS Ca Granda, Dept Neurosci &amp; Mental Hlth, Milan, Italy; [Tesic, Isidora; Pini, Cecilia; Squarcina, Letizia; Brambilla, Paolo] Univ Milan, Dept Pathophysiol &amp; Transplantat, Milan, Italy</t>
  </si>
  <si>
    <t>IRCCS Ca Granda Ospedale Maggiore Policlinico; University of Milan</t>
  </si>
  <si>
    <t>Multimodal Machine Learning Prediction of 12-Month Suicide Attempts in Bipolar Disorder</t>
  </si>
  <si>
    <t>BIPOLAR DISORDERS</t>
  </si>
  <si>
    <t>bipolar disorder; machine learning; prediction; suicide</t>
  </si>
  <si>
    <t>DOUBLE-BLIND; RISK-FACTORS; ANTIEPILEPTIC DRUGS; COMPLETED SUICIDE; BEHAVIOR; LITHIUM; IMPULSIVITY; DIVALPROEX; DEPRESSION; ALCOHOL</t>
  </si>
  <si>
    <t>Squarcina, Letizia/ISS-8010-2023; Enrico, Paolo/AAF-1672-2021; Delvecchio, Giuseppe/J-7721-2016</t>
  </si>
  <si>
    <t>Pigoni, Alessandro/0000-0002-9122-5656</t>
  </si>
  <si>
    <t>123</t>
  </si>
  <si>
    <t>1398-5647</t>
  </si>
  <si>
    <t>1399-5618</t>
  </si>
  <si>
    <t>BIPOLAR DISORD</t>
  </si>
  <si>
    <t>Bipolar Disord.</t>
  </si>
  <si>
    <t>27</t>
  </si>
  <si>
    <t>217</t>
  </si>
  <si>
    <t>10.1111/bdi.70011</t>
  </si>
  <si>
    <t>http://dx.doi.org/10.1111/bdi.70011</t>
  </si>
  <si>
    <t>MAR 2025</t>
  </si>
  <si>
    <t>Clinical Neurology; Neurosciences; Psychiatry</t>
  </si>
  <si>
    <t>Neurosciences &amp; Neurology; Psychiatry</t>
  </si>
  <si>
    <t>3VM6Q</t>
  </si>
  <si>
    <t>40052301</t>
  </si>
  <si>
    <t>WOS:001439101800001</t>
  </si>
  <si>
    <t>hybrid; Green Submitted</t>
  </si>
  <si>
    <t>Ding, HT; Mandapati, A; Hamel, AP; Karjadi, C; Ang, TFA; Xia, WM; Au, R; Lin, HH</t>
  </si>
  <si>
    <t>Background: Early prediction of dementia risk is crucial for effective interventions. Given the known etiologic heterogeneity, machine learning methods leveraging multimodal data, such as clinical manifestations, neuroimaging biomarkers, and well-documented risk factors, could predict dementia more accurately than single modal data.Objective: This study aims to develop machine learning models that capitalize on neuropsychological (NP) tests, magnetic resonance imaging (MRI) measures, and clinical risk factors for 10-year dementia prediction.Methods: This study included participants from the Framingham Heart Study, and various data modalities such as NP tests, MRI measures, and demographic variables were collected. CatBoost was used with Optuna hyperparameter optimization to create prediction models for 10-year dementia risk using different combinations of data modalities. The contribution of each modality and feature for the prediction task was also quantified using Shapley values.Results: This study included 1,031 participants with normal cognitive status at baseline (age 75 +/- 5 years, 55.3% women), of whom 205 were diagnosed with dementia during the 10-year follow-up. The model built on three modalities demonstrated the best dementia prediction performance (AUC 0.90 +/- 0.01) compared to single modality models (AUC range: 0.82-0.84). MRI measures contributed most to dementia prediction (mean absolute Shapley value: 3.19), suggesting the necessity of multimodal inputs.Conclusions: This study shows that a multimodal machine learning framework had a superior performance for 10-year dementia risk prediction. The model can be used to increase vigilance for cognitive deterioration and select high-risk individuals for early intervention and risk management.</t>
  </si>
  <si>
    <t>Ding, Huitong; Mandapati, Amiya; Hamel, Alexander P.; Karjadi, Cody; Ang, Ting F. A.; Xia, Weiming; Au, Rhoda; Lin, Honghuang</t>
  </si>
  <si>
    <t>Lin, HH (corresponding author), Univ Massachusetts, Chan Med Sch, Dept Med, 55 Lake Ave North,S6-755, Worcester, MA 01655 USA.</t>
  </si>
  <si>
    <t>Honghuang.Lin@umassmed.edu</t>
  </si>
  <si>
    <t>National Heart, Lung, and Blood Institute [N01-HC-25195]; National Institute on Aging [AG-008122, AG-16495, AG-062109, AG-049810, AG-068753, AG054156, U01AG068221]; National Institute of Neurological Disorders and Stroke [NS017950]; Alzheimer's Association [AARG-NTF-20-643020]; American Heart Association [20SFRN35360180]; Defense Advanced Research Projects Agency [FA8750-16-C-0299]; Pfizer, Inc.; American Heart Association (AHA) [20SFRN35360180] Funding Source: American Heart Association (AHA); National Institute on Aging [U01AG068221] Funding Source: NIH RePORTER</t>
  </si>
  <si>
    <t>National Heart, Lung, and Blood Institute (United States Department of Health &amp; Human Services, National Institutes of Health (NIH) - USA, NIH National Heart Lung &amp; Blood Institute (NHLBI)); National Institute on Aging (United States Department of Health &amp; Human Services, National Institutes of Health (NIH) - USA, NIH National Institute on Aging (NIA)); National Institute of Neurological Disorders and Stroke (United States Department of Health &amp; Human Services, National Institutes of Health (NIH) - USA, NIH National Institute of Neurological Disorders &amp; Stroke (NINDS)); Alzheimer's Association (Alzheimer's Association); American Heart Association (American Heart Association); Defense Advanced Research Projects Agency (United States Department of Defense, Defense Advanced Research Projects Agency (DARPA)); Pfizer, Inc. (Pfizer); American Heart Association (AHA); National Institute on Aging (United States Department of Health &amp; Human Services, National Institutes of Health (NIH) - USA, NIH National Institute on Aging (NIA))</t>
  </si>
  <si>
    <t>This work was supported by the National Heart, Lung, and Blood Institute contract (N01-HC-25195) and by grants from the National Institute on Aging AG-008122, AG-16495, AG-062109, AG-049810, AG-068753, AG054156, U01AG068221 and from the National Institute of Neurological Disorders and Stroke, NS017950, and from the Alzheimer's Association (grant AARG-NTF-20-643020), and the American Heart Association (20SFRN35360180). It was also supported by Defense Advanced Research Projects Agency contract (FA8750-16-C-0299); Pfizer, Inc. The views expressed in this manuscript are those of the authors and do not necessarily represent the views of the National Institutes of Health or the US Department of Health and Human Services or the US Department of Veterans Affairs. The funding agencies had no role in study design, data collection and analysis, decision to publish, or preparation of the manuscript.</t>
  </si>
  <si>
    <t>[Ding, Huitong; Karjadi, Cody; Ang, Ting F. A.; Au, Rhoda] Boston Univ, Dept Anat &amp; Neurobiol, Chobanian &amp; Avedisian Sch Med, Boston, MA USA; [Ding, Huitong; Karjadi, Cody; Ang, Ting F. A.; Au, Rhoda] Boston Univ, Framingham Heart Study, Sch Med, Boston, MA USA; [Mandapati, Amiya] Brown Univ, Dept Religious Studies, Providence, RI USA; [Mandapati, Amiya] Brown Univ, Warren Alpert Med Sch, Providence, RI USA; [Hamel, Alexander P.; Lin, Honghuang] Univ Massachusetts, Dept Med, Chan Med Sch, Worcester, MA USA; [Ang, Ting F. A.; Au, Rhoda] Boston Univ, Dept Epidemiol, Sch Publ Hlth, Boston, MA USA; [Ang, Ting F. A.; Au, Rhoda] Boston Univ, Chobanian &amp; Avedisian Sch Med, Slone Epidemiol Ctr, Boston, MA USA; [Xia, Weiming] VA Bedford Healthcare Syst, Geriatr Res Educ &amp; Clin Ctr, Bedford, MA USA; [Xia, Weiming] Boston Univ, Dept Pharmacol &amp; Expt Therapeut, Chobanian &amp; Avedisian Sch Med, Boston, MA USA; [Xia, Weiming] Univ Massachusetts Lowell, Kennedy Coll Sci, Dept Biol Sci, Lowell, MA USA; [Au, Rhoda] Boston Univ, Dept Neurol, Chobanian &amp; Avedisian Sch Med, Boston, MA USA</t>
  </si>
  <si>
    <t>Boston University; Boston University; Framingham Heart Study; Brown University; Brown University; University of Massachusetts System; UMass Chan Medical School; University of Massachusetts Worcester; Boston University; Boston University; Geriatric Research Education &amp; Clinical Center; Boston University; University of Massachusetts System; University of Massachusetts Lowell; Boston University</t>
  </si>
  <si>
    <t>Multimodal Machine Learning for 10-Year Dementia Risk Prediction: The Framingham Heart Study</t>
  </si>
  <si>
    <t>JOURNAL OF ALZHEIMERS DISEASE</t>
  </si>
  <si>
    <t>Alzheimer's disease; dementia risk prediction; machine learning; magnetic resonance imaging; multimodal data; neuropsychological test</t>
  </si>
  <si>
    <t>ALZHEIMERS-DISEASE; HIPPOCAMPAL SEGMENTATION; MAGNETIC-RESONANCE; COGNITIVE FUNCTION; PERFORMANCE; STROKE; VOLUME; ONSET</t>
  </si>
  <si>
    <t>xia, weiming/E-5465-2016; Lin, Honghuang/A-3269-2019</t>
  </si>
  <si>
    <t>Karjadi, Cody/0000-0001-9199-8723; Ding, Huitong/0000-0001-6495-3087; Alviana, Ribka Agnes/0009-0007-4933-6778; Hamel, Alexander/0000-0002-5855-6912</t>
  </si>
  <si>
    <t>SAGE PUBLICATIONS LTD</t>
  </si>
  <si>
    <t>1 OLIVERS YARD, 55 CITY ROAD, LONDON EC1Y 1SP, ENGLAND</t>
  </si>
  <si>
    <t>1387-2877</t>
  </si>
  <si>
    <t>1875-8908</t>
  </si>
  <si>
    <t>J ALZHEIMERS DIS</t>
  </si>
  <si>
    <t>J. Alzheimers Dis.</t>
  </si>
  <si>
    <t>2023</t>
  </si>
  <si>
    <t>96</t>
  </si>
  <si>
    <t>277</t>
  </si>
  <si>
    <t>286</t>
  </si>
  <si>
    <t>10.3233/JAD-230496</t>
  </si>
  <si>
    <t>http://dx.doi.org/10.3233/JAD-230496</t>
  </si>
  <si>
    <t>Neurosciences</t>
  </si>
  <si>
    <t>Neurosciences &amp; Neurology</t>
  </si>
  <si>
    <t>W5VV5</t>
  </si>
  <si>
    <t>37742648</t>
  </si>
  <si>
    <t>WOS:001092311300024</t>
  </si>
  <si>
    <t>Liu, ZY; Li, JJ; Wang, SW; Liu, WJ; Wang, WY; Lin, HC; Pang, LY</t>
  </si>
  <si>
    <t>Introduction and aims: To develop a multimodal deep learning model for dental caries screening in children by integrating intraoral photographs and questionnaire-based data, and to compare its performance against that of a unimodal model utilising images alone. Methods: In total, 7671 images (3913 occlusal and 3758 smooth surfaces) were collected from children across different dentition stages. Oral health questionnaires were also conducted. The images were clinically labelled into three categories: caries-free, early caries, and moderate-to-severe caries. A multimodal model integrating intraoral images and questionnaire data was trained and evaluated against an image-only unimodal model. The performance metrics included accuracy, precision, recall, F1 score, and the area under the receiver operating characteristic curve (ROC-AUC). SHapley Additive exPlanations (SHAP) analysis was conducted to interpret feature importance. Results: For the multimodal model, occlusal surface classification achieved an accuracy of 92.3% for the caries-free category, 89.2% for the early caries category, and 93.7% for the moderate-to-severe caries category, with ROC-AUCs of 0.967, 0.911, and 0.972, respectively. The performance of smooth surfaces was similarly strong (an accuracy of 92.1% for the caries-free category, 96.7% for the early caries category, and 93.4% for the moderate-to-severe caries category), with ROC-AUCs of 0.938, 0.908, and 0.963, respectively. Incorporating questionnaire data improved recall for the early caries category without compromising overall accuracy. SHAP analysis provided interpretable insights into model decision-making. Conclusion: Compared with the image-only unimodal model, the multimodal deep learning model increased early caries recall while preserving overall diagnostic performance. Clinical relevance: This study describes a multimodal caries intelligent screening model, demonstrating its potential as a population-level screening tool. However, further largescale, multicentre validation is necessary to confirm its generalisability and effectiveness. (c) 2026 The Authors. Published by Elsevier Inc. on behalf of FDI World Dental Federation. (http://creativecommons.org/licenses/by-nc-nd/4.0/)</t>
  </si>
  <si>
    <t>Liu, Zhuoying; Li, Junjie; Wang, Siwei; Liu, Weijia; Wang, Wenyu; Lin, Huancai; Pang, Liangyue</t>
  </si>
  <si>
    <t>Pang, LY (corresponding author), Sun Yat sen Univ, Hosp Stomatol, 572 Dongfeng East Rd, Guangzhou 510055, Guangdong, Peoples R China.</t>
  </si>
  <si>
    <t>pangly5@mail.sysu.edu.cn</t>
  </si>
  <si>
    <t>National Natural Science Foundation of China [81903345]</t>
  </si>
  <si>
    <t>This research was supported by the National Natural Science Foundation of China (grant no. 81903345) .</t>
  </si>
  <si>
    <t>[Liu, Zhuoying; Li, Junjie; Wang, Siwei; Wang, Wenyu; Lin, Huancai; Pang, Liangyue] Sun Yat sen Univ, Hosp Stomatol, Dept Prevent Dent, Guangzhou, Guangdong, Peoples R China; [Liu, Zhuoying; Li, Junjie; Wang, Siwei; Wang, Wenyu; Lin, Huancai; Pang, Liangyue] Sun Yat sen Univ, Guangdong Prov Key Lab Stomatol, Guangzhou, Guangdong, Peoples R China; [Liu, Weijia] Guangzhou Hlth Supervis Inst, Guangzhou Ctr Dis Control &amp; Prevent, Guangzhou, Guangdong, Peoples R China</t>
  </si>
  <si>
    <t>Sun Yat Sen University</t>
  </si>
  <si>
    <t>A Multimodal Model for Caries Screening Using Intraoral Images and Questionnaires</t>
  </si>
  <si>
    <t>INTERNATIONAL DENTAL JOURNAL</t>
  </si>
  <si>
    <t>Artificial intelligence; Caries detection; Dental public health; Preventive dentistry; Paediatric caries</t>
  </si>
  <si>
    <t>CHINA</t>
  </si>
  <si>
    <t>Li, Junjie/0000-0002-8905-9767</t>
  </si>
  <si>
    <t>49</t>
  </si>
  <si>
    <t>0020-6539</t>
  </si>
  <si>
    <t>1875-595X</t>
  </si>
  <si>
    <t>INT DENT J</t>
  </si>
  <si>
    <t>Int. Dent. J.</t>
  </si>
  <si>
    <t>76</t>
  </si>
  <si>
    <t>109420</t>
  </si>
  <si>
    <t>10.1016/j.identj.2026.109420</t>
  </si>
  <si>
    <t>http://dx.doi.org/10.1016/j.identj.2026.109420</t>
  </si>
  <si>
    <t>Dentistry, Oral Surgery &amp; Medicine</t>
  </si>
  <si>
    <t>DL5OH</t>
  </si>
  <si>
    <t>41650828</t>
  </si>
  <si>
    <t>WOS:001686298600001</t>
  </si>
  <si>
    <t>Yuan, YF; Chen, KT; Zhu, YJ; Yu, Y; Hu, MT; Chu, YH; Hsu, YC; Hu, J; Yue, Q; Liu, MX</t>
  </si>
  <si>
    <t>BackgroundThe integration of 7 Tesla (7T) magnetic resonance imaging (MRI) with advanced multimodal artificial intelligence (AI) models represents a promising frontier in neuroimaging. The superior spatial resolution of 7TMRI provides detailed visualizations of brain structure, which are crucial forunderstanding complex central nervous system diseases and tumors. Concurrently, the application of multimodal AI to medical images enables interactive imaging-based diagnostic conversation.MethodsIn this paper, we systematically investigate the capacity and feasibility of applying the existing advanced multimodal AI model ChatGPT-4V to 7T MRI under the context of brain tumors. First, we test whether ChatGPT-4V has knowledge about 7T MRI, and whether it can differentiate 7T MRI from 3T MRI. In addition, we explore whether ChatGPT-4V can recognize different 7T MRI modalities and whether it can correctly offer diagnosis of tumors based on single or multiple modality 7T MRI.ResultsChatGPT-4V exhibited accuracy of 84.4% in 3T-vs-7T differentiation and accuracy of 78.9% in 7T modality recognition. Meanwhile, in a human evaluation with three clinical experts, ChatGPT obtained average scores of 9.27/20 in single modality-based diagnosis and 21.25/25 in multiple modality-based diagnosis. Our study indicates that single-modality diagnosis and the interpretability of diagnostic decisions in clinical practice should be enhanced when ChatGPT-4V is applied to 7T data.ConclusionsIn general, our analysis suggests that such integration has promise as a tool to improve the workflow of diagnostics in neurology, with a potentially transformative impact in the fields of medical image analysis and patient management.</t>
  </si>
  <si>
    <t>Yuan, Yifan; Chen, Kaitao; Zhu, Youjia; Yu, Yang; Hu, Mintao; Chu, Ying-Hua; Hsu, Yi-Cheng; Hu, Jie; Yue, Qi; Liu, Mianxin</t>
  </si>
  <si>
    <t>Yue, Q (corresponding author), Fudan Univ, Neurosurg Inst, Huashan Hosp, Dept Neurosurg, Shanghai, Peoples R China.; Yue, Q (corresponding author), Natl Ctr Neurol Disorders, Shanghai, Peoples R China.; Liu, MX (corresponding author), Shanghai Artificial Intelligence Lab, Shanghai, Peoples R China.</t>
  </si>
  <si>
    <t>Yueqi1989@126.com; liumianxin@pjlab.org.cn</t>
  </si>
  <si>
    <t>Science and Technology Innovation Plan Of Shanghai Science and Technology Commission [21Y21900600]; Shanghai Zhou Liang Fu Medical Development Foundation [XM00050-2024-3-8]; National Natural Science Foundation of China [82127801, 82227806, 82272063]; Science and Technology Innovation 2030-Major Project [2023ZD0511800]</t>
  </si>
  <si>
    <t>Science and Technology Innovation Plan Of Shanghai Science and Technology Commission; Shanghai Zhou Liang Fu Medical Development Foundation; National Natural Science Foundation of China (National Natural Science Foundation of China (NSFC)); Science and Technology Innovation 2030-Major Project</t>
  </si>
  <si>
    <t>Science and Technology Innovation Plan Of Shanghai Science and Technology Commission, Grant/Award Number: 21Y21900600; Shanghai Zhou Liang Fu Medical Development Foundation, Grant/Award Number: XM00050-2024-3-8; National Natural Science Foundation of China, Grant/Award Numbers: 82127801, 82227806, 82272063; Science and Technology Innovation 2030-Major Project, Grant/Award Number: 2023ZD0511800</t>
  </si>
  <si>
    <t>[Yuan, Yifan; Hu, Jie; Yue, Qi] Fudan Univ, Neurosurg Inst, Huashan Hosp, Dept Neurosurg, Shanghai, Peoples R China; [Yuan, Yifan; Hu, Jie; Yue, Qi] Natl Ctr Neurol Disorders, Shanghai, Peoples R China; [Chen, Kaitao; Hu, Mintao; Liu, Mianxin] Shanghai Artificial Intelligence Lab, Shanghai, Peoples R China; [Zhu, Youjia] Fudan Univ, Dept Intens Care Med, Huashan Hosp, Shanghai, Peoples R China; [Yu, Yang] Shanghai United Family Hosp, Dept Radiol, Shanghai, Peoples R China; [Chu, Ying-Hua; Hsu, Yi-Cheng] Siemens Healthineers Ltd, MR Res Collaborat Team, Shanghai, Peoples R China</t>
  </si>
  <si>
    <t>Fudan University; Shanghai Artificial Intelligence Laboratory; Fudan University</t>
  </si>
  <si>
    <t>Exploring the feasibility of integrating ultra-high field magnetic resonance imaging neuroimaging with multimodal artificial intelligence for clinical diagnostics</t>
  </si>
  <si>
    <t>IRADIOLOGY</t>
  </si>
  <si>
    <t>7T imaging; benchmark; ChatGPT-4V; CNS tumor; multimodal AI</t>
  </si>
  <si>
    <t>TRANSMIT</t>
  </si>
  <si>
    <t>Liu, Mianxin/NUP-9380-2025; YUE, QIANG/JGL-9014-2023</t>
  </si>
  <si>
    <t>Yuan, Yifan/0000-0003-1072-5825</t>
  </si>
  <si>
    <t>22</t>
  </si>
  <si>
    <t>2834-2860</t>
  </si>
  <si>
    <t>2834-2879</t>
  </si>
  <si>
    <t>iRadiology</t>
  </si>
  <si>
    <t>OCT 2024</t>
  </si>
  <si>
    <t>498</t>
  </si>
  <si>
    <t>509</t>
  </si>
  <si>
    <t>10.1002/ird3.102</t>
  </si>
  <si>
    <t>http://dx.doi.org/10.1002/ird3.102</t>
  </si>
  <si>
    <t>4FT5B</t>
  </si>
  <si>
    <t>WOS:001516961900001</t>
  </si>
  <si>
    <t>Kontras, K; Chatzichristos, C; Blaschko, M; De Vos, M</t>
  </si>
  <si>
    <t>Learning from multiple modalities, such as audio and video, offers opportunities for leveraging complementary information, and improving contextual understanding and performance. However, combining such modalities presents challenges, especially when modalities differ in data structure, predictive contribution, and the complexity of their learning processes. It has been observed that one modality can potentially dominate the learning process, hindering the effective utilization of information from other modalities and leading to sub-optimal model performance. To address this issue, the vast majority of previous works suggest assessing the unimodal contributions and dynamically adjusting the training to equalize them. We improve upon previous work by introducing a multi-loss objective and further refining the balancing process, allowing it to dynamically adjust the learning pace of each modality in both directions, acceleration and deceleration, with the ability to phase out balancing effects upon convergence. We validate our approach across five benchmark datasets: CREMA-D for audio-video emotion recognition; AVE and UCF for audio-video action recognition; Something-Something for egocentric action recognition with video and optical flow; and CMU-MOSEI for emotion recognition with audio, video, and text. In addition, we explore alternative methods for quantifying unimodal contributions within multimodal models and analyze the effectiveness of our approach through an examination of modality-specific error distributions across different classes.</t>
  </si>
  <si>
    <t>Kontras, Konstantinos; Chatzichristos, Christos; Blaschko, Matthew; De Vos, Maarten</t>
  </si>
  <si>
    <t>Kontras, K (corresponding author), Katholieke Univ Leuven, Elect Engn, B-3001 Leuven, Belgium.</t>
  </si>
  <si>
    <t>christos.chatzichristos@kuleuven.be; maarten.devos@kuleuven.be; matthew.blaschko@kuleuven.be; konstantinos.kontras@kuleuven.be</t>
  </si>
  <si>
    <t>Fonds Wetenschappelijk Onderzoek [G0C9623N, G0D8321N]</t>
  </si>
  <si>
    <t>Fonds Wetenschappelijk Onderzoek (FWO)</t>
  </si>
  <si>
    <t>This work was supported in part by the Flemish Government through the Artificial Intelligence (AI) Research Program; in part by Fonds Wetenschappelijk Onderzoek (FWO) through AI for Data-Driven Personalized Medicine under Grant G0C9623N; in part by the Deep, Personalized Epileptic Seizure Detection under Grant G0D8321N.</t>
  </si>
  <si>
    <t>[Kontras, Konstantinos; Chatzichristos, Christos; Blaschko, Matthew; De Vos, Maarten] Katholieke Univ Leuven, Elect Engn, B-3001 Leuven, Belgium; [De Vos, Maarten] Katholieke Univ Leuven, Dev &amp; Regenerat, B-3001 Leuven, Belgium</t>
  </si>
  <si>
    <t>KU Leuven; KU Leuven</t>
  </si>
  <si>
    <t>Self-Balancing Multimodal Models via Multi-Loss Gradient Modulation</t>
  </si>
  <si>
    <t>INTERNATIONAL JOURNAL OF COMPUTER VISION</t>
  </si>
  <si>
    <t>Multimodal Fusion; Multimodal Competition</t>
  </si>
  <si>
    <t>De Vos, Maarten/Q-4650-2018</t>
  </si>
  <si>
    <t>De Vos, Maarten/0000-0002-3482-5145; Kontras, Konstantinos/0009-0004-4101-0720; Blaschko, Matthew/0000-0002-2640-181X</t>
  </si>
  <si>
    <t>41</t>
  </si>
  <si>
    <t>DORDRECHT</t>
  </si>
  <si>
    <t>VAN GODEWIJCKSTRAAT 30, 3311 GZ DORDRECHT, NETHERLANDS</t>
  </si>
  <si>
    <t>0920-5691</t>
  </si>
  <si>
    <t>1573-1405</t>
  </si>
  <si>
    <t>INT J COMPUT VISION</t>
  </si>
  <si>
    <t>Int. J. Comput. Vis.</t>
  </si>
  <si>
    <t>FEB 12 2026</t>
  </si>
  <si>
    <t>134</t>
  </si>
  <si>
    <t>117</t>
  </si>
  <si>
    <t>10.1007/s11263-025-02696-w</t>
  </si>
  <si>
    <t>http://dx.doi.org/10.1007/s11263-025-02696-w</t>
  </si>
  <si>
    <t>Computer Science, Artificial Intelligence</t>
  </si>
  <si>
    <t>Computer Science</t>
  </si>
  <si>
    <t>DN5HS</t>
  </si>
  <si>
    <t>WOS:001687640700001</t>
  </si>
  <si>
    <t>Cao, Y; Xiang, W; Wei, J; Cao, SS; Tian, XH; Zhong, JJ; Fang, XL; Luo, B; Lyu, H; Li, XK</t>
  </si>
  <si>
    <t>Sleep staging is used to assess sleep quality and diagnose sleep-related disorders by monitoring and analyzing physiological signals during sleep. Although previous studies have demonstrated notable success in sleep staging, most current methods rely predominantly on single-modality or single-channel data. To achieve high accuracy in automatic sleep staging, this study proposes a multimodal approach that leverages different modality features in the time and frequency domains of multichannel signals. A parallel network combined with cross-attention mechanism was designed to facilitate the effective integration of multimodal features. The cross-attention mechanism captures the complex relationships between the time domain and frequency domain, thereby improving the performance of the parallel network. The CrossFusionSleepNet achieved accuracies of 89.0%, 87.5%, and 88.9%, with corresponding F1-scores of 84.0%, 83.0%, and 81.8% on multiple public sleep stage datasets (SleepEDF-20, SleepEDF-78, and SHHS). Our results demonstrate that the multimodal approach shows potential advantages over single-modality methods, offering a novel perspective for accurate automatic sleep staging.</t>
  </si>
  <si>
    <t>Cao, Yang; Xiang, Wei; Wei, Jie; Cao, ShangShang; Tian, Xinhui; Zhong, Jiajun; Fang, Xiulian; Luo, Bin; Lyu, He; Li, Xiangkui</t>
  </si>
  <si>
    <t>Xiang, W (corresponding author), Southwest Minzu Univ, Key Lab Elect &amp; Informat Engn, State Ethn Affairs Commiss, Chengdu, Peoples R China.; Lyu, H (corresponding author), Sichuan Univ, West China Hosp, West China Biomed Big Data Ctr, Chengdu, Peoples R China.; Lyu, H (corresponding author), Sichuan Univ, Med X Ctr Informat, Chengdu, Peoples R China.</t>
  </si>
  <si>
    <t>21500068@swun.edu.cn; lyuhe233@stu.scu.edu.cn</t>
  </si>
  <si>
    <t>Open Project Program of Guangxi Key Laboratory of Digital Infrastructure [GXDIOP2023013]; Fundamental Research Funds for the Central Universities, Southwest Minzu University [ZYN20231-11]</t>
  </si>
  <si>
    <t>Open Project Program of Guangxi Key Laboratory of Digital Infrastructure; Fundamental Research Funds for the Central Universities, Southwest Minzu University</t>
  </si>
  <si>
    <t>This research is supported in part by the Open Project Program of Guangxi Key Laboratory of Digital Infrastructure (Grant Number: GXDIOP2023013) , and also in part by the Fundamental Research Funds for the Central Universities, Southwest Minzu University (ZYN20231-11) .</t>
  </si>
  <si>
    <t>[Cao, Yang; Xiang, Wei; Cao, ShangShang; Tian, Xinhui; Zhong, Jiajun; Fang, Xiulian; Li, Xiangkui] Southwest Minzu Univ, Key Lab Elect &amp; Informat Engn, State Ethn Affairs Commiss, Chengdu, Peoples R China; [Wei, Jie] Guangxi Informat Ctr, Guangxi Key Lab Digital Infrastructure, Nanning, Peoples R China; [Lyu, He] Sichuan Univ, West China Hosp, West China Biomed Big Data Ctr, Chengdu, Peoples R China; [Lyu, He] Sichuan Univ, Med X Ctr Informat, Chengdu, Peoples R China; [Luo, Bin] Sichuan Huhui Software Co Ltd, Mianyang, Peoples R China</t>
  </si>
  <si>
    <t>Southwest Minzu University; Sichuan University; Sichuan University</t>
  </si>
  <si>
    <t>CrossFusionSleepNet: A multimodal deep learning model for automatic sleep stage classification</t>
  </si>
  <si>
    <t>BIOMEDICAL SIGNAL PROCESSING AND CONTROL</t>
  </si>
  <si>
    <t>Automatic sleep stage classification; Deep learning; Feature fusion; Multimodal; Time-frequency transform</t>
  </si>
  <si>
    <t>RESEARCH RESOURCE; CHANNEL</t>
  </si>
  <si>
    <t>Cao, Yang/IQW-2158-2023; Li, Xiangkui/IUN-3323-2023; Lyu, He/GLU-1191-2022</t>
  </si>
  <si>
    <t>Cao, Yang/0009-0007-4461-9752; Li, Xiangkui/0009-0009-7325-0258; , Jiajun Zhong/0009-0003-9762-9015; xiang, wei/0000-0002-4297-7034; Lyu, He/0000-0002-6668-9790</t>
  </si>
  <si>
    <t>45</t>
  </si>
  <si>
    <t>1746-8094</t>
  </si>
  <si>
    <t>1746-8108</t>
  </si>
  <si>
    <t>BIOMED SIGNAL PROCES</t>
  </si>
  <si>
    <t>Biomed. Signal Process. Control</t>
  </si>
  <si>
    <t>112</t>
  </si>
  <si>
    <t>A</t>
  </si>
  <si>
    <t>108538</t>
  </si>
  <si>
    <t>10.1016/j.bspc.2025.108538</t>
  </si>
  <si>
    <t>http://dx.doi.org/10.1016/j.bspc.2025.108538</t>
  </si>
  <si>
    <t>Engineering, Biomedical</t>
  </si>
  <si>
    <t>Engineering</t>
  </si>
  <si>
    <t>6VG6X</t>
  </si>
  <si>
    <t>WOS:001562848800002</t>
  </si>
  <si>
    <t>Lai, LQ; Wang, YJ; Jiang, JL; Yang, DF; Wu, JY; Xie, LJ; Wu, JH; Mao, RL; Zhang, DK; Wang, XX; Ming, WL; Tu, JF</t>
  </si>
  <si>
    <t>Objectives To develop and validate a preoperative multimodal model that predicts a high-risk recurrence phenotype indicative of poor disease-free survival (DFS), in order to stratify patients with stage IA non-small cell lung cancer (NSCLC). Materials and methods This retrospective multicenter study enrolled 342 stage IA NSCLC patients from three independent centers. The high-risk recurrence phenotype (indicative of poor DFS) was defined by postoperative pathology as the presence of spread through air spaces (STAS), lymphovascular invasion (LVI), a predominant solid/micropapillary/complex glandular pattern, or a &gt; 5% solid/micropapillary component. Deep learning features were extracted from preoperative biopsy whole-slide images (WSI) using the UNI foundation model, and CT morphological and textural features were extracted from preoperative chest CT. An early-fusion multimodal model integrating clinical, radiomics, and pathomics features was developed and evaluated with five-fold cross-validation. The Kaplan-Meier method with log-rank tests was used to assess associations between the model-predicted risk and DFS. Logistic regression identified clinical predictors of high-risk pathology. Model interpretability and clinical utility were examined with SHapley Additive exPlanations (SHAP) and calibration analysis, respectively. Results The multimodal model achieved higher discriminative performance than each single-modality model in both the internal and external test sets. In the internal test set, it yielded an AUC of 0.76 (95% CI 0.58-0.90); in external validation, AUCs were 0.69 (95% CI 0.55-0.82) in Center 2 and 0.86 (95% CI 0.74-0.96) in Center 3. Multivariable analysis identified solid tumor density as the only independent predictor (OR = 5.13, 95% CI 1.53-17.24; P = 0.008). Model-stratified high-risk patients showed significantly inferior DFS in both the training (2-year DFS 78% vs. 99%; log-rank P &lt; 0.0001) and external (3-year DFS 86% vs. 100%; log-rank P = 0.003) cohorts. Conclusion The multimodal model consistently predicted the high-risk recurrence phenotype across multiple centers. This phenotype may serve as a pragmatic indicator of poor DFS to guide earlier individualized treatment decisions, including adjuvant therapy and intensified surveillance, in stage IA NSCLC.</t>
  </si>
  <si>
    <t>Lai, Linqiang; Wang, Yanji; Jiang, Jiangle; Yang, Dengfa; Wu, Jinying; Xie, Liangjun; Wu, Jiahao; Mao, Ruolan; Zhang, Dengke; Wang, Xiangxue; Ming, Wenlong; Tu, Jianfei</t>
  </si>
  <si>
    <t>Tu, JF (corresponding author), Wenzhou Med Univ, Lishui Cent Hosp, Affiliated Hosp 5, Lishui, Peoples R China.; Ming, WL (corresponding author), Nanjing Univ Informat Sci &amp; Technol, Sch Artificial Intelligence, Jiangsu Key Lab Intelligent Med Image Comp, Nanjing, Peoples R China.; Ming, WL (corresponding author), Bengbu Med Univ, Anhui Key Lab Digital Med &amp; Intelligent Hlth, Bengbu, Peoples R China.</t>
  </si>
  <si>
    <t>wming@nuist.edu.cn; jianfei1133@wmu.edu.cn</t>
  </si>
  <si>
    <t>Zhejiang Medical Association Clinical Medicine Special Fund Project [2022ZYC-A263]; Medical and Health Science and Technology Planning Project of Zhejiang Province [2022PY031]; Medical and Health Science and Technology Plan of Zhejiang Province [WKJ-ZJ-1932]; National Natural Science Foundation of China [62401272, 82441029]; Talent Start-up Funding Project of Nanjing University of Information Science and Technology [2024r090]; Program from the Anhui Key Laboratory of Digital Medicine and Intelligent Health [AHCM2024Z001]</t>
  </si>
  <si>
    <t>Zhejiang Medical Association Clinical Medicine Special Fund Project; Medical and Health Science and Technology Planning Project of Zhejiang Province; Medical and Health Science and Technology Plan of Zhejiang Province; National Natural Science Foundation of China (National Natural Science Foundation of China (NSFC)); Talent Start-up Funding Project of Nanjing University of Information Science and Technology; Program from the Anhui Key Laboratory of Digital Medicine and Intelligent Health</t>
  </si>
  <si>
    <t>The author(s) declared that financial support was received for this work and/or its publication. This study was supported by the Zhejiang Medical Association Clinical Medicine Special Fund Project (No. 2022ZYC-A263), the Medical and Health Science and Technology Planning Project of Zhejiang Province (No. 2022PY031), a key project of the Medical and Health Science and Technology Plan of Zhejiang Province (No. WKJ-ZJ-1932), the National Natural Science Foundation of China (Nos. 62401272 and 82441029), the Talent Start-up Funding Project of Nanjing University of Information Science and Technology (No. 2024r090), and the Program from the Anhui Key Laboratory of Digital Medicine and Intelligent Health (No. AHCM2024Z001).</t>
  </si>
  <si>
    <t>[Lai, Linqiang; Jiang, Jiangle; Xie, Liangjun; Wu, Jiahao; Mao, Ruolan; Zhang, Dengke; Tu, Jianfei] Wenzhou Med Univ, Lishui Cent Hosp, Affiliated Hosp 5, Lishui, Peoples R China; [Wang, Yanji; Wang, Xiangxue; Ming, Wenlong] Nanjing Univ Informat Sci &amp; Technol, Sch Artificial Intelligence, Jiangsu Key Lab Intelligent Med Image Comp, Nanjing, Peoples R China; [Yang, Dengfa] Zhejiang Univ, Lishui Hosp, Sch Med, Zhejiang Key Lab Imaging &amp; Intervent Med, Lishui, Peoples R China; [Yang, Dengfa] Taizhou Municipal Hosp, Dept Radiol, Taizhou, Peoples R China; [Wu, Jinying] Wenzhou Med Univ, Lishui City Peoples Hosp, Affiliated Hosp 6th, Lishui, Peoples R China; [Ming, Wenlong] Bengbu Med Univ, Anhui Key Lab Digital Med &amp; Intelligent Hlth, Bengbu, Peoples R China</t>
  </si>
  <si>
    <t>Wenzhou Medical University; Nanjing University of Information Science &amp; Technology; Zhejiang University; Taizhou University; Bengbu Medical University</t>
  </si>
  <si>
    <t>An integrated multimodal model for early prediction of high-risk recurrence phenotype indicative of poor disease-free survival in stage IA NSCLC: a multicenter study</t>
  </si>
  <si>
    <t>FRONTIERS IN IMMUNOLOGY</t>
  </si>
  <si>
    <t>adjuvant therapy; computational pathology; disease-free survival; high-risk recurrence phenotype; multimodal model; pathomics; radiomics; stage IA non-small cell lung cancer</t>
  </si>
  <si>
    <t>CELL LUNG-CANCER; BLOOD-VESSEL INVASION; PROGNOSTIC-SIGNIFICANCE; INTERNATIONAL ASSOCIATION; HISTOLOGICAL SUBTYPES; ADENOCARCINOMA; CLASSIFICATION; IMPACT; MICROPAPILLARY; PROPOSAL</t>
  </si>
  <si>
    <t>1664-3224</t>
  </si>
  <si>
    <t>FRONT IMMUNOL</t>
  </si>
  <si>
    <t>Front. Immunol.</t>
  </si>
  <si>
    <t>1915946</t>
  </si>
  <si>
    <t>10.3389/fimmu.2026.1915946</t>
  </si>
  <si>
    <t>http://dx.doi.org/10.3389/fimmu.2026.1915946</t>
  </si>
  <si>
    <t>Immunology</t>
  </si>
  <si>
    <t>MX6WA</t>
  </si>
  <si>
    <t>42625643</t>
  </si>
  <si>
    <t>WOS:001853348000001</t>
  </si>
  <si>
    <t>Wang, XB; He, JB; Jin, ZH; Yang, MQ; Wang, Y; Qu, HM</t>
  </si>
  <si>
    <t>Multimodal sentiment analysis aims to recognize people's attitudes from multiple communication channels such as verbal content (i.e., text), voice, and facial expressions. It has become a vibrant and important research topic in natural language processing. Much research focuses on modeling the complex intra- and inter-modal interactions between different communication channels. However, current multimodal models with strong performance are often deep-learning-based techniques and work like black boxes. It is not clear how models utilize multimodal information for sentiment predictions. Despite recent advances in techniques for enhancing the explainability of machine learning models, they often target unimodal scenarios (e.g., images, sentences), and little research has been done on explaining multimodal models. In this paper, we present an interactive visual analytics system, M2 Lens, to visualize and explain multimodal models for sentiment analysis. M2 Lens provides explanations on intra- and inter-modal interactions at the global, subset, and local levels. Specifically, it summarizes the influence of three typical interaction types (i.e., dominance, complement, and conflict) on the model predictions. Moreover, M2 Lens identifies frequent and influential multimodal features and supports the multi-faceted exploration of model behaviors from language, acoustic, and visual modalities. Through two case studies and expert interviews, we demonstrate our system can help users gain deep insights into the multimodal models for sentiment analysis.</t>
  </si>
  <si>
    <t>Wang, Xingbo; He, Jianben; Jin, Zhihua; Yang, Muqiao; Wang, Yong; Qu, Huamin</t>
  </si>
  <si>
    <t>Wang, Y (corresponding author), Singapore Management Univ, Singapore, Singapore.</t>
  </si>
  <si>
    <t>muqiaoy@andrew.cmu.edu; yongwang@smu.edu.sg; huamin@ust.hk; xingbo.wang@ust.hk; jhebt@ust.hk; zjinak@ust.hk</t>
  </si>
  <si>
    <t>Foshan-HKUST Projects [FSNH20EGO1]</t>
  </si>
  <si>
    <t>Foshan-HKUST Projects</t>
  </si>
  <si>
    <t>The authors wish to thank anonymous reviewers for their feedback. This research was supported in part by grant FSNH20EGO1 under Foshan-HKUST Projects.</t>
  </si>
  <si>
    <t>[Wang, Xingbo; He, Jianben; Jin, Zhihua; Qu, Huamin] Hong Kong Univ Sci &amp; Technol, Hong Kong, Peoples R China; [Yang, Muqiao] Carnegie Mellon Univ, Pittsburgh, PA 15213 USA; [Wang, Yong] Singapore Management Univ, Singapore, Singapore</t>
  </si>
  <si>
    <t>Hong Kong University of Science &amp; Technology; Carnegie Mellon University; Singapore Management University</t>
  </si>
  <si>
    <t>M2Lens: Visualizing and Explaining Multimodal Models for Sentiment Analysis</t>
  </si>
  <si>
    <t>IEEE TRANSACTIONS ON VISUALIZATION AND COMPUTER GRAPHICS</t>
  </si>
  <si>
    <t>Analytical models; Sentiment analysis; Computational modeling; Predictive models; Data models; Lenses; Communication channels; Multimodal models; sentiment analysis; explainable machine learning</t>
  </si>
  <si>
    <t>RECOGNITION</t>
  </si>
  <si>
    <t>Wang, Xingbo/JHS-6567-2023; Yang, Muqiao/GRX-7251-2022</t>
  </si>
  <si>
    <t>Wang, Xingbo/0000-0001-5693-1128</t>
  </si>
  <si>
    <t>83</t>
  </si>
  <si>
    <t>68</t>
  </si>
  <si>
    <t>79</t>
  </si>
  <si>
    <t>89</t>
  </si>
  <si>
    <t>IEEE COMPUTER SOC</t>
  </si>
  <si>
    <t>LOS ALAMITOS</t>
  </si>
  <si>
    <t>10662 LOS VAQUEROS CIRCLE, PO BOX 3014, LOS ALAMITOS, CA 90720-1314 USA</t>
  </si>
  <si>
    <t>1077-2626</t>
  </si>
  <si>
    <t>1941-0506</t>
  </si>
  <si>
    <t>IEEE T VIS COMPUT GR</t>
  </si>
  <si>
    <t>IEEE Trans. Vis. Comput. Graph.</t>
  </si>
  <si>
    <t>JAN 2022</t>
  </si>
  <si>
    <t>2022</t>
  </si>
  <si>
    <t>28</t>
  </si>
  <si>
    <t>802</t>
  </si>
  <si>
    <t>812</t>
  </si>
  <si>
    <t>10.1109/TVCG.2021.3114794</t>
  </si>
  <si>
    <t>http://dx.doi.org/10.1109/TVCG.2021.3114794</t>
  </si>
  <si>
    <t>Computer Science, Software Engineering</t>
  </si>
  <si>
    <t>XU0IB</t>
  </si>
  <si>
    <t>34587037</t>
  </si>
  <si>
    <t>WOS:000733959000083</t>
  </si>
  <si>
    <t>Miao, SD; Sun, MZ; Zhang, BB; Jiang, YY; Xuan, QF; Wang, GP; Wang, MX; Jiang, YX; Wang, QJ; Liu, ZY; Ding, XM; Wang, RT</t>
  </si>
  <si>
    <t>ObjectivesThis study proposes a multimodal deep learning (DL) approach to investigate the impact of tumors and visceral fat on occult peritoneal metastasis in colorectal cancer (CRC) patients.MethodsWe developed a DL model named Multi-scale Feature Fusion Network (MSFF-Net) based on ResNet18, which extracted features of tumors and visceral fat from the longest diameter tumor section and the third lumbar vertebra level (L3) in preoperative CT scans of CRC patients. Logistic regression analysis was applied to patients' clinical data that integrated with DL features. A random forest (RF) classifier was established to evaluate the MSFF-Net's performance on internal and external test sets and compare it with radiologists' performance.ResultsThe model incorporating fat features outperformed the single tumor modality in the internal test set. Combining clinical information with DL provided the best diagnostic performance for predicting peritoneal metastasis in CRC patients. The AUCs were 0.941 (95% CI: [0.891, 0.986], p = 0.03) for the internal test set and 0.911 (95% CI: [0.857, 0.971], p = 0.013) for the external test set. CRC patients with peritoneal metastasis had a higher visceral adipose tissue index (VATI) compared to those without. Maximum tumor diameter and VATI were identified as independent prognostic factors for peritoneal metastasis. Grad-CAM decision regions corresponded with the independent prognostic factors identified by logistic regression analysis.ConclusionThe study confirms the network features of tumors and visceral fat significantly enhance predictive performance for peritoneal metastasis in CRC. Visceral fat is a meaningful imaging biomarker for peritoneal metastasis's early detection in CRC patients.Key PointsQuestionCurrent research on predicting colorectal cancer with peritoneal metastasis mainly focuses on single-modality analysis, while studies based on multimodal imaging information are relatively scarce.FindingsThe Multi-scale Feature Fusion Network, constructed based on ResNet18, can utilize CT images of tumors and visceral fat to detect occult peritoneal metastasis in colorectal cancer.Clinical relevanceThis study identified independent prognostic factors for colorectal cancer peritoneal metastasis and combines them with tumor and visceral fat network features, aiding early diagnosis and accurate prognostic assessment.Key PointsQuestionCurrent research on predicting colorectal cancer with peritoneal metastasis mainly focuses on single-modality analysis, while studies based on multimodal imaging information are relatively scarce.FindingsThe Multi-scale Feature Fusion Network, constructed based on ResNet18, can utilize CT images of tumors and visceral fat to detect occult peritoneal metastasis in colorectal cancer.Clinical relevanceThis study identified independent prognostic factors for colorectal cancer peritoneal metastasis and combines them with tumor and visceral fat network features, aiding early diagnosis and accurate prognostic assessment.Key PointsQuestionCurrent research on predicting colorectal cancer with peritoneal metastasis mainly focuses on single-modality analysis, while studies based on multimodal imaging information are relatively scarce.FindingsThe Multi-scale Feature Fusion Network, constructed based on ResNet18, can utilize CT images of tumors and visceral fat to detect occult peritoneal metastasis in colorectal cancer.Clinical relevanceThis study identified independent prognostic factors for colorectal cancer peritoneal metastasis and combines them with tumor and visceral fat network features, aiding early diagnosis and accurate prognostic assessment.</t>
  </si>
  <si>
    <t>Miao, Shidi; Sun, Mengzhuo; Zhang, Beibei; Jiang, Yuyang; Xuan, Qifan; Wang, Guopeng; Wang, Mingxuan; Jiang, Yuxin; Wang, Qiujun; Liu, Zengyao; Ding, Xuemei; Wang, Ruitao</t>
  </si>
  <si>
    <t>Wang, RT (corresponding author), Harbin Med Univ, Canc Hosp, Dept Internal Med, Harbin, Peoples R China.</t>
  </si>
  <si>
    <t>ruitaowang@126.com</t>
  </si>
  <si>
    <t>National Cancer Center Climb Plan; Department of Chinese and Bilingual Studies at the Hong Kong Polytechnic University</t>
  </si>
  <si>
    <t>Thank you to Tianqi Ju from the Department of Chinese and Bilingual Studies at the Hong Kong Polytechnic University and Jianan Liu from the School of Translation and Interpreting at Guangxi University for Nationalities for the refinement of this manuscript.</t>
  </si>
  <si>
    <t>[Miao, Shidi; Sun, Mengzhuo; Jiang, Yuyang; Xuan, Qifan; Wang, Guopeng; Wang, Mingxuan; Jiang, Yuxin] Harbin Univ Sci &amp; Technol, Sch Comp Sci &amp; Technol, Harbin, Peoples R China; [Zhang, Beibei; Wang, Ruitao] Harbin Med Univ, Canc Hosp, Dept Internal Med, Harbin, Peoples R China; [Wang, Qiujun] Harbin Med Univ, Affiliated Hosp 2, Dept Gen Practice, Harbin, Peoples R China; [Liu, Zengyao] Harbin Med Univ, Affiliated Hosp 1, Dept Intervent Med, Harbin, Peoples R China; [Ding, Xuemei] Ulster Univ, Sch Comp Engn &amp; Intelligent Syst, Coleraine, North Ireland</t>
  </si>
  <si>
    <t>Harbin University of Science &amp; Technology; Harbin Medical University; Harbin Medical University; Harbin Medical University; Ulster University</t>
  </si>
  <si>
    <t>Multimodal deep learning: tumor and visceral fat impact on colorectal cancer occult peritoneal metastasis</t>
  </si>
  <si>
    <t>EUROPEAN RADIOLOGY</t>
  </si>
  <si>
    <t>Colorectal cancer; Peritoneum; Neoplasm metastasis; Deep learning; Visceral fat</t>
  </si>
  <si>
    <t>COLON-CANCER; ASSOCIATION; SURVIVAL</t>
  </si>
  <si>
    <t>0938-7994</t>
  </si>
  <si>
    <t>1432-1084</t>
  </si>
  <si>
    <t>EUR RADIOL</t>
  </si>
  <si>
    <t>Eur. Radiol.</t>
  </si>
  <si>
    <t>4522</t>
  </si>
  <si>
    <t>4532</t>
  </si>
  <si>
    <t>10.1007/s00330-025-11450-2</t>
  </si>
  <si>
    <t>http://dx.doi.org/10.1007/s00330-025-11450-2</t>
  </si>
  <si>
    <t>FEB 2025</t>
  </si>
  <si>
    <t>4NY8G</t>
  </si>
  <si>
    <t>39961863</t>
  </si>
  <si>
    <t>WOS:001423008600001</t>
  </si>
  <si>
    <t>Green Published</t>
  </si>
  <si>
    <t>Fedorov, A; Geenjaar, E; Wu, L; Sylvain, T; DeRamus, TP; Luck, M; Misiura, M; Mittapalle, G; Hjelm, RD; Plis, SM; Calhoun, VD</t>
  </si>
  <si>
    <t>In recent years, deep learning approaches have gained significant attention in predicting brain disorders using neuroimaging data. However, conventional methods often rely on single -modality data and supervised models, which provide only a limited perspective of the intricacies of the highly complex brain. Moreover, the scarcity of accurate diagnostic labels in clinical settings hinders the applicability of the supervised models. To address these limitations, we propose a novel self -supervised framework for extracting multiple representations from multimodal neuroimaging data to enhance group inferences and enable analysis without resorting to labeled data during pre -training. Our approach leverages Deep InfoMax (DIM), a self -supervised methodology renowned for its efficacy in learning representations by estimating mutual information without the need for explicit labels. While DIM has shown promise in predicting brain disorders from single -modality MRI data, its potential for multimodal data remains untapped. This work extends DIM to multimodal neuroimaging data, allowing us to identify disorder -relevant brain regions and explore multimodal links. We present compelling evidence of the efficacy of our multimodal DIM analysis in uncovering disorder -relevant brain regions, including the hippocampus, caudate, insula, - and multimodal links with the thalamus, precuneus, and subthalamus hypothalamus. Our self -supervised representations demonstrate promising capabilities in predicting the presence of brain disorders across a spectrum of Alzheimer's phenotypes. Comparative evaluations against state-of-the-art unsupervised methods based on autoencoders, canonical correlation analysis, and supervised models highlight the superiority of our proposed method in achieving improved classification performance, capturing joint information, and interpretability capabilities. The computational efficiency of the decoder -free strategy enhances its practical utility, as it saves compute resources without compromising performance. This work offers a significant step forward in addressing the challenge of understanding multimodal links in complex brain disorders, with potential applications in neuroimaging research and clinical diagnosis.</t>
  </si>
  <si>
    <t>Fedorov, Alex; Geenjaar, Eloy; Wu, Lei; Sylvain, Tristan; DeRamus, Thomas P.; Luck, Margaux; Misiura, Maria; Mittapalle, Girish; Hjelm, R. Devon; Plis, Sergey M.; Calhoun, Vince D.</t>
  </si>
  <si>
    <t>Fedorov, A (corresponding author), Georgia Tech, Triinst Ctr Translat Res Neuroimaging &amp; Data Sci T, Atlanta, GA 30332 USA.</t>
  </si>
  <si>
    <t>afedorov@gatech.edu</t>
  </si>
  <si>
    <t>National Institutes of Health (NIH), USA [R01MH118695, RF1AG063153, 2R01EB006841]; National Science Foundation (NSF), USA [RF1MH121885]</t>
  </si>
  <si>
    <t>National Institutes of Health (NIH), USA (United States Department of Health &amp; Human Services, National Institutes of Health (NIH) - USA); National Science Foundation (NSF), USA (National Science Foundation (NSF))</t>
  </si>
  <si>
    <t>This work was funded by the National Institutes of Health (NIH), USA grants R01MH118695, RF1AG063153, 2R01EB006841, RF1MH121885, and the National Science Foundation (NSF), USA grant 2112455.Data were provided by OASIS-3: Principal Investigators: T. Benzinger, D. Marcus, J. Morris; NIH P50AG00561, P30NS09857781, P01AG026276, P01AG003991, R01AG043434, UL1TR000448, R01E B009352. AV-45 doses were provided by Avid Radiopharmaceuticals, a wholly owned subsidiary of Eli Lilly.</t>
  </si>
  <si>
    <t>[Fedorov, Alex; Geenjaar, Eloy; Wu, Lei; DeRamus, Thomas P.; Misiura, Maria; Mittapalle, Girish; Plis, Sergey M.; Calhoun, Vince D.] Georgia Tech, Triinst Ctr Translat Res Neuroimaging &amp; Data Sci T, Atlanta, GA 30332 USA; [Luck, Margaux; Hjelm, R. Devon] Mila Quebec AI Inst, Montreal, PQ, Canada; [Hjelm, R. Devon] Apple Machine Learning Res, Seattle, WA USA; [Sylvain, Tristan] Borealis AI, Montreal, PQ, Canada</t>
  </si>
  <si>
    <t>University System of Georgia; Georgia Institute of Technology; Mila Quebec Artificial Intelligence Institute</t>
  </si>
  <si>
    <t>Self-supervised multimodal learning for group inferences from MRI data: Discovering disorder-relevant brain regions and multimodal links</t>
  </si>
  <si>
    <t>NEUROIMAGE</t>
  </si>
  <si>
    <t>Deep learning; Multimodal data; Mutual information; Self-supervised learning; Alzheimer's disease</t>
  </si>
  <si>
    <t>MILD COGNITIVE IMPAIRMENT; INDEPENDENT COMPONENT ANALYSIS; ANTERIOR CINGULATE CORTEX; ALZHEIMERS-DISEASE; FUNCTIONAL CONNECTIVITY; FMRI; REPRESENTATION; HYPOMETABOLISM; STIMULATION; DIAGNOSIS</t>
  </si>
  <si>
    <t>Plis, Sergey/AAA-9928-2022; Sylvain, Tristan/LLM-0813-2024; Fedorov, Alex/AAD-2905-2022; Calhoun, Vince/ACN-9399-2022</t>
  </si>
  <si>
    <t>Geenjaar, Eloy/0000-0001-5448-6358; Sylvain, Tristan/0000-0001-5390-4036; Fedorov, Alex/0000-0002-0350-9449; Misiura, Maria/0000-0002-8390-5950; Calhoun, Vince/0000-0001-9058-0747; Luck, Margaux/0000-0003-1508-1571</t>
  </si>
  <si>
    <t>158</t>
  </si>
  <si>
    <t>ACADEMIC PRESS INC ELSEVIER SCIENCE</t>
  </si>
  <si>
    <t>SAN DIEGO</t>
  </si>
  <si>
    <t>525 B ST, STE 1900, SAN DIEGO, CA 92101-4495 USA</t>
  </si>
  <si>
    <t>1053-8119</t>
  </si>
  <si>
    <t>1095-9572</t>
  </si>
  <si>
    <t>Neuroimage</t>
  </si>
  <si>
    <t>285</t>
  </si>
  <si>
    <t>120485</t>
  </si>
  <si>
    <t>10.1016/j.neuroimage.2023.120485</t>
  </si>
  <si>
    <t>http://dx.doi.org/10.1016/j.neuroimage.2023.120485</t>
  </si>
  <si>
    <t>DEC 2023</t>
  </si>
  <si>
    <t>Neurosciences; Neuroimaging; Radiology, Nuclear Medicine &amp; Medical Imaging</t>
  </si>
  <si>
    <t>Neurosciences &amp; Neurology; Radiology, Nuclear Medicine &amp; Medical Imaging</t>
  </si>
  <si>
    <t>GN6C4</t>
  </si>
  <si>
    <t>38110045</t>
  </si>
  <si>
    <t>WOS:001153377600001</t>
  </si>
  <si>
    <t>Xiong, F; Shen, CY; Wang, XF</t>
  </si>
  <si>
    <t>Gliomas, primary brain tumors arising from glial cells, can be effectively identified using Magnetic Resonance Imaging (MRI), a widely employed diagnostic tool in clinical settings. Accurate glioma segmentation, which is crucial for diagnosis and surgical intervention, can be achieved by integrating multiple MRI modalities that offer complementary information. However, limited access to multiple modalities in certain clinical contexts often results in suboptimal performance of glioma segmentation methods. This study introduces a novel generalized knowledge distillation framework designed to transfer multimodal knowledge from a teacher model to a unimodal student model via two distinct distillation strategies: segmentation graph distillation and cascade region attention distillation. The former enables the student to replicate the teacher's softened output, whereas the latter facilitates extraction and learning of region feature information at various levels within the teacher model. Our evaluation of the proposed distillation strategies using the BraTS 2018 dataset confirms their superior performance in unimodal segmentation contexts compared with existing methods.</t>
  </si>
  <si>
    <t>Xiong, Feng; Shen, Chuyun; Wang, Xiangfeng</t>
  </si>
  <si>
    <t>Wang, XF (corresponding author), East China Normal Univ, Sch Comp Sci &amp; Technol, Shanghai 200062, Peoples R China.</t>
  </si>
  <si>
    <t>xfwang@cs.ecnu.edu.cn</t>
  </si>
  <si>
    <t>[Xiong, Feng; Shen, Chuyun; Wang, Xiangfeng] East China Normal Univ, Sch Comp Sci &amp; Technol, Shanghai 200062, Peoples R China</t>
  </si>
  <si>
    <t>East China Normal University</t>
  </si>
  <si>
    <t>Generalized Knowledge Distillation for Unimodal Glioma Segmentation from Multimodal Models</t>
  </si>
  <si>
    <t>ELECTRONICS</t>
  </si>
  <si>
    <t>medical segmentation; missing modalities; knowledge distillation; brain tumor; glioma</t>
  </si>
  <si>
    <t>BRAIN-TUMOR SEGMENTATION</t>
  </si>
  <si>
    <t>Wang, Xiangfeng/0000-0003-1802-4425</t>
  </si>
  <si>
    <t>21</t>
  </si>
  <si>
    <t>ST ALBAN-ANLAGE 66, CH-4052 BASEL, SWITZERLAND</t>
  </si>
  <si>
    <t>2079-9292</t>
  </si>
  <si>
    <t>ELECTRONICS-SWITZ</t>
  </si>
  <si>
    <t>Electronics</t>
  </si>
  <si>
    <t>APR 2023</t>
  </si>
  <si>
    <t>1516</t>
  </si>
  <si>
    <t>10.3390/electronics12071516</t>
  </si>
  <si>
    <t>http://dx.doi.org/10.3390/electronics12071516</t>
  </si>
  <si>
    <t>Computer Science, Information Systems; Engineering, Electrical &amp; Electronic; Physics, Applied</t>
  </si>
  <si>
    <t>Computer Science; Engineering; Physics</t>
  </si>
  <si>
    <t>D9IQ6</t>
  </si>
  <si>
    <t>WOS:000971794800001</t>
  </si>
  <si>
    <t>Khader, F; Müller-Franzes, G; Wang, TC; Han, TY; Arasteh, ST; Haarburger, C; Stegmaier, J; Bressem, K; Kuhl, C; Nebelung, S; Kather, JN; Truhn, D</t>
  </si>
  <si>
    <t>Background: Clinicians consider both imaging and nonimaging data when diagnosing diseases; however, current machine learning approaches primarily consider data from a single modality.Purpose: To develop a neural network architecture capable of integrating multimodal patient data and compare its performance to models incorporating a single modality for diagnosing up to 25 pathologic conditions.Materials and Methods: In this retrospective study, imaging and nonimaging patient data were extracted from the Medical Information Mart for Intensive Care (MIMIC) database and an internal database comprised of chest radiographs and clinical parameters inpatients in the intensive care unit (ICU) (January 2008 to December 2020). The MIMIC and internal data sets were each split into training (n = 33 893, n = 28 809), validation (n = 740, n = 7203), and test (n = 1909, n = 9004) sets. A novel transformer-based neural network architecture was trained to diagnose up to 25 conditions using nonimaging data alone, imaging data alone, or multimodal data. Diagnostic performance was assessed using area under the receiver operating characteristic curve (AUC) analysis.Results: The MIMIC and internal data sets included 36 542 patients (mean age, 63 years +/- 17 [SD]; 20 567 male patients) and 45 016 patients (mean age, 66 years +/- 16; 27 577 male patients), respectively. The multimodal model showed improved diagnostic performance for all pathologic conditions. For the MIMIC data set, the mean AUC was 0.77 (95% CI: 0.77, 0.78) when both chest radiographs and clinical parameters were used, compared with 0.70 (95% CI: 0.69, 0.71; P &lt; .001) for only chest radiographs and 0.72 (95% CI: 0.72, 0.73; P &lt; .001) for only clinical parameters. These findings were confirmed on the internal data set.Conclusion: A model trained on imaging and nonimaging data outperformed models trained on only one type of data for diagnosing multiple diseases in patients in an ICU setting.</t>
  </si>
  <si>
    <t>Khader, Firas; Mueller-Franzes, Gustav; Wang, Tianci; Han, Tianyu; Arasteh, Soroosh Tayebi; Haarburger, Christoph; Stegmaier, Johannes; Bressem, Keno; Kuhl, Christiane; Nebelung, Sven; Kather, Jakob Nikolas; Truhn, Daniel</t>
  </si>
  <si>
    <t>Khader, F (corresponding author), Unive Hosp Aachen, Dept Diagnost &amp; Intervent Radiol, Pauwelsstr 30, D-52074 Aachen, Germany.</t>
  </si>
  <si>
    <t>fkhader@ukaachen.de</t>
  </si>
  <si>
    <t>German Federal Ministry of Health (DEEP LIVER) [ZMVI1-2520DAT111]; Max-Eder-Programme of the German Cancer Aid; Deutsche Forschungsgemeinschaft (DFG) [NE 2136/3-1]</t>
  </si>
  <si>
    <t>German Federal Ministry of Health (DEEP LIVER); Max-Eder-Programme of the German Cancer Aid; Deutsche Forschungsgemeinschaft (DFG) (German Research Foundation (DFG))</t>
  </si>
  <si>
    <t>J.N.K. is supported by the German Federal Ministry of Health (DEEP LIVER, ZMVI1-2520DAT111) and Max-Eder-Programme of the German Cancer Aid (70113864). S.N. is supported by the Deutsche Forschungsgemeinschaft (DFG) (NE 2136/3-1)</t>
  </si>
  <si>
    <t>[Khader, Firas; Mueller-Franzes, Gustav; Wang, Tianci; Arasteh, Soroosh Tayebi; Kuhl, Christiane; Nebelung, Sven; Truhn, Daniel] Unive Hosp Aachen, Dept Diagnost &amp; Intervent Radiol, Pauwelsstr 30, D-52074 Aachen, Germany; [Kather, Jakob Nikolas] Univ Hosp Aachen, Dept Med 3, Pauwelsstr 30, D-52074 Aachen, Germany; [Han, Tianyu] Rhein Westfal TH Aachen, Phys Mol Imaging Syst, Inst Expt Mol Imaging, Aachen, Germany; [Stegmaier, Johannes] Rhein Westfal TH Aachen, Inst Imaging &amp; Comp Vis, Aachen, Germany; [Haarburger, Christoph] Ocumeda, Munich, Germany; [Bressem, Keno] Charite Univ Med Berlin, Dept Diagnost &amp; Intervent Radiol, Berlin, Germany; [Bressem, Keno] Free Univ Berlin, Berlin, Germany; [Bressem, Keno] Humboldt Univ, Berlin, Germany; [Kather, Jakob Nikolas] Tech Univ Dresden, Med Fac Carl Gustav Carus, Else Kroener Fresenius Ctr Digital Hlth, Dresden, Germany; [Kather, Jakob Nikolas] Univ Leeds, Leeds Inst Med Res St Jamess, Div Pathol &amp; Data Analyt, Leeds, England; [Kather, Jakob Nikolas] Univ Hosp Heidelberg, Dept Med Oncol, Natl Ctr Tumor Dis, Heidelberg, Germany</t>
  </si>
  <si>
    <t>RWTH Aachen University; RWTH Aachen University Hospital; RWTH Aachen University; RWTH Aachen University; Free University of Berlin; Humboldt University of Berlin; Charite Universitatsmedizin Berlin; Free University of Berlin; Humboldt University of Berlin; Technische Universitat Dresden; Carl Gustav Carus University Hospital; University of Leeds; Ruprecht Karls University Heidelberg; Helmholtz Association; National Center for Tumor Diseases; German Cancer Research Center (DKFZ)</t>
  </si>
  <si>
    <t>Multimodal Deep Learning for Integrating Chest Radiographs and Clinical Parameters: A Case for Transformers</t>
  </si>
  <si>
    <t>RADIOLOGY</t>
  </si>
  <si>
    <t>ARTIFICIAL-INTELLIGENCE; IMAGE</t>
  </si>
  <si>
    <t>Nebelung, Sven/ACI-2600-2022; Tayebi Arasteh, Soroosh/AAW-2399-2020; Bressem, Keno/AAX-8241-2020; Kuhl, Christiane/H-3301-2013; Truhn, Daniel/AAG-9359-2021; Stegmaier, Johannes/ABA-4230-2021; Kather, Jakob Nikolas/D-4279-2015</t>
  </si>
  <si>
    <t>Tayebi Arasteh, Soroosh/0000-0003-1015-7733; Bressem, Keno/0000-0001-9249-8624; Müller-Franzes, Gustav/0000-0002-7413-2570; Kuhl, Christiane/0000-0001-8696-2363; Stegmaier, Johannes/0000-0003-4072-3759; Kather, Jakob Nikolas/0000-0002-3730-5348; Han, Tianyu/0000-0002-8636-6462; Khader, Firas/0000-0001-5089-3589; Wang, Tianci/0000-0002-6783-649X</t>
  </si>
  <si>
    <t>77</t>
  </si>
  <si>
    <t>88</t>
  </si>
  <si>
    <t>RADIOLOGICAL SOC NORTH AMERICA (RSNA)</t>
  </si>
  <si>
    <t>OAK BROOK</t>
  </si>
  <si>
    <t>820 JORIE BLVD, SUITE 200, OAK BROOK, ILLINOIS, UNITED STATES</t>
  </si>
  <si>
    <t>0033-8419</t>
  </si>
  <si>
    <t>1527-1315</t>
  </si>
  <si>
    <t>Radiology</t>
  </si>
  <si>
    <t>OCT 2023</t>
  </si>
  <si>
    <t>309</t>
  </si>
  <si>
    <t>e230806</t>
  </si>
  <si>
    <t>10.1148/radiol.230806</t>
  </si>
  <si>
    <t>http://dx.doi.org/10.1148/radiol.230806</t>
  </si>
  <si>
    <t>Z3HY6</t>
  </si>
  <si>
    <t>37787671</t>
  </si>
  <si>
    <t>WOS:001111028800010</t>
  </si>
  <si>
    <t>Nagai, S; Nishimori, M; Shinohara, M; Tanaka, H; Otake, H</t>
  </si>
  <si>
    <t>Background Aortic stenosis (AS) is diagnosed by echocardiography, the current gold standard, but examinations are often performed only after symptoms emerge, highlighting the need for earlier detection. Recently, artificial intelligence (AI)-based screening using non-invasive and widely available modalities such as electrocardiography (ECG) and chest x-ray(CXR) has gained increasing attention for valvular heart disease. However, single-modality approaches have inherent limitations, and in clinical practice, multimodality assessment is common. In this study, we developed a multimodal AI model integrating ECG and CXR within a cooperative learning framework to evaluate its utility for earlier detection of AS.Methods We retrospectively analyzed 23,886 patient records from 7,483 patients who underwent ECG, CXR, and echocardiography. A multimodal model was developed by combining a 1D ResNet50-Transformer architecture for ECG data with an EfficientNet-based architecture for CXR. Cooperative learning was implemented using a loss function that allowed the ECG and CXR models to refine each other's predictions. We split the dataset into training, validation, and test sets, and performed 1,000 bootstrap iterations to assess model stability. AS was defined echocardiographically as peak velocity &gt;= 2.5 m/s, mean pressure gradient &gt;= 20 mmHg, or aortic valve area &lt;= 1.5 cm2.Results Among 7,483 patients, 608 (8.1%) were diagnosed with AS. The multimodal model achieved a test AUROC of 0.812 (95% CI: 0.792-0.832), outperforming the ECG model (0.775, 95% CI: 0.753-0.796) and the CXR model (0.755, 95% CI: 0.732-0.777). Visualization techniques (Grad-CAM, Transformer attention) highlighted distinct yet complementary features in AS patients.Conclusions The multimodal AI model via cooperative learning outperformed single-modality methods in AS detection and may aid earlier diagnosis and reduce clinical burden.</t>
  </si>
  <si>
    <t>Nagai, Shun; Nishimori, Makoto; Shinohara, Masakazu; Tanaka, Hidekazu; Otake, Hiromasa</t>
  </si>
  <si>
    <t>Nishimori, M (corresponding author), Kobe Univ, Grad Sch Med, Div Mol Epidemiol, Kobe, Japan.</t>
  </si>
  <si>
    <t>makoto84@med.kobe-u.ac.jp</t>
  </si>
  <si>
    <t>[Nagai, Shun; Tanaka, Hidekazu; Otake, Hiromasa] Kobe Univ, Grad Sch Med, Dept Internal Med, Div Cardiovasc Med, Kobe, Japan; [Nishimori, Makoto; Shinohara, Masakazu] Kobe Univ, Grad Sch Med, Div Mol Epidemiol, Kobe, Japan</t>
  </si>
  <si>
    <t>Kobe University; Kobe University</t>
  </si>
  <si>
    <t>Multimodal deep learning model for enhanced early detection of aortic stenosis integrating ECG and chest x-ray with cooperative learning</t>
  </si>
  <si>
    <t>FRONTIERS IN RADIOLOGY</t>
  </si>
  <si>
    <t>multimodal AI; cooperative learning; aortic stenosis; deep learning; ECG; CXR=chest x-Ray</t>
  </si>
  <si>
    <t>Nishimori, Makoto/AGX-8249-2022; Shinohara, Masakazu/AFV-1408-2022</t>
  </si>
  <si>
    <t>2673-8740</t>
  </si>
  <si>
    <t>FRONT RADIOL</t>
  </si>
  <si>
    <t>Front. Radiol.</t>
  </si>
  <si>
    <t>NOV 25 2025</t>
  </si>
  <si>
    <t>1698680</t>
  </si>
  <si>
    <t>10.3389/fradi.2025.1698680</t>
  </si>
  <si>
    <t>http://dx.doi.org/10.3389/fradi.2025.1698680</t>
  </si>
  <si>
    <t>O5740</t>
  </si>
  <si>
    <t>41378244</t>
  </si>
  <si>
    <t>WOS:001632714500001</t>
  </si>
  <si>
    <t>Kihara, Y; Montesano, G; Chen, AD; Amerasinghe, N; Dimitriou, C; Jacob, A; Chabi, A; Crabb, DP; Lee, AY</t>
  </si>
  <si>
    <t>Purpose: To develop and validate a deep learning (DL) system for predicting each point on visual fields (VFs) from disc and OCT imaging and derive a structure -function mapping.Design: Retrospective, cross-sectional database study.Participants: A total of 6437 patients undergoing routine care for glaucoma in 3 clinical sites in the United Kingdom.Methods: OCT and infrared reflectance (IR) optic disc imaging were paired with the closest VF within 7 days. EfficientNet B2 was used to train 2 single-modality DL models to predict each of the 52 sensitivity points on the 24-2 VF pattern. A policy DL model was designed and trained to fuse the 2 model predictions.Main Outcome Measures: Pointwise mean absolute error (PMAE). Results: A total of 5078 imaging scans to VF pairs were used as a held-out test set to measure the final performance. The improvement in PMAE with the policy model was 0.485 (0.438, 0.533) decibels (dB) compared with the IR image of the disc alone and 0.060 (0.047, 0.073) dB with to the OCT alone. The improvement with the policy fusion model was statistically significant (P &lt; 0.0001). Occlusion masking shows that the DL models learned the correct structure -function mapping in a data-driven, feature agnostic fashion.Conclusions: The multimodal, policy DL model performed the best; it provided explainable maps of its confidence in fusing data from single modalities and provides a pathway for probing the structure -function relationship in glaucoma. Ophthalmology 2022;129:781-791 (c) 2022 by the American Academy of Ophthalmology</t>
  </si>
  <si>
    <t>Kihara, Yuka; Montesano, Giovanni; Chen, Andrew; Amerasinghe, Nishani; Dimitriou, Chrysostomos; Jacob, Aby; Chabi, Almira; Crabb, David P.; Lee, Aaron Y.</t>
  </si>
  <si>
    <t>Lee, AY (corresponding author), Univ Washington, Dept Ophthalmol, 325 Ninth Ave,Box 359608, Seattle, WA 98104 USA.</t>
  </si>
  <si>
    <t>aaronylee@gmail.com</t>
  </si>
  <si>
    <t>Santen Inc (Emeryville, California); National Eye Institute [K23EY029246] Funding Source: NIH RePORTER; National Institute on Aging [U19AG066567] Funding Source: NIH RePORTER</t>
  </si>
  <si>
    <t>Santen Inc (Emeryville, California); National Eye Institute (United States Department of Health &amp; Human Services, National Institutes of Health (NIH) - USA, NIH National Eye Institute (NEI)); National Institute on Aging (United States Department of Health &amp; Human Services, National Institutes of Health (NIH) - USA, NIH National Institute on Aging (NIA))</t>
  </si>
  <si>
    <t>The authors thank John Holdsworth, David Austin, Christian Martin, and Nick Kirby from Medisoft for their help in organizing the data and building the infrastructure to support this work. We also thank Linda McInerney from Hinchingbrooke Hospital (North West Anglia NHS Foundation Trust, United Kingdom). Support with manuscript editing and formatting was provided by Katie Alexander, PhD (Helios Medical Communications, Alderley Park, Cheshire, United Kingdom), which was funded by Santen Inc (Emeryville, California) .</t>
  </si>
  <si>
    <t>[Kihara, Yuka; Chen, Andrew; Lee, Aaron Y.] Univ Washington, Dept Ophthalmol, Seattle, WA USA; [Montesano, Giovanni; Crabb, David P.] City Univ London, Optometry &amp; Visual Sci, London, England; [Montesano, Giovanni] Moorfields Eye Hosp NHS Fdn Trust, UCL Inst Ophthalmol, NIHR Biomed Res Ctr, London, England; [Amerasinghe, Nishani; Jacob, Aby] Univ Hosp Southampton NHS Fdn Trust, Southampton, England; [Dimitriou, Chrysostomos] East Suffolk &amp; North Essex NHS Fdn Trust, Colchester Hosp, Colchester, England; [Chabi, Almira] Santen, Emeryville, CA USA; [Lee, Aaron Y.] Univ Washington, Dept Ophthalmol, 325 Ninth Ave,Box 359608, Seattle, WA 98104 USA</t>
  </si>
  <si>
    <t>University of Washington; University of Washington Seattle; City St Georges, University of London; University of London; University College London; Moorfields Eye Hospital NHS Foundation Trust; University of Southampton; University Hospital Southampton NHS Foundation Trust; University of Washington; University of Washington Seattle</t>
  </si>
  <si>
    <t>Policy-Driven, Multimodal Deep Learning for Predicting Visual Fields from the Optic Disc and OCT Imaging</t>
  </si>
  <si>
    <t>OPHTHALMOLOGY</t>
  </si>
  <si>
    <t>Artificial intelligence; Deep learning; Glaucoma; OCT; Perimetry; Structure-function; Visual field</t>
  </si>
  <si>
    <t>NERVE-FIBER LAYER; BUNDLE TRAJECTORIES; FULL THRESHOLD; GLAUCOMA; VARIABILITY; MODEL; PERIMETRY; HEAD</t>
  </si>
  <si>
    <t>Lee, Aaron/AAT-2839-2020; Montesano, Giovanni/AAS-9356-2020; Chen, Andrew/AAT-6318-2021</t>
  </si>
  <si>
    <t>Jacob, Aby/0000-0002-7655-0469; Lee, Aaron/0000-0002-7452-1648; Montesano, Giovanni/0000-0002-9148-2804; Chen, Andrew/0000-0002-6688-7674; Kihara, Yuka/0000-0002-3902-7222; Dimitriou, Chrysostomos/0000-0002-1836-772X; Chabi, Almira/0009-0006-2714-8592</t>
  </si>
  <si>
    <t>0161-6420</t>
  </si>
  <si>
    <t>1549-4713</t>
  </si>
  <si>
    <t>Ophthalmology</t>
  </si>
  <si>
    <t>JUL 2022</t>
  </si>
  <si>
    <t>129</t>
  </si>
  <si>
    <t>781</t>
  </si>
  <si>
    <t>791</t>
  </si>
  <si>
    <t>10.1016/j.ophtha.2022.02.017</t>
  </si>
  <si>
    <t>http://dx.doi.org/10.1016/j.ophtha.2022.02.017</t>
  </si>
  <si>
    <t>6H9MM</t>
  </si>
  <si>
    <t>35202616</t>
  </si>
  <si>
    <t>WOS:000885754600012</t>
  </si>
  <si>
    <t>Sarwar, S; Majeed, S; Nawaz, A; Bibi, R; Lee, SW</t>
  </si>
  <si>
    <t>Introduction Brain cancer diagnosis poses a significant clinical challenge due to the complex interplay between molecular mechanisms and anatomical abnormalities. Traditional diagnostic techniques, including invasive biopsies, isolated genomic assays, and standalone Magnetic Resonance Imaging (MRI), often exhibit limitations such as procedural risks, inadequate sensitivity, and incomplete assessment of tumor heterogeneity. These shortcomings contribute to delayed diagnosis, inaccurate tumor grading, and suboptimal treatment planning. Furthermore, single-modality data, whether MRI or genomic profiles, frequently yield limited diagnostic accuracy and biological interpretability.Methods To address these limitations, this study proposes MDL-CA, a Multimodal Deep Learning framework with a Cross-Attention mechanism, designed to integrate genomic and MRI modalities for enhanced brain cancer diagnosis. The framework fuses genomic graph embeddings, extracted using a Graph Attention Network (GAT), with MRI feature maps derived from a 3D DenseNet. The cross-modal attention fusion mechanism enables the model to capture intricate biological and spatial interactions, producing a biologically informed feature representation. Additionally, the Entmax sigmoid function is employed in the classification stage to promote sparsity and improve interpretability. Data were sourced from The Cancer Imaging Archive (TCIA) and The Cancer Genome Atlas (TCGA) following comprehensive preprocessing.Results Extensive experiments conducted across four benchmark datasets demonstrated that MDL-CA achieved superior diagnostic performance, with accuracies of 96.22%, 97.14%, 98.46%, and 98.21%, and F1-scores ranging from 95.95% to 98.40%. These results confirm the framework's robustness, scalability, and consistent generalization across diverse datasets.Discussion The integration of genomic and MRI data through the proposed cross-attention mechanism enables deeper biological understanding and improved diagnostic precision compared to single-modality and conventional fusion approaches. By effectively modeling interactions between molecular and anatomical features, MDL-CA advances the development of biologically informed, multimodal diagnostic systems for brain cancer. The results highlight the framework's potential to support early diagnosis and personalized treatment planning in clinical practice.</t>
  </si>
  <si>
    <t>Sarwar, Sumaira; Majeed, Saqib; Nawaz, Asif; Bibi, Ruqia; Lee, Seung Won</t>
  </si>
  <si>
    <t>Nawaz, A (corresponding author), PMAS Arid Agr Univ Rawalpindi, Univ Inst Informat Technol, Rawalpindi, Pakistan.; Lee, SW (corresponding author), Sungkyunkwan Univ, Sch Med, Dept Precis Med, Suwon, South Korea.; Lee, SW (corresponding author), Sungkyunkwan Univ, Dept Artificial Intelligence, Suwon, South Korea.; Lee, SW (corresponding author), Sungkyunkwan Univ, Dept MetaBioHlth, Suwon, South Korea.; Lee, SW (corresponding author), Sungkyunkwan Univ, Sch Med, Personalized Canc Immunotherapy Res Ctr, Suwon, South Korea.; Lee, SW (corresponding author), Sungkyunkwan Univ, Sch Med, Kangbuk Samsung Hosp, Dept Family Med, Seoul, South Korea.</t>
  </si>
  <si>
    <t>asif.nawaz@uaar.edu.pk; swleemd@g.skku.edu</t>
  </si>
  <si>
    <t>Start up Pioneering in Research and Innovation (SPRINT) through the Commercialization Promotion Agency for R&amp;D Outcomes (COMPA) - Korea government (Ministry of Science and ICT) [RS-2025-02314328]; Ministry of Education and Ministry of Science &amp; ICT, Republic of Korea [NRF [2021-R1-I1A2], 059735, 2024-0040 (5650), 2024-0044 (0881), 2019-II19 (0421), 2025-2544 (3209)]</t>
  </si>
  <si>
    <t>Start up Pioneering in Research and Innovation (SPRINT) through the Commercialization Promotion Agency for R&amp;D Outcomes (COMPA) - Korea government (Ministry of Science and ICT); Ministry of Education and Ministry of Science &amp; ICT, Republic of Korea</t>
  </si>
  <si>
    <t>The author(s) declared that financial support was received for this work and/or its publication. This research was supported by Start up Pioneering in Research and Innovation (SPRINT) through the Commercialization Promotion Agency for R&amp;D Outcomes (COMPA) grant funded by the Korea government (Ministry of Science and ICT) (RS-2025-02314328). This research was also supported by the Ministry of Education and Ministry of Science &amp; ICT, Republic of Korea (grant numbers: NRF [2021-R1-I1A2 (059735)], RS [2024-0040 (5650)], RS [2024-0044 (0881)], RS [2019-II19 (0421)], and RS [2025-2544 (3209)].</t>
  </si>
  <si>
    <t>[Sarwar, Sumaira; Majeed, Saqib; Nawaz, Asif; Bibi, Ruqia] PMAS Arid Agr Univ Rawalpindi, Univ Inst Informat Technol, Rawalpindi, Pakistan; [Lee, Seung Won] Sungkyunkwan Univ, Sch Med, Dept Precis Med, Suwon, South Korea; [Lee, Seung Won] Sungkyunkwan Univ, Dept Artificial Intelligence, Suwon, South Korea; [Lee, Seung Won] Sungkyunkwan Univ, Dept MetaBioHlth, Suwon, South Korea; [Lee, Seung Won] Sungkyunkwan Univ, Sch Med, Personalized Canc Immunotherapy Res Ctr, Suwon, South Korea; [Lee, Seung Won] Sungkyunkwan Univ, Sch Med, Kangbuk Samsung Hosp, Dept Family Med, Seoul, South Korea</t>
  </si>
  <si>
    <t>Arid Agriculture University; Sungkyunkwan University (SKKU); Sungkyunkwan University (SKKU); Sungkyunkwan University (SKKU); Sungkyunkwan University (SKKU); Sungkyunkwan University (SKKU); Samsung Medical Center; Samsung Kangbuk Hospital</t>
  </si>
  <si>
    <t>MDL-CA: a multimodal deep learning approach with a cross attention mechanism for accurate brain cancer diagnosis</t>
  </si>
  <si>
    <t>FRONTIERS IN PUBLIC HEALTH</t>
  </si>
  <si>
    <t>3D DenseNet; brain cancer; deep learning; Entmax; GAT; multimodality</t>
  </si>
  <si>
    <t>Nawaz, Asif/IXE-0163-2023</t>
  </si>
  <si>
    <t>2296-2565</t>
  </si>
  <si>
    <t>FRONT PUBLIC HEALTH</t>
  </si>
  <si>
    <t>Front. Public Health</t>
  </si>
  <si>
    <t>JAN 5 2026</t>
  </si>
  <si>
    <t>1687335</t>
  </si>
  <si>
    <t>10.3389/fpubh.2025.1687335</t>
  </si>
  <si>
    <t>http://dx.doi.org/10.3389/fpubh.2025.1687335</t>
  </si>
  <si>
    <t>Public, Environmental &amp; Occupational Health</t>
  </si>
  <si>
    <t>CE2EH</t>
  </si>
  <si>
    <t>41561860</t>
  </si>
  <si>
    <t>WOS:001663671900001</t>
  </si>
  <si>
    <t>Dadzie, AK; Iddir, SP; Abtahi, M; Ebrahimi, B; Rahimi, M; Ganesh, S; Son, T; Heiferman, MJ; Yao, XC</t>
  </si>
  <si>
    <t>Purpose: To develop and evaluate a deep learning model that integrates ultra-widefield fundus photography and B-scan ultrasonography for automated classification of uveal melanoma (UM) and choroidal nevi. Design: A retrospective cross-sectional study. Subjects: This study included 174 patients (93 with UM and 81 with choroidal nevi) diagnosed at a tertiary eye center. For each patient, ultra-widefield fundus photographs and B-scan ultrasound images in both transverse and longitudinal orientations were acquired. Methods: A deep learning model was trained using ultra-widefield fundus photography, ultrasound images, and combinations of both. Fivefold cross-validation was used to evaluate model performance. Main Outcome Measures: The deep learning models were evaluated using accuracy, F1 score, and area under the receiver operating characteristic curve (AUC). Results: Uveal melanomas had a mean thickness of 6.0 mm and a basal diameter of 12.6 mm, whereas nevi measured 1.8 mm and 6.5 mm, respectively. Among single-modality models, the model trained on transverse ultrasound images achieved the highest performance (accuracy: 92%; F1 score: 0.9227; AUC: 0.9538). Averaging predictions from the single-modality models provided only modest gains because their outputs sometimes conflicted. In contrast, the model that combined fundus photographs and ultrasound images using an attention mechanism achieved the highest overall performance (accuracy: 94%; F1 score: 0.9445; AUC: 0.9606), outperforming all other configurations by effectively integrating complementary information from both modalities. Conclusions: Multimodal deep learning that combines fundus photography and ultrasound imaging improves the classification of UM and choroidal nevi. This approach demonstrates feasibility for leveraging the strengths of each modality for automated classification of UM and choroidal nevi.</t>
  </si>
  <si>
    <t>Dadzie, Albert K.; Iddir, Sabrina P.; Abtahi, Mansour; Ebrahimi, Behrouz; Rahimi, Mojtaba; Ganesh, Sanjay; Son, Taeyoon; Heiferman, Michael J.; Yao, Xincheng</t>
  </si>
  <si>
    <t>Yao, XC (corresponding author), Univ Illinois Chicago UIC, Dept Biomed Engn, Clin Sci North, Suite W103, Room 164D, 820 South Wood St, Chicago, IL 60612 USA.; Heiferman, MJ (corresponding author), Univ Illinois Chicago UIC, Illinois Eye &amp; Ear Infirm, Dept Ophthalmol &amp; Visual Sci, Suite 3-138, M-C 648, 1855 West Taylor St, Chicago, IL 60612 USA.</t>
  </si>
  <si>
    <t>mheif@uic.edu; xcy@uic.edu</t>
  </si>
  <si>
    <t>National Eye Institute [R01 EY023522, R01 EY029673, R01 EY030101, R01 EY030842, P30EY001792, K12 EY021475]; Research to Prevent Blindness; Richard and Loan Hill Endowment; Melanoma Research Foundation; University of Illinois Chicago</t>
  </si>
  <si>
    <t>National Eye Institute (United States Department of Health &amp; Human Services, National Institutes of Health (NIH) - USA, NIH National Eye Institute (NEI)); Research to Prevent Blindness (Research to Prevent Blindness (RPB)); Richard and Loan Hill Endowment; Melanoma Research Foundation; University of Illinois Chicago</t>
  </si>
  <si>
    <t>Supported by the National Eye Institute (R01 EY023522, R01 EY029673, R01 EY030101, R01 EY030842, P30EY001792, K12 EY021475) ; Research to Prevent Blindness; Richard and Loan Hill Endowment; and Melanoma Research Foundation. The sponsors or funding organizations had no role in the design or conduct of this research. Support for Open Access publication was provided by University of Illinois Chicago.</t>
  </si>
  <si>
    <t>[Dadzie, Albert K.; Abtahi, Mansour; Ebrahimi, Behrouz; Rahimi, Mojtaba; Son, Taeyoon; Yao, Xincheng] Univ Illinois, Dept Biomed Engn, Chicago, IL USA; [Iddir, Sabrina P.; Ganesh, Sanjay; Heiferman, Michael J.; Yao, Xincheng] Univ Illinois, Dept Ophthalmol &amp; Visual Sci, Chicago, IL USA</t>
  </si>
  <si>
    <t>University of Illinois System; University of Illinois Chicago; University of Illinois Chicago Hospital; University of Illinois System; University of Illinois Chicago; University of Illinois Chicago Hospital</t>
  </si>
  <si>
    <t>Attention-Based Multimodal Deep Learning for Uveal Melanoma Classification Using Ultra-Widefield Fundus Images and Ocular Ultrasound</t>
  </si>
  <si>
    <t>OPHTHALMOLOGY SCIENCE</t>
  </si>
  <si>
    <t>Artificial intelligence; Choroidal nevus; Deep learning; Multimodal fusion; Uveal melanoma</t>
  </si>
  <si>
    <t>YAO, XINCHENG/ABA-1526-2020; Son, Taeyoon/Q-4816-2017</t>
  </si>
  <si>
    <t>YAO, XINCHENG/0000-0002-0356-3242; Dadzie, Albert Kofi/0000-0002-3466-5188</t>
  </si>
  <si>
    <t>2666-9145</t>
  </si>
  <si>
    <t>OPHTHALMOL SCI</t>
  </si>
  <si>
    <t>Ophthalmol. Sci.</t>
  </si>
  <si>
    <t>100985</t>
  </si>
  <si>
    <t>10.1016/j.xops.2025.100985</t>
  </si>
  <si>
    <t>http://dx.doi.org/10.1016/j.xops.2025.100985</t>
  </si>
  <si>
    <t>DEC 2025</t>
  </si>
  <si>
    <t>Q4851</t>
  </si>
  <si>
    <t>41439217</t>
  </si>
  <si>
    <t>WOS:001634635400001</t>
  </si>
  <si>
    <t>Sheng, JH; Zhang, Q; Zhang, Q; Wang, LY; Yang, Z; Xin, Y; Wang, BB</t>
  </si>
  <si>
    <t>Alzheimer's disease (AD) diagnosis utilizing single modality neuroimaging data has limitations. Multimodal fusion of complementary biomarkers may improve diagnostic performance. This study proposes a multimodal machine learning framework integrating magnetic resonance imaging (MRI), positron emission tomography (PET) and cerebrospinal fluid (CSF) assays for enhanced AD characterization. The model incorporates a hybrid algorithm combining enhanced Harris Hawks Optimization (HHO) algorithm referred to as ILHHO, with Kernel Extreme Learning Machine (KELM) classifier for simultaneous feature selection and classification. ILHHO enhances HHO's search efficiency by integrating iterative mapping (IM) to improve population diversity and local escaping operator (LEO) to balance exploration -exploitation. Comparative analysis with other improved HHO algorithms, classic meta -heuristic algorithms (MHAs), and state-of-the-art MHAs on IEEE CEC2014 benchmark functions indicates that ILHHO achieves superior optimization performance compared to other comparative algorithms. The synergistic ILHHO-KELM model is evaluated on 202 AD Neuroimaging Initiative (ADNI) subjects. Results demonstrate superior multimodal classification accuracy over single modalities, validating the importance of fusing heterogeneous biomarkers. MRI + PET + CSF achieves 99.2 % accuracy for AD vs. normal control (NC), outperforming conventional and proposed methods. Discriminative feature analysis provides further insights into differential AD -related neurodegeneration patterns detected by MRI and PET. The differential PET and MRI features demonstrate how the two modalities provide complementary biomarkers. The neuroanatomical relevance of selected features supports ILHHO-KELM's potential for extracting sensitive AD imaging signatures. Overall, the study showcases the advantages of capitalizing on complementary multimodal data through advanced feature learning techniques for improving AD diagnosis.</t>
  </si>
  <si>
    <t>Sheng, Jinhua; Zhang, Qian; Zhang, Qiao; Wang, Luyun; Yang, Ze; Xin, Yu; Wang, Binbing</t>
  </si>
  <si>
    <t>Sheng, JH (corresponding author), Hangzhou Dianzi Univ, Sch Comp Sci &amp; Technol, Hangzhou 310018, Zhejiang, Peoples R China.</t>
  </si>
  <si>
    <t>j.sheng@ieee.org</t>
  </si>
  <si>
    <t>National Natural Science Founda-tions of China [62271177, 61871168]</t>
  </si>
  <si>
    <t>National Natural Science Founda-tions of China (National Natural Science Foundation of China (NSFC))</t>
  </si>
  <si>
    <t>This work was supported by the National Natural Science Founda-tions of China (No. 62271177 and 61871168) .</t>
  </si>
  <si>
    <t>[Sheng, Jinhua; Zhang, Qian; Wang, Luyun; Yang, Ze; Xin, Yu; Wang, Binbing] Hangzhou Dianzi Univ, Sch Comp Sci &amp; Technol, Hangzhou 310018, Zhejiang, Peoples R China; [Sheng, Jinhua; Zhang, Qian; Wang, Luyun; Yang, Ze; Xin, Yu; Wang, Binbing] Minist Ind &amp; Informat Technol China, Key Lab Intelligent Image Anal Sensory &amp; Cognit Hl, Hangzhou 310018, Zhejiang, Peoples R China; [Zhang, Qian] Wenzhou Univ Technol, Sch Data Sci &amp; Artificial Intelligence, Wenzhou 325035, Zhejiang, Peoples R China; [Zhang, Qiao] Beijing Hosp, Beijing 100730, Peoples R China; [Zhang, Qiao] Natl Ctr Gerontol, Beijing 100730, Peoples R China; [Zhang, Qiao] Chinese Acad Med Sci, Inst Geriatr Med, Beijing 100730, Peoples R China</t>
  </si>
  <si>
    <t>Hangzhou Dianzi University; Wenzhou University of Technology; Beijing Hospital; Chinese Academy of Medical Sciences - Peking Union Medical College</t>
  </si>
  <si>
    <t>A hybrid multimodal machine learning model for Detecting Alzheimer's disease</t>
  </si>
  <si>
    <t>COMPUTERS IN BIOLOGY AND MEDICINE</t>
  </si>
  <si>
    <t>Machine learning; Alzheimer's disease; Harris hawks optimization; Multimodality; Kernel extreme learning machine</t>
  </si>
  <si>
    <t>SINE COSINE ALGORITHM; PARTICLE SWARM OPTIMIZATION; MOTH-FLAME OPTIMIZATION; COMPUTATIONAL INTELLIGENCE; CLASSIFICATION; DIAGNOSIS; DEEP; SEGMENTATION; EVOLUTIONARY; DESIGN</t>
  </si>
  <si>
    <t>Sheng, Jinhua/IYS-5130-2023; wang, luyun/IQV-1675-2023</t>
  </si>
  <si>
    <t>Zhang, Qian/0000-0001-5984-8506; Sheng, Jinhua/0000-0002-7662-9126; Zhang, Qian/0000-0001-5984-8506</t>
  </si>
  <si>
    <t>130</t>
  </si>
  <si>
    <t>71</t>
  </si>
  <si>
    <t>PERGAMON-ELSEVIER SCIENCE LTD</t>
  </si>
  <si>
    <t>THE BOULEVARD, LANGFORD LANE, KIDLINGTON, OXFORD OX5 1GB, ENGLAND</t>
  </si>
  <si>
    <t>0010-4825</t>
  </si>
  <si>
    <t>1879-0534</t>
  </si>
  <si>
    <t>COMPUT BIOL MED</t>
  </si>
  <si>
    <t>Comput. Biol. Med.</t>
  </si>
  <si>
    <t>170</t>
  </si>
  <si>
    <t>108035</t>
  </si>
  <si>
    <t>10.1016/j.compbiomed.2024.108035</t>
  </si>
  <si>
    <t>http://dx.doi.org/10.1016/j.compbiomed.2024.108035</t>
  </si>
  <si>
    <t>FEB 2024</t>
  </si>
  <si>
    <t>Biology; Computer Science, Interdisciplinary Applications; Engineering, Biomedical; Mathematical &amp; Computational Biology</t>
  </si>
  <si>
    <t>Life Sciences &amp; Biomedicine - Other Topics; Computer Science; Engineering; Mathematical &amp; Computational Biology</t>
  </si>
  <si>
    <t>JS4I2</t>
  </si>
  <si>
    <t>38325214</t>
  </si>
  <si>
    <t>WOS:001175135900001</t>
  </si>
  <si>
    <t>Choi, KJ; Yang, J; Collins, B; Kim, SG; Lim, DJ; Seong, JT</t>
  </si>
  <si>
    <t>Reliable defect detection in coarse-wavelength division multiplexing (CWDM) optical modules is critical for ensuring stable high-speed optical communication and minimizing network disruptions. Traditional inspection methods, such as manual video screening and optical testing, are labor-intensive, prone to human error, and often fail to identify underlying defect patterns, thereby necessitating multiple rounds of testing. To overcome these limitations, this paper proposes a deep learning-based multimodal learning framework for defect prediction that integrates manufacturing process data (tabular features) and optical eye diagram images from the module's receiver. Leveraging the complementary nature of these data sources enhances defect detection performance, enabling the proposed model to surpass conventional single modal alternatives. The model was comprehensively evaluated on a real CWDM module dataset through cross-validation, based on performance metrics such as accuracy and F1-score. The multimodal learning schemes achieved an accuracy of 91.0% and an F1-score exceeding 90%, significantly outperforming both traditional single modal approaches and manual inspection techniques. These results demonstrate the effectiveness of multimodal learning in improving defect prediction accuracy, reducing reliance on repetitive testing, and lowering overall inspection costs. The proposed approach represents a scalable and efficient solution for automated quality control in optical module manufacturing, with potential applications in optical network maintenance and defect detection for other photonic components.</t>
  </si>
  <si>
    <t>Choi, Kyu-Jeong; Yang, Jia; Collins, Botambu; Kim, Sung-Geun; Lim, Do-Jin; Seong, Jin-Taek</t>
  </si>
  <si>
    <t>Seong, JT (corresponding author), Chonnam Natl Univ, Grad Sch Data Sci, Gwangju 61186, South Korea.</t>
  </si>
  <si>
    <t>jtseong@jnu.ac.kr</t>
  </si>
  <si>
    <t>National Research Foundation of Korea (NRF) - Korean Government (MSIT) [RS-2023-00242528]</t>
  </si>
  <si>
    <t>National Research Foundation of Korea (NRF) - Korean Government (MSIT) (National Research Foundation of Korea)</t>
  </si>
  <si>
    <t>This work was supported by the National Research Foundation of Korea (NRF) grant funded by Korean Government (MSIT) under Grant RS-2023-00242528.</t>
  </si>
  <si>
    <t>[Choi, Kyu-Jeong; Yang, Jia; Collins, Botambu; Seong, Jin-Taek] Chonnam Natl Univ, Grad Sch Data Sci, Gwangju 61186, South Korea; [Choi, Kyu-Jeong; Kim, Sung-Geun] Opt Co Ltd, Seongnam Si 13354, South Korea</t>
  </si>
  <si>
    <t>Chonnam National University</t>
  </si>
  <si>
    <t>Defect Prediction in CWDM Optical Modules Using Multimodal Learning</t>
  </si>
  <si>
    <t>IEEE ACCESS</t>
  </si>
  <si>
    <t>Optical imaging; Adaptive optics; Optical receivers; Optical fibers; Integrated optics; Optical variables measurement; Defect detection; High-speed optical techniques; Biomedical optical imaging; Optical transmitters; CWDM OSA; optical link; deep learning; multimodal learning; tabular data; binary classification; imbalanced dataset</t>
  </si>
  <si>
    <t>SIMULATION</t>
  </si>
  <si>
    <t>Collins, Botambu/HLQ-0708-2023</t>
  </si>
  <si>
    <t>Collins, Botambu/0000-0002-2786-2036; Seong, Jin-Taek/0009-0003-4811-4138; Yang, Jia/0009-0002-6977-4955</t>
  </si>
  <si>
    <t>73</t>
  </si>
  <si>
    <t>IEEE-INST ELECTRICAL ELECTRONICS ENGINEERS INC</t>
  </si>
  <si>
    <t>PISCATAWAY</t>
  </si>
  <si>
    <t>445 HOES LANE, PISCATAWAY, NJ 08855-4141 USA</t>
  </si>
  <si>
    <t>2169-3536</t>
  </si>
  <si>
    <t>IEEE Access</t>
  </si>
  <si>
    <t>108519</t>
  </si>
  <si>
    <t>108532</t>
  </si>
  <si>
    <t>10.1109/ACCESS.2025.3582242</t>
  </si>
  <si>
    <t>http://dx.doi.org/10.1109/ACCESS.2025.3582242</t>
  </si>
  <si>
    <t>Computer Science, Information Systems; Engineering, Electrical &amp; Electronic; Telecommunications</t>
  </si>
  <si>
    <t>Computer Science; Engineering; Telecommunications</t>
  </si>
  <si>
    <t>4IK3S</t>
  </si>
  <si>
    <t>WOS:001518758800017</t>
  </si>
  <si>
    <t>Ren, Y; Xu, N; Ling, MG; Geng, X</t>
  </si>
  <si>
    <t>Multimodal machine learning (MML) aims to understand the world from multiple related modalities. It has attracted much attention as multimodal data has become increasingly available in real-world application. It is shown that MML can perform better than single-modal machine learning, since multi-modalities containing more information which could complement each other. However, it is a key challenge to fuse the multi-modalities in MML. Different from previous work, we further consider the side-information, which reflects the situation and influences the fusion of multi-modalities. We recover multimodal label distribution (MLD) by leveraging the side-information, representing the degree to which each modality contributes to describing the instance. Accordingly, a novel framework named multimodal label distribution learning (MLDL) is proposed to recover the MLD, and fuse the multimodalities with its guidance to learn an in-depth understanding of the jointly feature representation. Moreover, two versions of MLDL are proposed to deal with the sequential data. Experiments on multimodal sentiment analysis and disease prediction show that the proposed approaches perform favorably against state-of-the-art methods.</t>
  </si>
  <si>
    <t>Ren, Yi; Xu, Ning; Ling, Miaogen; Geng, Xin</t>
  </si>
  <si>
    <t>Geng, X (corresponding author), Southeast Univ, Dept Comp Sci &amp; Engn, Nanjing 211189, Peoples R China.</t>
  </si>
  <si>
    <t>xgeng@seu.edu.cn</t>
  </si>
  <si>
    <t>National Key Research and Development Plan of China [2018AAA0100104]; National Natural Science Foundation of China [62076063]; Fundamental Research Funds for the Central Universities [2242021k30056]</t>
  </si>
  <si>
    <t>National Key Research and Development Plan of China (National Key Research &amp; Development Program of China); National Natural Science Foundation of China (National Natural Science Foundation of China (NSFC)); Fundamental Research Funds for the Central Universities (Fundamental Research Funds for the Central Universities)</t>
  </si>
  <si>
    <t>This research was supported by the National Key Research and Development Plan of China (2018AAA0100104), the National Natural Science Foundation of China (Grant No.62076063), and the Fundamental Research Funds for the Central Universities (2242021k30056).</t>
  </si>
  <si>
    <t>[Ren, Yi; Xu, Ning; Ling, Miaogen; Geng, Xin] Southeast Univ, Dept Comp Sci &amp; Engn, Nanjing 211189, Peoples R China</t>
  </si>
  <si>
    <t>Southeast University - China</t>
  </si>
  <si>
    <t>Label distribution for multimodal machine learning</t>
  </si>
  <si>
    <t>FRONTIERS OF COMPUTER SCIENCE</t>
  </si>
  <si>
    <t>multimodal machine learning; label distribution learning; sentiment analysis; disease prediction</t>
  </si>
  <si>
    <t>FUSION</t>
  </si>
  <si>
    <t>Ling, Miaogen/AAZ-6950-2021; Geng, Xin/OUI-5114-2025</t>
  </si>
  <si>
    <t>46</t>
  </si>
  <si>
    <t>87</t>
  </si>
  <si>
    <t>HIGHER EDUCATION PRESS</t>
  </si>
  <si>
    <t>BEIJING</t>
  </si>
  <si>
    <t>CHAOYANG DIST, 4, HUIXINDONGJIE, FUSHENG BLDG, BEIJING 100029, PEOPLES R CHINA</t>
  </si>
  <si>
    <t>2095-2228</t>
  </si>
  <si>
    <t>2095-2236</t>
  </si>
  <si>
    <t>FRONT COMPUT SCI-CHI</t>
  </si>
  <si>
    <t>Front.. Comput. Sci.</t>
  </si>
  <si>
    <t>FEB 2022</t>
  </si>
  <si>
    <t>161306</t>
  </si>
  <si>
    <t>10.1007/s11704-021-0611-6</t>
  </si>
  <si>
    <t>http://dx.doi.org/10.1007/s11704-021-0611-6</t>
  </si>
  <si>
    <t>Computer Science, Information Systems; Computer Science, Software Engineering; Computer Science, Theory &amp; Methods</t>
  </si>
  <si>
    <t>UP1GB</t>
  </si>
  <si>
    <t>WOS:000695131600004</t>
  </si>
  <si>
    <t>Li, BH; Chen, H; Lin, XN; Duan, H</t>
  </si>
  <si>
    <t>Objective: To develop a multimodal learning application system that integrates electronic medical records (EMR) and hysteroscopic images for reproductive outcome prediction and risk stratification of patients with intrauterine adhesions (IUAs) resulting from endometrial injuries. Materials and methods: EMR and 5014 revisited hysteroscopic images of 753 post hysteroscopic adhesiolysis patients from the multicenter IUA database we established were randomly allocated to training, validation, and test datasets. The respective datasets were used for model development, tuning, and testing of the multimodal learning application. MobilenetV3 was employed for image feature extraction, and XGBoost for EMR and image feature ensemble learning. The performance of the application was compared against the single-modal approaches (EMR or hysteroscopic images), DeepSurv and ElasticNet models, along with the clinical scoring systems. The primary outcome was the 1-year conception prediction accuracy, and the secondary outcome was the assisted reproductive technology (ART) benefit ratio after risk stratification. Results: The multimodal learning system exhibited superior performance in predicting conception within 1-year, achieving areas under the curves of 0.967 (95% CI: 0.950-0.985), 0.936 (95% CI: 0.883-0.989), and 0.965 (95% CI: 0.935-0.994) in the training, validation, and test datasets, respectively, surpassing single-modal approaches, other models and clinical scoring systems (all P&lt;0.05). The application of the model operated seamlessly on the hysteroscopic platform, with an average analysis time of 3.7 +/- 0.8 s per patient. By employing the application's conception probability-based risk stratification, mid-high-risk patients demonstrated a significant ART benefit (odds ratio=6, 95% CI: 1.27-27.8, P=0.02), while low-risk patients exhibited good natural conception potential, with no significant increase in conception rates from ART treatment (P=1). Conclusions: The multimodal learning system using hysteroscopic images and EMR demonstrates promise in accurately predicting the natural conception of patients with IUAs and providing effective postoperative stratification, potentially contributing to ART triage after IUA procedures.</t>
  </si>
  <si>
    <t>Li, Bohan; Chen, Hui; Lin, Xiaona; Duan, Hua</t>
  </si>
  <si>
    <t>Duan, H (corresponding author), Capital Med Univ, Beijing Obstet &amp; Gynecol Hosp, Beijing Maternal &amp; Child Hlth Care Hosp, Dept Minimally Invas Gynecol Ctr, Beijing 100006, Peoples R China.</t>
  </si>
  <si>
    <t>gmis_fkwc@163.com; chenhui@ccmu.edu.cn; 24713144@qq.com; duanhua@ccmu.edu.cn</t>
  </si>
  <si>
    <t>Beijing Obstetrics and Gynecology Hospital</t>
  </si>
  <si>
    <t>Assistance with the study. The authors are grateful to the database entry staff and hysteroscopists of Beijing Obstetrics and Gynecology Hospital and Sir Run Run Shaw Hospital, especially Prof. Yinshu Guo, Yanzhen Peng, Ying Zhang, Xin Wang, Jinjuan Wang, and Fengxian Fu for their professional reports and photographic acquisition.</t>
  </si>
  <si>
    <t>[Li, Bohan; Duan, Hua] Capital Med Univ, Beijing Obstet &amp; Gynecol Hosp, Beijing Maternal &amp; Child Hlth Care Hosp, Dept Minimally Invas Gynecol Ctr, Beijing 100006, Peoples R China; [Chen, Hui] Capital Med Univ, Sch Biomed Engn, Beijing, Peoples R China; [Chen, Hui] Capital Med Univ, Beijing Adv Innovat Ctr Big Data Based Precis Med, Beijing, Peoples R China; [Lin, Xiaona] Zhejiang Univ, Sir Run Run Shaw Hosp, Assisted Reprod Unit, Key Lab Reprod Dysfunct Management Zhejiang Prov,S, Hangzhou, Peoples R China</t>
  </si>
  <si>
    <t>Capital Medical University; Capital Medical University; Capital Medical University; Zhejiang University</t>
  </si>
  <si>
    <t>Multimodal learning system integrating electronic medical records and hysteroscopic images for reproductive outcome prediction and risk stratification of endometrial injury: a multicenter diagnostic study</t>
  </si>
  <si>
    <t>INTERNATIONAL JOURNAL OF SURGERY</t>
  </si>
  <si>
    <t>conception; electronic medical records; hysteroscopy; intrauterine adhesions; multimodal learning</t>
  </si>
  <si>
    <t>INTRAUTERINE ADHESIONS</t>
  </si>
  <si>
    <t>LIN, XIAONA/ABD-5147-2020</t>
  </si>
  <si>
    <t>26</t>
  </si>
  <si>
    <t>LIPPINCOTT WILLIAMS &amp; WILKINS</t>
  </si>
  <si>
    <t>PHILADELPHIA</t>
  </si>
  <si>
    <t>TWO COMMERCE SQ, 2001 MARKET ST, PHILADELPHIA, PA 19103 USA</t>
  </si>
  <si>
    <t>1743-9191</t>
  </si>
  <si>
    <t>1743-9159</t>
  </si>
  <si>
    <t>INT J SURG</t>
  </si>
  <si>
    <t>Int. J. Surg.</t>
  </si>
  <si>
    <t>JUN 2024</t>
  </si>
  <si>
    <t>110</t>
  </si>
  <si>
    <t>3237</t>
  </si>
  <si>
    <t>3248</t>
  </si>
  <si>
    <t>10.1097/JS9.0000000000001241</t>
  </si>
  <si>
    <t>http://dx.doi.org/10.1097/JS9.0000000000001241</t>
  </si>
  <si>
    <t>UL4X2</t>
  </si>
  <si>
    <t>38935827</t>
  </si>
  <si>
    <t>WOS:001248212000009</t>
  </si>
  <si>
    <t>Yan, Y; Xu, YC; Fang, G; He, X; Qian, YF; Zhu, WW</t>
  </si>
  <si>
    <t>Background Deep learning has advanced breast tumor prediction research, but traditional single-modality models limit feature diversity and accuracy.Purpose To develop and validate a multimodal deep learning approach that combines mammography and ultrasound imaging for improved breast tumor classification and enhanced clinical decision-making.Methods This retrospective study analyzed 663 female patients with breast lesions from 2018 to 2021, including 384 benign and 279 malignant cases. The two-stage prediction model employed improved modality-specific attention mechanisms: efficient channel attention (ECA-Net) for ultrasound and convolutional block attention module (CBAM) for mammography. The fused features were input into a stacking ensemble module with logistic regression (LR), support vector machine (SVM), random forest (RF), and Extra-Trees (ET) as base learners, and multilayer perceptron (MLP) neural network as meta-learner. Data was divided into training (464), validation (133), and test (66) sets with a 7:2:1 ratio.Results The proposed multimodal prediction model-mammography ultrasound (MPM-MU) achieved superior performance with an area under the receiver operating characteristic (ROC) Curve (AUC) of 87.9 +/- 0.21%, representing improvements of 13.4% and 15.6% over attention-enhanced mammography (74.5%) and ultrasound (72.3%) models, respectively. Ablation studies confirmed the effectiveness of both multimodal feature fusion and attention mechanisms in enhancing diagnostic performance.Conclusions The multimodal prediction model-mammography ultrasound (MPM-MU) with modality-specific attention mechanisms demonstrated superior performance in distinguishing between benign and malignant breast tumors compared to single-modality approaches. This approach assists radiologists in improving breast lesion classification accuracy and enhancing clinical decision-making, potentially reducing unnecessary biopsies and improving diagnostic consistency.</t>
  </si>
  <si>
    <t>Yan, Yu; Xu, Yichen; Fang, Ge; He, Xu; Qian, Yifei; Zhu, Wenwen</t>
  </si>
  <si>
    <t>Fang, G (corresponding author), Nanjing Univ Chinese Med, Jiangsu Prov Hosp ofChinese Med, Affiliated Hosp, Nanjing, Jiangsu, Peoples R China.</t>
  </si>
  <si>
    <t>cipcipcip@126.com</t>
  </si>
  <si>
    <t>Postgraduate Research &amp; Practice Innovation Program of Jiangsu Province [KYCX24_2160]</t>
  </si>
  <si>
    <t>Postgraduate Research &amp; Practice Innovation Program of Jiangsu Province (Postgraduate Research &amp; Practice Innovation Program of Jiangsu Province)</t>
  </si>
  <si>
    <t>This work was supported by the Postgraduate Research &amp; Practice Innovation Program of Jiangsu Province (Grant Number: KYCX24_2160).</t>
  </si>
  <si>
    <t>[Yan, Yu; Fang, Ge; He, Xu; Qian, Yifei] Nanjing Univ Chinese Med, Jiangsu Prov Hosp Chinese Med, Dept Med Equipment, Affiliated Hosp, Nanjing, Jiangsu, Peoples R China; [Xu, Yichen; Zhu, Wenwen] Nanjing Univ Chinese Med, Sch Artificial Intelligence &amp; Informat Technol, Nanjing, Jiangsu, Peoples R China</t>
  </si>
  <si>
    <t>Nanjing University of Chinese Medicine; Nanjing University of Chinese Medicine</t>
  </si>
  <si>
    <t>Multimodal deep learning for breast tumor classification: Integrating mammography and ultrasound for enhanced diagnostic accuracy</t>
  </si>
  <si>
    <t>JOURNAL OF APPLIED CLINICAL MEDICAL PHYSICS</t>
  </si>
  <si>
    <t>attention mechanisms; breast tumor classification; mammography; multimodal; ultrasound</t>
  </si>
  <si>
    <t>LESIONS; NETWORKS</t>
  </si>
  <si>
    <t>52</t>
  </si>
  <si>
    <t>1526-9914</t>
  </si>
  <si>
    <t>J APPL CLIN MED PHYS</t>
  </si>
  <si>
    <t>J. Appl. Clin. Med. Phys</t>
  </si>
  <si>
    <t>JAN 18 2026</t>
  </si>
  <si>
    <t>e70464</t>
  </si>
  <si>
    <t>10.1002/acm2.70464</t>
  </si>
  <si>
    <t>http://dx.doi.org/10.1002/acm2.70464</t>
  </si>
  <si>
    <t>CE8YR</t>
  </si>
  <si>
    <t>41549611</t>
  </si>
  <si>
    <t>WOS:001664131700001</t>
  </si>
  <si>
    <t>Guo, L; Yin, YH; Wang, C; Chen, HY; Cui, QH; Wan, XK</t>
  </si>
  <si>
    <t>Sleep staging based on PSG is largely confined to clinical settings, while home-based sleep monitoring often faces the challenges of insufficient unimodal information and missing modalities. Aiming to overcome these challenges, this paper proposes a unified multimodal model for sleep staging based on cardiopulmonary signals. First, a heterogeneous multi-scale feature encoder with long and short branches is adopted to adapt to the cross-modal heterogeneity of ECG and THX. It combines a Transformer encoder and a Dilated CNN to complete feature fusion and temporal modeling. Subsequently, the unified model adaptively handles flexible modality combinations by introducing global context via a modal feature alignment strategy, which is built upon a framework consisting of a bimodal global branch and unimodal dedicated branches. On the SHHS dataset, the proposed model achieved Cohen's kappa coefficients of 0.7547, 0.7121, and 0.7305 for four-stage sleep classification under ECG+THX, ECG-only, and THX-only inputs, respectively, demonstrating consistent improvements over three separately trained individual models. Furthermore, the model exhibits robust generalization performance on the P2018 external dataset and across samples with different severity levels of SDB. This work establishes a reliable algorithmic baseline for unobtrusive, long-term home sleep monitoring with missing modalities.</t>
  </si>
  <si>
    <t>Guo, Lin; Yin, Yuhang; Wang, Chen; Chen, Hongyu; Cui, Qinghua; Wan, Xiangkui</t>
  </si>
  <si>
    <t>Wan, XK (corresponding author), Hubei Univ Technol, Sch Elect &amp; Elect Engn, Wuhan 430068, Peoples R China.</t>
  </si>
  <si>
    <t>xkwan@hbut.edu.cn; 102410236@hbut.edu.cn</t>
  </si>
  <si>
    <t>National Natural Science Foundation of China [82427801]</t>
  </si>
  <si>
    <t>This research was supported by the National Natural Science Foundation of China under Grant No. 82427801.</t>
  </si>
  <si>
    <t>[Guo, Lin; Yin, Yuhang; Wang, Chen; Chen, Hongyu; Wan, Xiangkui] Hubei Univ Technol, Sch Elect &amp; Elect Engn, Wuhan 430068, Peoples R China; [Cui, Qinghua] Wuhan Sports Univ, Sch Sports Med, Wuhan 430079, Peoples R China</t>
  </si>
  <si>
    <t>Hubei University of Technology; Wuhan Sports University</t>
  </si>
  <si>
    <t>A Sleep Staging Method Based on Cardiopulmonary Signals Using a Unified Multimodal Model</t>
  </si>
  <si>
    <t>TECHNOLOGIES</t>
  </si>
  <si>
    <t>sleep staging; cardiopulmonary signals; modal feature alignment; multi-scale feature encoder; home sleep monitoring</t>
  </si>
  <si>
    <t>Wan, Xiangkui/PFJ-4349-2025</t>
  </si>
  <si>
    <t>2227-7080</t>
  </si>
  <si>
    <t>Technologies</t>
  </si>
  <si>
    <t>JUL 17 2026</t>
  </si>
  <si>
    <t>441</t>
  </si>
  <si>
    <t>10.3390/technologies14070441</t>
  </si>
  <si>
    <t>http://dx.doi.org/10.3390/technologies14070441</t>
  </si>
  <si>
    <t>Engineering, Multidisciplinary</t>
  </si>
  <si>
    <t>LR8KC</t>
  </si>
  <si>
    <t>WOS:001831722800001</t>
  </si>
  <si>
    <t>gold</t>
  </si>
  <si>
    <t>Tian, X; Jiang, YC; Zhu, SX; Liu, XH; Anwaier, A; Ye, SQ; Chang, K; Qu, YY; Gu, YJ; Zhang, HL; Ye, DW; Xu, WH</t>
  </si>
  <si>
    <t>Despite sunitinib remaining the cornerstone of systemic therapy for advanced renal cell carcinoma (RCC), reliable predictive biomarkers for therapeutic response remain elusive. We retrospectively analyzed multi-modal data (complete across four modalities) from 157 clear cell RCC (ccRCC) patients receiving sunitinib monotherapy. The cohort was randomly partitioned into training (70%) and testing (30%) sets. Seven deep learning architectures (DenseNet201, ResNet18, ResNet152, ResNet34, Inception_v3, ShuffleNet_v2, and MobileNet_v3) were deployed to identify imaging biomarkers. Deep transfer learning features derived from ResNet34 were integrated with genomic variants, proteomic profiles, and clinical parameters to develop a multimodal predictive model-termed the CGPR (Clinical, Genomic, Proteomic, and Radiomic) model. Model interpretability was enhanced via SHapley Additive exPlanations (SHAP) to quantify feature contribution weights. Single-modality-based models exhibited suboptimal performance, with average area under the receiver operating characteristic curves (AUCs) below 0.8 and significant discrepancies between training and testing sets. Radiomics-based deep learning models also showed limited efficacy (ResNet34: mean AUC = 0.785). The multimodal CGPR model achieved superior accuracy (mean AUC = 0.946). SHAP analysis identified the deep transfer learning features DL_0 and DL_60, alongside the proteomic marker SRGAP1 (SLIT-ROBO Rho GTPase Activating Protein 1), as the three most influential predictors. This study demonstrates the transformative potential of multimodal integration for predicting sunitinib response in advanced ccRCC. By harmonizing deep learning signatures (ResNet34-derived), proteomic biomarkers (SRGAP1), and clinical parameters, the CGPR model surpassed conventional single-modality approaches in predictive accuracy.</t>
  </si>
  <si>
    <t>Tian, Xi; Jiang, Yuchen; Zhu, Shuxuan; Liu, Xiaohang; Anwaier, Aihetaimujiang; Ye, Shiqi; Chang, Kun; Qu, Yuanyuan; Gu, Ya-jia; Zhang, Hailiang; Ye, Dingwei; Xu, Wenhao</t>
  </si>
  <si>
    <t>Gu, YJ; Zhang, HL; Ye, DW; Xu, WH (corresponding author), Fudan Univ, Shanghai Canc Ctr, Dept Urol, 270 Dongan Rd, Shanghai 200032, Peoples R China.</t>
  </si>
  <si>
    <t>zhanghl918@163.com; cjr.guyajia@vip.163.com; xwhao0407@163.com; dwyelie@163.com</t>
  </si>
  <si>
    <t>Natural Science Foundation of Shanghai 2025 [25ZR1401067]; Scientific Innovation Project of Shanghai Education Committee [2021-01-07-00-07-E00080]; Beijing Xisike Clinical Oncology Research Foundation [Y-HR2020MS-0948]; Joint Breakthrough Project for New Frontier Technologies of the Shanghai Hospital Development Center [SHDC2025CCS007, SHDC12022105]; National Natural Science Foundation of China [82473192, 82172741]; Shanghai Anti-Cancer Association Eyas Project [SACA-CY23A02, SACA-CY23C04]; Demonstration Program for Innovative Medical Devices and Drugs of Science and Technology Commission of Shanghai Municipality [24SF1900800]; Shanghai Municipal Health Bureau [2020CXJQ03]</t>
  </si>
  <si>
    <t>Natural Science Foundation of Shanghai 2025; Scientific Innovation Project of Shanghai Education Committee; Beijing Xisike Clinical Oncology Research Foundation; Joint Breakthrough Project for New Frontier Technologies of the Shanghai Hospital Development Center; National Natural Science Foundation of China (National Natural Science Foundation of China (NSFC)); Shanghai Anti-Cancer Association Eyas Project; Demonstration Program for Innovative Medical Devices and Drugs of Science and Technology Commission of Shanghai Municipality; Shanghai Municipal Health Bureau</t>
  </si>
  <si>
    <t>The authors gratefully acknowledge the invaluable contributions of all participants in this research.</t>
  </si>
  <si>
    <t>[Tian, Xi; Jiang, Yuchen; Zhu, Shuxuan; Anwaier, Aihetaimujiang; Ye, Shiqi; Chang, Kun; Qu, Yuanyuan; Zhang, Hailiang; Ye, Dingwei; Xu, Wenhao] Fudan Univ, Dept Urol, Shanghai Med Coll, Shanghai Canc Ctr,Dept Oncol, Shanghai, Peoples R China; [Tian, Xi; Jiang, Yuchen; Zhu, Shuxuan; Anwaier, Aihetaimujiang; Ye, Shiqi; Chang, Kun; Qu, Yuanyuan; Zhang, Hailiang; Ye, Dingwei; Xu, Wenhao] Shanghai Genitourinary Canc Inst, Shanghai, Peoples R China; [Liu, Xiaohang; Gu, Ya-jia] Fudan Univ, Shanghai Canc Ctr, Dept Radiol, Shanghai, Peoples R China; [Liu, Xiaohang; Gu, Ya-jia] Fudan Univ, Shanghai Med Coll, Dept Oncol, Shanghai, Peoples R China</t>
  </si>
  <si>
    <t>Fudan University; Fudan University; Fudan University</t>
  </si>
  <si>
    <t>A multimodal deep learning framework for predicting sunitinib response in advanced clear cell renal cell carcinoma</t>
  </si>
  <si>
    <t>biomarker; clear cell renal cell carcinoma; deep learning; radiomics; sunitinib</t>
  </si>
  <si>
    <t>CONVOLUTIONAL NEURAL-NETWORK; CANCER</t>
  </si>
  <si>
    <t>Zhang, Hailiang/AAF-4937-2020; Xu, Wenhao/NHQ-4669-2025; Y, q/MBH-2398-2025</t>
  </si>
  <si>
    <t>Tian, Xi/0000-0003-1965-0647</t>
  </si>
  <si>
    <t>20250157</t>
  </si>
  <si>
    <t>10.1002/VIW.20250157</t>
  </si>
  <si>
    <t>http://dx.doi.org/10.1002/VIW.20250157</t>
  </si>
  <si>
    <t>DT2OG</t>
  </si>
  <si>
    <t>WOS:001625246800001</t>
  </si>
  <si>
    <t>Zhang, SY; Wang, ZY; Chen, JW; Luo, XJ; Mai, BX</t>
  </si>
  <si>
    <t>Tissue-to-blood partition coefficients (P-tb) are key parameters for assessing toxicokinetics of xenobiotics in organisms, yet their experimental data were lacking. Experimental methods for measuring P-tb values are inefficient, underscoring the urgent need for prediction models. However, most existing models failed to fully exploit P-tb data from diverse sources, and their applicability domain (AD) was limited. The current study developed a multimodal model capable of processing and integrating textual (categorical features) and numerical information (molecular descriptors/fingerprints) to simultaneously predict P-tb values across various species, tissues, blood matrices, and measurement methods. Artificial neural network algorithms with embedding layers were used for the multimodal modeling. The corresponding unimodal models were developed for comparison. Results showed that the multimodal model outperformed unimodal models. To enhance the reliability of the model, a method considering categorical features, weighted molecular similarity density, and weighted inconsistency in molecular activities of structure-activity landscapes was used to characterize the AD. The model constrained by the AD exhibited better prediction accuracy for the validation set, with the determination coefficient, root mean-square error, and mean absolute error being 0.843, 0.276, and 0.213 log units, respectively. The multimodal model coupled with the AD characterization can serve as an efficient tool for internal exposure assessment of chemicals.</t>
  </si>
  <si>
    <t>Zhang, Shuying; Wang, Zhongyu; Chen, Jingwen; Luo, Xiaojun; Mai, Bixian</t>
  </si>
  <si>
    <t>Luo, XJ (corresponding author), Chinese Acad Sci, Guangzhou Inst Geochem, State Key Lab Organ Geochem, Guangzhou 510640, Peoples R China.; Luo, XJ (corresponding author), Chinese Acad Sci, Guangzhou Inst Geochem, Guangdong Key Lab Environm Resources Utilizat &amp; Pr, Guangzhou 510640, Peoples R China.; Chen, JW (corresponding author), Dalian Univ Technol, Sch Environm Sci &amp; Technol, Dalian Key Lab Chem Risk Control &amp; Pollut Prevent, Key Lab Ind Ecol &amp; Environm Engn,Minist Educ, Dalian 116024, Peoples R China.</t>
  </si>
  <si>
    <t>luoxiaoj@gig.ac.cn; jwchen@dlut.edu.cn</t>
  </si>
  <si>
    <t>National Key Research and Development Program of China [2022M723158]; China Postdoctoral Science Foundation [41931290, 22136001, U23A2056]; National Natural Science Foundation of China [2022YFC3902100]; National Key Research and Development Program of China [2023B1212060049, SKLOG2020-7]; Guangdong Foundation for Program of Science and Technology Research</t>
  </si>
  <si>
    <t>National Key Research and Development Program of China (National Key Research &amp; Development Program of China); China Postdoctoral Science Foundation (China Postdoctoral Science Foundation); National Natural Science Foundation of China (National Natural Science Foundation of China (NSFC)); National Key Research and Development Program of China (National Key Research &amp; Development Program of China); Guangdong Foundation for Program of Science and Technology Research</t>
  </si>
  <si>
    <t>This study was financially supported by the China Postdoctoral Science Foundation (2022M723158), the National Natural Science Foundation of China (41931290, 22136001, U23A2056), the National Key Research and Development Program of China (2022YFC3902100), the Guangdong Foundation for Program of Science and Technology Research (2023B1212060049), and the State Laboratory of Organic Geochemistry, GIGCAS (SKLOG2020-7).</t>
  </si>
  <si>
    <t>[Zhang, Shuying; Luo, Xiaojun; Mai, Bixian] Chinese Acad Sci, Guangzhou Inst Geochem, State Key Lab Organ Geochem, Guangzhou 510640, Peoples R China; [Zhang, Shuying; Luo, Xiaojun; Mai, Bixian] Chinese Acad Sci, Guangzhou Inst Geochem, Guangdong Key Lab Environm Resources Utilizat &amp; Pr, Guangzhou 510640, Peoples R China; [Wang, Zhongyu] Minist Ecol &amp; Environm Peoples Republ China, Solid Waste &amp; Chem Management Ctr, Beijing 100029, Peoples R China; [Chen, Jingwen] Dalian Univ Technol, Sch Environm Sci &amp; Technol, Dalian Key Lab Chem Risk Control &amp; Pollut Prevent, Key Lab Ind Ecol &amp; Environm Engn,Minist Educ, Dalian 116024, Peoples R China</t>
  </si>
  <si>
    <t>Chinese Academy of Sciences; Guangzhou Institute of Geochemistry, CAS; Chinese Academy of Sciences; Guangzhou Institute of Geochemistry, CAS; Dalian University of Technology</t>
  </si>
  <si>
    <t>Multimodal Model to Predict Tissue-to-Blood Partition Coefficients of Chemicals in Mammals and Fish</t>
  </si>
  <si>
    <t>ENVIRONMENTAL SCIENCE &amp; TECHNOLOGY</t>
  </si>
  <si>
    <t>tissue-to-blood partition coefficient; multimodal model; categorical feature; embeddinglayer; applicabilitydomain</t>
  </si>
  <si>
    <t>VOLATILE ORGANIC-COMPOUNDS; CHANNEL CATFISH; BIOCONCENTRATION; AIR; DRUGS; PLASMA; PHARMACEUTICALS; BIOACCUMULATION; EFFLUENT; FUSION</t>
  </si>
  <si>
    <t>Chen, Jingwen/A-1658-2010</t>
  </si>
  <si>
    <t>Zhang, Shuying/0009-0006-8728-406X; luo, xiaojun/0000-0002-2572-8108; Chen, Jingwen/0000-0002-5756-3336; Mai, Bi-Xian/0000-0001-6358-8698</t>
  </si>
  <si>
    <t>111</t>
  </si>
  <si>
    <t>AMER CHEMICAL SOC</t>
  </si>
  <si>
    <t>WASHINGTON</t>
  </si>
  <si>
    <t>1155 16TH ST, NW, WASHINGTON, DC 20036 USA</t>
  </si>
  <si>
    <t>0013-936X</t>
  </si>
  <si>
    <t>1520-5851</t>
  </si>
  <si>
    <t>ENVIRON SCI TECHNOL</t>
  </si>
  <si>
    <t>Environ. Sci. Technol.</t>
  </si>
  <si>
    <t>JAN 19 2024</t>
  </si>
  <si>
    <t>58</t>
  </si>
  <si>
    <t>1944</t>
  </si>
  <si>
    <t>1953</t>
  </si>
  <si>
    <t>10.1021/acs.est.3c08016</t>
  </si>
  <si>
    <t>http://dx.doi.org/10.1021/acs.est.3c08016</t>
  </si>
  <si>
    <t>Engineering, Environmental; Environmental Sciences</t>
  </si>
  <si>
    <t>Engineering; Environmental Sciences &amp; Ecology</t>
  </si>
  <si>
    <t>GT1E0</t>
  </si>
  <si>
    <t>38240238</t>
  </si>
  <si>
    <t>WOS:001154822700001</t>
  </si>
  <si>
    <t>Ouyang, S; Luo, Y; Cai, HY; Su, KH; Liao, F; Zhan, N; Zhao, HX; Yin, TL; Zhao, L; Shan, DJ</t>
  </si>
  <si>
    <t>Accurately identifying and classifying protein active sites is crucial for understanding protein mechanisms, drug design, and synthetic biology. Current methods often rely on binary classification and single-modal data, limiting their scope. To address these limitations, we propose M$&lt;^&gt;{3}$Site, a multimodal framework that integrates protein sequence embeddings, structural graph representations, and functional text annotations for residue-level, multiclass active site prediction. Built upon a curated dataset of 25 883 proteins sourced from UniProt and AlphaFold2, M$&lt;^&gt;{3}$Site leverages pretrained protein language models, equivariant graph neural networks, and biomedical language models for feature extraction. The function informed cross-attention module enables cross-modal feature fusion, while the adaptive weighted fusion mechanism balances modality contributions. A compound loss function tackles class imbalance, ensuring robust performance. Experimental results show M$&lt;^&gt;{3}$Site significantly outperforms existing models, and an interactive application has been developed to enhance its practical utility for predictions and visualizations. The dataset, source code for experiments, and interactive application are publicly available at https://github.com/Gift-OYS/M3Site.</t>
  </si>
  <si>
    <t>Ouyang, Song; Luo, Yong; Cai, Huiyu; Su, Kehua; Liao, Fei; Zhan, Na; Zhao, Huangxuan; Yin, Tailang; Zhao, Lin; Shan, Dongjing</t>
  </si>
  <si>
    <t>Liao, F (corresponding author), Wuhan Univ, Renmin Hosp, Zhang Rd &amp; Jiefang Rd, Wuhan 430060, Hubei, Peoples R China.; Luo, Y; Su, KH (corresponding author), Wuhan Univ, Natl Engn Res Ctr Multimedia Software, Sch Comp Sci, Bayi Rd, Wuhan 430072, Hubei, Peoples R China.; Zhao, L (corresponding author), Peking Union Med Coll, 1 Shuaifuyuan Wangfujing, Beijing, 100730, Peoples R China.; Shan, DJ (corresponding author), Southwest Med Univ, Dept Pharm, Zhongshan Rd, Luzhou 646000, Sichuan, Peoples R China.</t>
  </si>
  <si>
    <t>zhaolin4412@pumch.cn; yluo180@gmail.com; skh@whu.edu.cn; feiliao@whu.edu.cn; shandongjing@swmu.edu.cn</t>
  </si>
  <si>
    <t>Fundamental Research Funds for the Central Universities [2042024YXA002]; Science and Technology Major Project of Hubei Province [2024BAB046]; Interdisciplinary Innovative Talents Foundation from Renmin Hospital of Wuhan University [JCRCZN-2022-018]; Innovative Research Group Project of Hubei Province [2024AFA017]; National Natural Science Foundation of China [62272354, U23A20318, 62276195]</t>
  </si>
  <si>
    <t>Fundamental Research Funds for the Central Universities (Fundamental Research Funds for the Central Universities); Science and Technology Major Project of Hubei Province; Interdisciplinary Innovative Talents Foundation from Renmin Hospital of Wuhan University; Innovative Research Group Project of Hubei Province; National Natural Science Foundation of China (National Natural Science Foundation of China (NSFC))</t>
  </si>
  <si>
    <t>This work was supported in part by the Interdisciplinary Innovative Talents Foundation from Renmin Hospital of Wuhan University (Grant No. JCRCZN-2022-018), the Fundamental Research Funds for the Central Universities (Grant No. 2042024YXA002), the National Natural Science Foundation of China (Grant Nos. 62272354, U23A20318, and 62276195), the Innovative Research Group Project of Hubei Province (Grant No. 2024AFA017), and the Science and Technology Major Project of Hubei Province (Grant No. 2024BAB046).</t>
  </si>
  <si>
    <t>[Ouyang, Song; Liao, Fei; Zhan, Na; Yin, Tailang] Wuhan Univ, Renmin Hosp, Zhang Rd &amp; Jiefang Rd, Wuhan 430060, Hubei, Peoples R China; [Ouyang, Song; Luo, Yong; Su, Kehua; Zhao, Huangxuan] Wuhan Univ, Natl Engn Res Ctr Multimedia Software, Sch Comp Sci, Bayi Rd, Wuhan 430072, Hubei, Peoples R China; [Cai, Huiyu] BioGeometry, North Haidian 2nd St, Beijing 100083, Peoples R China; [Cai, Huiyu] Mila Quebec AI Inst, Rue St Urbain, Montreal, PQ H2S 3H1, Canada; [Cai, Huiyu] Univ Montreal, Dept Comp Sci &amp; Operat Res, Bd Edouard Montpetit, Montreal, PQ H3T 1J4, Canada; [Zhao, Lin] Peking Union Med Coll, 1 Shuaifuyuan Wangfujing, Beijing, 100730, Peoples R China; [Shan, Dongjing] Southwest Med Univ, Dept Pharm, Zhongshan Rd, Luzhou 646000, Sichuan, Peoples R China</t>
  </si>
  <si>
    <t>Wuhan University; Wuhan University; Mila Quebec Artificial Intelligence Institute; Universite de Montreal; Chinese Academy of Medical Sciences - Peking Union Medical College; Peking Union Medical College; Southwest Medical University</t>
  </si>
  <si>
    <t>M3Site: multiclass multimodal learning for protein active site identification and classification</t>
  </si>
  <si>
    <t>BRIEFINGS IN BIOINFORMATICS</t>
  </si>
  <si>
    <t>protein; active site identification; multimodal learning; multiclass classification</t>
  </si>
  <si>
    <t>EVOLUTIONARY; PREDICTION; DYNAMICS</t>
  </si>
  <si>
    <t>Zhao, Huangxuan/U-1801-2019; Luo, Yong/G-7969-2016; shan, dongjing/I-2931-2013; Yin, Tailang/JVO-0352-2024</t>
  </si>
  <si>
    <t>Luo, Yong/0000-0002-2296-6370; shan, dongjing/0000-0001-6386-6096; Ouyang, Song/0009-0008-5693-7384</t>
  </si>
  <si>
    <t>44</t>
  </si>
  <si>
    <t>1467-5463</t>
  </si>
  <si>
    <t>1477-4054</t>
  </si>
  <si>
    <t>BRIEF BIOINFORM</t>
  </si>
  <si>
    <t>Brief. Bioinform.</t>
  </si>
  <si>
    <t>bbaf590</t>
  </si>
  <si>
    <t>10.1093/bib/bbaf590</t>
  </si>
  <si>
    <t>http://dx.doi.org/10.1093/bib/bbaf590</t>
  </si>
  <si>
    <t>Biochemical Research Methods; Mathematical &amp; Computational Biology</t>
  </si>
  <si>
    <t>Biochemistry &amp; Molecular Biology; Mathematical &amp; Computational Biology</t>
  </si>
  <si>
    <t>9QZ9B</t>
  </si>
  <si>
    <t>41222559</t>
  </si>
  <si>
    <t>WOS:001612959200001</t>
  </si>
  <si>
    <t>Wang, YH; Wang, HW; Bai, RY; Shi, YX; Chen, XC; Xu, QG</t>
  </si>
  <si>
    <t>A decision-level multimodal fusion deep learning strategy is proposed for the effective fault detection of rolling bearings based on long-term fault signals collected from multiple sensors. First, key features are extracted from the multimodal signal set using singular spectrum analysis (SSA), and these features are transformed into a composite dataset that combines short-time Fourier transform (STFT) images and time series data. Based on this, a recursive gated convolutional neural network (RGCNN) is designed to process the STFT image data, while a 1D convolutional neural network (1DCNN) is specifically optimized for training with time series data. Furthermore, decision-level multimodal feature fusion is achieved by applying a weighted average method to integrate the features from different deep learning models, aiming to obtain more comprehensive fault prediction results. The proposed method, multimodal fusion fault detection (MFFD), is validated on the Paderborn and Ottawa rolling bearing datasets, which include various typical faults. Experimental results demonstrate the effectiveness of the proposed approach. Compared to traditional single-modality deep learning models, the proposed method shows significant improvements in fault diagnosis accuracy and generalization capability.</t>
  </si>
  <si>
    <t>Wang, Yunhang; Wang, Hongwei; Bai, Ruoyang; Shi, Yuxin; Chen, Xicong; Xu, Qingang</t>
  </si>
  <si>
    <t>Wang, HW (corresponding author), Xinjiang Univ, Sch Intelligent Mfg Modern Ind, Urumqi 830046, Peoples R China.</t>
  </si>
  <si>
    <t>wanghongwei_xju@xju.edu.cn; ruoyangbai@163.com; 15091756133@163.com; shiyuxinpayne@163.com; 17852767729@163.com; xicongchenkey@163.com</t>
  </si>
  <si>
    <t>Xinjiang Uygur Autonomous Region Natural Science Foundation Project; Xinjiang Uygur Autonomous Region Key Research and Development Project [2022B02016-1]</t>
  </si>
  <si>
    <t>Xinjiang Uygur Autonomous Region Natural Science Foundation Project; Xinjiang Uygur Autonomous Region Key Research and Development Project</t>
  </si>
  <si>
    <t>This work was supported by the Xinjiang Uygur Autonomous Region Natural Science Foundation Project (2022D01C390) and partially by the Xinjiang Uygur Autonomous Region Key Research and Development Project (2022B02016-1).</t>
  </si>
  <si>
    <t>[Wang, Yunhang; Wang, Hongwei; Bai, Ruoyang; Shi, Yuxin; Chen, Xicong; Xu, Qingang] Xinjiang Univ, Sch Intelligent Mfg Modern Ind, Urumqi 830046, Peoples R China</t>
  </si>
  <si>
    <t>Xinjiang University</t>
  </si>
  <si>
    <t>Enhanced Rolling Bearing Fault Diagnosis Using Multimodal Deep Learning and Singular Spectrum Analysis</t>
  </si>
  <si>
    <t>rolling bearings; fault diagnosis; decision-level multimodal fusion; singular spectrum analysis</t>
  </si>
  <si>
    <t>Bai, Ruoyang/NAZ-3864-2025; Chen, Xicong/JVD-6801-2023; xu, qingang/KRQ-4708-2024</t>
  </si>
  <si>
    <t>Wang, Hongwei/0000-0002-8598-2343; Bai, Ruoyang/0009-0005-3831-9716; Chen, Xicong/0009-0006-8992-9212; Wang, Yunhang/0009-0001-7722-7583</t>
  </si>
  <si>
    <t>APR 27 2025</t>
  </si>
  <si>
    <t>4828</t>
  </si>
  <si>
    <t>10.3390/app15094828</t>
  </si>
  <si>
    <t>http://dx.doi.org/10.3390/app15094828</t>
  </si>
  <si>
    <t>2ML4M</t>
  </si>
  <si>
    <t>WOS:001486143900001</t>
  </si>
  <si>
    <t>Lei, Y; Feng, B; Wan, MQ; Xu, KC; Cui, J; Ma, CY; Sun, JQ; Yao, CY; Gan, SM; Shi, JF; Cui, EM</t>
  </si>
  <si>
    <t>Purpose To investigate the value of a multimodal deep learning (MDL) model based on computed tomography (CT) and magnetic resonance imaging (MRI) for predicting microvascular invasion (MVI) in hepatocellular carcinoma (HCC). Methods A total of 287 patients with HCC from our institution and 58 patients from another individual institution were included. Among these, 119 patients with only CT data and 116 patients with only MRI data were selected for single-modality deep learning model development, after which select parameters were migrated for MDL model development with transfer learning (TL). In addition, 110 patients with simultaneous CT and MRI data were divided into a training cohort (n = 66) and a validation cohort (n = 44). We input the features extracted from DenseNet121 into an extreme learning machine (ELM) classifier to construct a classification model. Results The area under the curve (AUC) of the MDL model was 0.844, which was superior to that of the single-phase CT (AUC = 0.706-0.776, P &lt; 0.05), single-sequence MRI (AUC = 0.706-0.717, P &lt; 0.05), single-modality DL model (AUC(all-phase CT) = 0.722, AUC(all-sequence MRI) = 0.731; P &lt; 0.05), clinical (AUC = 0.648, P &lt; 0.05), but not to that of the delay phase (DP) and in-phase (IP) MRI and portal venous phase (PVP) CT models. The MDL model achieved better performance than models described above (P &lt; 0.05). When combined with clinical features, the AUC of the MDL model increased from 0.844 to 0.871. A nomogram, combining deep learning signatures (DLS) and clinical indicators for MDL models, demonstrated a greater overall net gain than the MDL models (P &lt; 0.05). Conclusion The MDL model is a valuable noninvasive technique for preoperatively predicting MVI in HCC.</t>
  </si>
  <si>
    <t>Lei, Yan; Feng, Bao; Wan, Meiqi; Xu, Kuncai; Cui, Jin; Ma, Changyi; Sun, Junqi; Yao, Changyin; Gan, Shiman; Shi, Jiangfeng; Cui, Enming</t>
  </si>
  <si>
    <t>Cui, EM (corresponding author), Jiangmen Cent Hosp, Dept Radiol, 23 Beijie Haibang St, Jiangmen, Peoples R China.; Cui, EM (corresponding author), Zunyi Med Univ, 1 Xiaoyuan Rd, Zunyi, Peoples R China.; Cui, EM (corresponding author), Guangdong Med Univ, 2 Wenming East Rd, Zhanjiang, Guangdong, Peoples R China.; Cui, EM (corresponding author), Jiangmen Key Lab Artificial Intelligence Med Image, 23 Beijie Haibang St, Jiangmen, Peoples R China.</t>
  </si>
  <si>
    <t>cem2008@163.com</t>
  </si>
  <si>
    <t>Guangdong Basic and Applied Basic Research Foundation</t>
  </si>
  <si>
    <t>Guangdong Basic and Applied Basic Research Foundation (Guangdong Basic and Applied Basic Research Foundation)</t>
  </si>
  <si>
    <t>[Lei, Yan; Wan, Meiqi; Cui, Jin; Ma, Changyi; Yao, Changyin; Gan, Shiman; Cui, Enming] Jiangmen Cent Hosp, Dept Radiol, 23 Beijie Haibang St, Jiangmen, Peoples R China; [Lei, Yan; Wan, Meiqi; Cui, Enming] Zunyi Med Univ, 1 Xiaoyuan Rd, Zunyi, Peoples R China; [Feng, Bao; Xu, Kuncai; Shi, Jiangfeng] Guilin Univ Aerosp Technol, Lab Intelligent Detect &amp; Informat Proc, Sch Elect Informat &amp; Automat, 2 Jinji Rd, Guilin, Peoples R China; [Sun, Junqi] Yuebei Peoples Hosp, Dept Radiol, 133 Huimin St, Shaoguan, Peoples R China; [Yao, Changyin; Gan, Shiman; Cui, Enming] Guangdong Med Univ, 2 Wenming East Rd, Zhanjiang, Guangdong, Peoples R China; [Cui, Enming] Jiangmen Key Lab Artificial Intelligence Med Image, 23 Beijie Haibang St, Jiangmen, Peoples R China</t>
  </si>
  <si>
    <t>Zunyi Medical University; Guilin University of Aerospace Technology; Shantou University; Guangdong Medical University</t>
  </si>
  <si>
    <t>Predicting microvascular invasion in hepatocellular carcinoma with a CT- and MRI-based multimodal deep learning model</t>
  </si>
  <si>
    <t>ABDOMINAL RADIOLOGY</t>
  </si>
  <si>
    <t>Hepatocellular carcinoma; Magnetic resonance imaging; Deep learning; Nomogram</t>
  </si>
  <si>
    <t>PREOPERATIVE PREDICTION; COMPUTED-TOMOGRAPHY; HEPATECTOMY; RECURRENCE; RESECTION; SURVIVAL; NOMOGRAM; RISK</t>
  </si>
  <si>
    <t>Cui, Jin/HDL-7327-2022; Cui, Enming/K-1545-2019</t>
  </si>
  <si>
    <t>sun, junqi/0000-0002-5528-0340</t>
  </si>
  <si>
    <t>2366-004X</t>
  </si>
  <si>
    <t>2366-0058</t>
  </si>
  <si>
    <t>ABDOM RADIOL</t>
  </si>
  <si>
    <t>Abdom. Radiol.</t>
  </si>
  <si>
    <t>MAY 2024</t>
  </si>
  <si>
    <t>1397</t>
  </si>
  <si>
    <t>1410</t>
  </si>
  <si>
    <t>10.1007/s00261-024-04202-1</t>
  </si>
  <si>
    <t>http://dx.doi.org/10.1007/s00261-024-04202-1</t>
  </si>
  <si>
    <t>RO8X1</t>
  </si>
  <si>
    <t>38433144</t>
  </si>
  <si>
    <t>WOS:001174830300001</t>
  </si>
  <si>
    <t>Jiang, HM; Fang, LM; Cui, Y; Xia, AQ; Wu, J; Chu, JM</t>
  </si>
  <si>
    <t>Oral cancer is one of the most prevalent cancers globally, characterized by high rates of recurrence and metastasis, making early diagnosis crucial for improving patient survival. Accurate preoperative tumor-node-metastasis (TNM) staging is essential for determining effective treatment plans and surgical strategies. Although pathological examination remains the gold standard for TNM staging of oral cancer, imaging data can complement pathology, helping clinicians make more precise preoperative assessments and addressing the limitations of single-modality approaches. In this study, we propose a novel multimodal model for oral cancer staging that integrates preoperative CT images and whole-slide imaging (WSI). To overcome the heterogeneity between CT and WSI features, especially the lack of interaction between macrolevel CT features and microlevel pathological features, we introduce a CT-guided collaborative attention module. Specifically, CT features serve as queries, while patches of WSI are treated as key-value pairs. The corresponding keys are computed through a fully connected layer with trainable weights. The model architecture includes two separate pathways for feature extraction: CT features are extracted using a U-Net-based network, while WSI features are extracted with a multi-instance network utilizing a hierarchical attention mechanism. The CT-guided collaborative attention module facilitates interaction and fusion between these two modalities, resulting in a unified feature representation. This fused feature is then passed through a fully connected layer to produce the final TNM staging prediction for oral cancer. By combining both macro- and microlevel features, our model addresses the limitations of traditional single-modality methods, enabling more accurate tumor boundary delineation. Compared to existing techniques, our multimodal approach improves diagnostic accuracy and provides more reliable staging results. This advancement has the potential to significantly enhance early diagnosis and treatment strategies for oral cancer, offering a more comprehensive and precise method for staging the disease.</t>
  </si>
  <si>
    <t>Jiang, Huimin; Fang, Liming; Cui, Yong; Xia, Anqi; Wu, Jing; Chu, Jimin</t>
  </si>
  <si>
    <t>Fang, LM (corresponding author), Wannan Med Coll Wuhu, Dept Med Imaging, Wuhu 241002, Anhui, Peoples R China.</t>
  </si>
  <si>
    <t>2860980823@qq.com; jianghuimin66@gmail.com; 7325378@qq.com; 18011914796@163.com; fang61336@gmail.com; 814891714@qq.com</t>
  </si>
  <si>
    <t>National Natural Science Foundation of China [11801199]; Natural Science Foundation of Anhui Province (CN) [1908085QA30]; Wannan Medical College key project research fund [WK2023ZZD04]</t>
  </si>
  <si>
    <t>National Natural Science Foundation of China (National Natural Science Foundation of China (NSFC)); Natural Science Foundation of Anhui Province (CN) (Natural Science Foundation of Anhui Province); Wannan Medical College key project research fund</t>
  </si>
  <si>
    <t>This research was supported by the National Natural Science Foundation of China (Grant No. 11801199), the Natural Science Foundation of Anhui Province (CN) (1908085QA30) and the Wannan Medical College key project research fund (WK2023ZZD04).</t>
  </si>
  <si>
    <t>[Jiang, Huimin; Fang, Liming; Xia, Anqi; Chu, Jimin] Wannan Med Coll Wuhu, Dept Med Imaging, Wuhu 241002, Anhui, Peoples R China; [Cui, Yong] Wannan Med Coll Wuhu, Affliated Hosp 1, Oral &amp; Maxillofacial Surg, Wuhu 241002, Anhui, Peoples R China; [Wu, Jing] Wannan Med Coll Wuhu, Affiliated Hosp 1, Dept Imaging, Wuhu 241002, Anhui, Peoples R China</t>
  </si>
  <si>
    <t>A Multimodal Deep Learning Approach for Pre-Operative Tumor-Node-Metastasis Staging in Oral Cancer Using Computed Tomography Imaging and Pathological Slide Data</t>
  </si>
  <si>
    <t>JOURNAL OF CIRCUITS SYSTEMS AND COMPUTERS</t>
  </si>
  <si>
    <t>Oral cancer; TNM staging; whole slide imaging; co-attention</t>
  </si>
  <si>
    <t>JIANG, Huimin/H-3918-2016; Xia, anqi/OYD-5879-2025</t>
  </si>
  <si>
    <t>Fang, Liming/0009-0005-1807-3368</t>
  </si>
  <si>
    <t>WORLD SCIENTIFIC PUBL CO PTE LTD</t>
  </si>
  <si>
    <t>SINGAPORE</t>
  </si>
  <si>
    <t>5 TOH TUCK LINK, SINGAPORE 596224, SINGAPORE</t>
  </si>
  <si>
    <t>0218-1266</t>
  </si>
  <si>
    <t>1793-6454</t>
  </si>
  <si>
    <t>J CIRCUIT SYST COMP</t>
  </si>
  <si>
    <t>J. Circuits Syst. Comput.</t>
  </si>
  <si>
    <t>MAY 15 2025</t>
  </si>
  <si>
    <t>07</t>
  </si>
  <si>
    <t>10.1142/S0218126625501737</t>
  </si>
  <si>
    <t>http://dx.doi.org/10.1142/S0218126625501737</t>
  </si>
  <si>
    <t>Computer Science, Hardware &amp; Architecture; Engineering, Electrical &amp; Electronic</t>
  </si>
  <si>
    <t>1XO1B</t>
  </si>
  <si>
    <t>WOS:001467353700001</t>
  </si>
  <si>
    <t>Zhang, CX; Tao, X; Zhang, J; Tan, W; Zhou, W; Hu, S; Xiao, B; Yu, HG</t>
  </si>
  <si>
    <t>Background and ObjectivesAccurate differentiation of solid pancreatic lesions (SPLs) is crucial for treatment planning, but current methods still have limitations. Artificial intelligence (AI) has the potential to contribute to such diagnoses, yet existing AI models are restricted to focusing on a single modality. This study aims to develop a deep learning-based multimodal AI system to improve diagnostic accuracy for SPLs.MethodsA retrospective analysis was conducted on 492 patients who underwent EUS for SPLs at Renmin Hospital of Wuhan University between December 2016 and September 2024. The AI system consisted of four deep learning models: DCNN1 for focal pancreatic lesion detection, DCNN2 for classifying pancreatic lesions as cystic or solid, DCNN3 for lesion boundary segmentation and size measurement, and DCNN4 for classifying carcinoma and noncancerous lesions. For DCNN4, four different modality models were constructed: (1) model A: EUS B-mode images only. (2) model B: EUS-E images only. (3) model C: EUS B-mode images and EUS-E images. and (4) model D: EUS B-mode images, EUS-E images, and clinical data. The model performance was compared with the diagnostic performance of endoscopists.ResultsThe accuracy values of DCNN1 and DCNN2 were 96.8% and 98.9%, respectively. The Dice coefficient of the DCNN3 was 0.876. Our AI system demonstrated high accuracy, sensitivity, and specificity in differentiating carcinoma from noncancerous SPLs. The multimodal models, particularly those integrating EUS B-mode and EUS-E images, outperformed single-modality models, achieving an accuracy of 94.0% and an AUC of 0.937. The AI model showed superior performance compared to endoscopists, with improved diagnostic consistency and sensitivity.ConclusionThe multimodal AI system significantly improves the diagnostic accuracy of SPLs, providing a promising tool for the early detection and differentiation of pancreatic cancer.</t>
  </si>
  <si>
    <t>Zhang, Chenxia; Tao, Xiao; Zhang, Jun; Tan, Wei; Zhou, Wei; Hu, Shan; Xiao, Bing; Yu, Honggang</t>
  </si>
  <si>
    <t>Yu, HG (corresponding author), Wuhan Univ, Dept Gastroenterol, Renmin Hosp, 99 Zhangzhidong Rd, Wuhan 430060, Hubei, Peoples R China.</t>
  </si>
  <si>
    <t>zj2005-2008@163.com; tanwei_2000@163.com; yuhonggang@whu.edu.cn; zhangchenxia@whu.edu.cn; hushanhn@gmail.com; biscuiticy@qq.com; zhouwei5352877@163.com; xiao929416@163.com</t>
  </si>
  <si>
    <t>Key Research and Development Program of Hubei Province [2023BCB153]; Project of Hubei Provincial Clinical Research Center for Digestive Disease Minimally Invasive Incision [2024CCB007]</t>
  </si>
  <si>
    <t>Key Research and Development Program of Hubei Province; Project of Hubei Provincial Clinical Research Center for Digestive Disease Minimally Invasive Incision</t>
  </si>
  <si>
    <t>This study was funded by the Key Research and Development Program of Hubei Province (grant no. 2023BCB153, to Honggang Yu) and the Project of Hubei Provincial Clinical Research Center for Digestive Disease Minimally Invasive Incision (grant no. 2024CCB007, to Honggang Yu).</t>
  </si>
  <si>
    <t>[Zhang, Chenxia; Tao, Xiao; Zhang, Jun; Tan, Wei; Zhou, Wei; Xiao, Bing; Yu, Honggang] Wuhan Univ, Dept Gastroenterol, Renmin Hosp, 99 Zhangzhidong Rd, Wuhan 430060, Hubei, Peoples R China; [Zhang, Chenxia; Tao, Xiao; Zhang, Jun; Tan, Wei; Zhou, Wei; Xiao, Bing; Yu, Honggang] Wuhan Univ, Renmin Hosp, Hubei Prov Clin Res Ctr Digest Dis Minimally Invas, Wuhan, Hubei, Peoples R China; [Zhang, Chenxia; Tao, Xiao; Zhang, Jun; Tan, Wei; Zhou, Wei; Xiao, Bing; Yu, Honggang] Wuhan Univ, Renmin Hosp, Key Lab Hubei Prov Digest Syst Dis, Wuhan, Hubei, Peoples R China; [Zhang, Chenxia; Tao, Xiao; Zhang, Jun; Tan, Wei; Zhou, Wei; Xiao, Bing; Yu, Honggang] Wuhan Univ, Taikang Ctr Life &amp; Med Sci, Wuhan, Hubei, Peoples R China; [Hu, Shan] Wuhan Univ, Natl Engn Res Ctr Multimedia Software, Sch Comp Sci, Wuhan, Hubei, Peoples R China</t>
  </si>
  <si>
    <t>Wuhan University; Wuhan University; Wuhan University; Wuhan University; Wuhan University</t>
  </si>
  <si>
    <t>A multimodal artificial intelligence system for the detection and diagnosis of solid pancreatic lesions under EUS</t>
  </si>
  <si>
    <t>ENDOSCOPIC ULTRASOUND</t>
  </si>
  <si>
    <t>Artificial intelligence; EUS; Solid pancreatic lesions</t>
  </si>
  <si>
    <t>GUIDED FNA; ELASTOGRAPHY</t>
  </si>
  <si>
    <t>Zhou, Wei/P-6013-2019</t>
  </si>
  <si>
    <t>hu, shan/0009-0008-6752-8359</t>
  </si>
  <si>
    <t>38</t>
  </si>
  <si>
    <t>2303-9027</t>
  </si>
  <si>
    <t>2226-7190</t>
  </si>
  <si>
    <t>ENDOSC ULTRASOUND</t>
  </si>
  <si>
    <t>Endosc. Ultrasound</t>
  </si>
  <si>
    <t>SEP-OCT 2025</t>
  </si>
  <si>
    <t>274</t>
  </si>
  <si>
    <t>281</t>
  </si>
  <si>
    <t>10.1097/eus.0000000000000145</t>
  </si>
  <si>
    <t>http://dx.doi.org/10.1097/eus.0000000000000145</t>
  </si>
  <si>
    <t>Gastroenterology &amp; Hepatology</t>
  </si>
  <si>
    <t>9VG4Z</t>
  </si>
  <si>
    <t>41583348</t>
  </si>
  <si>
    <t>WOS:001615849600003</t>
  </si>
  <si>
    <t>Zhao, J</t>
  </si>
  <si>
    <t>Recent advancements in artificial intelligence (AI) and deep learning (DL) have transformed numerous fields, particularly language acquisition, where multimodal learning has emerged as a key approach to improving educational outcomes. The integration of visual and auditory modalities in English vocabulary learning enhances comprehension, engagement, and retention. However, traditional single-modal methods remain limited in scope and effectiveness. This study proposes a novel multimodal learning framework based on Mel-Spectrogram Convolutional Neural Networks (MSCNNs) to enhance vocabulary acquisition by combining the processing of images and audio. The framework first processes each modality through distinct MSCNN branches, then fuses the extracted features to create a unified multimodal representation. Trained on a comprehensive dataset of word-image-audio pairs, the model effectively captures the complementary strengths of both modalities, resulting in faster and more robust learning. The experimental results indicate that the proposed model achieves superior performance across a range of metrics, with an accuracy of 97.2%, a sensitivity of 96.6%, a specificity of 98.1%, an F1-score of 96.9%, a Recall of 96.5%, and a Precision of 96.7%. Additionally, the model exhibits an outstanding Matthews Correlation Coefficient (MCC) of 0.954, an Area Under the Curve (AUC) of 0.978, and minimal error values, with a Mean Absolute Error (MAE) of 0.03 and an Root Mean Squared Error (RMSE) of 0.11, showcasing its robustness and reliability in making accurate predictions. The proposed MSCNN-based approach offers a promising direction for enhancing vocabulary learning by integrating multiple sensory modalities to create a richer, more effective, and engaging educational experience.</t>
  </si>
  <si>
    <t>Zhao, Juan</t>
  </si>
  <si>
    <t>Zhao, J (corresponding author), Suzhou Univ, Sch Foreign Studies, Suzhou, Anhui, Peoples R China.</t>
  </si>
  <si>
    <t>ukqe09@163.com</t>
  </si>
  <si>
    <t>Anhui Province Quality Engineering Project [2023xjzlts071 and 2023kcszsf177]</t>
  </si>
  <si>
    <t>Anhui Province Quality Engineering Project</t>
  </si>
  <si>
    <t>I would like to express my sincere gratitude to all those who have contributed to this study with their support and assistance.</t>
  </si>
  <si>
    <t>[Zhao, Juan] Suzhou Univ, Sch Foreign Studies, Suzhou, Anhui, Peoples R China</t>
  </si>
  <si>
    <t>Suzhou University</t>
  </si>
  <si>
    <t>A multimodal learning framework using mel-spectrogram convolutional neural networks for English vocabulary acquisition</t>
  </si>
  <si>
    <t>PEERJ COMPUTER SCIENCE</t>
  </si>
  <si>
    <t>Deep learning; Multimodal learning; English vocabulary acquisition; Visual-auditory integration; Vocabulary retention; Educational technology; Mel-spectrogram convolutional neural networks</t>
  </si>
  <si>
    <t>PEERJ INC</t>
  </si>
  <si>
    <t>341-345 OLD ST, THIRD FLR, LONDON, EC1V 9LL, ENGLAND</t>
  </si>
  <si>
    <t>2376-5992</t>
  </si>
  <si>
    <t>PEERJ COMPUT SCI</t>
  </si>
  <si>
    <t>PeerJ Comput. Sci.</t>
  </si>
  <si>
    <t>e3671</t>
  </si>
  <si>
    <t>10.7717/peerj-cs.3671</t>
  </si>
  <si>
    <t>http://dx.doi.org/10.7717/peerj-cs.3671</t>
  </si>
  <si>
    <t>Computer Science, Artificial Intelligence; Computer Science, Information Systems; Computer Science, Theory &amp; Methods</t>
  </si>
  <si>
    <t>GL3DI</t>
  </si>
  <si>
    <t>WOS:001739104300001</t>
  </si>
  <si>
    <t>Almutairi, SA</t>
  </si>
  <si>
    <t>The COVID-19 pandemic has presented unprecedented challenges to healthcare systems worldwide. One of the key challenges in controlling and managing the pandemic is accurate and rapid diagnosis of COVID-19 cases. Traditional diagnostic methods such as RT-PCR tests are time-consuming and require specialized equipment and trained personnel. Computer-aided diagnosis systems and artificial intelligence (AI) have emerged as promising tools for developing cost-effective and accurate diagnostic approaches. Most studies in this area have focused on diagnosing COVID-19 based on a single modality, such as chest X-rays or cough sounds. However, relying on a single modality may not accurately detect the virus, especially in its early stages. In this research, we propose a non-invasive diagnostic framework consisting of four cascaded layers that work together to accurately detect COVID-19 in patients. The first layer of the framework performs basic diagnostics such as patient temperature, blood oxygen level, and breathing profile, providing initial insights into the patient's condition. The second layer analyzes the coughing profile, while the third layer evaluates chest imaging data such as X-ray and CT scans. Finally, the fourth layer utilizes a fuzzy logic inference system based on the previous three layers to generate a reliable and accurate diagnosis. To evaluate the effectiveness of the proposed framework, we used two datasets: the Cough Dataset and the COVID-19 Radiography Database. The experimental results demonstrate that the proposed framework is effective and trustworthy in terms of accuracy, precision, sensitivity, specificity, F1-score, and balanced accuracy. The audio -based classification achieved an accuracy of 96.55%, while the CXR-based classification achieved an accuracy of 98.55%. The proposed framework has the potential to significantly improve the accuracy and speed of COVID-19 diagnosis, allowing for more effective control and management of the pandemic. Furthermore, the framework's non-invasive nature makes it a more attractive option for patients, reducing the risk of infection and discomfort associated with traditional diagnostic methods.</t>
  </si>
  <si>
    <t>Almutairi, Saleh Ateeq</t>
  </si>
  <si>
    <t>Almutairi, SA (corresponding author), Taibah Univ, Appl Coll, Comp Sci &amp; Informat Dept, Medinah 41461, Saudi Arabia.</t>
  </si>
  <si>
    <t>smoutiri@taibahu.edu.sa</t>
  </si>
  <si>
    <t>[Almutairi, Saleh Ateeq] Taibah Univ, Appl Coll, Comp Sci &amp; Informat Dept, Medinah 41461, Saudi Arabia</t>
  </si>
  <si>
    <t>Taibah University</t>
  </si>
  <si>
    <t>A multimodal AI-based non-invasive COVID-19 grading framework powered by deep learning, manta ray, and fuzzy inference system from multimedia vital signs</t>
  </si>
  <si>
    <t>HELIYON</t>
  </si>
  <si>
    <t>Audio classification; COVID-19; Chest X-ray; Deep learning (DL); Fuzzy logic; Manta-ray foraging algorithm (MRFO); Metaheuristic optimization; SMOTE oversampling</t>
  </si>
  <si>
    <t>CLINICAL CHARACTERISTICS; CT SCANS; OPTIMIZATION</t>
  </si>
  <si>
    <t>66</t>
  </si>
  <si>
    <t>CELL PRESS</t>
  </si>
  <si>
    <t>CAMBRIDGE</t>
  </si>
  <si>
    <t>50 HAMPSHIRE ST, FLOOR 5, CAMBRIDGE, MA 02139 USA</t>
  </si>
  <si>
    <t>2405-8440</t>
  </si>
  <si>
    <t>Heliyon</t>
  </si>
  <si>
    <t>JUN 2023</t>
  </si>
  <si>
    <t>e16552</t>
  </si>
  <si>
    <t>10.1016/j.heliyon.2023.e16552</t>
  </si>
  <si>
    <t>http://dx.doi.org/10.1016/j.heliyon.2023.e16552</t>
  </si>
  <si>
    <t>MAY 2023</t>
  </si>
  <si>
    <t>L3BP0</t>
  </si>
  <si>
    <t>37251492</t>
  </si>
  <si>
    <t>WOS:001022048000001</t>
  </si>
  <si>
    <t>He, QH; Tan, H; Xiao, BX; Tan, YW; Peng, X; Peng, CJ; Yue, XF; Jiang, LS; Cao, YD; Lv, FJ; Zhao, WL; Yi, HM; Liu, YJ; He, WY; Xiao, MZ</t>
  </si>
  <si>
    <t>Accurate survival prediction for urothelial carcinoma (UC) is critical but limited by a lack of AI systems that integrate multimodal data with prior knowledge. To address this gap, we developed a multimodal deep learning system that integrates histopathology, radiology, and structured pathology text. We incorporated prior knowledge to improve tumor segmentation and create knowledge-guided slide representations. CTContextNet and MacroContextNet were then employed for capturing radiological and macroscopic prognostic information. IM-NCTNet integrated multi-modality information for enhanced prediction. Across multi-center, large-scale, multi-cohort validation, the knowledge-guided prognostic system demonstrated higher performance over single-modality models, achieving C-index scores ranging from 0.809 to 0.867. The framework identified novel prognostic biomarkers related to infiltration patterns in muscle and renal parenchyma. High-risk Coloc_M, Coloc_R, and IMTS groups exhibited increased mortality risk, with hazard ratio values ranging from 2.47 to 16.38. The proposed AI framework offers a comprehensive and robust tool for UC prognosis, supporting refined patient management.</t>
  </si>
  <si>
    <t>He, Quanhao; Tan, Hao; Xiao, Bangxin; Tan, Yiwen; Peng, Xiang; Peng, Canjie; Yue, Xiaofeng; Jiang, Linshan; Cao, Youde; Lv, Fa Jin; Zhao, Wenlong; Yi, Hongmei; Liu, Yingjia; He, Weiyang; Xiao, Mingzhao</t>
  </si>
  <si>
    <t>Yi, HM; He, WY; Xiao, MZ (corresponding author), Chongqing Med Univ, Affiliated Hosp 1, Dept Urol, Chongqing, Peoples R China.; Liu, YJ (corresponding author), Chongqing Med Univ, Yongchuan Hosp, Dept Pathol, Chongqing, Peoples R China.</t>
  </si>
  <si>
    <t>yhm890604@163.com; liusiyan2012@sina.cn; weiyang361@163.com; mingzhaoxiao@cqmu.edu.cn</t>
  </si>
  <si>
    <t>Chongqing Municipal Education Commission's 14th Five-Year Key Discipline Support Project [No.20240101]; Medical Health Care Ecosystem Innovation Team of the First Affiliated Hospital of Chongqing Medical University [CYYY-DSTDXM-202409]</t>
  </si>
  <si>
    <t>Chongqing Municipal Education Commission's 14th Five-Year Key Discipline Support Project; Medical Health Care Ecosystem Innovation Team of the First Affiliated Hospital of Chongqing Medical University</t>
  </si>
  <si>
    <t>This study was supported by the Medical Health Care Ecosystem Innovation Team of the First Affiliated Hospital of Chongqing Medical University (CYYY-DSTDXM-202409), Chongqing Municipal Education Commission's 14th Five-Year Key Discipline Support Project (No.20240101). The authors appreciate all pathologists, radiologists, and related staff in each enrolled institution for their assistance in data collection. The computing work in this paper was partly supported by the Supercomputing Center of Chongqing Medical University.</t>
  </si>
  <si>
    <t>[He, Quanhao; Tan, Hao; Xiao, Bangxin; Peng, Xiang; Peng, Canjie; Yi, Hongmei; He, Weiyang; Xiao, Mingzhao] Chongqing Med Univ, Affiliated Hosp 1, Dept Urol, Chongqing, Peoples R China; [Tan, Yiwen] Chongqing Med Univ, Affiliated Hosp 2, Dept Pathol, Chongqing, Peoples R China; [Yue, Xiaofeng] Chongqing Med Univ, Affiliated Hosp 3, Dept Urol, Chongqing, Peoples R China; [Jiang, Linshan] Chongqing Canc Hosp, Dept Breast Canc Ctr, Chongqing, Peoples R China; [Cao, Youde] Chongqing Med Univ, Coll Basic Med, Dept Pathol, Chongqing, Peoples R China; [Cao, Youde] Chongqing Med Univ, Lab Pathol Diagnost Ctr, Dept Clin Pathol, Chongqing, Peoples R China; [Cao, Youde] Chongqing Med Univ, Mol Med Diagnost &amp; Testing Ctr, Chongqing, Peoples R China; [Lv, Fa Jin] Chongqing Med Univ, Affiliated Hosp 1, Dept Radiol, Chongqing, Peoples R China; [Zhao, Wenlong] Chongqing Med Univ, Coll Biomed Engn, Chongqing, Peoples R China; [Liu, Yingjia] Chongqing Med Univ, Yongchuan Hosp, Dept Pathol, Chongqing, Peoples R China</t>
  </si>
  <si>
    <t>Chongqing Medical University; Chongqing Medical University; Chongqing Medical University; Chongqing Medical University; Chongqing Medical University; Chongqing Medical University; Chongqing Medical University; Chongqing Medical University; Chongqing Medical University</t>
  </si>
  <si>
    <t>Prior knowledge-guided multimodal deep learning system for biomarker exploration and prognosis prediction of urothelial carcinoma</t>
  </si>
  <si>
    <t>NPJ DIGITAL MEDICINE</t>
  </si>
  <si>
    <t>BLADDER-CANCER; URINARY-BLADDER; SPECIMENS; URETER</t>
  </si>
  <si>
    <t>2398-6352</t>
  </si>
  <si>
    <t>NPJ DIGIT MED</t>
  </si>
  <si>
    <t>npj Digit. Med.</t>
  </si>
  <si>
    <t>DEC 26 2025</t>
  </si>
  <si>
    <t>53</t>
  </si>
  <si>
    <t>10.1038/s41746-025-02232-7</t>
  </si>
  <si>
    <t>http://dx.doi.org/10.1038/s41746-025-02232-7</t>
  </si>
  <si>
    <t>Health Care Sciences &amp; Services; Medical Informatics</t>
  </si>
  <si>
    <t>CF9FW</t>
  </si>
  <si>
    <t>41454198</t>
  </si>
  <si>
    <t>WOS:001664829500001</t>
  </si>
  <si>
    <t>Zaib, M; Khizar, M; Ali, Q; Mahato, RK</t>
  </si>
  <si>
    <t>Achieving negative surgical margins is fundamental to curative colorectal cancer (CRC) surgery. Despite advancements in imaging, preoperative identification of margin risk remains limited. Recent developments in artificial intelligence (AI) now enable fusion of radiomics, quantitative imaging analysis, and histopathology ("pathomics") to predict microscopic tumor spread more accurately. Radiomics captures sub-visual textural and spatial features from CT and MRI, while AI-driven histopathology interprets digital slides at cellular resolution. Integrating these modalities yields a multi-scale model that reflects both macroscopic tumor architecture and microscopic invasiveness. Multicentric studies in China and the US have demonstrated superior performance of radiopathomic models over single-modality approaches for predicting therapeutic response and margin status. As countries such as the United Kingdom and South Korea implement AI-driven precision oncology frameworks, transparent validation remains essential. By enabling more informed surgical planning and tailored resections, multimodal AI fusion could markedly enhance oncological outcomes in CRC.</t>
  </si>
  <si>
    <t>Zaib, Muhammad; Khizar, Muhammad; Ali, Qaima; Mahato, Raghabendra Kumar</t>
  </si>
  <si>
    <t>Mahato, RK (corresponding author), Gandaki Med Coll Teaching Hosp &amp; Res Ctr, Fac Med, Pokhara 33700, Gandaki, Nepal.</t>
  </si>
  <si>
    <t>Muhammad.zaib@gau.edu.ge; 102raghabendrakumarmahato@gmail.com; Qaimaalimirza@gmail.com; Muhammad.khizar@gau.edu.ge</t>
  </si>
  <si>
    <t>[Khizar, Muhammad; Ali, Qaima] Georgian Amer Univ, Fac Med, Tbilisi, Georgia; [Mahato, Raghabendra Kumar] Liaquat Coll Med &amp; Dent, Fac Med, Karachi, Pakistan; [Mahato, Raghabendra Kumar] Gandaki Med Coll Teaching Hosp &amp; Res Ctr, Fac Med, Pokhara 33700, Gandaki, Nepal</t>
  </si>
  <si>
    <t>AI-based histopathology and radiomics fusion for predicting surgical margins in colorectal cancer: improving oncological outcomes through multimodal AI integration</t>
  </si>
  <si>
    <t>ANNALS OF MEDICINE AND SURGERY</t>
  </si>
  <si>
    <t>artificial intelligence; colorectal cancer; digital histopathology; radiomics; surgical margins</t>
  </si>
  <si>
    <t>2049-0801</t>
  </si>
  <si>
    <t>ANN MED SURG</t>
  </si>
  <si>
    <t>Ann. Med. Surg.</t>
  </si>
  <si>
    <t>9196</t>
  </si>
  <si>
    <t>9197</t>
  </si>
  <si>
    <t>10.1097/MS9.0000000000004249</t>
  </si>
  <si>
    <t>http://dx.doi.org/10.1097/MS9.0000000000004249</t>
  </si>
  <si>
    <t>O6685</t>
  </si>
  <si>
    <t>41377450</t>
  </si>
  <si>
    <t>WOS:001632809900007</t>
  </si>
  <si>
    <t>Sievering, ID; Senouf, O; Mahendiran, T; Nanchen, D; Fournier, S; Muller, O; Frossard, P; Abbe, E; Thanou, D</t>
  </si>
  <si>
    <t>Goal: In patients with coronary artery disease, the prediction of future cardiac events such as myocardial infarction (MI) remains a major challenge. In this work, we propose a novel anatomy-informed multimodal deep learning framework to predict future MI from clinical data and Invasive Coronary Angiography (ICA) images. Methods: The images are analyzed by Convolutional Neural Networks (CNNs) guided by anatomical information, and the clinical data by an Artificial Neural Network (ANN). Embeddings from both sources are then merged to provide a patient-level prediction. Results: The results of our framework on a clinical study of 445 patients admitted with acute coronary syndromes confirms that multimodal learning increases the predictive power and achieves good performance (AUC: 0.67 +/- 0.04 &amp; F1-Score: 0.36 +/- 0.12 ), which outperforms the prediction obtained by each modality independently as well as that of interventional cardiologists (AUC: 0.54 &amp; F1-Score: 0.18). Conclusions: To the best of our knowledge, this is the first attempt towards combining multimodal data through a deep learning framework for future MI prediction. Although it demonstrates the superiority of multi-modal approaches over single modality, the results do not yet meet the necessary criteria for practical application.</t>
  </si>
  <si>
    <t>Sievering, Ivan-Daniel; Senouf, Ortal; Mahendiran, Thabo; Nanchen, David; Fournier, Stephane; Muller, Olivier; Frossard, Pascal; Abbe, Emmanuel; Thanou, Dorina</t>
  </si>
  <si>
    <t>Sievering, ID (corresponding author), Ecole Polytech Fed Lausanne, Signal Proc Lab 4, CH-1015 Lausanne, Switzerland.</t>
  </si>
  <si>
    <t>ivan.sievering@epfl.ch; ortal.senouf@epfl.ch; thabo.mahendiran@epfl.ch; stephane.fournier@chuv.ch; olivier.muller@chuv.ch; emmanuel.abbe@epfl.ch; pascal.frossard@epfl.ch; david.nanchen@unisante.ch; dorina.thanou@epfl.ch</t>
  </si>
  <si>
    <t>Center for Intelligent Systems, EPFL, Lausanne, Switzerland</t>
  </si>
  <si>
    <t>This work was supported by the Center for Intelligent Systems, EPFL, Lausanne, Switzerland.</t>
  </si>
  <si>
    <t>[Sievering, Ivan-Daniel; Senouf, Ortal; Frossard, Pascal] Ecole Polytech Fed Lausanne, Signal Proc Lab 4, CH-1015 Lausanne, Switzerland; [Senouf, Ortal; Abbe, Emmanuel] Swiss Fed Inst Technol, Swiss Data Sci Ctr, CH-1015 Lausanne, Switzerland; [Sievering, Ivan-Daniel] Ecole Polytech Fed Lausanne, CH-1015 Lausanne, Switzerland; [Senouf, Ortal; Mahendiran, Thabo; Abbe, Emmanuel] Ecole Polytech Fed Lausanne, Chair Math Data Sci, CH-1015 Lausanne, Switzerland; [Mahendiran, Thabo; Fournier, Stephane; Muller, Olivier] CHU Vaudois, Dept Cardiol, CH-1005 Lausanne, Switzerland; [Nanchen, David] Unisante, CH-1011 Lausanne, Switzerland; [Thanou, Dorina] Ecole Polytech Fed Lausanne, Ctr Intelligent Syst, CH- 1015 Lausanne, Switzerland</t>
  </si>
  <si>
    <t>Swiss Federal Institutes of Technology Domain; Ecole Polytechnique Federale de Lausanne; Swiss Federal Institutes of Technology Domain; Ecole Polytechnique Federale de Lausanne; Swiss Federal Institutes of Technology Domain; Ecole Polytechnique Federale de Lausanne; Swiss Federal Institutes of Technology Domain; Ecole Polytechnique Federale de Lausanne; University of Lausanne; Centre Hospitalier Universitaire Vaudois (CHUV); Swiss School of Public Health (SSPH+); Swiss Federal Institutes of Technology Domain; Ecole Polytechnique Federale de Lausanne</t>
  </si>
  <si>
    <t>Anatomy-Informed Multimodal Learning for Myocardial Infarction Prediction</t>
  </si>
  <si>
    <t>IEEE OPEN JOURNAL OF ENGINEERING IN MEDICINE AND BIOLOGY</t>
  </si>
  <si>
    <t>Coronary artery disease; deep learning; invasive coronary angiography; multimodal data; myocardial infarction; Coronary artery disease; deep learning; invasive coronary angiography; multimodal data; myocardial infarction</t>
  </si>
  <si>
    <t>Nanchen, David/AAQ-1118-2021</t>
  </si>
  <si>
    <t>Frossard, Pascal/0000-0002-4010-714X; Mahendiran, Thabo/0000-0002-0025-8162; Fournier, Stephane/0000-0002-9422-9521; Nanchen, David/0000-0002-2493-3505; Sievering, Ivan-Daniel/0009-0009-5423-6178</t>
  </si>
  <si>
    <t>2644-1276</t>
  </si>
  <si>
    <t>IEEE OPEN J ENG MED</t>
  </si>
  <si>
    <t>IEEE Open J. Eng. Med. Biol.</t>
  </si>
  <si>
    <t>837</t>
  </si>
  <si>
    <t>845</t>
  </si>
  <si>
    <t>10.1109/OJEMB.2024.3403948</t>
  </si>
  <si>
    <t>http://dx.doi.org/10.1109/OJEMB.2024.3403948</t>
  </si>
  <si>
    <t>L6P2F</t>
  </si>
  <si>
    <t>39559783</t>
  </si>
  <si>
    <t>WOS:001351909400003</t>
  </si>
  <si>
    <t>Yang, C; Chen, YK; Li, ZH; Wang, XZ; Shi, KZ; Yao, LN; Xu, GD; Guo, ZW</t>
  </si>
  <si>
    <t>Time series data, such as sound waves, bio-signals, and user trajectories, are prevalent in social application scenarios. While single-modal time series data often proves inadequate for addressing challenges in complicated environments, it necessitates integrating multiple modalities to understand real-world phenomena. Utilizing multimodal data improves deep learning systems' effectiveness, generalizability, and robustness. This survey comprehensively reviews recent advancements, especially methodologies for general multimodal time series analysis and efforts in various social computing contexts, including autonomous driving, healthcare, audiovisual speech recognition, and gesture recognition. We highlight the key techniques of existing studies, namely modality selection, feature extraction, and information fusion and detail the solutions under various circumstances. Finally, we discuss the unresolved challenges and suggest potential future research directions. Our survey aims to provide researchers and industries insights into trends, behaviors, and preferences for performing multimodal time series analysis in social computing applications.</t>
  </si>
  <si>
    <t>Yang, Chao; Chen, Yakun; Li, Zihao; Wang, Xianzhi; Shi, Kaize; Yao, Lina; Xu, Guandong; Guo, Zhongwen</t>
  </si>
  <si>
    <t>Yang, C (corresponding author), Ocean Univ China, Fac Informat Sci &amp; Engn, 1299,Sansha Rd, Qingdao 266000, Shandong, Peoples R China.</t>
  </si>
  <si>
    <t>zihao.li@student.uts.edu.au; lina.yao@data61.csiro.au; xianzhi.wang@uts.edu.au; kaize.shi@uts.edu.au; yakun.chen@student.uts.edu.au; guozhw@ouc.edu.cn; gdxu@eduhk.hk; chao.yang@ouc.edu.cn</t>
  </si>
  <si>
    <t>[Yang, Chao; Guo, Zhongwen] Ocean Univ China, Fac Informat Sci &amp; Engn, 1299,Sansha Rd, Qingdao 266000, Shandong, Peoples R China; [Chen, Yakun; Li, Zihao; Wang, Xianzhi] Univ Technol Sydney, Fac Engn &amp; Informat Technol, 123 Broadway, Sydney, NSW 2007, Australia; [Shi, Kaize; Xu, Guandong] Univ Technol Sydney, Data Sci &amp; Machine Intelligence Lab, 123 Broadway, Sydney, NSW 2007, Australia; [Yao, Lina] CSIRO, Data61, 13 Garden St, Sydney, NSW 2015, Australia; [Xu, Guandong] Educ Univ Hong Kong, Facil Data Sci &amp; Artificial Intelligence, 10 Lo Ping Rd,Tai Po, Hong Kong 999077, Peoples R China</t>
  </si>
  <si>
    <t>Ocean University of China; University of Technology Sydney; University of Technology Sydney; Commonwealth Scientific &amp; Industrial Research Organisation (CSIRO); CSIRO Data61; Education University of Hong Kong (EdUHK)</t>
  </si>
  <si>
    <t>Deep multimodal learning for time series analysis in social computing: a survey</t>
  </si>
  <si>
    <t>INTERNATIONAL JOURNAL OF MULTIMEDIA INFORMATION RETRIEVAL</t>
  </si>
  <si>
    <t>Multimodal time series analysis; Social computing; Deep learning; Information fusion; Human-machine interaction</t>
  </si>
  <si>
    <t>SLEEP STAGE CLASSIFICATION; GESTURE RECOGNITION; FUSION; HAND; CHALLENGES; NETWORK; SEMG</t>
  </si>
  <si>
    <t>Wang, Xianzhi/B-5403-2018; Chen, Yakun/KRP-0148-2024; Xu, Guandong/HSH-3463-2023; Li, Zihao/KRP-0157-2024; Shi, Kaize/AAV-1291-2020; Yao, Lina/LFU-4900-2024</t>
  </si>
  <si>
    <t>Wang, Xianzhi/0000-0001-9582-3445; Li, Zihao/0000-0002-1802-4284; Li, Zihao/0009-0009-7840-3364</t>
  </si>
  <si>
    <t>176</t>
  </si>
  <si>
    <t>2192-6611</t>
  </si>
  <si>
    <t>2192-662X</t>
  </si>
  <si>
    <t>INT J MULTIMED INF R</t>
  </si>
  <si>
    <t>Int. J. Multimed. Inf. Retr.</t>
  </si>
  <si>
    <t>APR 15 2025</t>
  </si>
  <si>
    <t>10.1007/s13735-025-00363-x</t>
  </si>
  <si>
    <t>http://dx.doi.org/10.1007/s13735-025-00363-x</t>
  </si>
  <si>
    <t>Computer Science, Artificial Intelligence; Computer Science, Software Engineering</t>
  </si>
  <si>
    <t>1KP9R</t>
  </si>
  <si>
    <t>WOS:001467268200001</t>
  </si>
  <si>
    <t>Tan, YK; Dede, M; Mohanty, V; Dou, JZ; Hill, H; Bernstam, E; Chen, K</t>
  </si>
  <si>
    <t>Background: Advances in artificial intelligence (AI) have realized the potential of revolutionizing healthcare, such as predicting disease progression via longitudinal inspection of Electronic Health Records (EHRs) and lab tests from patients admitted to Intensive Care Units (ICU). Although substantial literature exists addressing broad subjects, including the prediction of mortality, length -of -stay, and readmission, studies focusing on forecasting Acute Kidney Injury (AKI), specifically dialysis anticipation like Continuous Renal Replacement Therapy (CRRT) are scarce. The technicality of how to implement AI remains elusive. Objective: This study aims to elucidate the important factors and methods that are required to develop effective predictive models of AKI and CRRT for patients admitted to ICU, using EHRs in the Medical Information Mart for Intensive Care (MIMIC) database. Methods: We conducted a comprehensive comparative analysis of established predictive models, considering both time -series measurements and clinical notes from MIMIC -IV databases. Subsequently, we proposed a novel multimodal model which integrates embeddings of top -performing unimodal models, including Long Short -Term Memory (LSTM) and BioMedBERT, and leverages both unstructured clinical notes and structured time series measurements derived from EHRs to enable the early prediction of AKI and CRRT. Results: Our multimodal model achieved a lead time of at least 12 h ahead of clinical manifestation, with an Area Under the Receiver Operating Characteristic Curve (AUROC) of 0.888 for AKI and 0.997 for CRRT, as well as an Area Under the Precision Recall Curve (AUPRC) of 0.727 for AKI and 0.840 for CRRT, respectively, which significantly outperformed the baseline models. Additionally, we performed a SHapley Additive exPlanation (SHAP) analysis using the expected gradients algorithm, which highlighted important, previously underappreciated predictive features for AKI and CRRT. Conclusion: Our study revealed the importance and the technicality of applying longitudinal, multimodal modeling to improve early prediction of AKI and CRRT, offering insights for timely interventions. The performance and interpretability of our model indicate its potential for further assessment towards clinical applications, to ultimately optimize AKI management and enhance patient outcomes.</t>
  </si>
  <si>
    <t>Tan, Yukun; Dede, Merve; Mohanty, Vakul; Dou, Jinzhuang; Hill, Holly; Bernstam, Elmer; Chen, Ken</t>
  </si>
  <si>
    <t>Chen, K (corresponding author), Univ Texas MD Anderson Canc Ctr, Dept Bioinformat &amp; Computat Biol, Houston, TX 77030 USA.</t>
  </si>
  <si>
    <t>KChen3@mdanderson.org</t>
  </si>
  <si>
    <t>National Cancer Institute [U01CA247760, U01CA281902]</t>
  </si>
  <si>
    <t>National Cancer Institute (United States Department of Health &amp; Human Services, National Institutes of Health (NIH) - USA, NIH National Cancer Institute (NCI))</t>
  </si>
  <si>
    <t>This project has been made possible in part by grant U01CA247760 and U01CA281902 to KC from National Cancer Institute.</t>
  </si>
  <si>
    <t>[Tan, Yukun; Dede, Merve; Mohanty, Vakul; Dou, Jinzhuang; Chen, Ken] Univ Texas MD Anderson Canc Ctr, Dept Bioinformat &amp; Computat Biol, Houston, TX 77030 USA; [Hill, Holly] Univ Texas MD Anderson Canc Ctr, Mol Diagnost Lab, Div Pathol &amp; Lab Med, Houston, TX USA; [Bernstam, Elmer] Univ Texas Hlth Sci Ctr Houston, D Bradley McWilliams Sch Biomed Informat, Houston, TX USA; [Bernstam, Elmer] Univ Texas Hlth Sci Ctr Houston, McGovern Med Sch, Div Gen Internal Med, Houston, TX USA</t>
  </si>
  <si>
    <t>University of Texas System; UTMD Anderson Cancer Center; University of Texas System; UTMD Anderson Cancer Center; University of Texas System; University of Texas Health Science Center Houston; University of Texas System; University of Texas Health Science Center Houston</t>
  </si>
  <si>
    <t>Forecasting acute kidney injury and resource utilization in ICU patients using longitudinal, multimodal models</t>
  </si>
  <si>
    <t>JOURNAL OF BIOMEDICAL INFORMATICS</t>
  </si>
  <si>
    <t>Acute Kidney Injury (AKI); Continuous Renal Replacement Therapy; (CRRT); Electronic Health Records (EHRs); Multi-modal; Long Short-Term Memory (LSTM); BioMedBERT</t>
  </si>
  <si>
    <t>PREDICTION; MORTALITY; DISEASE; COMPLICATIONS; CONSEQUENCES; VALIDATION; MANAGEMENT; BALANCE; COST</t>
  </si>
  <si>
    <t>Tan, Yukun/HII-3201-2022; Chen, Ken/AAU-1432-2021; Hill, Holly/PMG-2829-2026</t>
  </si>
  <si>
    <t>Bernstam, Elmer/0000-0001-7643-791X; Tan, Yukun/0000-0002-6368-8653; Dede, Merve/0000-0002-0868-5863; Hill, Holly/0000-0003-3642-1897; Chen, Ken/0000-0003-4013-5279</t>
  </si>
  <si>
    <t>61</t>
  </si>
  <si>
    <t>1532-0464</t>
  </si>
  <si>
    <t>1532-0480</t>
  </si>
  <si>
    <t>J BIOMED INFORM</t>
  </si>
  <si>
    <t>J. Biomed. Inform.</t>
  </si>
  <si>
    <t>154</t>
  </si>
  <si>
    <t>104648</t>
  </si>
  <si>
    <t>10.1016/j.jbi.2024.104648</t>
  </si>
  <si>
    <t>http://dx.doi.org/10.1016/j.jbi.2024.104648</t>
  </si>
  <si>
    <t>Computer Science, Interdisciplinary Applications; Medical Informatics</t>
  </si>
  <si>
    <t>Computer Science; Medical Informatics</t>
  </si>
  <si>
    <t>SX6L5</t>
  </si>
  <si>
    <t>38692464</t>
  </si>
  <si>
    <t>WOS:001237786500001</t>
  </si>
  <si>
    <t>Feng, L; Fu, XZ; Du, ZY; Guo, YT; Zhuo, LL; Yang, Y; Cao, DS; Yao, XJ</t>
  </si>
  <si>
    <t>Cardiotoxicity refers to the inhibitory effects of drugs on cardiac ion channels. Accurate prediction of cardiotoxicity is crucial yet challenging, as it directly impacts the evaluation of cardiac drug efficacy and safety. Numerous methods have been developed to predict cardiotoxicity, yet their performance remains limited. A key limitation is that these methods often rely solely on single-modal data, making multimodal data integration challenging. As a result, we present a multimodal method integrating molecular SMILES, structure, and fingerprint to enhance cardiotoxicity prediction. First, we designed a fusion layer to unify representations from different modalities. During training, the model maximizes intramodal similarity for the same molecule while minimizing intermolecular similarity, ensuring consistent cross-modal representations. This study evaluates the inhibitory effects of candidate drugs on voltage-gated potassium (hERG), sodium (Nav1.5), and calcium (Cav1.2) channels. Experimental results demonstrate that the proposed model significantly outperforms existing state-of-the-art methods in cardiotoxicity prediction. We anticipate that this model will contribute significantly to the development and safety evaluation of cardiac drugs, reducing cardiotoxicity-related risks.</t>
  </si>
  <si>
    <t>Feng, Lin; Fu, Xiangzheng; Du, Zhenya; Guo, Yuting; Zhuo, Linlin; Yang, Yan; Cao, Dongsheng; Yao, Xiaojun</t>
  </si>
  <si>
    <t>Zhuo, LL (corresponding author), Wenzhou Univ Technol, Sch Data Sci &amp; Artificial Intelligence, Wenzhou 325027, Peoples R China.; Cao, DS (corresponding author), Cent South Univ, Xiangya Sch Pharmaceut Sci, Changsha 410003, Peoples R China.; Yao, XJ (corresponding author), Macao Polytech Univ, Fac Appl Sci, Macau 999078, Peoples R China.</t>
  </si>
  <si>
    <t>zhuoninnin@163.com; xjyao@mpu.edu.mo; oriental-cds@163.com</t>
  </si>
  <si>
    <t>[Feng, Lin; Guo, Yuting; Zhuo, Linlin; Yang, Yan] Wenzhou Univ Technol, Sch Data Sci &amp; Artificial Intelligence, Wenzhou 325027, Peoples R China; [Fu, Xiangzheng] Hunan Univ, Coll Informat Sci &amp; Engn, Changsha 410000, Peoples R China; [Du, Zhenya] Guangzhou xinhua Univ, Sch Nursing Teaching &amp; Res, Dept Publ Med Courses, Guangzhou 510520, Peoples R China; [Cao, Dongsheng] Cent South Univ, Xiangya Sch Pharmaceut Sci, Changsha 410003, Peoples R China; [Yao, Xiaojun] Macao Polytech Univ, Fac Appl Sci, Macau 999078, Peoples R China</t>
  </si>
  <si>
    <t>Wenzhou University of Technology; Hunan University; Guangzhou Xinhua University; Central South University; Macao Polytechnic University</t>
  </si>
  <si>
    <t>MultiCTox: Empowering Accurate Cardiotoxicity Prediction through Adaptive Multimodal Learning</t>
  </si>
  <si>
    <t>JOURNAL OF CHEMICAL INFORMATION AND MODELING</t>
  </si>
  <si>
    <t>DESCRIPTORS</t>
  </si>
  <si>
    <t>Zhuo, Linlin/0000-0002-6586-0533</t>
  </si>
  <si>
    <t>1549-9596</t>
  </si>
  <si>
    <t>1549-960X</t>
  </si>
  <si>
    <t>J CHEM INF MODEL</t>
  </si>
  <si>
    <t>J. Chem Inf. Model.</t>
  </si>
  <si>
    <t>MAR 27 2025</t>
  </si>
  <si>
    <t>65</t>
  </si>
  <si>
    <t>3517</t>
  </si>
  <si>
    <t>3528</t>
  </si>
  <si>
    <t>10.1021/acs.jcim.5c00022</t>
  </si>
  <si>
    <t>http://dx.doi.org/10.1021/acs.jcim.5c00022</t>
  </si>
  <si>
    <t>Chemistry, Medicinal; Chemistry, Multidisciplinary; Computer Science, Information Systems; Computer Science, Interdisciplinary Applications</t>
  </si>
  <si>
    <t>Pharmacology &amp; Pharmacy; Chemistry; Computer Science</t>
  </si>
  <si>
    <t>1JV0D</t>
  </si>
  <si>
    <t>40145660</t>
  </si>
  <si>
    <t>WOS:001454557200001</t>
  </si>
  <si>
    <t>Tripathi, A; Waqas, A; Schabath, MB; Yilmaz, Y; Rasool, G</t>
  </si>
  <si>
    <t>Harmonized ONcologY Biomedical Embedding Encoder (HONeYBEE) is an open-source framework that integrates multimodal biomedical data for oncology applications. It processes clinical data (structured and unstructured), whole-slide images, radiology scans, and molecular profiles to generate unified patient-level embeddings using domain-specific foundation models and fusion strategies. These embeddings enable survival prediction, cancer-type classification, patient similarity retrieval, and cohort clustering. Evaluated on 11,400+ patients across 33 cancer types from The Cancer Genome Atlas (TCGA), clinical embeddings showed the strongest single-modality performance with 98.5% classification accuracy and 96.4% precision@10 in patient retrieval. They also achieved the highest survival prediction concordance indices across most cancer types. Multimodal fusion provided complementary benefits for specific cancers, improving overall survival prediction beyond clinical features alone. Comparative evaluation of four large language models revealed that general-purpose models like Qwen3 outperformed specialized medical models for clinical text representation, though task-specific fine-tuning improved performance on heterogeneous data such as pathology reports.</t>
  </si>
  <si>
    <t>Tripathi, Aakash; Waqas, Asim; Schabath, Matthew B.; Yilmaz, Yasin; Rasool, Ghulam</t>
  </si>
  <si>
    <t>Tripathi, A (corresponding author), H Lee Moffitt Canc Ctr &amp; Res Inst, Dept Machine Learning, Tampa, FL 33612 USA.; Tripathi, A (corresponding author), Univ S Florida, Dept Elect Engn, Tampa, FL 33620 USA.</t>
  </si>
  <si>
    <t>aakash.tripathi@moffitt.org</t>
  </si>
  <si>
    <t>National Science Foundation [2234836, 2234468]; NSF</t>
  </si>
  <si>
    <t>National Science Foundation (National Science Foundation (NSF)); NSF (National Science Foundation (NSF))</t>
  </si>
  <si>
    <t>This research was supported by NSF Awards 2234836 and 2234468 and NAIRR pilot funding.</t>
  </si>
  <si>
    <t>[Tripathi, Aakash; Waqas, Asim; Rasool, Ghulam] H Lee Moffitt Canc Ctr &amp; Res Inst, Dept Machine Learning, Tampa, FL 33612 USA; [Tripathi, Aakash; Yilmaz, Yasin; Rasool, Ghulam] Univ S Florida, Dept Elect Engn, Tampa, FL 33620 USA; [Waqas, Asim; Schabath, Matthew B.] H Lee Moffitt Canc Ctr &amp; Res Inst, Dept Canc Epidemiol, Tampa, FL USA</t>
  </si>
  <si>
    <t>H Lee Moffitt Cancer Center &amp; Research Institute; State University System of Florida; University of South Florida; H Lee Moffitt Cancer Center &amp; Research Institute</t>
  </si>
  <si>
    <t>HONeYBEE: enabling scalable multimodal AI in oncology through foundation model-driven embeddings</t>
  </si>
  <si>
    <t>DATA INTEGRATION; SELECTION; HISTOLOGY</t>
  </si>
  <si>
    <t>Rasool, Ghulam/T-7960-2019; Waqas, Asim/KEH-8791-2024; Tripathi, Aakash/PQW-2571-2026; Schabath, Matthew/J-3763-2016</t>
  </si>
  <si>
    <t>Waqas, Asim/0000-0002-6834-4710</t>
  </si>
  <si>
    <t>OCT 23 2025</t>
  </si>
  <si>
    <t>622</t>
  </si>
  <si>
    <t>10.1038/s41746-025-02003-4</t>
  </si>
  <si>
    <t>http://dx.doi.org/10.1038/s41746-025-02003-4</t>
  </si>
  <si>
    <t>8YQ5O</t>
  </si>
  <si>
    <t>41131352</t>
  </si>
  <si>
    <t>WOS:001600458800003</t>
  </si>
  <si>
    <t>Jennings, C; Broad, A; Godson, L; Clarke, E; Westhead, D; Treanor, D</t>
  </si>
  <si>
    <t>This study systematically reviews and evaluates published research on machine learning models that integrate histopathology whole slide images and high-throughput -omic data to predict overall survival in cancer. A comprehensive search of PubMed, EMBASE, and Cochrane CENTRAL was conducted through August 12, 2024, with citation screening for additional studies. Eligible studies applied machine learning or deep learning methods to multimodal data combining pathology images and -omics. Data extraction followed the CHARMS checklist, and risk of bias was assessed using the PROBAST + AI tool. Narrative synthesis was conducted in line with PRISMA 2020 guidelines. Forty-eight studies published since 2017 met inclusion criteria, spanning 19 cancer types. All relied on The Cancer Genome Atlas dataset. Modelling approaches included regularised Cox regression (n = 4), classical machine learning (n = 13), and deep learning (n = 31). Reported concordance indices ranged from 0.550 to 0.857, with most multimodal models outperforming unimodal counterparts. However, all studies were assessed as having high or unclear risk of bias-most often due to limited external validation, insufficient reporting, and minimal assessment of clinical utility. This review highlights a rapidly evolving yet methodologically underdeveloped field. While model performance is promising, improvements in data standardisation, reporting practices, and real-world contextualisation are critical for clinical translation. This work was funded by the National Pathology Imaging Cooperative (NPIC), supported by UK Research and Innovation (Project no. 104687).</t>
  </si>
  <si>
    <t>Jennings, Charlotte; Broad, Andrew; Godson, Lucy; Clarke, Emily; Westhead, David; Treanor, Darren</t>
  </si>
  <si>
    <t>Jennings, C (corresponding author), Leeds Teaching Hosp NHS Trust, Natl Pathol Imaging Cooperat, Leeds LS9 7TF, W Yorkshire, England.</t>
  </si>
  <si>
    <t>charlotte.jennings1@nhs.net</t>
  </si>
  <si>
    <t>Innovate UK [Project number 104687]; Leeds Biomedical Research Centre [NIHR203331]</t>
  </si>
  <si>
    <t>Innovate UK (UK Research &amp; Innovation (UKRI), Innovate UK); Leeds Biomedical Research Centre</t>
  </si>
  <si>
    <t>This work was funded by the National Pathology Imaging Co-operative (NPIC). NPIC is supported by a 50m pound investment from the Data to Early Diagnosis and Precision Medicine strand of the government's Industrial Strategy Challenge Fund, managed and delivered by UK Research and Innovation (UKRI, Project no. 104687). David R. Westhead is supported in part by the National Institute for Health and Care Research (NIHR) Leeds Biomedical Research Centre (BRC; NIHR203331). The views expressed are those of the author(s) and not necessarily those of the NHS, the NIHR or the Department of Health and Social Care.</t>
  </si>
  <si>
    <t>[Jennings, Charlotte; Broad, Andrew; Godson, Lucy; Clarke, Emily; Treanor, Darren] Leeds Teaching Hosp NHS Trust, Natl Pathol Imaging Cooperat, Leeds LS9 7TF, W Yorkshire, England; [Jennings, Charlotte; Broad, Andrew; Godson, Lucy; Clarke, Emily; Westhead, David; Treanor, Darren] Univ Leeds, Leeds, England; [Treanor, Darren] Linkoping Univ, Dept Clin Pathol, Linkoping, Sweden; [Treanor, Darren] Linkoping Univ, Ctr Med Image Sci &amp; Visualisat, Linkoping, Sweden</t>
  </si>
  <si>
    <t>University of Leeds; University of Leeds; Linkoping University; Linkoping University</t>
  </si>
  <si>
    <t>AI in Cancer Prognosis: A Systematic Review of Multimodal Models Combining Pathology Images and High-Throughput Omics</t>
  </si>
  <si>
    <t>CANCER INFORMATICS</t>
  </si>
  <si>
    <t>multimodal machine learning; deep learning; artificial intelligence; survival prediction; prognostic models; cancer; histopathology; whole slide images; omics; systematic review; clinical utility; reporting standards</t>
  </si>
  <si>
    <t>HISTOPATHOLOGICAL IMAGES; INTEGRATIVE ANALYSIS; GENOMIC DATA; PREDICTION; CLASSIFICATION; FEATURES; FUSION; TUMORS; RISK</t>
  </si>
  <si>
    <t>Broad, Andrew/0000-0001-7131-6860</t>
  </si>
  <si>
    <t>99</t>
  </si>
  <si>
    <t>1176-9351</t>
  </si>
  <si>
    <t>CANCER INFORM</t>
  </si>
  <si>
    <t>Cancer Inform.</t>
  </si>
  <si>
    <t>11769351261434523</t>
  </si>
  <si>
    <t>10.1177/11769351261434523</t>
  </si>
  <si>
    <t>http://dx.doi.org/10.1177/11769351261434523</t>
  </si>
  <si>
    <t>Oncology; Mathematical &amp; Computational Biology</t>
  </si>
  <si>
    <t>HU1MK</t>
  </si>
  <si>
    <t>42146873</t>
  </si>
  <si>
    <t>WOS:001762752700001</t>
  </si>
  <si>
    <t>Miao, JX; Liu, Q; Zhao, JN; Fan, SS; Wang, SW; Ye, F; Wu, S; Li, JZ; Zhang, HR; Zhang, M; Bu, H; Han, X; Teng, LH; Liu, YP</t>
  </si>
  <si>
    <t>Objective: Accurate detection of PIK3CA mutations is essential for guiding PI3K-targeted therapies in breast cancer, yet sequencing is not universally accessible, and single-modality prediction models have limited performance. This study developed a multimodal deep learning framework integrating whole-slide imaging (WSI) and structured clinical data to improve mutation prediction. Methods: A total of 1,047 patients from TCGA and 166 patients from 3 external centers were included. The histopathology model used a transformer-based pretrained encoder (H-optimus-0) and a clustering-constrained attention multiple instance learning (CLAM-SB MIL) classifier to generate WSI-level representations. The clinical model incorporated engineered clinical variables and an extreme gradient boosting (XGBoost) model. A decision-level late fusion strategy (Multimodal PIK3CA Model, MPM) combined probabilistic outputs from both branches. Performance was evaluated with the area under the curve (AUC) and secondary metrics. Interpretability was assessed via attention heatmaps and shapley additive explanations (SHAP) analysis. Results: MPM outperformed single-modality models. It achieved an AUC of 0.745 on TCGA and maintained stable performance across external cohorts (0.695, 0.690, and 0.680). SHAP analysis identified molecular subtype as the most influential clinical feature, whereas attention maps highlighted mutation-associated morphological regions. Conclusions: The developed multimodal framework effectively integrates complementary morphological and clinical information, and provides a robust and generalizable method for predicting PIK3CA mutation status. Strong multicenter adaptability and biological interpretability support its potential use as a clinical decision-support tool and an accessible alternative to molecular testing.</t>
  </si>
  <si>
    <t>Miao, Jiaxian; Liu, Qi; Zhao, Jianing; Fan, Shishun; Wang, Shenwen; Ye, Feng; Wu, Si; Li, Jinze; Zhang, Huirui; Zhang, Meng; Bu, Hong; Han, Xiao; Teng, Lianghong; Liu, Yueping</t>
  </si>
  <si>
    <t>Liu, YP (corresponding author), Hebei Med Univ, Hosp 4, Dept Pathol, Shijiazhuang 050011, Peoples R China.; Teng, LH (corresponding author), Capital Med Univ, Xuanwu Hosp, Dept Pathol, Beijing 100053, Peoples R China.; Han, X (corresponding author), Sichuan Univ, Coll Biomed Engn, Chengdu 610065, Peoples R China.</t>
  </si>
  <si>
    <t>annama@163.com; tenglianghong@xwhosp.org; xiao_han@scu.edu.cn</t>
  </si>
  <si>
    <t>Hebei Natural Science Foundation [H2024206504]; Medical Science Research Project of Hebei [20260484, 20260530]; Fundamental Research Funds for the Central Universities [20822041J4123]</t>
  </si>
  <si>
    <t>Hebei Natural Science Foundation (Natural Science Foundation of Hebei Province); Medical Science Research Project of Hebei; Fundamental Research Funds for the Central Universities (Fundamental Research Funds for the Central Universities)</t>
  </si>
  <si>
    <t>This study was financially supported by the Hebei Natural Science Foundation (Grant No. H2024206504) , the Medical Science Research Project of Hebei (Grant No. 20260484, 20260530) , and the Fundamental Research Funds for the Central Universities (Grant No. 20822041J4123) .</t>
  </si>
  <si>
    <t>[Miao, Jiaxian; Zhao, Jianing; Fan, Shishun; Wu, Si; Li, Jinze; Zhang, Huirui; Liu, Yueping] Hebei Med Univ, Hosp 4, Dept Pathol, Shijiazhuang 050011, Peoples R China; [Liu, Qi; Wang, Shenwen] Hebei GEO Univ, Sch Informat Engn, Shijiazhuang 052161, Peoples R China; [Ye, Feng; Bu, Hong] Sichuan Univ, West China Hosp, Lab Pathol, Chengdu 610041, Peoples R China; [Zhang, Meng; Teng, Lianghong] Capital Med Univ, Xuanwu Hosp, Dept Pathol, Beijing 100053, Peoples R China; [Han, Xiao] Sichuan Univ, Coll Biomed Engn, Chengdu 610065, Peoples R China</t>
  </si>
  <si>
    <t>Hebei Medical University; Hebei GEO University; Sichuan University; Capital Medical University; Sichuan University</t>
  </si>
  <si>
    <t>Multimodal artificial intelligence predicts PIK3CA mutation in breast cancer from digital pathology and clinical data: a multicenter study</t>
  </si>
  <si>
    <t>CANCER BIOLOGY &amp; MEDICINE</t>
  </si>
  <si>
    <t>Breast cancer; PIK3CA mutation; multimodal artificial intelligence; whole-slide imaging; computational pathology</t>
  </si>
  <si>
    <t>FOUNDATION MODEL; LANDSCAPE</t>
  </si>
  <si>
    <t>CHINA ANTI-CANCER ASSOC</t>
  </si>
  <si>
    <t>TIANJIN</t>
  </si>
  <si>
    <t>TIANJIN MEDICAL UNIV, CANCER INST &amp; HOSPITAL TI-YUAN-BEI, HUANHU XI LU, HEXIQU, TIANJIN, 300060, PEOPLES R CHINA</t>
  </si>
  <si>
    <t>2095-3941</t>
  </si>
  <si>
    <t>CANCER BIOL MED</t>
  </si>
  <si>
    <t>Cancer Biol. Med.</t>
  </si>
  <si>
    <t>MAR 15 2026</t>
  </si>
  <si>
    <t>430</t>
  </si>
  <si>
    <t>450</t>
  </si>
  <si>
    <t>10.20892/j.issn.2095-3941.2025.0771</t>
  </si>
  <si>
    <t>http://dx.doi.org/10.20892/j.issn.2095-3941.2025.0771</t>
  </si>
  <si>
    <t>Oncology; Medicine, Research &amp; Experimental</t>
  </si>
  <si>
    <t>Oncology; Research &amp; Experimental Medicine</t>
  </si>
  <si>
    <t>GL1ST</t>
  </si>
  <si>
    <t>41968976</t>
  </si>
  <si>
    <t>WOS:001739009200011</t>
  </si>
  <si>
    <t>Duan, YP; Yang, YZ; Cao, Y; Liu, JT; Li, LW; Cao, RL; Hu, GY; Liu, ZY</t>
  </si>
  <si>
    <t>Accurate estrus detection and timely insemination are critical for improving productivity and economic outcomes in modern large-scale pig farming. However, short estrus durations and pseudo-estrus behaviors often make detection challenging. To achieve precise identification of sow estrus stages while overcoming the limitations of traditional single-modality models in complex environments, this study proposes a multimodal fusion model, the Fusion-based Deep Norm and Multi Spectral Attention Enhanced Conformer Network (Fusion-ConformerNet). Fusion-ConformerNet utilizes a dual-branch Conformer enhanced by Deep Norm and an EfficientNet-V2 augmented with a Multi-Spectral Attention Module (MSAM). Model fusion is performed dynamically through MC-Dropout-based uncertainty estimation, adaptively adjusting weights according to predicted model stability and confidence. Fusion-ConformerNet was trained and validated on a multimodal sow estrus dataset and compared with DaViT, ResNet50, Swin-Transformer, DenseNet, MobileNet-V3, and VGG19. Experimental results show that Fusion-ConformerNet achieved a mean Average Precision (mAP) of 97.65%, Top-1 Accuracy of 91.16%, and a Mean F1 Score of 91.12%. This improved model accurately distinguishes between five stages: early, middle, and late estrus, non-estrus, and pseudo-estrus, consistently outperforming comparable single-modality models. Validation further confirms the model's robust performance in complex environments, approaching expert-level accuracy in estrus recognition. Fusion-ConformerNet enables reliable, continuous monitoring of estrus status in challenging scenarios and provides a novel scientific approach to estrus detection for intensive pig farming.</t>
  </si>
  <si>
    <t>Duan, Yongpeng; Yang, Yazhi; Cao, Yue; Liu, Jiatao; Li, Linwei; Cao, Riliang; Hu, Guangying; Liu, Zhenyu</t>
  </si>
  <si>
    <t>Liu, ZY (corresponding author), Shanxi Agr Univ, Coll Agr Engn, Taigu 030801, Shanxi, Peoples R China.; Hu, GY (corresponding author), Shanxi Agr Univ, Coll Anim Sci, Taigu 030801, Shanxi, Peoples R China.; Liu, ZY (corresponding author), Dryland Farm Machinery Key Technol &amp; Equipment Key, Taigu 030801, Shanxi, Peoples R China.</t>
  </si>
  <si>
    <t>cy0615cy@126.com; lzysyb@126.com; duan86998310@163.com; 13753412842@163.com; Huguangying1968@163.com; Cao13934643945@126.com; liujiataoyue@163.com; sxrllw@126.com</t>
  </si>
  <si>
    <t>Shanxi Scholarship Council of China [2023-092]; Key R&amp;D program of Shanxi Province [202302010101002]; Open program foundation of Key Laboratory of Equipment and Informatization in Environment Controlled Agriculture, Ministry of Agriculture and Rural Affairs, China [2011NYZD2202]; Fundamental Research Program of Shanxi Province [20210302124497]</t>
  </si>
  <si>
    <t>Shanxi Scholarship Council of China (Shanxi Scholarship Council of China); Key R&amp;D program of Shanxi Province; Open program foundation of Key Laboratory of Equipment and Informatization in Environment Controlled Agriculture, Ministry of Agriculture and Rural Affairs, China; Fundamental Research Program of Shanxi Province</t>
  </si>
  <si>
    <t>This work was supported by the Research Project Supported by Shanxi Scholarship Council of China [grant number: 2023-092]; the key R&amp;D program of Shanxi Province [grant number: 202302010101002]; Open program foundation of Key Laboratory of Equipment and Informatization in Environment Controlled Agriculture, Ministry of Agriculture and Rural Affairs, China [grant number: 2011NYZD2202]; and Fundamental Research Program of Shanxi Province [grant number: 20210302124497].</t>
  </si>
  <si>
    <t>[Duan, Yongpeng; Cao, Yue; Li, Linwei] Shanxi Agr Univ, Coll Informat Sci &amp; Engn, Taigu 030801, Shanxi, Peoples R China; [Yang, Yazhi; Liu, Zhenyu] Shanxi Agr Univ, Coll Agr Engn, Taigu 030801, Shanxi, Peoples R China; [Liu, Jiatao] Shanxi Agr Machinery Dev Ctr, Taiyuan 030002, Shanxi, Peoples R China; [Li, Linwei] Minist Agr &amp; Rural Affairs, Key Lab Equipment &amp; Informatizat Environm Controll, Hangzhou 310058, Peoples R China; [Cao, Riliang; Hu, Guangying] Shanxi Agr Univ, Coll Anim Sci, Taigu 030801, Shanxi, Peoples R China; [Liu, Zhenyu] Dryland Farm Machinery Key Technol &amp; Equipment Key, Taigu 030801, Shanxi, Peoples R China</t>
  </si>
  <si>
    <t>Shanxi Agricultural University; Shanxi Agricultural University; Shanxi Agricultural University</t>
  </si>
  <si>
    <t>A multimodal deep learning network for precise detection of estrus and pseudo-estrus in sows</t>
  </si>
  <si>
    <t>SMART AGRICULTURAL TECHNOLOGY</t>
  </si>
  <si>
    <t>Sow estrus; Pseudoestrus; Multimodal fusion; Deep learning; Animal welfare</t>
  </si>
  <si>
    <t>REPRODUCTION; ZEARALENONE; OVULATION</t>
  </si>
  <si>
    <t>Li, Linwei/JAD-0802-2023</t>
  </si>
  <si>
    <t>2772-3755</t>
  </si>
  <si>
    <t>SMART AGR TECHNOL</t>
  </si>
  <si>
    <t>Smart Agric. Technol.</t>
  </si>
  <si>
    <t>101279</t>
  </si>
  <si>
    <t>10.1016/j.atech.2025.101279</t>
  </si>
  <si>
    <t>http://dx.doi.org/10.1016/j.atech.2025.101279</t>
  </si>
  <si>
    <t>Agricultural Engineering; Agriculture, Multidisciplinary; Agronomy</t>
  </si>
  <si>
    <t>Agriculture</t>
  </si>
  <si>
    <t>5ZL8E</t>
  </si>
  <si>
    <t>WOS:001548023000001</t>
  </si>
  <si>
    <t>Min, JH; Ham, SW; Kim, DK; Lee, EH</t>
  </si>
  <si>
    <t>The estimation of traffic variables and provision of traffic information are the most important components of intelligent transportation systems. Advances in technology have led to the collection of various traffic sensor data, and nonlinear dependencies between traffic variables have enabled the development of models based on deep learning approaches. However, there is a missing data segment where data collection is not possible because of the non-installation of the sensor, malfunction of the sensor, or error in communication. In this study, a deep multimodal model is proposed for traffic speed estimation of the missing data segment. We implement the proposed model using two heterogeneous traffic sensors, that is, a vehicle detection system and dedicated short-range communication. The structure of the proposed model consists of three multilayer perceptron models, two of which receive each modality as input data and one fusion model that receives the concatenated outputs from each modality model as input data. To evaluate the estimation performance of the deep multimodal model, we use three performance measures to compare the multimodal model with the arithmetic average model and a single-modality model. The results show that the single-modality model and the proposed deep multimodal model outperform the arithmetic average model. In particular, the deep multimodal model shows the highest accuracies of 90.5% and 92.1% on weekends and peak hours, respectively, without reflecting the true value. The proposed deep multimodal model has three contributions, that is, high accuracy using two different sensors, robustness in various periods, and real-time application with fast computational time.</t>
  </si>
  <si>
    <t>Min, Jin Hong; Ham, Seung Woo; Kim, Dong-Kyu; Lee, Eun Hak</t>
  </si>
  <si>
    <t>Lee, EH (corresponding author), Texas A&amp;M Transportat Inst, Multimodal Planning &amp; Environm Div, Bryan, TX 77807 USA.</t>
  </si>
  <si>
    <t>e-lee@tti.tamu.edu</t>
  </si>
  <si>
    <t>Korea Ministry of Land, Infrastructure and Transport (MOLIT); Innovative Talent Education Program for Smart City; Korea Institute of Police Technology (KIPoT) - Korea government(KNPA) [092021C28S02000]; National Research Foundation of Korea (NRF) - Ministry of Education [2022R1A6A3A13072806, 2022R1A2C2012835]</t>
  </si>
  <si>
    <t>Korea Ministry of Land, Infrastructure and Transport (MOLIT) (Ministry of Land, Infrastructure &amp; Transport (MOLIT), Republic of Korea); Innovative Talent Education Program for Smart City; Korea Institute of Police Technology (KIPoT) - Korea government(KNPA) (Korea Institute of Advancement for Police-technology (KIPoT)); National Research Foundation of Korea (NRF) - Ministry of Education (National Research Foundation of Korea, Ministry of Education (MOE), Republic of Korea)</t>
  </si>
  <si>
    <t>The author(s) disclosed receipt of the following financial support for the research, authorship, and/or publication of this article: This work is financially supported by Korea Ministry of Land, Infrastructure and Transport (MOLIT) as part of the Innovative Talent Education Program for Smart City. This work was also supported by a Korea Institute of Police Technology (KIPoT) grant funded by the Korea government(KNPA) (No.092021C28S02000), and Basic Science ResearchPrograms through the National Research Foundation of Korea (NRF) funded by the Ministry of Education(2022R1A6A3A13072806 and 2022R1A2C2012835)</t>
  </si>
  <si>
    <t>[Min, Jin Hong; Ham, Seung Woo; Kim, Dong-Kyu] Seoul Natl Univ, Dept Civil &amp; Environm Engn, Seoul, South Korea; [Kim, Dong-Kyu] Seoul Natl Univ, Inst Construct &amp; Environm Engn, Seoul, South Korea; [Lee, Eun Hak] Texas A&amp;M Transportat Inst, Multimodal Planning &amp; Environm Div, Bryan, TX 77807 USA</t>
  </si>
  <si>
    <t>Seoul National University (SNU); Seoul National University (SNU); Texas A&amp;M University System; Texas A&amp;M University College Station</t>
  </si>
  <si>
    <t>Deep Multimodal Learning for Traffic Speed Estimation Combining Dedicated Short-Range Communication and Vehicle Detection System Data</t>
  </si>
  <si>
    <t>TRANSPORTATION RESEARCH RECORD</t>
  </si>
  <si>
    <t>traffic speed prediction; deep multimodal learning; dedicated short-range communication data; missing data segment</t>
  </si>
  <si>
    <t>TRAVEL-TIME PREDICTION; DATA FUSION; NETWORK; MODEL</t>
  </si>
  <si>
    <t>Lee, Eun Hak/KCY-4860-2024</t>
  </si>
  <si>
    <t>Min, JinHong/0000-0002-0076-0582; Ham, Seung Woo/0000-0001-7531-9217; Lee, Eun/0000-0001-5989-4895; Kim, Dong-Kyu/0000-0003-0746-3043</t>
  </si>
  <si>
    <t>SAGE PUBLICATIONS INC</t>
  </si>
  <si>
    <t>THOUSAND OAKS</t>
  </si>
  <si>
    <t>2455 TELLER RD, THOUSAND OAKS, CA 91320 USA</t>
  </si>
  <si>
    <t>0361-1981</t>
  </si>
  <si>
    <t>2169-4052</t>
  </si>
  <si>
    <t>TRANSPORT RES REC</t>
  </si>
  <si>
    <t>Transp. Res. Record</t>
  </si>
  <si>
    <t>2677</t>
  </si>
  <si>
    <t>247</t>
  </si>
  <si>
    <t>259</t>
  </si>
  <si>
    <t>10.1177/03611981221130026</t>
  </si>
  <si>
    <t>http://dx.doi.org/10.1177/03611981221130026</t>
  </si>
  <si>
    <t>NOV 2022</t>
  </si>
  <si>
    <t>Engineering, Civil; Transportation; Transportation Science &amp; Technology</t>
  </si>
  <si>
    <t>Engineering; Transportation</t>
  </si>
  <si>
    <t>X8WV9</t>
  </si>
  <si>
    <t>WOS:000884987100001</t>
  </si>
  <si>
    <t>Qin, YY; Chang, JM; Li, L; Wu, MH</t>
  </si>
  <si>
    <t>Introduction Advancements in artificial intelligence (AI) and large language models (LLMs) have the potential to revolutionize digestive endoscopy by enhancing diagnostic accuracy, improving procedural efficiency, and supporting clinical decision-making. Traditional AI-assisted endoscopic systems often rely on single-modal image analysis, which lacks contextual understanding and adaptability to complex gastrointestinal (GI) conditions. Moreover, existing methods struggle with domain shifts, data heterogeneity, and interpretability, limiting their clinical applicability.Methods To address these challenges, we propose a multimodal learning framework that integrates LLM-powered chatbots with endoscopic imaging and patient-specific medical data. Our approach employs self-supervised learning to extract clinically relevant patterns from heterogeneous sources, enabling real-time guidance and AI-assisted report generation. We introduce a domain-adaptive learning strategy to enhance model generalization across diverse patient populations and imaging conditions.Results and discussion Experimental results on multiple GI datasets demonstrate that our method significantly improves lesion detection, reduces diagnostic variability, and enhances physician-AI collaboration. This study highlights the potential of multimodal LLM-based systems in advancing gastroenterology by providing interpretable, context-aware, and adaptable AI support in digestive endoscopy.</t>
  </si>
  <si>
    <t>Qin, Yuanyuan; Chang, Jianming; Li, Li; Wu, Mianhua</t>
  </si>
  <si>
    <t>Wu, MH (corresponding author), Nanjing Univ Chinese Med, Clin Med Coll 1, Nanjing, Peoples R China.; Wu, MH (corresponding author), Nanjing Univ Chinese Med, Jiangsu Collaborat Innovat Ctr Tradit Chinese Med, Prevent &amp; Treatment Tumor, Nanjing, Peoples R China.</t>
  </si>
  <si>
    <t>110113@njucm.edu.cn</t>
  </si>
  <si>
    <t>National Natural Science Foundation of China [81774266]; Second National Famous Traditional Chinese Medicine Practitioner Inheritance Workshop [245]; Wu Mianhua National Famous Elderly Chinese Medicine Experts Inheritance Workshop [75]; Wu Mianhua Jiangsu Famous Elderly Chinese Medicine Experts Inheritance Workshop [7]; Seventh Batch of National Old Chinese Medicine Experts' Academic Experience Inheritance Work Program of the State Administration of Traditional Chinese Medicine (SATCM) [76]; Graduate Student Research and Practice Innovation Program in Jiangsu Province [SJCX23_0875]</t>
  </si>
  <si>
    <t>National Natural Science Foundation of China (National Natural Science Foundation of China (NSFC)); Second National Famous Traditional Chinese Medicine Practitioner Inheritance Workshop; Wu Mianhua National Famous Elderly Chinese Medicine Experts Inheritance Workshop; Wu Mianhua Jiangsu Famous Elderly Chinese Medicine Experts Inheritance Workshop; Seventh Batch of National Old Chinese Medicine Experts' Academic Experience Inheritance Work Program of the State Administration of Traditional Chinese Medicine (SATCM); Graduate Student Research and Practice Innovation Program in Jiangsu Province</t>
  </si>
  <si>
    <t>The author(s) declare that financial support was received for the research and/or publication of this article. This work was supported by the National Natural Science Foundation of China [grant number 81774266], the Second National Famous Traditional Chinese Medicine Practitioner Inheritance Workshop [grant number National Office of Traditional Chinese Medicine Human Education Letter (2022) No. 245], Wu Mianhua National Famous Elderly Chinese Medicine Experts Inheritance Workshop [grant number National Traditional Chinese Medicine Human Education Letter (2022) No. 75], Wu Mianhua Jiangsu Famous Elderly Chinese Medicine Experts Inheritance Workshop [grant number Jiangsu Chinese Medicine Science and Education (2021) No. 7], the Seventh Batch of National Old Chinese Medicine Experts' Academic Experience Inheritance Work Program of the State Administration of Traditional Chinese Medicine (SATCM) [grant number National TCM Human Education Letter (2022) No. 76], and the Graduate Student Research and Practice Innovation Program in Jiangsu Province [grant number SJCX23_0875].</t>
  </si>
  <si>
    <t>[Qin, Yuanyuan; Li, Li; Wu, Mianhua] Nanjing Univ Chinese Med, Clin Med Coll 1, Nanjing, Peoples R China; [Qin, Yuanyuan; Li, Li; Wu, Mianhua] Nanjing Univ Chinese Med, Jiangsu Collaborat Innovat Ctr Tradit Chinese Med, Prevent &amp; Treatment Tumor, Nanjing, Peoples R China; [Chang, Jianming] Southeast Univ, Sch Comp Sci &amp; Engn, Nanjing, Peoples R China</t>
  </si>
  <si>
    <t>Nanjing University of Chinese Medicine; Nanjing University of Chinese Medicine; Southeast University - China</t>
  </si>
  <si>
    <t>Enhancing gastroenterology with multimodal learning: the role of large language model chatbots in digestive endoscopy</t>
  </si>
  <si>
    <t>FRONTIERS IN MEDICINE</t>
  </si>
  <si>
    <t>multimodal learning; large language models; digestive endoscopy; AI-assisted diagnosis; domain adaptation</t>
  </si>
  <si>
    <t>REPRESENTATIONS; TRANSFORMER</t>
  </si>
  <si>
    <t>2296-858X</t>
  </si>
  <si>
    <t>FRONT MED-LAUSANNE</t>
  </si>
  <si>
    <t>Front. Med.</t>
  </si>
  <si>
    <t>MAY 21 2025</t>
  </si>
  <si>
    <t>1583514</t>
  </si>
  <si>
    <t>10.3389/fmed.2025.1583514</t>
  </si>
  <si>
    <t>http://dx.doi.org/10.3389/fmed.2025.1583514</t>
  </si>
  <si>
    <t>3MH0A</t>
  </si>
  <si>
    <t>40470039</t>
  </si>
  <si>
    <t>WOS:001503726400001</t>
  </si>
  <si>
    <t>Xu, JY; He, QJ; Gao, XH; Xu, K; Huang, FC; Wang, H</t>
  </si>
  <si>
    <t>The fault signals of rotating machinery exhibit complex characteristics, including nonlinearity, high noise, and dynamic changes, etc. These issues pose significant challenges to fault diagnosis. Traditional multimodal fusion technologies often fail to fully capture the unique features of different data modalities, resulting in low diagnostic accuracy and robustness under complex working conditions. This paper proposes a FuseCT multimodal feature fusion network, which integrates one-dimensional vibration signals and two-dimensional time-frequency images obtained via Generalized Linear Chirplet Transform (GLCT), and adopts a two-branch structure for processing. The network extracts vibration signal features through the CNN-BiLSTM-1DCBAM module, utilizes the optimized SpectraFocus module to extract GLCT time-frequency features, and finally completes multimodal feature fusion via the self-attention mechanism. This method has been experimentally validated on the gearbox dataset from Southeast University and the extra-large bearing dataset from Nanjing Tech University. The results demonstrate that FuseCT achieves higher accuracy and better generalization ability in rotating machinery fault diagnosis, outperforming traditional single-modal and multi-modal methods.</t>
  </si>
  <si>
    <t>Xu, Jieyi; He, Qinjing; Gao, Xuehai; Xu, Kun; Huang, Fuchang; Wang, Hua</t>
  </si>
  <si>
    <t>Wang, H (corresponding author), Nanjing Tech Univ, Sch Mech &amp; Power Engn, Nanjing 211816, Peoples R China.</t>
  </si>
  <si>
    <t>wanghua@njtech.edu.cn</t>
  </si>
  <si>
    <t>Science and Technology Program of Suzhou https://doi.org/10.13039/501100018556 [SYG2024014]; Suzhou Science and Technology Plan</t>
  </si>
  <si>
    <t>Science and Technology Program of Suzhou https://doi.org/10.13039/501100018556; Suzhou Science and Technology Plan</t>
  </si>
  <si>
    <t>The research is supported by the Suzhou Science and Technology Plan (Project No. SYG2024014).</t>
  </si>
  <si>
    <t>[Xu, Jieyi; He, Qinjing; Xu, Kun; Wang, Hua] Nanjing Tech Univ, Sch Mech &amp; Power Engn, Nanjing 211816, Peoples R China; [Gao, Xuehai] Shanghai Dianji Univ, Sch Mech Engn, Shanghai 201306, Peoples R China; [Huang, Fuchang] Jiangsu Fenghesheng Intelligent Technol Co Ltd, Suzhou 215300, Peoples R China</t>
  </si>
  <si>
    <t>Nanjing Tech University; Shanghai Dianji University</t>
  </si>
  <si>
    <t>FuseCT: a rotating machinery fault diagnosis method based on generalized linear chirplet transform and multimodal machine learning</t>
  </si>
  <si>
    <t>ENGINEERING RESEARCH EXPRESS</t>
  </si>
  <si>
    <t>fault diagnosis; multimodal machine learning; information fusion; information correlations; signal processing; deep learning</t>
  </si>
  <si>
    <t>Gao, Xuehai/QTT-0943-2026</t>
  </si>
  <si>
    <t>Gao, Xuehai/0009-0006-5035-0289</t>
  </si>
  <si>
    <t>IOP Publishing Ltd</t>
  </si>
  <si>
    <t>Bristol</t>
  </si>
  <si>
    <t>No.2 The Distillery, Glassfields, Avon Street, Bristol, ENGLAND</t>
  </si>
  <si>
    <t>2631-8695</t>
  </si>
  <si>
    <t>ENG RES EXPRESS</t>
  </si>
  <si>
    <t>Eng. Res. Express</t>
  </si>
  <si>
    <t>DEC 31 2025</t>
  </si>
  <si>
    <t>045233</t>
  </si>
  <si>
    <t>10.1088/2631-8695/ae1278</t>
  </si>
  <si>
    <t>http://dx.doi.org/10.1088/2631-8695/ae1278</t>
  </si>
  <si>
    <t>30</t>
  </si>
  <si>
    <t>8XH5N</t>
  </si>
  <si>
    <t>WOS:001599546600001</t>
  </si>
  <si>
    <t>Hamida, S; Lamrani, D; Bouqentar, MA; El Gannour, O; Cherradi, B</t>
  </si>
  <si>
    <t>In order to effectively treat skin diseases, an accurate and prompt diagnosis is required. In this article, a novel method for classifying skin disorders using a multimodal classifier is presented. The proposed classifier utilizes multiple information sources to enhance the accuracy of disease classification. It incorporates images of skin lesions and patient -specific data. The multimodal classifier simultaneously classifies diseases by combining image and structured data inputs. The effectiveness of the proposed classifier was evaluated using the ISIC 2018 dataset, which includes images and clinical data for seven categories of skin diseases. The results indicate that the proposed model outperforms conventional single -modal and single -task classifiers, achieving an accuracy of 98.66% for image classification and 94.40% for clinical data classification. In addition, we compare the performance of the proposed model with that of other methodologies, demonstrating its superiority. Despite yielding promising results, the proposed method has limitations in terms of data requirements and generalizability. Future research directions include incorporating additional information sources, investigating genetic data integration, and applying the method to various medical conditions. This study illustrates the potential of integrating multimodal techniques with transfer learning in deep neural networks to enhance the classification accuracy of cutaneous diseases.</t>
  </si>
  <si>
    <t>Hamida, Soufiane; Lamrani, Driss; Bouqentar, Mohammed Amine; El Gannour, Oussama; Cherradi, Bouchaib</t>
  </si>
  <si>
    <t>Cherradi, B (corresponding author), Hassan II Univ Casablanca, 2IACS Lab, ENSET Mohammedia, Mohammadia, Morocco.; Cherradi, B (corresponding author), Hassan II Univ Casablanca, EEIS Lab, ENSET Mohammedia, Mohammadia, Morocco.; Cherradi, B (corresponding author), CRMEF Casablanca Settat, STIE Team, Prov Sect El Jadida, El Jadida, Morocco.</t>
  </si>
  <si>
    <t>bouchaib.cherradi@enset-media.ac.ma; m.amine.bouqentar@gmail.com; hamida.93s@gmail.com; oussama.elgan-nour@gmail.com; lamranidriss2013@gmail.com</t>
  </si>
  <si>
    <t>[Hamida, Soufiane; Cherradi, Bouchaib] Hassan II Univ Casablanca, 2IACS Lab, ENSET Mohammedia, Mohammadia, Morocco; [Hamida, Soufiane] SupMTI Rabat, GENIUS Lab, Rabat, Morocco; [Lamrani, Driss; Bouqentar, Mohammed Amine; El Gannour, Oussama; Cherradi, Bouchaib] Hassan II Univ Casablanca, EEIS Lab, ENSET Mohammedia, Mohammadia, Morocco; [El Gannour, Oussama] Sidi Mohammed Ben Abdellah Univ, LIASSE Lab, ENSA Fez, Fes, Morocco; [Cherradi, Bouchaib] CRMEF Casablanca Settat, STIE Team, Prov Sect El Jadida, El Jadida, Morocco</t>
  </si>
  <si>
    <t>Hassan II University of Casablanca; Hassan II University of Casablanca; Sidi Mohamed Ben Abdellah University of Fez</t>
  </si>
  <si>
    <t>An Integrated Multimodal Deep Learning Framework for Accurate Skin Disease Classification</t>
  </si>
  <si>
    <t>INTERNATIONAL JOURNAL OF ONLINE AND BIOMEDICAL ENGINEERING</t>
  </si>
  <si>
    <t>multimodal classifier; cutaneous diseases; skin lesions; transfer learning; image classification</t>
  </si>
  <si>
    <t>SYMPTOMS</t>
  </si>
  <si>
    <t>Bouqentar, Mohammed Amine/HJZ-2606-2023; CHERRADI, Bouchaib/J-2572-2016; EL GANNOUR, Oussama/IAR-0349-2023; HAMIDA, Soufiane/AGZ-7254-2022</t>
  </si>
  <si>
    <t>HAMIDA, Soufiane/0000-0003-0616-7787; LAMRANI, DRISS/0009-0006-9501-5353; Bouqentar, Mohammed Amine/0000-0001-7145-3339; CHERRADI, Bouchaib/0000-0002-2016-8682; EL GANNOUR, Oussama/0000-0003-2536-9528</t>
  </si>
  <si>
    <t>Int Federation Engineering Education Societies-IFEES</t>
  </si>
  <si>
    <t>Fairfax</t>
  </si>
  <si>
    <t>4400 University Drive, MS 4A3, Fairfax, VA, UNITED STATES</t>
  </si>
  <si>
    <t>2626-8493</t>
  </si>
  <si>
    <t>INT J ONLINE BIOMED</t>
  </si>
  <si>
    <t>Int. J. Online Biomed. Eng.</t>
  </si>
  <si>
    <t>78</t>
  </si>
  <si>
    <t>94</t>
  </si>
  <si>
    <t>10.3991/ijoe.v20i02.43795</t>
  </si>
  <si>
    <t>http://dx.doi.org/10.3991/ijoe.v20i02.43795</t>
  </si>
  <si>
    <t>Computer Science, Interdisciplinary Applications</t>
  </si>
  <si>
    <t>HX4S5</t>
  </si>
  <si>
    <t>WOS:001162801400008</t>
  </si>
  <si>
    <t>Ravichandran, S; Snyder, PJ; Alber, J; Murchison, CF; Chaby, LE; Jeromin, A; Arthur, E</t>
  </si>
  <si>
    <t>Background The potential diagnostic value of plasma amyloidogenic beta residue 42/40 ratio (A beta 42/A beta 40 ratio), neurofilament light (NfL), tau phosphorylated at threonine-181 (p-tau181), and threonine-217 (p-tau217) has been extensively discussed in the literature. We have also previously described the association between retinal biomarkers and preclinical Alzheimer's disease (AD). The goal of this study was to evaluate the association, and a multimodal model of, retinal and plasma biomarkers for detection of preclinical AD. Methods We included 82 cognitively unimpaired (CU) participants (141 eyes; mean age: 67 years; range: 56-80) from the Atlas of Retinal Imaging in Alzheimer's Study (ARIAS). Blood samples were assessed for concentrations of A beta 42/A beta 40 ratio, NfL, p-tau181, and p-tau217 (ALZpath, Inc.) using Single molecule array (SIMOA) technology. The Spectralis II system (Heidelberg Engineering) was used to acquire macular centered Spectral Domain Optical Coherence Tomography (SD-OCT) images for evaluation of putative retinal gliosis surface area and macular retinal nerve fiber layer (mRNFL) thickness. For all participants, correlations (adjusted for age and correlation between eyes) were assessed between retinal and blood-based biomarkers. A subgroup cohort of 57 eyes from 32 participants with recent A beta positron emission tomography (PET) results, comprising 18 preclinical patients (A beta PET + ve, 32 eyes) and 14 controls (A beta PET -ve, 25 eyes) with a mean age of 69 vs. 66, p = 0.06, was included for the assessment of a multimodal model to distinguish between the two groups. For this subgroup cohort, receiver operating characteristic (ROC) analysis was performed to compare the multimodal model of retinal and plasma biomarkers vs. each biomarker alone to distinguish between the two groups. Results Significant correlation was found between putative retinal gliosis and p-tau217 in the univariate mixed model (beta = 0.48, p = 0.007) but not for the other plasma biomarkers (p &gt; 0.05). This positive correlation was also retained in the multivariate mixed model (beta = 0.43, p = 0.022). The multimodal ROC model based on retinal (gliosis area, inner inferior RNFL thickness, inner superior RNFL thickness, and inner nasal RNFL thickness) and plasma biomarkers (p-tau217 and A beta 42/A beta 40 ratio) had an excellent AUC of 0.97 (95% CI = 0.93-1.01; p &lt; 0.001) compared to unimodal models of retinal and plasma biomarkers. Conclusions Our analyses show the potential of integrating retinal and blood-based biomarkers for improved detection and screening of preclinical AD.</t>
  </si>
  <si>
    <t>Ravichandran, Swetha; Snyder, Peter J.; Alber, Jessica; Murchison, Charles F.; Chaby, Lauren E.; Jeromin, Andreas; Arthur, Edmund</t>
  </si>
  <si>
    <t>Arthur, E (corresponding author), Univ Alabama Birmingham, Sch Optometry, Birmingham, AL 35294 USA.</t>
  </si>
  <si>
    <t>earthur@uab.edu</t>
  </si>
  <si>
    <t>Morton Plant Mease Health Care Foundation (Clearwater, FL, U.S.A.)</t>
  </si>
  <si>
    <t>The authors wish to acknowledge the ARIAS participants who were extremely generous with their time for this study to help advance research into the early detection of AD.</t>
  </si>
  <si>
    <t>[Ravichandran, Swetha; Arthur, Edmund] Univ Alabama Birmingham, Sch Optometry, Birmingham, AL 35294 USA; [Snyder, Peter J.] Brown Univ, Dept Neurol, Alpert Med Sch, Providence, RI USA; [Snyder, Peter J.; Alber, Jessica] Univ Rhode Isl, Dept Biomed &amp; Pharmaceut Sci, Kingston, RI USA; [Alber, Jessica] Univ Rhode Isl, George &amp; Anne Ryan Inst Neurosci, Kingston, RI USA; [Alber, Jessica] Butler Hosp Memory &amp; Aging Program, Providence, RI USA; [Murchison, Charles F.] Univ Alabama Birmingham, Alzheimers Dis Res Ctr, Dept Neurol, Birmingham, AL USA; [Murchison, Charles F.] Univ Alabama Birmingham, Dept Biostat, Birmingham, AL USA; [Chaby, Lauren E.; Jeromin, Andreas] Atlantic Biomarkers LLC, Alachua, FL USA</t>
  </si>
  <si>
    <t>University of Alabama System; University of Alabama Birmingham; Brown University; University of Rhode Island; University of Rhode Island; University of Alabama System; University of Alabama Birmingham; University of Alabama System; University of Alabama Birmingham</t>
  </si>
  <si>
    <t>Association and multimodal model of retinal and blood-based biomarkers for detection of preclinical Alzheimer's disease</t>
  </si>
  <si>
    <t>ALZHEIMERS RESEARCH &amp; THERAPY</t>
  </si>
  <si>
    <t>Putative retinal gliosis; Plasma biomarkers; Preclinical Alzheimer's disease; Early detection; Spectral domain optical coherence tomography</t>
  </si>
  <si>
    <t>MILD COGNITIVE IMPAIRMENT; NEUROPSYCHOLOGICAL STATUS RBANS; PLASMA NEUROFILAMENT LIGHT; GLIAL-CELL ACTIVATION; AMYLOID-BETA-PEPTIDE; TAU-PHOSPHORYLATION; REPEATABLE BATTERY; GLAUCOMA; PREDICTION; THICKNESS</t>
  </si>
  <si>
    <t>Snyder, Peter/W-2609-2019; Chaby, Laurence/B-7830-2013; Arthur, Edmund/AAH-8825-2020; Ravichanan, Swetha/GOV-5998-2022; Alber, Jessica/AEL-7939-2022</t>
  </si>
  <si>
    <t>Ravichanan, Swetha/0000-0001-9846-4089; Alber, Jessica/0000-0002-5090-4206</t>
  </si>
  <si>
    <t>1758-9193</t>
  </si>
  <si>
    <t>ALZHEIMERS RES THER</t>
  </si>
  <si>
    <t>Alzheimers Res. Ther.</t>
  </si>
  <si>
    <t>JAN 10 2025</t>
  </si>
  <si>
    <t>10.1186/s13195-024-01668-5</t>
  </si>
  <si>
    <t>http://dx.doi.org/10.1186/s13195-024-01668-5</t>
  </si>
  <si>
    <t>Clinical Neurology; Neurosciences</t>
  </si>
  <si>
    <t>S1P5S</t>
  </si>
  <si>
    <t>39794837</t>
  </si>
  <si>
    <t>WOS:001396032500002</t>
  </si>
  <si>
    <t>Nakach, FZ; Idri, A; Goceri, E</t>
  </si>
  <si>
    <t>In breast cancer research, diverse data types and formats, such as radiological images, clinical records, histological data, and expression analysis, are employed. Given the intricate nature of natural phenomena, relying on the features of a single modality is seldom sufficient for comprehensive analysis. Therefore, it is possible to guarantee medical relevance and achieve improved clinical outcomes by combining several modalities. The presen study carefully maps and reviews 47 primary articles from six well-known digital libraries that were published between 2018 and 2023 for breast cancer classification based on multimodal deep learning fusion (MDLF) techniques. This systematic literature review encompasses various aspects, including the medical modalities combined, the datasets utilized in these studies, the techniques, models, and architectures used in MDLF and it also discusses the advantages and limitations of each approach. The analysis of selected papers has revealed a compelling trend: the emergence of new modalities and combinations that were previously unexplored in the context of breast cancer classification. This exploration has not only expanded the scope of predictive models but also introduced fresh perspectives for addressing diverse targets, ranging from screening to diagnosis and prognosis. The practical advantages of MDLF are evident in its ability to enhance the predictive capabilities of machine learning models, resulting in improved accuracy across diverse applications. The prevalence of deep learning models underscores their success in autonomously discerning complex patterns, offering a substantial departure from traditional machine learning approaches. Furthermore, the paper explores the challenges and future directions in this field, including the need for larger datasets, the use of ensemble learning methods, and the interpretation of multimodal models.</t>
  </si>
  <si>
    <t>Nakach, Fatima-Zahrae; Idri, Ali; Goceri, Evgin</t>
  </si>
  <si>
    <t>Nakach, FZ (corresponding author), Mohammed VI Polytech Univ, Fac Med Sci, UM6P, Marrakech Safi 43150, Morocco.</t>
  </si>
  <si>
    <t>ali.idri@um6p.ma; evgin@akdeniz.edu.tr; fatimazahra.nakach@um6p.ma</t>
  </si>
  <si>
    <t>Moroccan Ministry of Higher Education and Scientific Research, Digital Development Agency (ADD); CNRST</t>
  </si>
  <si>
    <t>This work was conducted under the research project "ML based Breast Cancer Diagnosis and Treatment", 2023-2025. The authors would like to thank the Moroccan Ministry of Higher Education and Scientific Research, Digital Development Agency (ADD), CNRST, and UM6P for their support.</t>
  </si>
  <si>
    <t>[Nakach, Fatima-Zahrae] Mohammed VI Polytech Univ, Fac Med Sci, UM6P, Marrakech Safi 43150, Morocco; [Idri, Ali] Mohammed V Univ, ENSIAS, UM5, Ave Regragui, Rabat 10000, Morocco; [Goceri, Evgin] Akdeniz Univ, Dept Biomed Engn, TR-07070 Antalya, Turkiye</t>
  </si>
  <si>
    <t>Mohammed VI Polytechnic University; Mohammed V University in Rabat; Akdeniz University</t>
  </si>
  <si>
    <t>A comprehensive investigation of multimodal deep learning fusion strategies for breast cancer classification</t>
  </si>
  <si>
    <t>ARTIFICIAL INTELLIGENCE REVIEW</t>
  </si>
  <si>
    <t>Breast cancer; Classification; Fusion; Multimodality; Deep learning; Review</t>
  </si>
  <si>
    <t>SURVIVAL; INTELLIGENCE; DIAGNOSIS; NETWORK; MODEL; UNIT</t>
  </si>
  <si>
    <t>GOCERI, EVGIN/A-8801-2016</t>
  </si>
  <si>
    <t>125</t>
  </si>
  <si>
    <t>91</t>
  </si>
  <si>
    <t>105</t>
  </si>
  <si>
    <t>0269-2821</t>
  </si>
  <si>
    <t>1573-7462</t>
  </si>
  <si>
    <t>ARTIF INTELL REV</t>
  </si>
  <si>
    <t>Artif. Intell. Rev.</t>
  </si>
  <si>
    <t>OCT 12 2024</t>
  </si>
  <si>
    <t>57</t>
  </si>
  <si>
    <t>327</t>
  </si>
  <si>
    <t>10.1007/s10462-024-10984-z</t>
  </si>
  <si>
    <t>http://dx.doi.org/10.1007/s10462-024-10984-z</t>
  </si>
  <si>
    <t>J3X2X</t>
  </si>
  <si>
    <t>WOS:001336421600004</t>
  </si>
  <si>
    <t>N</t>
  </si>
  <si>
    <t>Y</t>
  </si>
  <si>
    <t>Zhou, LZ; Zheng, M; Wang, HB; Liu, LJ; Wei, TS</t>
  </si>
  <si>
    <t>Adolescent athletes (aged 13-18 years) face significantly elevated lower-limb injury risk compared to adult populations due to immature neuromuscular control, while existing injury risk assessment methods are broadly limited by single-modal reliance, insufficient model interpretability, and a lack of dedicated research targeting youth populations. This study proposes an interpretable multimodal machine learning framework that integrates three data modalities-kinematics, physiology, and training load-via feature-level concatenation, based on a cross-sectional multimodal dataset of 320 fully anonymised adolescent athletes comprising 12 feature variables acquired under standardized protocols using internationally recognized instruments, including Vicon optical motion capture, AMTI force platforms, Polar H10 heart rate monitors, Supersonic Imagine Aixplorer ultrasound elastography, and Catapult GPS trackers. Through 5-fold stratified cross-validation, the comprehensive performance of five traditional and five modern/deep machine learning models was systematically compared in a binary injury risk stratification task. Experimental results demonstrate that logistic regression achieved the best overall performance [Accuracy = 86.9%, AUC-ROC = 0.965, F1 = 0.866, Matthews Correlation Coefficient (MCC) = 0.742]. Dual interpretability analysis was further conducted on the optimal model using a SHapley Additive exPlanations (SHAP) linear explainer and a Local Interpretable Model-Agnostic Explanations (LIME) local explainer; both methods consistently identified peak hip adduction angle (mean |SHAP| = 2.208), ankle dorsiflexion range of motion (1.426), and dynamic knee valgus angle (1.359) as the most critical injury risk predictors (Spearman rho = 0.93), in high agreement with established biomechanical findings in sports medicine. An ablation analysis of modality contributions demonstrated that the tri-modal integration achieved a substantive AUC gain over single-modality configurations, supporting the value of multimodal feature integration. We note explicitly that the binary risk label was derived from a clinically-informed weighted composite of the input features rather than from prospective injury follow-up; the framework therefore performs risk stratification with respect to this composite, and validation against true prospective injury outcomes remains an important next step. This study provides an interpretable technical framework for standardized, digitized, and stratified injury risk assessment in adolescent athletes, with important potential for clinical translation and sports injury prevention practice.</t>
  </si>
  <si>
    <t>Zhou, Linzhen; Zheng, Meng; Wang, Hongbing; Liu, Linjun; Wei, Tianshi</t>
  </si>
  <si>
    <t>Liu, LJ (corresponding author), Lincoln Univ Coll, Fac Pharm, Petaling Jaya, Selangor, Malaysia.</t>
  </si>
  <si>
    <t>linjun.edu@outlook.com</t>
  </si>
  <si>
    <t>[Zhou, Linzhen] Hunan Technol Univ, Phys Educ Sch, Zhuzhou, Hunan, Peoples R China; [Zheng, Meng; Wang, Hongbing] Nanjing Normal Univ, Sch Sports Sci &amp; Phys Educ, Nanjing, Jiangsu, Peoples R China; [Liu, Linjun] Lincoln Univ Coll, Fac Pharm, Petaling Jaya, Selangor, Malaysia; [Wei, Tianshi] Warsaw Sch Econ, Dept Int Comparat Studies, Warsaw, Poland</t>
  </si>
  <si>
    <t>Hunan University of Technology; Nanjing Normal University; Lincoln University College; Warsaw School of Economics</t>
  </si>
  <si>
    <t>Interpretable multimodal machine learning for injury risk stratification in adolescent athletes: integrating kinematic, physiological, and load data with SHAP/LIME explainability</t>
  </si>
  <si>
    <t>adolescent athletes; biomechanics; explainable artificial intelligence; heart rate variability; injury risk stratification; lime; logistic regression; machine learning</t>
  </si>
  <si>
    <t>CRUCIATE LIGAMENT INJURY</t>
  </si>
  <si>
    <t>JUL 30 2026</t>
  </si>
  <si>
    <t>1848064</t>
  </si>
  <si>
    <t>10.3389/fmed.2026.1848064</t>
  </si>
  <si>
    <t>http://dx.doi.org/10.3389/fmed.2026.1848064</t>
  </si>
  <si>
    <t>MQ6JY</t>
  </si>
  <si>
    <t>WOS:001848556000001</t>
  </si>
  <si>
    <t>Sun, QQ; Zhang, Q; Xiao, YB; Pei, XH</t>
  </si>
  <si>
    <t>Introduction Breast cancer brain metastases (BCBMs) represent a severe neurological complication affecting 10-20% of patients with metastatic breast cancer, with significant implications for treatment planning and prognosis. Accurate determination of hormone receptor (HR) status is critical for guiding personalized therapeutic strategies. However, traditional biopsy-based assessment is invasive, carries procedural risks, and may not capture the molecular heterogeneity of multiple metastatic lesions. Non-invasive methods for predicting HR status from brain MRI could transform clinical practice, yet existing approaches face three critical limitations: incomplete information utilization from single-modal features, ignored biological correlations among hormone receptors, and underexploited anatomical position information.Methods We developed a novel multi-modal deep learning (DL) framework leveraging the BCBM-RadioGenomics dataset from The Cancer Imaging Archive (TCIA), comprising 268 MRI studies from 165 patients with expert-validated tumor segmentations, 107 PyRadiomics-derived radiomic features, and clinical HR status. Our framework introduces three key methodological components: (1) a three-modal complementary fusion architecture integrating 3D DL features extracted from tumor regions of interest using a 3D ResNet, radiomic features, and anatomical position encoding representing tumor location through hemisphere and brain region one-hot encoding; (2) a multi-task collaborative learning framework with hard parameter sharing to simultaneously predict ER, PR, and HER2 status, employing a weighted loss function to address class imbalance; and (3) a lesion-level sampling strategy to maximize data utilization while preventing data leakage.Results The proposed model achieved area under the curve (ROC-AUC) values of 0.8763 +/- 0.0393 for HER2, 0.8621 +/- 0.0304 for ER, and 0.8993 +/- 0.0192 for PR prediction, outperforming traditional machine learning baselines. The multi-task learning framework demonstrated improvements for the challenging PR prediction task, while the three-modal fusion architecture consistently outperformed single-modal approaches across all tasks.Discussion This study demonstrates the feasibility and clinical potential of non-invasive molecular profiling of BCBMs using a multi-modal DL approach. These findings might offer a promising tool for treatment planning and patient management, reducing the need for invasive biopsies while enabling more accurate and comprehensive molecular characterization of brain metastases.</t>
  </si>
  <si>
    <t>Sun, Qiqi; Zhang, Qiong; Xiao, Yabo; Pei, Xiaohua</t>
  </si>
  <si>
    <t>Pei, XH (corresponding author), Beijing Univ Chinese Med, Affiliated Hosp 3, Beijing, Peoples R China.; Pei, XH (corresponding author), Beijing Univ Chinese Med, Sch Clin Med, Beijing, Peoples R China.; Pei, XH (corresponding author), Xiamen Hosp Tradit Chinese Med, Xiamen, Peoples R China.</t>
  </si>
  <si>
    <t>pxh_127@163.com</t>
  </si>
  <si>
    <t>Clinical Collaboration Project for Major and Difficult Diseases of Integrated Traditional Chinese and Western Medicine [ZDYN-2024-A-080]</t>
  </si>
  <si>
    <t>Clinical Collaboration Project for Major and Difficult Diseases of Integrated Traditional Chinese and Western Medicine</t>
  </si>
  <si>
    <t>The author(s) declared that financial support was received for this work and/or its publication. This work was supported by the Clinical Collaboration Project for Major and Difficult Diseases of Integrated Traditional Chinese and Western Medicine (Grant No. ZDYN-2024-A-080).</t>
  </si>
  <si>
    <t>[Sun, Qiqi; Zhang, Qiong; Pei, Xiaohua] Beijing Univ Chinese Med, Affiliated Hosp 3, Beijing, Peoples R China; [Sun, Qiqi; Zhang, Qiong; Pei, Xiaohua] Beijing Univ Chinese Med, Sch Clin Med, Beijing, Peoples R China; [Xiao, Yabo] Beijing Univ Posts &amp; Telecommun, Sch Elect Engn, Beijing, Peoples R China; [Pei, Xiaohua] Xiamen Hosp Tradit Chinese Med, Xiamen, Peoples R China</t>
  </si>
  <si>
    <t>Beijing University of Chinese Medicine; Beijing University of Chinese Medicine; Beijing University of Posts &amp; Telecommunications</t>
  </si>
  <si>
    <t>Prediction of hormone receptor status in breast cancer brain metastases using an MRI-based multimodal deep learning framework</t>
  </si>
  <si>
    <t>FRONTIERS IN HUMAN NEUROSCIENCE</t>
  </si>
  <si>
    <t>anatomical position encoding; breast cancer brain metastases; hormone receptor prediction; MRI; multi-modal DL; multi-task learning; radiomics</t>
  </si>
  <si>
    <t>1662-5161</t>
  </si>
  <si>
    <t>FRONT HUM NEUROSCI</t>
  </si>
  <si>
    <t>Front. Hum. Neurosci.</t>
  </si>
  <si>
    <t>JUN 15 2026</t>
  </si>
  <si>
    <t>1858163</t>
  </si>
  <si>
    <t>10.3389/fnhum.2026.1858163</t>
  </si>
  <si>
    <t>http://dx.doi.org/10.3389/fnhum.2026.1858163</t>
  </si>
  <si>
    <t>Neurosciences; Psychology</t>
  </si>
  <si>
    <t>Neurosciences &amp; Neurology; Psychology</t>
  </si>
  <si>
    <t>KG4IX</t>
  </si>
  <si>
    <t>42376235</t>
  </si>
  <si>
    <t>WOS:001806353300001</t>
  </si>
  <si>
    <t>Guo, J; Li, T; Ye, JH; Chen, ZX; Zhao, YF; Liao, JJ; Yang, HS</t>
  </si>
  <si>
    <t>Urbanization has intensified the urban heat island effect, driving a sustained increase in building energy consumption. Green building envelopes have emerged as an effective strategy for mitigating building thermal loads and improving urban environmental sustainability. This study proposes a physics-guided multimodal deep learning method for predicting the cooling performance of green building envelopes. The multimodal framework extracts and integrates data features from thermal image, visible light image, and meteorological parameters through cross-modal attention, self-attention fusion, and gated fusion mechanisms. A mechanistic heat-transfer formulation incorporating the Hargreaves-Samani and Penman-Monteith-Unsworth models is further proposed to formulate the physics-informed neural networks (PINNs), in which physical constraints guide the model learning process. To preserve physical interpretability, four key parameters, namely vegetation solar absorptivity (alpha), longwave emissivity (epsilon), Hargreaves coefficient (CH), and substrate thermal conductivity (k), are formulated as learnable parameters and dynamically estimated during training. The multimodal method significantly outperformed single-modality methods (R2 = 0.908, RMSE = 1.661, MAE = 1.166). To validate the out-of-sample generalization of the proposed model beyond the training period, an independent validation dataset collected in December 2025 was employed. The results (R2 = 0.854, RMSE = 1.180, MAE = 0.970) demonstrate that the physics-guided multimodal deep learning method advances the quantification of building energy consumption and provides a methodological foundation for the sustainable design of green building envelopes.</t>
  </si>
  <si>
    <t>Guo, Jun; Li, Tong; Ye, Junhao; Chen, Zhuoxuan; Zhao, Yuanfang; Liao, Jiajun; Yang, Haisheng</t>
  </si>
  <si>
    <t>Liao, JJ (corresponding author), Shenzhen Univ, Coll Civil &amp; Transportat Engn, Shenzhen 518060, Peoples R China.</t>
  </si>
  <si>
    <t>2019092029@email.szu.edu.cn</t>
  </si>
  <si>
    <t>Deep Earth Probe and Mineral Resources Exploration-National Science and Technology Major Project [2024ZD1004503]</t>
  </si>
  <si>
    <t>Deep Earth Probe and Mineral Resources Exploration-National Science and Technology Major Project</t>
  </si>
  <si>
    <t>This work was financially supported by the Deep Earth Probe and Mineral Resources Exploration-National Science and Technology Major Project (2024ZD1004503) .</t>
  </si>
  <si>
    <t>[Guo, Jun; Li, Tong; Ye, Junhao; Chen, Zhuoxuan; Liao, Jiajun; Yang, Haisheng] Shenzhen Univ, Coll Civil &amp; Transportat Engn, Shenzhen 518060, Peoples R China; [Guo, Jun; Liao, Jiajun] Shenzhen Univ, Coll Civil &amp; Transportat Engn, State Key Lab Intelligent Construction &amp; Hlth Oper, Shenzhen 518060, Peoples R China; [Zhao, Yuanfang] Shenzhen Univ, Coll Art &amp; Design, Shenzhen 518060, Peoples R China</t>
  </si>
  <si>
    <t>Shenzhen University; Shenzhen University; Shenzhen University</t>
  </si>
  <si>
    <t>Physics-guided multimodal deep learning for thermal performance prediction of green building envelopes</t>
  </si>
  <si>
    <t>BUILDING AND ENVIRONMENT</t>
  </si>
  <si>
    <t>Green building envelopes; Multimodal data fusion; Physical mechanism; Ambient cooling performance</t>
  </si>
  <si>
    <t>REDUCTION</t>
  </si>
  <si>
    <t>54</t>
  </si>
  <si>
    <t>0360-1323</t>
  </si>
  <si>
    <t>1873-684X</t>
  </si>
  <si>
    <t>BUILD ENVIRON</t>
  </si>
  <si>
    <t>Build. Environ.</t>
  </si>
  <si>
    <t>OCT 1 2026</t>
  </si>
  <si>
    <t>304</t>
  </si>
  <si>
    <t>B</t>
  </si>
  <si>
    <t>115079</t>
  </si>
  <si>
    <t>10.1016/j.buildenv.2026.115079</t>
  </si>
  <si>
    <t>http://dx.doi.org/10.1016/j.buildenv.2026.115079</t>
  </si>
  <si>
    <t>Construction &amp; Building Technology; Engineering, Environmental; Engineering, Civil</t>
  </si>
  <si>
    <t>Construction &amp; Building Technology; Engineering</t>
  </si>
  <si>
    <t>MN2RV</t>
  </si>
  <si>
    <t>WOS:001846275100001</t>
  </si>
  <si>
    <t>Minster, N; Jafri, S</t>
  </si>
  <si>
    <t>Blood-based biomarkers could facilitate early detection and severity monitoring for Parkinson's disease (PD), yet the relative diagnostic utility of proteomic versus transcriptomic signals and the added value of multimodal integration under cross-cohort transfer remain unclear. We trained diagnostic classifiers (PD versus healthy control) using targeted plasma proteomics (Olink) and whole-blood RNA sequencing from a development cohort under participant-grouped cross-validation with nested preprocessing, then externally validated models on an independent cohort. RNA-only models were benchmarked across multiple dimensionality-reduction and regularization strategies, and multimodal integration was evaluated using early fusion, balanced early fusion, late fusion, and stacking. A Proteomic Severity Index (PSI) was derived from baseline protein expression and assessed with linear and non-linear regressors. The proteomics-only Random Forest classifier achieved the strongest external validation (AUROC = 0.8724, 95% CI 0.8305-0.9097; AUPRC = 0.8989), whereas the best RNA-only configuration reached only 0.5978. No fusion strategy significantly improved discrimination beyond proteomics alone. Among 32 selected proteins, DDC showed the strongest severity association with total MDS-UPDRS (rho = 0.61), and the linear PSI explained 28.2% of severity variance, though PSI residuals showed no independent longitudinal association. These findings support targeted plasma proteomics as the primary molecular modality for blood-based PD biomarker development.</t>
  </si>
  <si>
    <t>Minster, Nicholas; Jafri, Saleet</t>
  </si>
  <si>
    <t>Minster, N (corresponding author), George Mason Univ, Sch Syst Biol, 4400 Univ Dr, Fairfax, VA 22030 USA.</t>
  </si>
  <si>
    <t>nminster@gmu.edu</t>
  </si>
  <si>
    <t>Accelerating Medicines Partnership (AMP) Parkinson's Disease (AMP-PD) Knowledge Platform - National Institute of Neurological Disorders and Stroke (NINDS); Celgene Corporation; GlaxoSmithKline plc (GSK); Michael J. Fox Foundation; Pfizer Inc.; AbbVie Inc.; Sanofi US Services Inc.; Verily Life Sciences; U.S. Department of Health and Human Services; Michael J. Fox Foundation for Parkinson's Research; Parkinson's Disease Biomarker Program; National Institute of Neurological Disorders and Stroke (NINDS) at the National Institutes of Health</t>
  </si>
  <si>
    <t>Accelerating Medicines Partnership (AMP) Parkinson's Disease (AMP-PD) Knowledge Platform - National Institute of Neurological Disorders and Stroke (NINDS); Celgene Corporation (Bristol-Myers Squibb, Celgene Corporation); GlaxoSmithKline plc (GSK); Michael J. Fox Foundation (Michael J Fox Foundation); Pfizer Inc. (Pfizer); AbbVie Inc. (AbbVie); Sanofi US Services Inc.; Verily Life Sciences; U.S. Department of Health and Human Services; Michael J. Fox Foundation for Parkinson's Research (Michael J Fox Foundation); Parkinson's Disease Biomarker Program; National Institute of Neurological Disorders and Stroke (NINDS) at the National Institutes of Health</t>
  </si>
  <si>
    <t>The PPMI investigators have not participated in reviewing the data analysis or content of the manuscript. Data used in the preparation of this article were obtained from the Accelerating Medicines Partnership (AMP) Parkinson's Disease (AMP-PD) Knowledge Platform. For up-to-date information on the study, visit https://www.amp-pd.org. The AMP-PD program is a public-private partnership managed by the Foundation for the National Institutes of Health and funded by the National Institute of Neurological Disorders and Stroke (NINDS) in partnership with the Aligning Science Across Parkinson's (ASAP) initiative; Celgene Corporation, a subsidiary of Bristol-Myers Squibb Company; GlaxoSmithKline plc (GSK); The Michael J. Fox Foundation for Parkinson's Research; Pfizer Inc.; AbbVie Inc.; Sanofi US Services Inc.; and Verily Life Sciences. ACCELERATING MEDICINES PARTNERSHIP and AMP are registered service marks of the U.S. Department of Health and Human Services. PPMI is sponsored by The Michael J. Fox Foundation for Parkinson's Research and supported by a consortium of scientific partners. For up-to-date information on the study, visit https://www.ppmi-info.org. The Parkinson's Disease Biomarker Program (PDBP) consortium is supported by the National Institute of Neurological Disorders and Stroke (NINDS) at the National Institutes of Health. A full list of PDBP investigators can be found at https://pdbp.ninds.nih.gov/policy. The PDBP investigators have not participated in reviewing the data analysis or content of the manuscript.</t>
  </si>
  <si>
    <t>[Minster, Nicholas; Jafri, Saleet] George Mason Univ, Sch Syst Biol, 4400 Univ Dr, Fairfax, VA 22030 USA; [Jafri, Saleet] George Mason Univ, Krasnow Inst Adv Study, 4400 Univ Dr, Fairfax, VA USA; [Jafri, Saleet] George Mason Univ, Interdisciplinary Program Neurosci, 4400 Univ Dr, Fairfax, VA USA</t>
  </si>
  <si>
    <t>George Mason University; George Mason University; George Mason University</t>
  </si>
  <si>
    <t>Plasma proteomics for Parkinson's disease classification: cross-cohort benchmarking of proteomic, transcriptomic, and multimodal models</t>
  </si>
  <si>
    <t>NPJ PARKINSONS DISEASE</t>
  </si>
  <si>
    <t>LEVODOPA</t>
  </si>
  <si>
    <t>62</t>
  </si>
  <si>
    <t>2373-8057</t>
  </si>
  <si>
    <t>NPJ PARKINSONS DIS</t>
  </si>
  <si>
    <t>npj Parkinsons Dis.</t>
  </si>
  <si>
    <t>APR 25 2026</t>
  </si>
  <si>
    <t>162</t>
  </si>
  <si>
    <t>10.1038/s41531-026-01344-5</t>
  </si>
  <si>
    <t>http://dx.doi.org/10.1038/s41531-026-01344-5</t>
  </si>
  <si>
    <t>KN2KV</t>
  </si>
  <si>
    <t>42034648</t>
  </si>
  <si>
    <t>WOS:001810967500001</t>
  </si>
  <si>
    <t>Liyaqat, T; Ahmad, T; Jamal, MK</t>
  </si>
  <si>
    <t>Drug-induced liver injury (DILI) remains one of the leading causes of drug development failure and post-marketing withdrawal. Despite recent advances in computational modeling, many existing approaches rely heavily on structural features such as molecular fingerprints, often neglecting the rich sequential information encoded in SMILES representations. In this study, we propose a multimodal deep learning framework that integrates both substructural features and sequential information to improve the prediction of DILI. Specifically, we utilize a diverse array of molecular fingerprints-KlekotaRoth, CDKExtended, MACCS, PubChem, Estate, Avalon, ECFP2, Morgan, and RDKit-to capture the structural aspects of molecules. In parallel, we use ChemBERTa, RoBERTa, ChemBERTaV2, and SMILES2Vec to extract high-level sequential information from SMILES strings. By fusing complementary modalities, our approach achieves superior performance compared to single modality methods. Furthermore, an ablation study reveals the synergistic contribution of both modalities in capturing the complex biological mechanisms underlying liver toxicity. Our findings underscore the importance of multimodal integration in developing more accurate and generalizable predictive models for DILI.</t>
  </si>
  <si>
    <t>Liyaqat, Tanya; Ahmad, Tanvir; Jamal, Md Khalid</t>
  </si>
  <si>
    <t>Liyaqat, T (corresponding author), Sharda Univ, Sharda Sch Comp Sci &amp; Engn, Greater Noida, India.</t>
  </si>
  <si>
    <t>mohammad.jamal@sharda.ac.in; tanyaliyaqat791@gmail.com; tahmad2@jmi.ac.in</t>
  </si>
  <si>
    <t>[Liyaqat, Tanya; Jamal, Md Khalid] Sharda Univ, Sharda Sch Comp Sci &amp; Engn, Greater Noida, India; [Ahmad, Tanvir] Jamia Millia Islamia, Dept Comp Engn, New Delhi 110025, India</t>
  </si>
  <si>
    <t>Sharda University; Jamia Millia Islamia</t>
  </si>
  <si>
    <t>A Multimodal deep learning method for predicting drug-induced liver injury using structural and sequential molecular representations</t>
  </si>
  <si>
    <t>JOURNAL OF COMPUTER-AIDED MOLECULAR DESIGN</t>
  </si>
  <si>
    <t>DILI; Molecular property; Deep learning; Multimodality; Representational learning</t>
  </si>
  <si>
    <t>HEPATOTOXICITY; MODELS</t>
  </si>
  <si>
    <t>Liyaqat, Tanya/KRP-9828-2024</t>
  </si>
  <si>
    <t>Liyaqat, Tanya/0000-0001-5060-6498</t>
  </si>
  <si>
    <t>0920-654X</t>
  </si>
  <si>
    <t>1573-4951</t>
  </si>
  <si>
    <t>J COMPUT AID MOL DES</t>
  </si>
  <si>
    <t>J. Comput.-Aided Mol. Des.</t>
  </si>
  <si>
    <t>MAR 26 2026</t>
  </si>
  <si>
    <t>86</t>
  </si>
  <si>
    <t>10.1007/s10822-026-00796-4</t>
  </si>
  <si>
    <t>http://dx.doi.org/10.1007/s10822-026-00796-4</t>
  </si>
  <si>
    <t>Biochemistry &amp; Molecular Biology; Biophysics; Computer Science, Interdisciplinary Applications</t>
  </si>
  <si>
    <t>Biochemistry &amp; Molecular Biology; Biophysics; Computer Science</t>
  </si>
  <si>
    <t>FN6BY</t>
  </si>
  <si>
    <t>41882435</t>
  </si>
  <si>
    <t>WOS:001723022900002</t>
  </si>
  <si>
    <t>Yang, ZJ; Guo, CY; Li, JY; Li, YL; Zhong, L; Pu, PM; Shang, TX; Cong, L; Zhou, YX; Qiao, GD; Jia, ZQ; Xu, HY; Cao, H; Huang, YS; Liu, TY; Liang, J; Wu, J; Ma, DX; Liu, YC; Zhou, RJ; Wang, X; Ying, JM; Zhou, M; Liu, JQ</t>
  </si>
  <si>
    <t>Genetic testing for pathogenic germline variants is critical for the personalized management of high-risk breast cancers, guiding targeted therapies and cascade testing for at-risk families. In this study, MAIGGT (Multimodal Artificial Intelligence Germline Genetic Testing) is proposed, a deep learning framework that integrates histopathological microenvironment features from whole-slide images with clinical phenotypes from electronic health records for precise prescreening of germline BRCA1/2 mutations. Leveraging a multi-scale Transformer-based deep generative architecture, MAIGGT employs a cross-modal latent representation unification mechanism to capture complementary biological insights from multimodal data. MAIGGT is rigorously validated across three independent cohorts and demonstrated robust performance with areas under receiver operating characteristic curves of 0.925 (95% CI 0.868 - 0.982), 0.845 (95% CI 0.779 - 0.911), and 0.833 (0.788 - 0.878), outperforming single-modality models. Mechanistic interpretability analyses revealed that BRCA1/2-mutated associated tumors may exhibit distinct microenvironment patterns, including increased inflammatory cell infiltration, stromal proliferation and necrosis, and nuclear heterogeneity. By bridging digital pathology with clinical phenotypes, MAIGGT establishes a new paradigm for cost-effective, scalable, and biologically interpretable prescreening of hereditary breast cancer, with the potential to significantly improve the accessibility of genetic testing in routine clinical practice.</t>
  </si>
  <si>
    <t>Yang, Zijian; Guo, Changyuan; Li, Jiayi; Li, Yalun; Zhong, Lei; Pu, Pengming; Shang, Tongxuan; Cong, Lin; Zhou, Yongxin; Qiao, Guangdong; Jia, Ziqi; Xu, Hengyi; Cao, Heng; Huang, Yansong; Liu, Tianyi; Liang, Jian; Wu, Jiang; Ma, Dongxu; Liu, Yuchen; Zhou, Ruijie; Wang, Xiang; Ying, Jianming; Zhou, Meng; Liu, Jiaqi</t>
  </si>
  <si>
    <t>Zhou, M (corresponding author), Wenzhou Med Univ, Inst Genom Med, Sch Biomed Engn, Wenzhou 325027, Peoples R China.; Ying, JM (corresponding author), Chinese Acad Med Sci &amp; Peking Union Med Coll, Natl Clin Res Ctr Canc, Natl Canc Ctr, Dept Pathol,Canc Hosp, Beijing 100021, Peoples R China.; Liu, JQ (corresponding author), Chinese Acad Med Sci &amp; Peking Union Med Coll, Natl Clin Res Ctr Canc, Natl Canc Ctr, Dept Breast Surg Oncol,Canc Hosp, Beijing 100021, Peoples R China.; Liu, JQ (corresponding author), Chinese Acad Med Sci &amp; Peking Union Med Coll, Natl Canc Ctr, Natl Clin Res Ctr Canc, State Key Lab Mol Oncol,Canc Hosp, Beijing 100021, Peoples R China.</t>
  </si>
  <si>
    <t>jmying@cicams.ac.cn; j.liu@cicams.ac.cn; zhoumeng@wmu.edu.cn</t>
  </si>
  <si>
    <t>Beijing Technology Innovation Foundation for University or College Students</t>
  </si>
  <si>
    <t>The authors thank all individuals, families and physicians involved in the study for their participation. The authors thank BioScience Writers, LLC, for editing support. This research was funded in part by the National Natural Science Foundation of China (82272938 to J.L.), Beijing Nova Program (20220484059 to J.L.), the CAMS Innovation Fund for Medical Sciences (2021-I2M-1-014 to J.L.), and Beijing Technology Innovation Foundation for University or College Students (2024dcxm054 to J.L.).</t>
  </si>
  <si>
    <t>[Yang, Zijian; Zhou, Meng] Wenzhou Med Univ, Inst Genom Med, Sch Biomed Engn, Wenzhou 325027, Peoples R China; [Guo, Changyuan; Ying, Jianming] Chinese Acad Med Sci &amp; Peking Union Med Coll, Natl Clin Res Ctr Canc, Natl Canc Ctr, Dept Pathol,Canc Hosp, Beijing 100021, Peoples R China; [Li, Jiayi] Chinese Acad Med Sci &amp; Peking Union Med Coll Hosp, Dept Breast Surg, Beijing 100730, Peoples R China; [Li, Jiayi; Pu, Pengming; Shang, Tongxuan; Cong, Lin; Zhou, Yongxin; Jia, Ziqi; Cao, Heng; Huang, Yansong; Wu, Jiang; Ma, Dongxu; Liu, Yuchen; Zhou, Ruijie; Wang, Xiang; Liu, Jiaqi] Chinese Acad Med Sci &amp; Peking Union Med Coll, Natl Clin Res Ctr Canc, Natl Canc Ctr, Dept Breast Surg Oncol,Canc Hosp, Beijing 100021, Peoples R China; [Li, Jiayi; Pu, Pengming; Shang, Tongxuan; Cong, Lin; Zhou, Yongxin; Huang, Yansong] Chinese Acad Med Sci &amp; Peking Union Med Coll, Sch Clin Med, Beijing 100005, Peoples R China; [Li, Yalun; Qiao, Guangdong] Qingdao Univ, Dept Breast Surg, Affiliated Yantai Yuhuangding Hosp, Yantai 264000, Peoples R China; [Zhong, Lei] Harbin Med Univ, Dept Breast Surg, Affiliated Hosp 6, Harbin 150023, Peoples R China; [Xu, Hengyi; Liu, Jiaqi] Chinese Acad Med Sci &amp; Peking Union Med Coll, Natl Canc Ctr, Natl Clin Res Ctr Canc, State Key Lab Mol Oncol,Canc Hosp, Beijing 100021, Peoples R China; [Liu, Tianyi] Harbin Med Univ, Affiliated Hosp 2, Dept Pathol, Harbin 150086, Peoples R China; [Liang, Jian] Harbin Med Univ, Affiliated Hosp 2, Dept Breast Surg, Harbin 150086, Peoples R China</t>
  </si>
  <si>
    <t>Wenzhou Medical University; Chinese Academy of Medical Sciences - Peking Union Medical College; Cancer Institute &amp; Hospital - CAMS; Peking Union Medical College; Chinese Academy of Medical Sciences - Peking Union Medical College; Cancer Institute &amp; Hospital - CAMS; Peking Union Medical College; Chinese Academy of Medical Sciences - Peking Union Medical College; Peking Union Medical College; Qingdao University; Harbin Medical University; Chinese Academy of Medical Sciences - Peking Union Medical College; Cancer Institute &amp; Hospital - CAMS; Peking Union Medical College; Harbin Medical University; Harbin Medical University</t>
  </si>
  <si>
    <t>An Explainable Multimodal Artificial Intelligence Model Integrating Histopathological Microenvironment and EHR Phenotypes for Germline Genetic Testing in Breast Cancer</t>
  </si>
  <si>
    <t>ADVANCED SCIENCE</t>
  </si>
  <si>
    <t>BRCA1/2; breast cancer; deep learning; electronic health records; tumor microenvironment; whole-slide image</t>
  </si>
  <si>
    <t>ATLAS REVEALS; GUIDELINES; BRCA1</t>
  </si>
  <si>
    <t>Zhou, Meng/G-7674-2011; Xu, Hengyi/OIR-7722-2025; Jia, Ziqi/GRF-0134-2022; LJ(lijian), Liu（Liu）/KFS-8878-2024; Ying, jianming/OEO-9795-2025</t>
  </si>
  <si>
    <t>Liu, Jiaqi/0000-0002-9775-2342</t>
  </si>
  <si>
    <t>48</t>
  </si>
  <si>
    <t>2198-3844</t>
  </si>
  <si>
    <t>ADV SCI</t>
  </si>
  <si>
    <t>Adv. Sci.</t>
  </si>
  <si>
    <t>e02833</t>
  </si>
  <si>
    <t>10.1002/advs.202502833</t>
  </si>
  <si>
    <t>http://dx.doi.org/10.1002/advs.202502833</t>
  </si>
  <si>
    <t>Chemistry, Multidisciplinary; Nanoscience &amp; Nanotechnology; Materials Science, Multidisciplinary</t>
  </si>
  <si>
    <t>Chemistry; Science &amp; Technology - Other Topics; Materials Science</t>
  </si>
  <si>
    <t>6LN5J</t>
  </si>
  <si>
    <t>40439693</t>
  </si>
  <si>
    <t>WOS:001498606600001</t>
  </si>
  <si>
    <t>Wen, HY; Shi, HT; Yu, JS; Fan, ZB; Dai, HC; Jiang, LL; Song, QY</t>
  </si>
  <si>
    <t>The swine farming industry, a key pillar of Chinese animal husbandry, faces significant challenges due to frequent outbreaks of porcine gastrointestinal infectious diseases (PGID). Traditional diagnostic methods reliant on human expertise suffer from low efficiency, high subjectivity, and poor accuracy. To address these issues, this paper proposes a multimodal diagnostic method based on artificial intelligence (AI) and large language model (LLM) for six common types of PGID. In this method, ChatGPT and image augmentation techniques were first used to expand the dataset. Next, the Multi-scale TextCNN (MS-TextCNN) model was employed to capture multi-granularity semantic features from text. Subsequently, an improved Mask R-CNN model was applied to segment small intestine lesion regions, after which seven convolutional neural network (CNN) models were used to classify the segmented images. Finally, five machine learning models were utilized for multimodal classification diagnosis. Experimental results demonstrate that the multimodal diagnostic model can accurately identify six common types of PGID. This study provides an efficient and accurate intelligent solution for diagnosing PGID and demonstrates superior performance compared with single-modality methods.</t>
  </si>
  <si>
    <t>Wen, Haiyan; Shi, Hongtao; Yu, Jiashang; Fan, Zhaobin; Dai, Haicheng; Jiang, Lili; Song, Qinye</t>
  </si>
  <si>
    <t>Song, QY (corresponding author), Hebei Agr Univ, Coll Vet Med, Baoding, Peoples R China.</t>
  </si>
  <si>
    <t>songqinye@126.com</t>
  </si>
  <si>
    <t>The author(s) declare that financial support was received for the research and/or publication of this article. This work was jointly funded by the Key Research and Development Program of Shandong Province (Agricultural Good Variety Project, 2022LZGC003) and the new generation of artificial intelligence National Science and Technology Major Project (2021ZD0113802).</t>
  </si>
  <si>
    <t>[Wen, Haiyan; Song, Qinye] Hebei Agr Univ, Coll Vet Med, Baoding, Peoples R China; [Wen, Haiyan; Fan, Zhaobin; Jiang, Lili] Heze Univ, Coll Pharm, Heze, Peoples R China; [Shi, Hongtao] Qingdao Agr Univ, Sch Sci &amp; Informat Sci, Qingdao, Peoples R China; [Yu, Jiashang] Heze Univ, Coll Math &amp; Stat, Heze, Peoples R China; [Dai, Haicheng] Rizhao Jiacheng Anim Hlth Prod Co Ltd, Rizhao, Peoples R China</t>
  </si>
  <si>
    <t>Hebei Agricultural University; Heze University; Qingdao Agricultural University; Heze University</t>
  </si>
  <si>
    <t>An intelligent diagnostic method for porcine gastrointestinal infectious diseases based on multimodal AI and large language model</t>
  </si>
  <si>
    <t>FRONTIERS IN VETERINARY SCIENCE</t>
  </si>
  <si>
    <t>porcine gastrointestinal infectious diseases; multimodal; artificial intelligence; large language model; Mask R-CNN; machine learning</t>
  </si>
  <si>
    <t>2297-1769</t>
  </si>
  <si>
    <t>FRONT VET SCI</t>
  </si>
  <si>
    <t>Front. Vet. Sci.</t>
  </si>
  <si>
    <t>SEP 5 2025</t>
  </si>
  <si>
    <t>1660745</t>
  </si>
  <si>
    <t>10.3389/fvets.2025.1660745</t>
  </si>
  <si>
    <t>http://dx.doi.org/10.3389/fvets.2025.1660745</t>
  </si>
  <si>
    <t>Veterinary Sciences</t>
  </si>
  <si>
    <t>7LN2T</t>
  </si>
  <si>
    <t>40979363</t>
  </si>
  <si>
    <t>WOS:001573875000001</t>
  </si>
  <si>
    <t>Pang, YY; Tang, ZQ; Song, C; Qu, N; Chen, JY; Xiong, DD; Feng, ZB; Chen, G</t>
  </si>
  <si>
    <t>The use of machine learning to integrate and analyse multimodal information has broad prospects for enhancing the precision of tumour diagnosis. Our study constructed a multimodal diagnostic model for papillary thyroid carcinoma (PTC) by integrating pathomics and ultrasound radiomics characteristics using artificial intelligence machine learning methods, aiming to improve the efficiency of pathologists. A retrospective analysis was conducted on 222 cases with postoperative diagnoses of PTC and 163 cases with postoperative diagnoses of benign thyroid nodules. Scanning was used to obtain cytopathology digitised images, cut image blocks and outline the corresponding ultrasound imaging lesions to extract pathomics and ultrasound radiomics features. Three methods, as eXtreme gradient boosting (XGBoost), support vector machine (SVM), and random forest (RF) algorithms, were applied to construct PTC cytopathological diagnostic models. The efficacy of the models was evaluated and validated with the area under receiver operating characteristic curve (AUC), and the performance of single-modal, multimodal, and artificial diagnostic models was compared. (c) 2025 The Author(s). Published by Elsevier Inc. This is an open access article under the CC BY-NC license (http://creativecommons.org/licenses/by-nc/4.0/)</t>
  </si>
  <si>
    <t>Pang, Yu-Yan; Tang, Zhong-Qing; Song, Chang; Qu, Ning; Chen, Jing-Yu; Xiong, Dan-Dan; Feng, Zhen-Bo; Chen, Gang</t>
  </si>
  <si>
    <t>Feng, ZB; Chen, G (corresponding author), Guangxi Med Univ, Affiliated Hosp 1, Dept Pathol, 6 Shuangyong Rd, Nanning 530021, Guangxi Zhuang, Peoples R China.</t>
  </si>
  <si>
    <t>fengzhenbo_gxmu@163.com; chengang@gxmu.edu.cn</t>
  </si>
  <si>
    <t>Guangxi Zhuang Autonomous Region Health Commission Scientific Research Project [Z-A20220521]; Innovation Project of Guangxi Graduate Education [YCBZ2023096, JGY2023068]; National College Students' innovation and entrepreneurship training program [202310598042]; Guangxi Higher Education Undergraduate Teaching Reform Project [2022JGA146]; Guangxi Educational Science Planning Key Project [2022ZJY2791]; Guangxi Medical University Undergraduate Education and Teaching Reform Project [2023Z10]; Guangxi Zhuang Autonomous Region Clinical Medicine Research Center for Molecular Pathology</t>
  </si>
  <si>
    <t>Guangxi Zhuang Autonomous Region Health Commission Scientific Research Project; Innovation Project of Guangxi Graduate Education; National College Students' innovation and entrepreneurship training program; Guangxi Higher Education Undergraduate Teaching Reform Project; Guangxi Educational Science Planning Key Project; Guangxi Medical University Undergraduate Education and Teaching Reform Project; Guangxi Zhuang Autonomous Region Clinical Medicine Research Center for Molecular Pathology</t>
  </si>
  <si>
    <t>This research was funded by the Guangxi Zhuang Autonomous Region Health Commission Scientific Research Project (Z-A20220521) , Innovation Project of Guangxi Graduate Education (YCBZ2023096, JGY2023068) , National College Students' innovation and entrepreneurship training program (202310598042) , Guangxi Higher Education Undergraduate Teaching Reform Project (2022JGA146) , Guangxi Educational Science Planning Key Project (2022ZJY2791) , Guangxi Medical University Undergraduate Education and Teaching Reform Project (2023Z10) . And all authors would like to thank the Guangxi Zhuang Autonomous Region Clinical Medicine Research Center for Molecular Pathology and Intelligent Pathology Precision Diagnosis for the valuable technique support.</t>
  </si>
  <si>
    <t>[Pang, Yu-Yan; Song, Chang; Qu, Ning; Chen, Jing-Yu; Xiong, Dan-Dan; Feng, Zhen-Bo; Chen, Gang] Guangxi Med Univ, Affiliated Hosp 1, Dept Pathol, 6 Shuangyong Rd, Nanning 530021, Guangxi Zhuang, Peoples R China; [Tang, Zhong-Qing] Guangxi Med Univ, Affiliated Hosp 7, Wuzhou Gongren Hosp, Dept Pediat, 1 Nansanxiang Gaodi Rd, Wuzhou 543000, Guangxi Zhuang, Peoples R China</t>
  </si>
  <si>
    <t>Guangxi Medical University; Guangxi Medical University</t>
  </si>
  <si>
    <t>Construction of a Multimodal Machine Learning Model for Papillary Thyroid Carcinoma Based on Pathomics and Ultrasound Radiomics Dataset</t>
  </si>
  <si>
    <t>DATA IN BRIEF</t>
  </si>
  <si>
    <t>Article; Data Paper</t>
  </si>
  <si>
    <t>Papillary thyroid carcinoma; Machine learning; Multimodal model; Support vector machine; Random forest</t>
  </si>
  <si>
    <t>CANCER; PREDICTION; NODULES; RISK</t>
  </si>
  <si>
    <t>qu, ning/KIG-2383-2024</t>
  </si>
  <si>
    <t>2352-3409</t>
  </si>
  <si>
    <t>DATA BRIEF</t>
  </si>
  <si>
    <t>Data Brief</t>
  </si>
  <si>
    <t>60</t>
  </si>
  <si>
    <t>111583</t>
  </si>
  <si>
    <t>10.1016/j.dib.2025.111583</t>
  </si>
  <si>
    <t>http://dx.doi.org/10.1016/j.dib.2025.111583</t>
  </si>
  <si>
    <t>2QK1C</t>
  </si>
  <si>
    <t>40534709</t>
  </si>
  <si>
    <t>WOS:001488824700002</t>
  </si>
  <si>
    <t>Wu, XY; Liu, H; Liu, JY; Mu, B'; Li, JF; Wang, SY; Li, FL; Lu, XX; Chen, J; Peng, YL; Yi, YH; Lv, JC; Bu, H</t>
  </si>
  <si>
    <t>Hormone receptor-positive/human epidermal growth factor receptor 2-negative (HR+/HER2-) early breast cancer (EBC) patients face long-term recurrence risk despite standard treatment. Current prognostic tools relying on clinicopathological factors or multigene assays have limited accuracy or accessibility. In this study, we developed a multimodal recurrence risk prediction (MRRP) model integrating routinely available clinical data, including whole-slide images (WISs), ultrasound (US) imaging and diagnostic reports, and structured clinical parameters. The MRRP model employs a hierarchical transformer-based fusion framework with innovative intra- and intermodality cross-attention mechanisms to dynamically integrate diverse feature representations. Using a well-curated cohort of 768 HR+/HER2- EBC patients with long-term follow-up, MRRP demonstrated superior prognostic performance (C-index = 0.840) compared to single-modality models, with robust time-dependent AUCs exceeding 0.85 at 3, 5, and 7 years. Ablation studies highlighted the central role of pathology features and the complementary value of US and clinical data. We further validated the optimal query selection strategies and evaluated different pretrained encoders, revealing complex modality interactions. To address real-world challenges of missing modality data, a learnable compensation mechanism was implemented, improving model robustness. Our study provides a clinically practical, AI-driven tool for precise risk stratification in HR+/HER2- EBC patients, facilitating individualized treatment and surveillance decisions without reliance on costly multi-omics data.</t>
  </si>
  <si>
    <t>Wu, Xiaoyan; Liu, Hong; Liu, Jingyan; Mu, Bing'an; Li, Jianfei; Wang, Siyu; Li, Fengling; Lu, Xunxi; Chen, Jie; Peng, Yulan; Yi, Yuhao; Lv, Jiancheng; Bu, Hong</t>
  </si>
  <si>
    <t>Yi, YH (corresponding author), Sichuan Univ, West China Hosp, Inst Clin Pathol, Chengdu, Peoples R China.; Peng, YL (corresponding author), Sichuan Univ, West China Hosp, Dept Med Ultrasound, Chengdu, Peoples R China.</t>
  </si>
  <si>
    <t>yulanpeng@163.com; yuhaoyi@scu.edu.cn</t>
  </si>
  <si>
    <t>"Qimingxing" Research Fund for Young Talents [HXQMX0030]; National Natural Science Foundation of China [62303338]; Sichuan Science and Technology Program [2024YFFK0339]</t>
  </si>
  <si>
    <t>"Qimingxing" Research Fund for Young Talents; National Natural Science Foundation of China (National Natural Science Foundation of China (NSFC)); Sichuan Science and Technology Program</t>
  </si>
  <si>
    <t>This study was supported by the National Natural Science Foundation of China (grant no. 62303338), the Natural Science Foundation of Sichuan Province (grant no.2026NSFSC1491), the Sichuan Science and Technology Program (grant no. 2024YFFK0339), and the "Qimingxing" Research Fund for Young Talents (grant no. HXQMX0030).</t>
  </si>
  <si>
    <t>[Wu, Xiaoyan; Li, Fengling; Lu, Xunxi; Bu, Hong] Sichuan Univ, West China Hosp, Dept Pathol, Chengdu, Peoples R China; [Wu, Xiaoyan; Lu, Xunxi; Chen, Jie; Yi, Yuhao; Bu, Hong] Sichuan Univ, West China Hosp, Inst Clin Pathol, Chengdu, Peoples R China; [Liu, Hong; Mu, Bing'an; Lv, Jiancheng] Sichuan Univ, Coll Comp Sci, Chengdu, Peoples R China; [Liu, Jingyan; Wang, Siyu; Peng, Yulan] Sichuan Univ, West China Hosp, Dept Med Ultrasound, Chengdu, Peoples R China; [Li, Jianfei] Chongqing Univ Posts &amp; Telecommun, Coll Comp Sci &amp; Technol, Chongqing, Peoples R China</t>
  </si>
  <si>
    <t>Sichuan University; Sichuan University; Sichuan University; Sichuan University; Chongqing University of Posts &amp; Telecommunications</t>
  </si>
  <si>
    <t>Multimodal Deep Learning with Routine Clinical Data for Recurrence Risk Stratification in HR+/HER2- Early Breast Cancer</t>
  </si>
  <si>
    <t>RESEARCH</t>
  </si>
  <si>
    <t>70-GENE PROGNOSIS-SIGNATURE; ARTIFICIAL-INTELLIGENCE; FOUNDATION MODEL; DATA INTEGRATION; TAMOXIFEN; REPRESENTATION; VALIDATION; PREDICTOR; GRADE; ASSAY</t>
  </si>
  <si>
    <t>AMER ASSOC ADVANCEMENT SCIENCE</t>
  </si>
  <si>
    <t>1200 NEW YORK AVE, NW, WASHINGTON, DC 20005 USA</t>
  </si>
  <si>
    <t>2096-5168</t>
  </si>
  <si>
    <t>2639-5274</t>
  </si>
  <si>
    <t>RESEARCH-CHINA</t>
  </si>
  <si>
    <t>Research</t>
  </si>
  <si>
    <t>MAR 30 2026</t>
  </si>
  <si>
    <t>1136</t>
  </si>
  <si>
    <t>10.34133/research.1136</t>
  </si>
  <si>
    <t>http://dx.doi.org/10.34133/research.1136</t>
  </si>
  <si>
    <t>FU4KT</t>
  </si>
  <si>
    <t>41919095</t>
  </si>
  <si>
    <t>WOS:001727655000001</t>
  </si>
  <si>
    <t>Ding, JE; Thao, PNM; Peng, WC; Wang, JZ; Chug, CC; Hsieh, MC; Tseng, YC; Chen, L; Luo, DS; Wu, CW; Wang, CT; Hsu, CH; Chen, YT; Chen, PF; Liu, F; Hung, FM</t>
  </si>
  <si>
    <t>Type 2 diabetes mellitus (T2DM) is a prevalent health challenge faced by countries worldwide. In this study, we propose a novel large language multimodal models (LLMMs) framework incorporating multimodal data from clinical notes and laboratory results for diabetes risk prediction. We collected five years of electronic health records (EHRs) dating from 2017 to 2021 from a Taiwan hospital database. This dataset included 1,420,596 clinical notes, 387,392 laboratory results, and more than 1505 laboratory test items. Our method combined a text embedding encoder and multi-head attention layer to learn laboratory values, and utilized a deep neural network (DNN) module to merge blood features with chronic disease semantics into a latent space. In our experiments, we observed that integrating clinical notes with predictions based on textual laboratory values significantly enhanced the predictive capability of the unimodal model in the early detection of T2DM. Moreover, we achieved an area greater than 0.70 under the receiver operating characteristic curve (AUC) for new-onset T2DM prediction, demonstrating the effectiveness of leveraging textual laboratory data for training and inference in LLMs and improving the accuracy of new-onset diabetes prediction.</t>
  </si>
  <si>
    <t>Ding, Jun-En; Thao, Phan Nguyen Minh; Peng, Wen-Chih; Wang, Jian-Zhe; Chug, Chun-Cheng; Hsieh, Min-Chen; Tseng, Yun-Chien; Chen, Ling; Luo, Dongsheng; Wu, Chenwei; Wang, Chi-Te; Hsu, Chih-Ho; Chen, Yi-Tui; Chen, Pei-Fu; Liu, Feng; Hung, Fang-Ming</t>
  </si>
  <si>
    <t>Hung, FM (corresponding author), Far Eastern Mem Hosp, Surg Trauma Intens Care Unit, New Taipei City, Taiwan.; Hung, FM (corresponding author), Natl Taipei Univ Nursing &amp; Hlth Sci, Smart Healthcare Interdisciplinary Coll, Taipei City, Taiwan.</t>
  </si>
  <si>
    <t>philip@mail.femh.org.tw</t>
  </si>
  <si>
    <t>[Ding, Jun-En; Liu, Feng] Stevens Inst Technol, Sch Syst &amp; Enterprises, Hoboken, NJ USA; [Thao, Phan Nguyen Minh; Peng, Wen-Chih; Wang, Jian-Zhe; Chug, Chun-Cheng; Hsieh, Min-Chen; Tseng, Yun-Chien] Natl Yang Ming Chiao Tung Univ, Dept Comp Sci, Hsinchu, Taiwan; [Chen, Ling] Natl Yang Ming Chiao Tung Univ, Inst Hosp &amp; Hlth Care Adm, Taipei, Taiwan; [Luo, Dongsheng] Florida Int Univ, Sch Comp &amp; Informat Sci, Miami, FL USA; [Hsu, Chih-Ho] Far Eastern Mem Hosp, Dept Surg, New Taipei City, Taiwan; [Hung, Fang-Ming] Far Eastern Mem Hosp, Surg Trauma Intens Care Unit, New Taipei City, Taiwan; [Chen, Yi-Tui; Hung, Fang-Ming] Natl Taipei Univ Nursing &amp; Hlth Sci, Smart Healthcare Interdisciplinary Coll, Taipei City, Taiwan; [Wu, Chenwei] Univ Michigan, Elect Engn &amp; Comp Sci, Ann Arbor, MI USA; [Chen, Pei-Fu] Far Eastern Mem Hosp, Dept Anesthesiol, New Taipei City, Taiwan; [Chen, Pei-Fu] Yuan Ze Univ, Dept Elect Engn, Taoyuan, Taiwan; [Wang, Chi-Te] Far Eastern Mem Hosp, Ctr Artificial Intelligence, New Taipei City, Taiwan</t>
  </si>
  <si>
    <t>Stevens Institute of Technology; National Yang Ming Chiao Tung University; National Yang Ming Chiao Tung University; State University System of Florida; Florida International University; Far Eastern Memorial Hospital; Far Eastern Memorial Hospital; National Taipei University of Nursing &amp; Health Science (NTUNHS); University of Michigan System; University of Michigan; Far Eastern Memorial Hospital; Yuan Ze University; Far Eastern Memorial Hospital</t>
  </si>
  <si>
    <t>Large language multimodal models for new-onset type 2 diabetes prediction using five-year cohort electronic health records</t>
  </si>
  <si>
    <t>Chen, Ling/D-2804-2009; Chen, Pei-Fu/MIO-0547-2025; Ding, Jun-En/LCE-2471-2024; Liu, Feng/AAK-1113-2021</t>
  </si>
  <si>
    <t>Chen, Ling/0000-0002-1512-6672; Liu, Feng/0000-0002-5225-8199; Chen, Pei-Fu/0000-0002-0192-5377; Ding, Jun-En/0000-0002-1233-138X</t>
  </si>
  <si>
    <t>SEP 6 2024</t>
  </si>
  <si>
    <t>20774</t>
  </si>
  <si>
    <t>10.1038/s41598-024-71020-2</t>
  </si>
  <si>
    <t>http://dx.doi.org/10.1038/s41598-024-71020-2</t>
  </si>
  <si>
    <t>F2E0C</t>
  </si>
  <si>
    <t>39237580</t>
  </si>
  <si>
    <t>WOS:001307989400002</t>
  </si>
  <si>
    <t>Wu, H; Xu, JJ</t>
  </si>
  <si>
    <t>International investment arbitration has expanded at a remarkable pace over the past two decades, generating pressing demand for robust outcome prediction tools that can guide strategic decisions. This study presents a multimodal deep learning framework that fuses textual, numerical, and visual data to predict arbitration outcomes in the investor-state dispute settlement context. Our attention-based fusion architecture channels legal documents, macroeconomic indicators, and visual evidence through dedicated encoders capable of capturing intricate cross-modal dependencies that shape tribunal reasoning. Evaluated on 1,247 arbitration cases drawn from major international institutions, the multimodal model attains an overall accuracy of 86.7%, surpassing single-modality counterparts by 7.8% points and conventional machine learning baselines by 14.6% points. Feature importance analysis reveals that the quality of legal argumentation, dispute monetary value, and arbitrator panel composition rank among the most decisive determinants of outcomes. Beyond their technical value, these findings equip investors, host states, and legal counsel with evidence-based tools for strategic planning, while simultaneously foregrounding normative questions about fairness, transparency, and equitable access to predictive technologies in dispute resolution.</t>
  </si>
  <si>
    <t>Wu, Hao; Xu, Jiajun</t>
  </si>
  <si>
    <t>Wu, H (corresponding author), Hohai Univ, Sch Publ Adm, Nanjing 211100, Jiangsu, Peoples R China.</t>
  </si>
  <si>
    <t>asd18103929689@163.com</t>
  </si>
  <si>
    <t>[Wu, Hao; Xu, Jiajun] Hohai Univ, Sch Publ Adm, Nanjing 211100, Jiangsu, Peoples R China</t>
  </si>
  <si>
    <t>Hohai University</t>
  </si>
  <si>
    <t>Multimodal deep learning for international investment arbitration outcome prediction and bilateral investment agreement negotiation strategy optimization</t>
  </si>
  <si>
    <t>Multimodal deep learning; International investment arbitration; Outcome prediction; Legal analytics; Artificial intelligence in law; Predictive analytics</t>
  </si>
  <si>
    <t>APR 3 2026</t>
  </si>
  <si>
    <t>16052</t>
  </si>
  <si>
    <t>10.1038/s41598-026-47149-7</t>
  </si>
  <si>
    <t>http://dx.doi.org/10.1038/s41598-026-47149-7</t>
  </si>
  <si>
    <t>IK4MP</t>
  </si>
  <si>
    <t>41933170</t>
  </si>
  <si>
    <t>WOS:001773802800006</t>
  </si>
  <si>
    <t>Payala, VK; Jeet, AA; Abinaya, S</t>
  </si>
  <si>
    <t>Emotion recognition forms an important component in the development of smart human-computer interaction (HCI), which allows systems to sense and detect affective conditions through speech, text, and image channels. However, the unimodal emotion recognition schemes are often faced with problems related to noise interference, struggle with speaker variability, cross-cultural differences in emotional expression, limited generalizability across domains, and poor robustness under real-world conditions where a single modality may be distorted, occluded, or contextually insufficient. These limitations often lead to inconsistent predictions and reduced reliability in practical deployments. In order to overcome these shortcomings, the current paper presents a new multimodal emotion recognition system that actively integrates textual, acoustic, and visual features to obtain a more decisive and context-related concept of emotion. To derive deep linguistic and contextual text input and extract fine-grained prosodic and spectral audio input respectively, the DeBERTaV3 architecture is used and the Wav2Vec2 architecture is used, respectively. At the same time, a ResNet(2 + 1)D network is used to depict the visual affective information by capturing both the spatially and temporally addressed facial expression. The modality-specific outputs are fused using the Aquila Optimizer (AO), which determines an optimal global weighting distribution across modalities by minimizing validation loss. The resulting optimized weights are applied during inference to compute the final fused prediction. Experimental testing of CREMA-D and IEMOCAP data sets, which consist of six combinatory types of emotion, indicate that the suggested optimization-based fusion solution significantly compares to unimodal and immobile fusion baseline in terms of recognition accuracy and flexibility. The findings support the effectiveness and applicability of the presented framework to reallife, context-specific, affective computing applications.</t>
  </si>
  <si>
    <t>Payala, Vansh Kumar; Jeet, Avi Aaryan; Abinaya, S.</t>
  </si>
  <si>
    <t>Abinaya, S (corresponding author), Vellore Inst Technol, Sch Comp Sci Engn, Chennai 600127, India.</t>
  </si>
  <si>
    <t>s.abinaya@vit.ac</t>
  </si>
  <si>
    <t>[Payala, Vansh Kumar; Jeet, Avi Aaryan; Abinaya, S.] Vellore Inst Technol, Sch Comp Sci Engn, Chennai 600127, India</t>
  </si>
  <si>
    <t>Vellore Institute of Technology (VIT); VIT Chennai</t>
  </si>
  <si>
    <t>Enhanced multimodal deep learning framework for emotion classification with Aquila optimizer based ensemble fusion</t>
  </si>
  <si>
    <t>ARRAY</t>
  </si>
  <si>
    <t>Emotion classification; Multimodal; Deep learning; Wav2vec2; Resnet(2 +1)D; DeBERTaV3; Aquila optimizer</t>
  </si>
  <si>
    <t>LSTM</t>
  </si>
  <si>
    <t>S, Abinaya/ABD-3867-2021</t>
  </si>
  <si>
    <t>Shanmugasundaram, Abinaya/0000-0001-7957-7934</t>
  </si>
  <si>
    <t>2590-0056</t>
  </si>
  <si>
    <t>ARRAY-NY</t>
  </si>
  <si>
    <t>Array</t>
  </si>
  <si>
    <t>JUL 2026</t>
  </si>
  <si>
    <t>100760</t>
  </si>
  <si>
    <t>10.1016/j.array.2026.100760</t>
  </si>
  <si>
    <t>http://dx.doi.org/10.1016/j.array.2026.100760</t>
  </si>
  <si>
    <t>Computer Science, Theory &amp; Methods</t>
  </si>
  <si>
    <t>FT8KF</t>
  </si>
  <si>
    <t>WOS:001727246000001</t>
  </si>
  <si>
    <t>Koornwinder, A; Zhang, YC; Ravindranath, R; Chang, RT; Bernstein, IA; Wang, SY</t>
  </si>
  <si>
    <t>Purpose: The purpose of this study was to develop models that predict which patients with glaucoma will progress to require surgery, combining structured data from electronic health records (EHRs) and retinal fiber layer optical coherence tomography (RNFL OCT) scans. Methods: EHR data (demographics and clinical eye examinations) and RNFL OCT scans were identified for patients with glaucoma from an academic center (2008-2023). Comparing the novel TabNet deep learning architecture to a baseline XGBoost model, we trained and evaluated single modality models using either EHR or RNFL features, as well as fusion models combining both EHR and RNFL features as inputs, to predict glaucoma surgery within 12 months (binary). Results: We had 1472 patients with glaucoma who were included in this study, of which 29.9% (N = 367) progressed to glaucoma surgery. The TabNet fusion model achieved the highest performance on the test set with an area under the receiver operating characteristic curve (AUROC) of 0.832, compared to the XGBoost fusion model (AUROC = 0.747). EHR only models performed with an AUROC of 0.764 and 0.720 for the deep learning model and XGBoost models, respectively. RNFL only models performed with an AUROC of 0.624 and 0.633 for the deep learning and XGBoost models, respectively. Conclusions: Fusion models which integrate both RNFL with EHR data outperform models only utilizing one datatype or the other to predict glaucoma progression. The deep learning TabNet architecture demonstrated superior performance to traditional XGBoost models. Translational Relevance: Prediction models that utilize the wealth of structured clinical and imaging data to predict glaucoma progression could form the basis of future clinical decision support tools to personalize glaucoma care.</t>
  </si>
  <si>
    <t>Koornwinder, Abigail; Zhang, Youchen; Ravindranath, Rohith; Chang, Robert T.; Bernstein, Isaac A.; Wang, Sophia Y.</t>
  </si>
  <si>
    <t>Wang, SY (corresponding author), Stanford Univ, Byers Eye Inst, Dept Ophthalmol, 2452 Watson Court, Palo Alto, CA 94303 USA.</t>
  </si>
  <si>
    <t>sophia.yw@gmail.com</t>
  </si>
  <si>
    <t>National Eye Institute [P30-EY026877, K23EY03263501]; American Glaucoma Society Young Clinician Scientist Award; Research to Prevent Blindness</t>
  </si>
  <si>
    <t>National Eye Institute (United States Department of Health &amp; Human Services, National Institutes of Health (NIH) - USA, NIH National Eye Institute (NEI)); American Glaucoma Society Young Clinician Scientist Award; Research to Prevent Blindness (Research to Prevent Blindness (RPB))</t>
  </si>
  <si>
    <t>Supported by the National Eye Institute (K23EY03263501; S.Y.W.) ; American Glaucoma Society Young Clinician Scientist Award (S.Y.W.) , an unrestricted departmental grant from Research to Prevent Blindness (S.Y.W., A.K.) ; and a departmental grant from the National Eye Institute (P30-EY026877 [S.Y.W., A.K.]</t>
  </si>
  <si>
    <t>[Koornwinder, Abigail; Zhang, Youchen; Ravindranath, Rohith; Chang, Robert T.; Bernstein, Isaac A.; Wang, Sophia Y.] Stanford Univ, Byers Eye Inst, Dept Ophthalmol, 2452 Watson Court, Palo Alto, CA 94303 USA</t>
  </si>
  <si>
    <t>Stanford Medicine; Stanford University</t>
  </si>
  <si>
    <t>Multimodal Artificial Intelligence Models Predicting Glaucoma Progression Using Electronic Health Records and Retinal Nerve Fiber Layer Scans</t>
  </si>
  <si>
    <t>TRANSLATIONAL VISION SCIENCE &amp; TECHNOLOGY</t>
  </si>
  <si>
    <t>glaucoma; multimodal; deep learning; optical coherence tomography(OCT); electronic health records(EHTs)</t>
  </si>
  <si>
    <t>Wang, Sophia Y/0000-0003-0916-9403</t>
  </si>
  <si>
    <t>ASSOC RESEARCH VISION OPHTHALMOLOGY INC</t>
  </si>
  <si>
    <t>ROCKVILLE</t>
  </si>
  <si>
    <t>12300 TWINBROOK PARKWAY, ROCKVILLE, MD 20852-1606 USA</t>
  </si>
  <si>
    <t>2164-2591</t>
  </si>
  <si>
    <t>TRANSL VIS SCI TECHN</t>
  </si>
  <si>
    <t>Transl. Vis. Sci. Technol.</t>
  </si>
  <si>
    <t>10.1167/tvst.14.3.27</t>
  </si>
  <si>
    <t>http://dx.doi.org/10.1167/tvst.14.3.27</t>
  </si>
  <si>
    <t>1GO4O</t>
  </si>
  <si>
    <t>40152766</t>
  </si>
  <si>
    <t>WOS:001464516600001</t>
  </si>
  <si>
    <t>Li, LC; Thuruthel, TG</t>
  </si>
  <si>
    <t>Predicting the consequences of the agent's actions on its environment is a pivotal challenge in robotic learning, which plays a key role in developing higher cognitive skills for intelligent robots. While current methods have predominantly relied on vision and motion data to generate the predicted videos, more comprehensive sensory perception is required for complex physical interactions such as contact-rich manipulation or highly dynamic tasks. In this work, we investigate the interdependence between vision and tactile sensation in the scenario of dynamic robotic interaction. A multi-modal fusion mechanism is introduced to the action-conditioned video prediction model to forecast future scenes, which enriches the single-modality prototype with a compressed latent representation of multiple sensory inputs. Additionally, to accomplish the interactive setting, we built a robotic interaction system that is equipped with both web cameras and vision-based tactile sensors to collect the dataset of vision-tactile sequences and the corresponding robot action data. Finally, through a series of qualitative and quantitative comparative study of different prediction architecture and tasks, we present insightful analysis of the cross-modality influence between vision, tactile and action, revealing the asymmetrical impact that exists between the sensations when contributing to interpreting the environment information. This opens possibilities for more adaptive and efficient robotic control in complex environments, with implications for dexterous manipulation and human-robot interaction.</t>
  </si>
  <si>
    <t>Li, Luchen; Thuruthel, Thomas George</t>
  </si>
  <si>
    <t>Li, LC (corresponding author), UCL, Dept Comp Sci, London, England.</t>
  </si>
  <si>
    <t>luchen.li.23@ucl.ac.uk</t>
  </si>
  <si>
    <t>[Li, Luchen; Thuruthel, Thomas George] UCL, Dept Comp Sci, London, England</t>
  </si>
  <si>
    <t>University of London; University College London</t>
  </si>
  <si>
    <t>Bridging vision and touch: advancing robotic interaction prediction with self-supervised multimodal learning</t>
  </si>
  <si>
    <t>FRONTIERS IN ROBOTICS AND AI</t>
  </si>
  <si>
    <t>predictive learning; self-supervised learning; physical robotic interaction; information fusion and compression; multi-modal sensing</t>
  </si>
  <si>
    <t>TACTILE SENSOR; HIGH-RESOLUTION; COMPACT</t>
  </si>
  <si>
    <t>Thuruthel, Thomas/K-8559-2019</t>
  </si>
  <si>
    <t>2296-9144</t>
  </si>
  <si>
    <t>FRONT ROBOT AI</t>
  </si>
  <si>
    <t>Front. Robot. AI</t>
  </si>
  <si>
    <t>SEP 30 2024</t>
  </si>
  <si>
    <t>1407519</t>
  </si>
  <si>
    <t>10.3389/frobt.2024.1407519</t>
  </si>
  <si>
    <t>http://dx.doi.org/10.3389/frobt.2024.1407519</t>
  </si>
  <si>
    <t>Robotics</t>
  </si>
  <si>
    <t>I5M6K</t>
  </si>
  <si>
    <t>39403111</t>
  </si>
  <si>
    <t>WOS:001330702300001</t>
  </si>
  <si>
    <t>Wang, HJ; Jing, YH; Li, HY; Zhang, Y; Chang, CC; Shi, GN</t>
  </si>
  <si>
    <t>This study developed a two-stage cascaded segmentation framework with integrated attention mechanisms (SE/CBAM) that accommodates multimodal inputs from CT, MRI, and ultrasound and demonstrates robustness to missing modalities. The proposed approach was systematically evaluated on data from 322 with deep vein thrombosis (DVT) and compared against representative methods, including nnU-Net, Swin-UNet, UNETR, and MedSAM/EMedSAM. Under standardized preprocessing and five-fold cross-validation, our model achieved a Dice coefficient of 0.873 +/- 0.018, IoU of 0.783 +/- 0.021, PR-AUC of 0.921, and ROC-AUC of 0.942 on an independent test set, significantly outperforming nnU-Net, Swin-UNet, UNETR, and MedSAM/EMedSAM baselines. Grad-CAM heatmaps showed strong spatial concordance with expert annotations at key anatomical regions. Sensitivity analyses confirmed robustness to hyperparameter variation, noise, and single-modality dropout (&lt;1% fluctuation). To enhance biological interpretability, we integrated transcriptomic (GEO, n = 40), proteomic (PRIDE, n = 30), and metabolomic (MetaboLights, n = 20) datasets, identifying key molecules such as RPS3A, RPL31, and TP53, as well as differential metabolites including oxidized glutathione, succinate, and betaine. These molecular alterations were predominantly enriched in glutathione metabolism, the tricarboxylic acid (TCA) cycle, and inflammation-related pathways (e.g., the IL-17 and TNF signaling axes). Notably, these pathways are directionally consistent with the inflammatory activation and oxidative stress features reflected in the high-risk thrombotic anatomical regions emphasized by the imaging model, thereby providing supportive mechanistic interpretation for the imaging-based recognition results. Collectively, this study establishes a methodological foundation for interpretable AI-driven diagnosis and precision intervention in DVT and demonstrates potential for extension to other vascular diseases.</t>
  </si>
  <si>
    <t>Wang, Haojie; Jing, Yuanhu; Li, Hongyuan; Zhang, Yan; Chang, Congcong; Shi, Gongning</t>
  </si>
  <si>
    <t>Shi, GN (corresponding author), Henan Univ, Huaihe Hosp, Dept Cardiac &amp; Vasc Surg, 8 Baobei Rd, Kaifeng 475000, Henan, Peoples R China.</t>
  </si>
  <si>
    <t>hhyygongningshi@163.com</t>
  </si>
  <si>
    <t>Henan Medical Science and Tech-nology Research Project [242102310131]</t>
  </si>
  <si>
    <t>Henan Medical Science and Tech-nology Research Project</t>
  </si>
  <si>
    <t>Funding This study was supported by the Henan Medical Science and Tech-nology Research Project (No. 242102310131) .</t>
  </si>
  <si>
    <t>[Wang, Haojie; Jing, Yuanhu; Li, Hongyuan; Zhang, Yan; Chang, Congcong; Shi, Gongning] Henan Univ, Huaihe Hosp, Dept Cardiac &amp; Vasc Surg, 8 Baobei Rd, Kaifeng 475000, Henan, Peoples R China</t>
  </si>
  <si>
    <t>Henan University</t>
  </si>
  <si>
    <t>Multimodal deep learning with attention mechanisms for automated detection of lower extremity deep vein thrombosis: Integrating ultrasound, CT, and MRI</t>
  </si>
  <si>
    <t>Deep learning; Deep vein thrombosis; Multimodal imaging; Automatic recognition; Multi-omics integration; Interpretable Artificial Intelligence</t>
  </si>
  <si>
    <t>119</t>
  </si>
  <si>
    <t>109749</t>
  </si>
  <si>
    <t>10.1016/j.bspc.2026.109749</t>
  </si>
  <si>
    <t>http://dx.doi.org/10.1016/j.bspc.2026.109749</t>
  </si>
  <si>
    <t>DT2RG</t>
  </si>
  <si>
    <t>WOS:001691530900001</t>
  </si>
  <si>
    <t>Liu, R; Zhou, Y; Wang, R; Chen, XW; Yang, Y; Jiang, H; Xie, K; Ning, YQ; Deng, YR; Yu, Q; Xu, L; Hu, GH; Peng, J</t>
  </si>
  <si>
    <t>Objectives To develop and validate a multimodal deep learning model integrating clinical data, contrast-enhanced CT, and laryngoscopic images for differentiating early-stage (I-II) from advanced-stage (III-IV) laryngeal squamous cell carcinoma (LSCC). Materials and methods This retrospective multicenter study included 450 patients with pathologically confirmed LSCC from two Chinese medical centers. All patients had contrast-enhanced CT, white-light laryngoscopy, and clinical records. They were divided into training (n = 235), internal validation (n = 101), and external validation (n = 114) cohorts. Three single-modality models (CT-based deep learning [CT-DL], laryngoscopy-based multiple instance learning [L-MIL], and a clinical logistic regression model [CL]) and their combinations were compared. A feature-level fusion strategy was applied, and the final integrated multimodal model (CL + CT + L) was built using a stochastic gradient descent (SGD) classifier. Performance was evaluated by AUC, accuracy, sensitivity, specificity, calibration, and decision curve analysis (DCA), with prognostic value assessed by Kaplan-Meier and concordance index (C-index). Results A total of 450 patients were included (median age, 62 years [range, 31-88]; 365 men). The integrated multimodal model achieved AUCs of 0.902 (0.833-0.954) in the internal cohort and 0.888 (0.826-0.944) in the external cohort, outperforming all single- and dual-modality models (p &lt; 0.05). Calibration and DCA confirmed strong consistency and clinical utility. The model categorized patients into distinct risk groups, which exhibited notable differences in progression-free survival (C-index = 0.584, p = 0.036). Conclusion The integrated multimodal model showed high accuracy and generalizability for preoperative LSCC staging and may aid individualized treatment planning.[GRAPHICS]</t>
  </si>
  <si>
    <t>Liu, Rui; Zhou, Yuan; Wang, Rui; Chen, Xinwei; Yang, Yi; Jiang, Huan; Xie, Kai; Ning, Youquan; Deng, Yanrui; Yu, Qiang; Xu, Lin; Hu, Guohua; Peng, Juan</t>
  </si>
  <si>
    <t>Peng, J (corresponding author), Chongqing Med Univ, Affiliated Hosp 1, Dept Radiol, Chongqing, Peoples R China.; Hu, GH (corresponding author), Chongqing Med Univ, Affiliated Hosp 1, Dept Otorhinolaryngol, Chongqing, Peoples R China.; Xu, L (corresponding author), Chengdu Univ TCM, Sch Intelligent Med, Chengdu, Peoples R China.</t>
  </si>
  <si>
    <t>pengjuan0717@sina.com; hghcq@sina.com; xulin@cdutcm.edu.cn</t>
  </si>
  <si>
    <t>Natural Science Foundation of Chongqing, China [cstc2021jcyj-msxmX0020]; Chongqing Medical University [CYYY-DSTDXM202507]</t>
  </si>
  <si>
    <t>Natural Science Foundation of Chongqing, China (Natural Science Foundation of Chongqing); Chongqing Medical University</t>
  </si>
  <si>
    <t>This work was supported by the Natural Science Foundation of Chongqing, China (cstc2021jcyj-msxmX0020), the Graduate Supervisor Team Construction Project of the First Clinical College, Chongqing Medical University (CYYY-DSTDXM202507).</t>
  </si>
  <si>
    <t>[Liu, Rui; Zhou, Yuan; Wang, Rui; Jiang, Huan; Xie, Kai; Ning, Youquan; Deng, Yanrui; Yu, Qiang; Peng, Juan] Chongqing Med Univ, Affiliated Hosp 1, Dept Radiol, Chongqing, Peoples R China; [Chen, Xinwei; Yang, Yi; Hu, Guohua] Chongqing Med Univ, Affiliated Hosp 1, Dept Otorhinolaryngol, Chongqing, Peoples R China; [Xu, Lin] Chengdu Univ TCM, Sch Intelligent Med, Chengdu, Peoples R China</t>
  </si>
  <si>
    <t>Chongqing Medical University; Chongqing Medical University; Chengdu University of Traditional Chinese Medicine</t>
  </si>
  <si>
    <t>Multimodal deep learning for laryngeal squamous cell carcinoma staging using CT and laryngoscopy</t>
  </si>
  <si>
    <t>Laryngeal squamous cell carcinoma; Computed tomography; Laryngoscopy; Deep learning; Cancer staging</t>
  </si>
  <si>
    <t>CANCER; CARTILAGE; INVASION</t>
  </si>
  <si>
    <t>4964</t>
  </si>
  <si>
    <t>4975</t>
  </si>
  <si>
    <t>10.1007/s00330-025-12315-4</t>
  </si>
  <si>
    <t>http://dx.doi.org/10.1007/s00330-025-12315-4</t>
  </si>
  <si>
    <t>JAN 2026</t>
  </si>
  <si>
    <t>IO4ON</t>
  </si>
  <si>
    <t>41617832</t>
  </si>
  <si>
    <t>WOS:001676407400001</t>
  </si>
  <si>
    <t>Xie, YZ; Sang, QQ; Da, Q; Niu, GS; Deng, SJ; Feng, HR; Chen, YQ; Li, YY; Liu, BY; Yang, Y; Dai, WT</t>
  </si>
  <si>
    <t>For the diagnosis and outcome prediction of gastric cancer (GC), machine learning methods based on whole slide pathological images (WSIs) have shown promising performance and reduced the cost of manual analysis. Nevertheless, accurate prediction of GC outcome may rely on multiple modalities with complementary information, particularly gene expression data. Thus, there is a need to develop multimodal learning methods to enhance prediction performance. In this paper, we collect a dataset from Ruijin Hospital and propose a multimodal learning method for GC diagnosis and outcome prediction, called GaCaMML, which is featured by a cross -modal attention mechanism and Per -Slide training scheme. Additionally, we perform feature attribution analysis via integrated gradient (IG) to identify important input features. The proposed method improves prediction accuracy over the single -modal learning method on three tasks, i.e., survival prediction (by 4.9% on C-index), pathological stage classification (by 11.6% on accuracy), and lymph node classification (by 12.0% on accuracy). Especially, the Per -Slide strategy addresses the issue of a high WSI-to-patient ratio and leads to much better results compared with the Per -Person training scheme. For the interpretable analysis, we find that although WSIs dominate the prediction for most samples, there is still a substantial portion of samples whose prediction highly relies on gene expression information. This study demonstrates the great potential of multimodal learning in GC-related prediction tasks and investigates the contribution of WSIs and gene expression, respectively, which not only shows how the model makes a decision but also provides insights into the association between macroscopic pathological phenotypes and microscopic molecular features.</t>
  </si>
  <si>
    <t>Xie, Yuzhang; Sang, Qingqing; Da, Qian; Niu, Guoshuai; Deng, Shijie; Feng, Haoran; Chen, Yunqin; Li, Yuan-Yuan; Liu, Bingya; Yang, Yang; Dai, Wentao</t>
  </si>
  <si>
    <t>Yang, Y (corresponding author), Shanghai Jiao Tong Univ, Dept Comp Sci &amp; Engn, Shanghai 200240, Peoples R China.; Liu, BY; Dai, WT (corresponding author), Shanghai Jiao Tong Univ, Ruijin Hosp, Dept Gen Surg, Shanghai Key Lab Gastr Neoplasm,Sch Med, Shanghai 200025, Peoples R China.; Dai, WT (corresponding author), Shanghai Inst Biomed &amp; Pharmaceut Technol, Shanghai MOST Key Lab Hlth &amp; Dis Genom, Shanghai 200237, Peoples R China.; Dai, WT (corresponding author), Shanghai Engn Res Ctr Pharmaceut Translat, Shanghai 201203, Peoples R China.</t>
  </si>
  <si>
    <t>wtdai@scbit.org; liubingya@sjtu.edu.cn; yangyang@cs.sjtu.edu.cn</t>
  </si>
  <si>
    <t>National Natural Science Foundation of China [32000472, 62272300, 81772509, 82072605, 32100531, 82303378]; Innovation Promotion Program of NHC and Shanghai Key Labs SIBPT [RC2023-01]; Shanghai Academy of Science Technology [SKY2022003]</t>
  </si>
  <si>
    <t>National Natural Science Foundation of China (National Natural Science Foundation of China (NSFC)); Innovation Promotion Program of NHC and Shanghai Key Labs SIBPT; Shanghai Academy of Science Technology</t>
  </si>
  <si>
    <t>This work was supported by the National Natural Science Foundation of China (No. 32000472 to WD; No. 62272300 to YY; Nos. 81772509 and 82072605 to BL; No. 32100531 to YC; No. 82303378 to QS) , Innovation Promotion Program of NHC and Shanghai Key Labs SIBPT (RC2023-01 to WD) , and Shanghai Academy of Science &amp; Technology (SKY2022003 to WD) . Thanks to the help of SenseTime for providing the SenseCare system.</t>
  </si>
  <si>
    <t>[Xie, Yuzhang; Niu, Guoshuai; Yang, Yang] Shanghai Jiao Tong Univ, Dept Comp Sci &amp; Engn, Shanghai 200240, Peoples R China; [Sang, Qingqing; Feng, Haoran; Liu, Bingya; Dai, Wentao] Shanghai Jiao Tong Univ, Ruijin Hosp, Dept Gen Surg, Shanghai Key Lab Gastr Neoplasm,Sch Med, Shanghai 200025, Peoples R China; [Da, Qian; Deng, Shijie] Shanghai Jiao Tong Univ, Ruijin Hosp, Dept Pathol, Sch Med, Shanghai 200025, Peoples R China; [Chen, Yunqin; Li, Yuan-Yuan; Dai, Wentao] Shanghai Inst Biomed &amp; Pharmaceut Technol, Shanghai MOST Key Lab Hlth &amp; Dis Genom, Shanghai 200237, Peoples R China; [Li, Yuan-Yuan; Dai, Wentao] Shanghai Engn Res Ctr Pharmaceut Translat, Shanghai 201203, Peoples R China</t>
  </si>
  <si>
    <t>Shanghai Jiao Tong University; Shanghai Jiao Tong University; Shanghai Jiao Tong University; Shanghai Academy of Science &amp; Technology; Shanghai Academy of Science &amp; Technology</t>
  </si>
  <si>
    <t>Improving diagnosis and outcome prediction of gastric cancer via multimodal learning using whole slide pathological images and gene</t>
  </si>
  <si>
    <t>ARTIFICIAL INTELLIGENCE IN MEDICINE</t>
  </si>
  <si>
    <t>Gastric cancer; Multimodal learning; WSI; Gene expression; Interpretability analysis</t>
  </si>
  <si>
    <t>CLASSIFICATION; SURVIVAL</t>
  </si>
  <si>
    <t>Feng, Haoran/HNS-9590-2023; Liu, Bingya/GMW-5655-2022; Xie, Yuzhang/IAQ-2800-2023; Chen, Yunqin/I-8245-2016</t>
  </si>
  <si>
    <t>Dai, Wentao/0000-0002-0762-919X; QIAN, DA/0000-0002-2442-9448; Yang, Yang/0000-0001-5720-773X</t>
  </si>
  <si>
    <t>0933-3657</t>
  </si>
  <si>
    <t>1873-2860</t>
  </si>
  <si>
    <t>ARTIF INTELL MED</t>
  </si>
  <si>
    <t>Artif. Intell. Med.</t>
  </si>
  <si>
    <t>152</t>
  </si>
  <si>
    <t>102871</t>
  </si>
  <si>
    <t>10.1016/j.artmed.2024.102871</t>
  </si>
  <si>
    <t>http://dx.doi.org/10.1016/j.artmed.2024.102871</t>
  </si>
  <si>
    <t>Computer Science, Artificial Intelligence; Engineering, Biomedical; Medical Informatics</t>
  </si>
  <si>
    <t>Computer Science; Engineering; Medical Informatics</t>
  </si>
  <si>
    <t>ST3A2</t>
  </si>
  <si>
    <t>38685169</t>
  </si>
  <si>
    <t>WOS:001236646900001</t>
  </si>
  <si>
    <t>Zhang, SZ; Shao, PF; Zhong, HD; Wu, YH; Du, CJ</t>
  </si>
  <si>
    <t>Accurate biomass estimation is crucial for evaluating production capacity and resource efficiency in shrimp aquaculture. Traditional monitoring and measurement approaches typically rely on single-modality data, such as sonar, water quality sensors, or images. However, these data sources are often susceptible to environmental disturbances and fail to capture the complexity of aquatic ecosystems, resulting in unstable estimation accuracy. This study proposes a novel multimodal deep learning approach to improve biomass estimation. It leverages the complementary information provided by video surveillance and water quality sensor data to address the challenge of sensitivity to environmental noise in unimodal prediction. To tackle the challenges of fusing these heterogeneous modalities, we introduce a Contrastive Learning and Attention-based Cross-modal Fusion (CACF) model. The model employs a contrastive learning framework for cross-modal alignment and utilizes a self-attention mechanism to dynamically weight features, ensuring robust data fusion. Comprehensive experiments conducted on a real-world shrimp biomass dataset demonstrate that CACF significantly outperforms state-ofthe-art models, improving both the accuracy and reliability of biomass estimation. This work highlights the potential of multimodal data integration in aquaculture and lays the foundation for the future development of real-time estimation systems and intelligent feeding technologies to optimize shrimp farming practices.</t>
  </si>
  <si>
    <t>Zhang, Shaozhong; Shao, Pengfei; Zhong, Haidong; Wu, Yaohui; Du, Chenjie</t>
  </si>
  <si>
    <t>Zhang, SZ (corresponding author), Zhejiang Wanli Univ, Coll Informat &amp; Intelligence Engn, Ningbo 315100, Peoples R China.</t>
  </si>
  <si>
    <t>dlut_z88@163.com</t>
  </si>
  <si>
    <t>Public Science and Technology Research Project of Ningbo Grant [2023S147]; Natural Science Foundation of Zhejiang Province [LY23G020007]</t>
  </si>
  <si>
    <t>Public Science and Technology Research Project of Ningbo Grant; Natural Science Foundation of Zhejiang Province (Natural Science Foundation of Zhejiang Province)</t>
  </si>
  <si>
    <t>This work was supported in part by the Public Science and Technology Research Project of Ningbo Grant 2023S147 and the Exploration Project of Natural Science Foundation of Zhejiang Province Grant LY23G020007.</t>
  </si>
  <si>
    <t>[Zhang, Shaozhong; Shao, Pengfei; Wu, Yaohui] Zhejiang Wanli Univ, Coll Informat &amp; Intelligence Engn, Ningbo 315100, Peoples R China; [Zhong, Haidong] Ningbo Univ Technol, Sch Econ &amp; Management, Ningbo 315211, Peoples R China; [Du, Chenjie] Zhejiang Wanli Univ, Coll Big Data &amp; Software Engn, Ningbo 315100, Peoples R China</t>
  </si>
  <si>
    <t>Zhejiang Wanli University; Ningbo University of Technology; Zhejiang Wanli University</t>
  </si>
  <si>
    <t>Biomass estimation in shrimp aquaculture using multimodal deep learning approaches</t>
  </si>
  <si>
    <t>ECOLOGICAL INFORMATICS</t>
  </si>
  <si>
    <t>Shrimp biomass estimation; Multimodal fusion; Image processing; Water quality sensor data</t>
  </si>
  <si>
    <t>Zhang, Shaozhong/0000-0002-4345-4171</t>
  </si>
  <si>
    <t>1574-9541</t>
  </si>
  <si>
    <t>1878-0512</t>
  </si>
  <si>
    <t>ECOL INFORM</t>
  </si>
  <si>
    <t>Ecol. Inform.</t>
  </si>
  <si>
    <t>92</t>
  </si>
  <si>
    <t>103531</t>
  </si>
  <si>
    <t>10.1016/j.ecoinf.2025.103531</t>
  </si>
  <si>
    <t>http://dx.doi.org/10.1016/j.ecoinf.2025.103531</t>
  </si>
  <si>
    <t>Ecology</t>
  </si>
  <si>
    <t>Environmental Sciences &amp; Ecology</t>
  </si>
  <si>
    <t>L3556</t>
  </si>
  <si>
    <t>WOS:001629479300001</t>
  </si>
  <si>
    <t>Xie, XD; Wu, J; Tang, JT; Sheng, YX</t>
  </si>
  <si>
    <t>Review helpfulness prediction (RHP) is critical for alleviating information overload and supporting reliable decision making on e-commerce platforms, yet it is challenged by unstructured and multimodal review content as well as distorted helpfulness signals. Prior studies have examined textual, structural, and reviewer-related determinants and built models based on manually engineered features or deep learning, but most approaches remain text-centric, make limited use of review images and structured metadata, and offer little interpretability regarding how different information sources contribute to predictions. To address these issues, we propose Attentive Gated Multimodal Fusion (AGMF), a deep learning framework that jointly models review text, review images, and structured metadata. AGMF employs a pre-trained language model for textual representations, a convolutional neural network for visual features, and metadata features capturing reviewer characteristics and behavioural signals, and fuses them through cross-modal attention and a gated multimodal unit that adaptively weights each modality at the instance level, providing modality-level interpretability. Experiments on a large-scale dataset of Chinese e-commerce reviews show that AGMF consistently outperforms traditional machine-learning methods, strong single-modality deep learning baselines, and competitive multimodal fusion models in terms of accuracy, F1-score, and AUC, and ablation studies confirm the effectiveness of each modality and the proposed fusion mechanism. Overall, this study contributes an interpretable multimodal architecture for RHP that effectively integrates text, images, and metadata and offers practical guidance for designing intelligent review filtering systems on online platforms.</t>
  </si>
  <si>
    <t>Xie, Xiaodong; Wu, Jie; Tang, Jianting; Sheng, Yongxiang</t>
  </si>
  <si>
    <t>Wu, J (corresponding author), Jiangsu Univ Sci &amp; Technol, Sch Econ &amp; Management, Zhenjiang, Peoples R China.</t>
  </si>
  <si>
    <t>2120172501@alu.nufe.edu.cn</t>
  </si>
  <si>
    <t>the National Natural Science Foundation of China [72171122]</t>
  </si>
  <si>
    <t>the National Natural Science Foundation of China (National Natural Science Foundation of China (NSFC))</t>
  </si>
  <si>
    <t>This work was supported by the National Natural Science Foundation of China under Grants 72171122.</t>
  </si>
  <si>
    <t>[Xie, Xiaodong; Wu, Jie; Tang, Jianting; Sheng, Yongxiang] Jiangsu Univ Sci &amp; Technol, Sch Econ &amp; Management, Zhenjiang, Peoples R China</t>
  </si>
  <si>
    <t>Jiangsu University of Science &amp; Technology</t>
  </si>
  <si>
    <t>Multimodal Deep Learning for Online Review Helpfulness Prediction</t>
  </si>
  <si>
    <t>EXPERT SYSTEMS</t>
  </si>
  <si>
    <t>e-commerce platforms; feature fusion; image features; metadata; multimodal learning; review usefulness; text features</t>
  </si>
  <si>
    <t>PRODUCT REVIEWS; CONTRIBUTE</t>
  </si>
  <si>
    <t>67</t>
  </si>
  <si>
    <t>0266-4720</t>
  </si>
  <si>
    <t>1468-0394</t>
  </si>
  <si>
    <t>EXPERT SYST</t>
  </si>
  <si>
    <t>Expert Syst.</t>
  </si>
  <si>
    <t>43</t>
  </si>
  <si>
    <t>e70216</t>
  </si>
  <si>
    <t>10.1111/exsy.70216</t>
  </si>
  <si>
    <t>http://dx.doi.org/10.1111/exsy.70216</t>
  </si>
  <si>
    <t>Computer Science, Artificial Intelligence; Computer Science, Theory &amp; Methods</t>
  </si>
  <si>
    <t>FH8UZ</t>
  </si>
  <si>
    <t>WOS:001719130200008</t>
  </si>
  <si>
    <t>Zhang, YJ; Hu, YF; Li, K; Pan, XJ; Mo, XL; Zhang, H</t>
  </si>
  <si>
    <t>Objectives: The study aimed to propose a multimodal model that incorporates both macroscopic and microscopic images and analyze its influence on clinicians' decision-making with different levels of experience. Methods: First, we constructed a multimodal dataset for five skin disorders. Next, we trained unimodal models on three different types of images and selected the best-performing models as the base learners. Then, we used a soft voting strategy to create the multimodal model. Finally, 12 clinicians were divided into three groups, with each group including one director dermatologist, one dermatologist-in-charge, one resident dermatologist, and one general practitioner. They were asked to diagnose the skin disorders in four unaided situations (macroscopic images only, dermatopathological images only, macroscopic and dermatopathological images, all images and metadata), and three aided situations (macroscopic images with model 1 aid, dermatopathological images with model 2&amp;3 aid, all images with multimodal model 4 aid). The clinicians' diagnosis accuracy and time for each diagnosis were recorded. Results: Among the trained models, the vision transformer (ViT) achieved the best performance, with accuracies of 0.8636, 0.9545, 0.9673, and AUCs of 0.9823, 0.9952, 0.9989 on the training set, respectively. However, on the external validation set, they only achieved accuracies of 0.70, 0.90, and 0.94, respectively. The multimodal model performed well compared to the unimodal models, achieving an accuracy of 0.98 on the external validation set. The results of logit regression analysis indicate that all models are helpful to clinicians in making diagnostic decisions [Odds Ratios (OR) &gt; 1], while metadata does not provide assistance to clinicians (OR &lt; 1). Linear analysis results indicate that metadata significantly increases clinicians' diagnosis time (P &lt; 0.05), while model assistance does not (P &gt; 0.05). Conclusions: The results of this study suggest that the multimodal model effectively improves clinicians' diagnostic performance without significantly increasing the diagnostic time. However, further large-scale prospective studies are necessary.</t>
  </si>
  <si>
    <t>Zhang, Yujiao; Hu, Yunfeng; Li, Ke; Pan, Xiangjun; Mo, Xiaoling; Zhang, Hong</t>
  </si>
  <si>
    <t>Zhang, H (corresponding author), Jinan Univ, Affiliated Hosp 1, Dept Dermatol, 613 Huangpu Ave West, Guangzhou 510630, Guangdong, Peoples R China.</t>
  </si>
  <si>
    <t>jnu_zhanghong@126.com</t>
  </si>
  <si>
    <t>Guangzhou Municipal Science and Technology Bureau</t>
  </si>
  <si>
    <t>We would like to thank all the doctors and nurses at the Department of Dermatology, the First Hospital of Jinan University and the clinicians who participated in our study.</t>
  </si>
  <si>
    <t>[Zhang, Yujiao; Hu, Yunfeng; Pan, Xiangjun; Mo, Xiaoling; Zhang, Hong] Jinan Univ, Affiliated Hosp 1, Dept Dermatol, 613 Huangpu Ave West, Guangzhou 510630, Guangdong, Peoples R China; [Li, Ke] Wenzhou Med Univ, Sch Clin Med 1, Wenzhou, Zhejiang, Peoples R China</t>
  </si>
  <si>
    <t>Jinan University; Wenzhou Medical University</t>
  </si>
  <si>
    <t>Exploring the influence of transformer-based multimodal modeling on clinicians' diagnosis of skin diseases: A quantitative analysis</t>
  </si>
  <si>
    <t>DIGITAL HEALTH</t>
  </si>
  <si>
    <t>Skin disease; computer-aided diagnosis; quantitative research; soft voting; multimodality</t>
  </si>
  <si>
    <t>CLASSIFICATION; CANCER; FEASIBILITY; COMPUTER</t>
  </si>
  <si>
    <t>Hu, Yunfeng/A-1242-2019</t>
  </si>
  <si>
    <t>Li, Ke/0009-0009-1547-5651; Zhang, Yujiao/0009-0007-0054-0508; Zhang, Hong/0009-0001-7246-6809</t>
  </si>
  <si>
    <t>2055-2076</t>
  </si>
  <si>
    <t>DIGIT HEALTH</t>
  </si>
  <si>
    <t>Digit. Health</t>
  </si>
  <si>
    <t>20552076241257087</t>
  </si>
  <si>
    <t>10.1177/20552076241257087</t>
  </si>
  <si>
    <t>http://dx.doi.org/10.1177/20552076241257087</t>
  </si>
  <si>
    <t>Health Care Sciences &amp; Services; Health Policy &amp; Services; Public, Environmental &amp; Occupational Health; Medical Informatics</t>
  </si>
  <si>
    <t>Health Care Sciences &amp; Services; Public, Environmental &amp; Occupational Health; Medical Informatics</t>
  </si>
  <si>
    <t>RS1J3</t>
  </si>
  <si>
    <t>38784049</t>
  </si>
  <si>
    <t>WOS:001229555900001</t>
  </si>
  <si>
    <t>He, JY; Yu, RT; Ying, YY; Liu, D</t>
  </si>
  <si>
    <t>Efficient identification of nanofluid additives in combustion is important for optimizing fuel formulation and understanding combustion mechanisms, but is challenging using conventional optical diagnostics. In this study, a multimodal deep learning framework is developed by integrating two-dimensional flame images and threedimensional hyperspectral data to identify the type of nanofluid additives in flames. A 2D convolutional neural network (2D-CNN) is used to extract flame morphological and luminosity features from flame images, while a 3D convolutional neural network (3D-CNN) captures spatial-spectral information from hyperspectral data. The extracted features are fused and then input into a support vector machine (SVM) to improve performance under limited data conditions. The results show that the proposed model achieves high classification accuracy and outperforms single-modal approaches. To enhance interpretability, gradient-weighted class activation mapping (Grad-CAM) is applied to identify the key regions contributing to classification, and correlation analysis with physically informed descriptors further confirms the physical relevance of the learned features. The results demonstrate that combining spatial and spectral information enables a more comprehensive representation of combustion characteristics. Identification of different metal additives, is essential for detection of propellant fuel components and control of nanofluid combustion processes. This work provides an effective, real-time and interpretable approach for nanofluid additive identification, offering potential for applications in combustion diagnostics and fuel optimization.</t>
  </si>
  <si>
    <t>He, Jiaying; Yu, Runtian; Ying, Yaoyao; Liu, Dong</t>
  </si>
  <si>
    <t>Liu, D (corresponding author), Nanjing Univ Sci &amp; Technol, Sch Energy &amp; Power Engn, MIIT Key Lab Thermal Control Elect Equipment, Nanjing 210094, Peoples R China.; Liu, D (corresponding author), Nanjing Univ Sci &amp; Technol, Sch Energy &amp; Power Engn, Adv Combust Lab, Nanjing 210094, Peoples R China.</t>
  </si>
  <si>
    <t>dongliu@njust.edu.cn</t>
  </si>
  <si>
    <t>National Natural Science Foundation of China [52376115, 52576123, W2612002, U25A20327]</t>
  </si>
  <si>
    <t>This work was supported by the National Natural Science Foundation of China [52376115, 52576123, W2612002, U25A20327] .</t>
  </si>
  <si>
    <t>[He, Jiaying; Yu, Runtian; Ying, Yaoyao; Liu, Dong] Nanjing Univ Sci &amp; Technol, Sch Energy &amp; Power Engn, MIIT Key Lab Thermal Control Elect Equipment, Nanjing 210094, Peoples R China; [He, Jiaying; Yu, Runtian; Ying, Yaoyao; Liu, Dong] Nanjing Univ Sci &amp; Technol, Sch Energy &amp; Power Engn, Adv Combust Lab, Nanjing 210094, Peoples R China</t>
  </si>
  <si>
    <t>Nanjing University of Science &amp; Technology; Nanjing University of Science &amp; Technology</t>
  </si>
  <si>
    <t>Identification of metal additives in nanofluid flames via multimodal deep learning with fusion of flame images and hyperspectral images</t>
  </si>
  <si>
    <t>APPLICATIONS IN ENERGY AND COMBUSTION SCIENCE</t>
  </si>
  <si>
    <t>Deep learning; Feature fusion; Nanofluid additives; Combustion diagnostics; Hyperspectral imaging</t>
  </si>
  <si>
    <t>OH-ASTERISK; HEAT RELEASE; CH-ASTERISK; COMBUSTION; MACHINE; CHEMILUMINESCENCE; FEATURES; INVERSE</t>
  </si>
  <si>
    <t>69</t>
  </si>
  <si>
    <t>2666-352X</t>
  </si>
  <si>
    <t>APPL ENERG COMBUST S</t>
  </si>
  <si>
    <t>Appl. Energy Combust. Sci.</t>
  </si>
  <si>
    <t>SEP 2026</t>
  </si>
  <si>
    <t>100523</t>
  </si>
  <si>
    <t>10.1016/j.jaecs.2026.100523</t>
  </si>
  <si>
    <t>http://dx.doi.org/10.1016/j.jaecs.2026.100523</t>
  </si>
  <si>
    <t>Thermodynamics; Energy &amp; Fuels; Engineering, Chemical; Engineering, Mechanical</t>
  </si>
  <si>
    <t>Thermodynamics; Energy &amp; Fuels; Engineering</t>
  </si>
  <si>
    <t>JL7ZQ</t>
  </si>
  <si>
    <t>WOS:001792363700001</t>
  </si>
  <si>
    <t>Zedadra, A; Zedadra, O; Salah-Salah, MY; Guerrieri, A</t>
  </si>
  <si>
    <t>Diabetic Retinopathy (DR) is one of the leading causes of blindness worldwide, where early detection is critical to preventing irreversible vision loss. Traditional diagnostic methods primarily rely on single-modality data, such as retinal images, or the analysis of image features, which may limit diagnostic accuracy. To overcome these limitations, we propose Diabetic Retinopathy Diagnosis, namely "DRdiag", a novel model proposed for the early diagnosis of DR. DRdiag integrates multiple modalities: the Fundus images and the duration of disease evolution which is an important factor in the diagnosis of DR as the duration of the disease directly influences the onset and progression of retinal lesions, leveraging two distinct models: a Convolutional Neural Network (CNN) based on DenseNet121 for image feature extraction and a Graph Neural Network (GNN) for capturing complex relationships between patient features. By combining the strengths of these advanced models, DRDiag aims to provide a more comprehensive and accurate diagnostic system, ultimately supporting timely intervention and improved patient outcomes. The experiments are conducted using two datasets, APTOS2019 and Messidor-2, which provide diverse retinal images for robust evaluation. The proposed model achieves high performance on diabetic retinopathy classification. On Messidor-2, it attains 0.976 accuracy, 0.957 kappa, 0.961 F1-score, 0.958 recall, 0.965 precision, and 0.990 specificity. On APTOS2019, it achieves 0.980 accuracy, 0.960 kappa, 0.963 F1-score, 0.959 recall, 0.968 precision, and 0.995 specificity. These results confirm its robustness and reliability.</t>
  </si>
  <si>
    <t>Zedadra, Amina; Zedadra, Ouarda; Yassine Salah-Salah, Mahmoud; Guerrieri, Antonio</t>
  </si>
  <si>
    <t>Guerrieri, A (corresponding author), Natl Res Council Italy, Inst High Performance Comp &amp; Networking, ICAR CNR, I-87036 Arcavacata Di Rende, Italy.</t>
  </si>
  <si>
    <t>antonio.guerrieri@icar.cnr.it</t>
  </si>
  <si>
    <t>European Union-NextGenerationEU-National Recovery andResilience Plan (Piano Nazionale di Ripresa e Resilienza, PNRR) [IR0000013, 3264]</t>
  </si>
  <si>
    <t>European Union-NextGenerationEU-National Recovery andResilience Plan (Piano Nazionale di Ripresa e Resilienza, PNRR)</t>
  </si>
  <si>
    <t>This work was supported in part by the Project SoBigData.it, funded by European Union-NextGenerationEU-National Recovery andResilience Plan (Piano Nazionale di Ripresa e Resilienza, PNRR), Strengthening the Italian RI for Social Mining and Big Data Analyticsunder Grant IR0000013-Avviso n. 3264 del 28/12/2021</t>
  </si>
  <si>
    <t>[Zedadra, Amina; Zedadra, Ouarda] Univ 8 Mai 1945 Guelma, LabSTIC Lab, Guelma 24000, Algeria; [Yassine Salah-Salah, Mahmoud] Med Surg Ophthalmol Off, Guelma 24006, Algeria; [Guerrieri, Antonio] Natl Res Council Italy, Inst High Performance Comp &amp; Networking, ICAR CNR, I-87036 Arcavacata Di Rende, Italy</t>
  </si>
  <si>
    <t>Universite 8 Mai 1945 de Guelma; Consiglio Nazionale delle Ricerche (CNR); Istituto di Calcolo e Reti ad Alte Prestazioni (ICAR-CNR)</t>
  </si>
  <si>
    <t>Graph-Aware Multimodal Deep Learning for Classification of Diabetic Retinopathy Images</t>
  </si>
  <si>
    <t>Diabetic retinopathy; Accuracy; Retina; Feature extraction; Convolutional neural networks; Diseases; Artificial intelligence; Graph neural networks; Adaptation models; Medical diagnostic imaging; Classification; convolutional neural network (CNN); diabetes; diabetic retinopathy (DR); graph neural network (GNN)</t>
  </si>
  <si>
    <t>ZEDADRA, Ouarda/N-4856-2016; GUERRIERI, ANTONIO/JFN-2228-2023</t>
  </si>
  <si>
    <t>Zedaa, Amina/0000-0002-5915-9986; SALAH-SALAH, Mahmoud Yassine/0009-0007-3527-1301; GUERRIERI, ANTONIO/0000-0003-1469-9484</t>
  </si>
  <si>
    <t>74795</t>
  </si>
  <si>
    <t>74806</t>
  </si>
  <si>
    <t>10.1109/ACCESS.2025.3564529</t>
  </si>
  <si>
    <t>http://dx.doi.org/10.1109/ACCESS.2025.3564529</t>
  </si>
  <si>
    <t>2GD7D</t>
  </si>
  <si>
    <t>WOS:001481864700008</t>
  </si>
  <si>
    <t>Sang, H; Lin, T; Luo, LC; Liu, MR; Lia, J; Luo, X; Shen, JL; Zhong, SZ; Xu, L; Huang, WH</t>
  </si>
  <si>
    <t>Accurate classification of bone tumors as benign, malignant, or intermediate is crucial for patient treatment decisions. Misclassification may result in overtreatment of benign cases or delayed intervention for aggressive tumors, significantly impacting patient prognosis. However, current methods rely heavily on single-modality imaging analysis, making it difficult to handle variable lesion locations and complex cancer types. To address these limitations, we propose a novel multimodal deep learning framework that integrates clinical images, pathological slices, and blood biomarkers for automated bone tumor detection and three-class classification. The framework operates in two stages: first, a YOLOv5-based detection model localizes tumor regions on clinical images. Next, a classification model utilizes ResNet to extract deep features from both the clinical images and pathological slices, while abnormal blood biomarkers are transformed into descriptive text by a large language model and subsequently encoded into semantic features using BioBERT. Finally, features from all three modalities are integrated via a fusion module to capture complementary information and enable accurate tumor classification. The evaluation was performed using two distinct datasets: a clinical imaging dataset for bone tumor detection, and a separate multi-modal cohort comprising clinical imaging, pathology, and blood biomarkers for tumor classification. The detection model demonstrated strong localization capabilities, achieving a test mAP@0.5 of 0.7925. For the classification task, ablation studies validated the complementary contribution of each modality. Notably, our multimodal fusion approach outperformed unimodal baselines, attaining a macro-average precision of 0.9056, F1-score of 0.8736, and AUC of 0.9759 in tumor classification-outperforming existing models.</t>
  </si>
  <si>
    <t>Sang, Hang; Lin, Tao; Luo, Lincong; Liu, Mingrui; Lia, Jiaying; Luo, Xiang; Shen, Jianlin; Zhong, Shizhen; Xu, Lin; Huang, Wenhua</t>
  </si>
  <si>
    <t>Zhong, SZ; Huang, WH (corresponding author), Southern Med Univ, Guangdong Engn Res Ctr Translat Med Printing Appli, Guangdong Prov Key Lab Digital Med &amp; Biomech, Natl Key Discipline Human Anat,Sch Basic Med Sci, Guangzhou 510515, Guangdong, Peoples R China.; Xu, L (corresponding author), Southern Med Univ, Sch Basic Med Sci, Guangzhou 510515, Guangdong, Peoples R China.; Xu, L (corresponding author), Jiangbin Hosp Guangxi Zhuang Autonomous Reg, Dept Orthopaed, Nanning 530021, Guangxi, Peoples R China.</t>
  </si>
  <si>
    <t>18122747332@139.com; xulin1982@hotmail.com; lint0910@163.com; 13837014660@163.com; huangwenhua2009@139.com; shenjianlinchina@126.com; Zhszhnfso@126.com; ljy927@smu.edu.cn; dr-luo@163.com; 18822687636@163.com</t>
  </si>
  <si>
    <t>Research on Development and Application of Clinically Relevant New Technologies in Orthopedics [K923289433]; China Postdoctoral Science Foundation, China [2024M751315]</t>
  </si>
  <si>
    <t>Research on Development and Application of Clinically Relevant New Technologies in Orthopedics; China Postdoctoral Science Foundation, China (China Postdoctoral Science Foundation)</t>
  </si>
  <si>
    <t>This study was funded by: Research on Development and Application of Clinically Relevant New Technologies in Orthopedics (Grant No. K923289433) , and the China Postdoctoral Science Foundation, China (Grant No. 2024M751315) .</t>
  </si>
  <si>
    <t>[Sang, Hang; Lin, Tao; Lia, Jiaying; Zhong, Shizhen; Huang, Wenhua] Southern Med Univ, Guangdong Engn Res Ctr Translat Med Printing Appli, Guangdong Prov Key Lab Digital Med &amp; Biomech, Natl Key Discipline Human Anat,Sch Basic Med Sci, Guangzhou 510515, Guangdong, Peoples R China; [Luo, Lincong] Southern Med Univ, Yue Bei Peoples Hosp Postdoctoral Innovat Practice, Guangzhou 510515, Guangdong, Peoples R China; [Liu, Mingrui] Dali Univ, Sch Basic Med, Dali 671003, Yunnan, Peoples R China; [Luo, Xiang] Guigang City Peoples Hosp, Guangxi Clin Res Ctr Digital Med &amp; 3D Printing, Guigang 537100, Guangxi, Peoples R China; [Xu, Lin] Southern Med Univ, Sch Basic Med Sci, Guangzhou 510515, Guangdong, Peoples R China; [Xu, Lin] Jiangbin Hosp Guangxi Zhuang Autonomous Reg, Dept Orthopaed, Nanning 530021, Guangxi, Peoples R China; [Shen, Jianlin] Putian Univ, Affiliated Hosp, Dept Orthopaed, Putian 351100, Fujian, Peoples R China</t>
  </si>
  <si>
    <t>Southern Medical University - China; Shantou University; Southern Medical University - China; Dali University; Southern Medical University - China; Putian University</t>
  </si>
  <si>
    <t>Multimodal deep learning for bone tumor diagnosis with clinical imaging, pathology, and blood biomarkers</t>
  </si>
  <si>
    <t>JOURNAL OF BONE ONCOLOGY</t>
  </si>
  <si>
    <t>Bone tumor; Multimodal deep learning; Detection and classification; Clinical decision support</t>
  </si>
  <si>
    <t>huang, wenhua/AAO-5990-2020</t>
  </si>
  <si>
    <t>2212-1374</t>
  </si>
  <si>
    <t>J BONE ONCOL</t>
  </si>
  <si>
    <t>J. Bone Oncol.</t>
  </si>
  <si>
    <t>55</t>
  </si>
  <si>
    <t>100718</t>
  </si>
  <si>
    <t>10.1016/j.jbo.2025.100718</t>
  </si>
  <si>
    <t>http://dx.doi.org/10.1016/j.jbo.2025.100718</t>
  </si>
  <si>
    <t>9HN5Y</t>
  </si>
  <si>
    <t>41209291</t>
  </si>
  <si>
    <t>WOS:001606502700001</t>
  </si>
  <si>
    <t>Lee, KT; Ali, H; Liu, IJ; Liu, WT; Chien, RC; Chen, YY; Chen, YL; Pao, PC; Luo, PS; Chen, KY; Lee, KY; Chen, TT; Majumdar, A; Kang, JH; Feng, PH; Tsai, CY</t>
  </si>
  <si>
    <t>Extubation failure remains a major challenge in critically ill patients and is associated with adverse clinical outcomes. Current extubation decisions rely heavily on weaning tests and subjective interpretation of chest radiographs. This study aimed to develop a clinically feasible multimodal machine learning (ML) framework that integrates routinely available data to provide complementary support for extubation decision-making. A total of 921 individuals were included and classified into extubation-with-reintubation and extubation-without-reintubation groups. The proposed framework integrated baseline demographics, weaning measurements, radiographic assessments, and segmented post-intubation chest x-rays (i.e., tracheal, left lung, and right lung regions). Optimal base ML models for each modality were selected based on the area under the receiver operating characteristic curve and integrated using a stacking ensemble approach. Feature importance analyses were performed at both the modality and feature levels. The extubation-with-reintubation group comprised a higher proportion of elderly patients with higher Charlson comorbidity index scores than the extubation-without-reintubation group. Individuals requiring reintubation exhibited significantly higher respiratory rates, lower tidal volumes, greater rapid shallow breathing indices, and longer intervals from intubation to weaning tests and extubation (all p &lt; 0.01). The multimodal ensemble outperformed rule-based and single-modality models, achieving an accuracy of 79.46%. Weaning measurements, demographics, and radiographic assessments were the most influential contributors to extubation outcome prediction. A multimodal ML framework integrating segmented post-intubation chest x-rays with routinely collected clinical data shows potential as a complementary, objective decision-support tool for extubation without requiring additional measurements. Prospective studies are needed to further validate these findings.</t>
  </si>
  <si>
    <t>Lee, Kun-Ta; Ali, Haseeb; Liu, I-Jung; Liu, Wen-Te; Chien, Rachel; Chen, Ying-Ying; Chen, Yen-Ling; Pao, Ping-Chung; Luo, Pei-Shan; Chen, Kuan-Yuan; Lee, Kang-Yun; Chen, Tzu-Tao; Majumdar, Arnab; Kang, Jiunn-Horng; Feng, Po-Hao; Tsai, Cheng-Yu</t>
  </si>
  <si>
    <t>Tsai, CY (corresponding author), Taipei Med Univ, Coll Biomed Engn, Sch Biomed Engn, 250 Wuxing St, Taipei 11031, Taiwan.; Tsai, CY (corresponding author), Taipei Med Univ, Coll Med, Res Ctr Sleep Med, Taipei 11031, Taiwan.; Tsai, CY (corresponding author), Taipei Med Univ, Shuang Ho Hosp, Dept Internal Med, Div Pulm Med, New Taipei City 23561, Taiwan.; Tsai, CY (corresponding author), Taipei Med Univ, Coll Med, Sch Resp Therapy, Taipei 11031, Taiwan.; Tsai, CY (corresponding author), Taipei Med Univ, Shuang Ho Hosp, Sleep Ctr, New Taipei City 23561, Taiwan.; Tsai, CY (corresponding author), Taipei Med Univ, TMU Res Ctr Artificial Intelligence Med &amp; Hlth, Taipei 11031, Taiwan.; Tsai, CY (corresponding author), Taipei Med Univ, TMU Res Ctr Thorac Med, Taipei 11031, Taiwan.</t>
  </si>
  <si>
    <t>momo_cyt@tmu.edu.tw</t>
  </si>
  <si>
    <t>National Science and Technology Council [112-2634-F002-003, 113-2222-E-038-003]; Taipei Medical University [113HCP-10, TMU113-AE1-B03]</t>
  </si>
  <si>
    <t>National Science and Technology Council; Taipei Medical University (Taipei Medical University)</t>
  </si>
  <si>
    <t>This study was funded by the National Science and Technology Council of Taiwan (NSTC 112-2634-F002-003 and NSTC 113-2222-E-038-003) and Taipei Medical University (grant nos.: 113HCP-10 and TMU113-AE1-B03).</t>
  </si>
  <si>
    <t>[Lee, Kun-Ta] Taipei Med Univ, Shuang Ho Hosp, Div Pulm Med, Resp Therapy Room, New Taipei City 23561, Taiwan; [Ali, Haseeb] Thammasat Univ, Sirindhorn Int Inst Technol, Pathum Thani 12120, Thailand; [Ali, Haseeb; Tsai, Cheng-Yu] Taipei Med Univ, Coll Biomed Engn, Sch Biomed Engn, 250 Wuxing St, Taipei 11031, Taiwan; [Liu, I-Jung; Liu, Wen-Te; Chien, Rachel; Chen, Ying-Ying; Tsai, Cheng-Yu] Taipei Med Univ, Coll Med, Res Ctr Sleep Med, Taipei 11031, Taiwan; [Liu, Wen-Te; Chen, Kuan-Yuan; Lee, Kang-Yun; Chen, Tzu-Tao; Feng, Po-Hao; Tsai, Cheng-Yu] Taipei Med Univ, Shuang Ho Hosp, Dept Internal Med, Div Pulm Med, New Taipei City 23561, Taiwan; [Liu, Wen-Te; Tsai, Cheng-Yu] Taipei Med Univ, Coll Med, Sch Resp Therapy, Taipei 11031, Taiwan; [Liu, Wen-Te] Wistron Corp, Adv Technol Lab, Taipei 11469, Taiwan; [Liu, Wen-Te; Tsai, Cheng-Yu] Taipei Med Univ, Shuang Ho Hosp, Sleep Ctr, New Taipei City 23561, Taiwan; [Liu, Wen-Te; Kang, Jiunn-Horng; Tsai, Cheng-Yu] Taipei Med Univ, TMU Res Ctr Artificial Intelligence Med &amp; Hlth, Taipei 11031, Taiwan; [Chen, Ying-Ying] Natl Taiwan Univ, Ctr Artificial Intelligence &amp; Adv Robot, Taipei 106319, Taiwan; [Chen, Yen-Ling; Kang, Jiunn-Horng] Taipei Med Univ, Coll Biomed Engn, Taipei 11031, Taiwan; [Pao, Ping-Chung] Taipei Med Univ, Shuang Ho Hosp, Dept Radiol, New Taipei City 23561, Taiwan; [Luo, Pei-Shan] Taipei Med Univ, Shuang Ho Hosp, Emergency Dept, New Taipei City 23561, Taiwan; [Chen, Kuan-Yuan; Lee, Kang-Yun; Chen, Tzu-Tao; Feng, Po-Hao] Taipei Med Univ, Coll Med, Sch Med, Div Pulm Med,Dept Internal Med, Taipei 11031, Taiwan; [Chen, Kuan-Yuan; Lee, Kang-Yun; Chen, Tzu-Tao; Feng, Po-Hao; Tsai, Cheng-Yu] Taipei Med Univ, TMU Res Ctr Thorac Med, Taipei 11031, Taiwan; [Chen, Kuan-Yuan; Lee, Kang-Yun; Chen, Tzu-Tao] Taipei Med Univ, Grad Inst Clin Med, Coll Med, Taipei 11031, Taiwan; [Majumdar, Arnab] Imperial Coll London, Dept Civil &amp; Environm Engn, London SW7 2AZ, England; [Kang, Jiunn-Horng] Taipei Med Univ Hosp, Dept Phys Med &amp; Rehabil, Taipei 11031, Taiwan; [Kang, Jiunn-Horng] Taipei Med Univ, Grad Inst Nanomed &amp; Med Engn, Coll Biomed Engn, Taipei 11031, Taiwan</t>
  </si>
  <si>
    <t>Taipei Medical University; Thammasat University; Taipei Medical University; Taipei Medical University; Taipei Medical University; Shuang Ho Hospital; Taipei Medical University; Wistron; Taipei Medical University; Taipei Medical University; National Taiwan University; Taipei Medical University; Taipei Medical University; Taipei Medical University; Taipei Medical University; Shuang Ho Hospital; Taipei Medical University; Taipei Medical University; Imperial College London; Taipei Medical University; Taipei Medical University Hospital; Taipei Medical University</t>
  </si>
  <si>
    <t>Extubation Decision Support in Critical Care: A Multimodal Machine Learning Framework Integrating Segmented Radiographs and Routine Clinical Data</t>
  </si>
  <si>
    <t>Article; Early Access</t>
  </si>
  <si>
    <t>Extubation; Multimodal machine learning; Weaning assessment; Segmented chest x-ray; Mechanical ventilation</t>
  </si>
  <si>
    <t>FAILED EXTUBATION; FAILURE; DEPTH</t>
  </si>
  <si>
    <t>LEE, KUN-TA/LOR-0767-2024</t>
  </si>
  <si>
    <t>Ali, Haseeb/0009-0000-9031-7850</t>
  </si>
  <si>
    <t>10.1007/s10278-026-01915-1</t>
  </si>
  <si>
    <t>http://dx.doi.org/10.1007/s10278-026-01915-1</t>
  </si>
  <si>
    <t>MAR 2026</t>
  </si>
  <si>
    <t>FK6JQ</t>
  </si>
  <si>
    <t>41872394</t>
  </si>
  <si>
    <t>WOS:001721003900001</t>
  </si>
  <si>
    <t>Rugolon, F; Randl, K; Jovanovic, B; Miliou, I; Papapetrou, P</t>
  </si>
  <si>
    <t>PURPOSE Multimodal machine learning offers a holistic view of a patient's status, integrating structured and unstructured data from electronic health records (EHR). We propose a framework to predict metastasis risk 1 month before diagnosis, using 6 months of clinical history from EHR data.METHODS Data from four cancer cohorts collected at Karolinska University Hospital (Stockholm, Sweden) were analyzed: breast (n = 743), colon (n = 387), lung (n = 870), and prostate (n = 1,890). The data set included demographics, comorbidities, laboratory results, medications, and clinical text. We compared traditional and deep learning (DL) classifiers across single modalities and multimodal combinations, using various fusion strategies and a transparent reporting of a multivariable prediction model for individual prognosis or diagnosis (TRIPOD) 2a design, with an 80-20 development-validation split to ensure a rigorous, repeatable evaluation. Performance was evaluated using AUROC, area under the precision-recall curve, F1 score, sensitivity, and specificity. We then employed a multimodal adaptation of Shapley additive explanations (SHAP) to analyze the classifiers' reasoning.RESULTS Intermediate fusion achieved the highest F1 scores on breast (0.845), colon (0.786), and prostate cancer (0.845), demonstrating strong predictive performance. For lung cancer, the intermediate fusion achieved an F1 score of 0.819, while the text-only model achieved the highest, with an F1 score of 0.829. DL classifiers consistently outperformed traditional models. Colon cancer, the smallest cohort, had the lowest performance, highlighting the importance of sufficient training data. SHAP analysis showed that the relative importance of modalities varied across cancer types.CONCLUSION Fusion strategies offer distinct strengths and weaknesses. Intermediate fusion consistently delivered the best results, but strategy choices should align with data characteristics and organizational needs.</t>
  </si>
  <si>
    <t>Rugolon, Franco; Randl, Korbinian; Jovanovic, Braslav; Miliou, Ioanna; Papapetrou, Panagiotis</t>
  </si>
  <si>
    <t>Rugolon, F (corresponding author), Stockholm Univ, Dept Comp &amp; Syst Sci, Stockholm, Sweden.</t>
  </si>
  <si>
    <t>franco.rugolon@dsv.su.se</t>
  </si>
  <si>
    <t>Stiftelsen Marcus och Amalia Wallembergs Minnesfond (The Marcus and Amalia Wallemberg Memorial Fund); Horizon Europe Research and Innovation program [875351, 101093026]; Horizon Europe - Pillar II [101093026] Funding Source: Horizon Europe - Pillar II</t>
  </si>
  <si>
    <t>Stiftelsen Marcus och Amalia Wallembergs Minnesfond (The Marcus and Amalia Wallemberg Memorial Fund); Horizon Europe Research and Innovation program; Horizon Europe - Pillar II (European Union (EU), Horizon Europe - Pillar II)</t>
  </si>
  <si>
    <t>Supported in part by the Stiftelsen Marcus och Amalia Wallembergs Minnesfond (The Marcus and Amalia Wallemberg Memorial Fund). Supported in part by the Horizon Europe Research and Innovation program under Grant Agreements No 875351 and 101093026.</t>
  </si>
  <si>
    <t>[Rugolon, Franco; Randl, Korbinian; Miliou, Ioanna; Papapetrou, Panagiotis] Stockholm Univ, Dept Comp &amp; Syst Sci, Stockholm, Sweden; [Jovanovic, Braslav] Karolinska Univ Hosp, Tema Canc, Stockholm, Sweden</t>
  </si>
  <si>
    <t>Stockholm University; Karolinska Institutet; Karolinska University Hospital</t>
  </si>
  <si>
    <t>Multimodal Machine Learning for Early Prediction of Metastasis in a Swedish Multicancer Cohort</t>
  </si>
  <si>
    <t>JCO CLINICAL CANCER INFORMATICS</t>
  </si>
  <si>
    <t>SURVIVAL; IMPROVEMENT; PROGNOSIS; RECORDS</t>
  </si>
  <si>
    <t>2473-4276</t>
  </si>
  <si>
    <t>JCO CLIN CANCER INFO</t>
  </si>
  <si>
    <t>JCO Clin. Cancer Info.</t>
  </si>
  <si>
    <t>e2500141</t>
  </si>
  <si>
    <t>10.1200/CCI-25-00141</t>
  </si>
  <si>
    <t>http://dx.doi.org/10.1200/CCI-25-00141</t>
  </si>
  <si>
    <t>JX5UC</t>
  </si>
  <si>
    <t>42269139</t>
  </si>
  <si>
    <t>WOS:001800356100001</t>
  </si>
  <si>
    <t>Zhang, Q; Ye, F; Li, X; Gao, PB</t>
  </si>
  <si>
    <t>Cross-border live streaming e-commerce serves as a powerful driver of international trade growth. However, critical gaps remain in current research: (1) inadequate theoretical modelling of multimodal information fusion, (2) limitations in the interpretability of predictive algorithms, (3) single-modality approaches restricting generalisability, and (4) unclear mechanisms linking cultural variation to live stream sales cycles. To address these gaps, we propose a novel Multimodal Dynamic Prediction Framework that integrates Temporal Fusion Transformers (TFT), Bidirectional Encoder Representations from Transformers (BERT), and Contrastive Language-Image Pretraining (CLIP) for capturing multimodal dynamics in live-commerce forecasting. Empirical evaluation demonstrates that our framework outperforms baseline approaches significantly. Key findings include: (1) Elucidation of a novel dual-track evolution of KOL influence, characterised by high sensitivity and rapid decay in emerging markets versus gradual penetration and sustained impact in mature markets. (2) Identification of core cyclical patterns underpinning the live streaming restructuring of traditional retail. (3) Temporal variation in multimodal feature contributions confirms an inverted U-shaped relationship between cognitive load and information digestion efficiency. Our framework provides actionable insights for precision marketing and dynamic KOL allocation, advancing both theory and practice in global e-commerce.</t>
  </si>
  <si>
    <t>Zhang, Qi; Ye, Feng; Li, Xue; Gao, Pengbin</t>
  </si>
  <si>
    <t>Social Science Citation Index (SSCI)</t>
  </si>
  <si>
    <t>Gao, PB (corresponding author), Harbin Inst Technol, Sch Econ &amp; Management, Weihai City 264209, Peoples R China.</t>
  </si>
  <si>
    <t>gaopengbin@hit.edu.cn</t>
  </si>
  <si>
    <t>[Zhang, Qi; Li, Xue] Harbin Inst Technol, Sch Management, Harbin City 150001, Peoples R China; [Ye, Feng] Harbin Inst Technol, Fac Comp, Harbin City 150001, Peoples R China; [Gao, Pengbin] Harbin Inst Technol, Sch Econ &amp; Management, Weihai City 264209, Peoples R China</t>
  </si>
  <si>
    <t>Harbin Institute of Technology; Harbin Institute of Technology; Harbin Institute of Technology</t>
  </si>
  <si>
    <t>Demand forecasting in cross-border live streaming commerce: An explainable multimodal AI framework for market</t>
  </si>
  <si>
    <t>JOURNAL OF RETAILING AND CONSUMER SERVICES</t>
  </si>
  <si>
    <t>Multimodal; Temporal fusion transformer; Cross-border E-commerce; Live streaming; Demand forecasting</t>
  </si>
  <si>
    <t>CONSUMER-BEHAVIOR; SIGNALING THEORY; SOCIAL COMMERCE; SYSTEM</t>
  </si>
  <si>
    <t>Li, Xue/0000-0002-9831-6788; Ye, Feng/0000-0002-4807-5170</t>
  </si>
  <si>
    <t>101</t>
  </si>
  <si>
    <t>0969-6989</t>
  </si>
  <si>
    <t>1873-1384</t>
  </si>
  <si>
    <t>J RETAIL CONSUM SERV</t>
  </si>
  <si>
    <t>J. Retail. Consum. Serv.</t>
  </si>
  <si>
    <t>104481</t>
  </si>
  <si>
    <t>10.1016/j.jretconser.2025.104481</t>
  </si>
  <si>
    <t>http://dx.doi.org/10.1016/j.jretconser.2025.104481</t>
  </si>
  <si>
    <t>Business</t>
  </si>
  <si>
    <t>Business &amp; Economics</t>
  </si>
  <si>
    <t>6WE2R</t>
  </si>
  <si>
    <t>WOS:001563463300002</t>
  </si>
  <si>
    <t>Fang, QF; Guo, YY; Chen, LK; Li, YL; Cai, QL; Zhang, JS; Ma, XY; Zeng, Y; Bai, GH</t>
  </si>
  <si>
    <t>Background: Accurate, non-invasive prediction of cerebral amyloid-beta (A beta) pathology in mild cognitive impairment (MCI) remains challenging yet critical for early intervention. Objective: To develop a multimodal machine learning model integrating clinical features, plasma biomarkers, and structural MRI metrics for non-invasive A beta prediction. Methods: Data were obtained from the Alzheimer's Disease Neuroimaging Initiative. Participants with concurrent plasma biomarkers, 3D T1-weighted MRI, and amyloid assessments were included. Logistic Regression, Decision Tree, and Support Vector Machine models were constructed using clinical, plasma, MRI, and combined features. Performance was evaluated via internal validation and external testing in a cognitively unimpaired cohort using AUC, calibration curves, and decision curve analysis. The prognostic value of the model-derived A beta risk probability was assessed using Cox regression in an independent longitudinal MCI cohort. Results: The optimal Logistic Regression model incorporatedAPOE epsilon 4 status, Mini-Mental State Examination score, plasma p-Tau217, A beta(42)/A beta(40)ratio, and bilateral hippocampal and left amygdalar volumes. The combined model achieved an AUC of 0.875 in internal validation and maintained robust performance in the external unimpaired cohort (AUC = 0.883), outperforming single-modality models. The predicted A beta-positive risk probability effectively stratified disease progression risk in MCI patients (C-index = 0.771). Conclusions: A multimodal model integrating plasma and MRI features accurately predicts A beta pathology and progression risk, offering a practical non-invasive tool for early Alzheimer's disease screening and risk stratification.</t>
  </si>
  <si>
    <t>Fang, Qiaofang; Guo, Yunyu; Chen, Linkai; Li, Youling; Cai, Qiuling; Zhang, Junshen; Ma, Xinyu; Zeng, Yan; Bai, Guanghui</t>
  </si>
  <si>
    <t>Bai, GH (corresponding author), Wenzhou Med Univ, Affiliated Hosp &amp; Yuying Childrens Hosp 2, Dept Radiol, Wenzhou, Zhejiang, Peoples R China.</t>
  </si>
  <si>
    <t>bghu79@126.com</t>
  </si>
  <si>
    <t>[Fang, Qiaofang; Guo, Yunyu; Chen, Linkai; Li, Youling; Cai, Qiuling; Zhang, Junshen; Ma, Xinyu; Bai, Guanghui] Wenzhou Med Univ, Affiliated Hosp &amp; Yuying Childrens Hosp 2, Dept Radiol, Wenzhou, Zhejiang, Peoples R China; [Fang, Qiaofang; Guo, Yunyu; Chen, Linkai; Li, Youling; Cai, Qiuling; Zhang, Junshen; Ma, Xinyu; Bai, Guanghui] Key Lab Struct Malformat Children Zhejiang Prov, Wenzhou, Zhejiang, Peoples R China; [Zeng, Yan] Shanghai United Imaging Intelligence Co Ltd, Dept Res Ctr, Shanghai, Peoples R China</t>
  </si>
  <si>
    <t>Wenzhou Medical University</t>
  </si>
  <si>
    <t>A multimodal machine learning model integrating plasma biomarkers and MRI metrics for non-invasive prediction of amyloid-β pathology in mild cognitive impairment</t>
  </si>
  <si>
    <t>Alzheimer's disease; machine learning; magnetic resonance imaging; mild cognitive impairment</t>
  </si>
  <si>
    <t>ALZHEIMER-DISEASE; ATROPHY; RISK</t>
  </si>
  <si>
    <t>113</t>
  </si>
  <si>
    <t>114</t>
  </si>
  <si>
    <t>10.1177/13872877261465672</t>
  </si>
  <si>
    <t>http://dx.doi.org/10.1177/13872877261465672</t>
  </si>
  <si>
    <t>NA5CY</t>
  </si>
  <si>
    <t>42486687</t>
  </si>
  <si>
    <t>WOS:001837765700001</t>
  </si>
  <si>
    <t>Liu, ZG; Song, YF; Liu, AR; Meng, X; Liu, C; Li, SS; Wang, XQ; Teng, GF</t>
  </si>
  <si>
    <t>Accurate and non-destructive evaluation of grape quality is crucial for intelligent viticulture, yet most existing approaches address cultivar classification and soluble solid content (SSC) prediction as independent tasks based on single-modality data, limiting robustness and practical applicability. This study proposes DualStream-RTNet, a unified multimodal deep learning framework that simultaneously performs grape cultivar classification and SSC prediction by integrating RGB-HSV fused images and PCA-compressed hyperspectral spectra. The dual-stream architecture enables the complementary learning of external chromatic-textural cues and internal physicochemical information, while a Transformer-enhanced fusion module strengthens global representation and cross-modal correlation. A dataset of 864 berries from five grape cultivars was used to validate the model. DualStream-RTNet achieved 93.64% classification accuracy, outperforming ResNet18 and other CNN baselines, and produced more compact and consistent confusion-matrix patterns. For SSC prediction, it consistently yielded the highest performance across cultivars, with R2p values up to 0.9693 and RMSE as low as 0.2567, surpassing the PLSR, SVR, LSTM, and Transformer regression models. These results demonstrate the superiority of the proposed framework in capturing both visual and spectral characteristics. DualStream-RTNet provides an efficient and scalable solution for comprehensive grape quality assessment, offering strong potential for real-time sorting, precision grading, and smart agricultural applications.</t>
  </si>
  <si>
    <t>Liu, Zhiguo; Song, Yufei; Liu, Aoran; Meng, Xi; Liu, Chang; Li, Shanshan; Wang, Xiangqing; Teng, Guifa</t>
  </si>
  <si>
    <t>Teng, GF (corresponding author), Hebei Agr Univ, Coll Informat Sci &amp; Technol, Baoding 071001, Peoples R China.; Song, YF (corresponding author), Shijiazhuang Univ, Sch Future Informat Technol, Hebei Key Lab IoT Blockchain Integrat, Shijiazhuang 050037, Peoples R China.</t>
  </si>
  <si>
    <t>lliuchang1122@163.com; wangxiangqing@sjzc.edu.cn; sjzlzg@163.com; mengxi19930511@163.com; 13223450412@163.com; liss@sjzc.edu.cn; songyufei0311@163.com; tguifa@hebau.edu.cn</t>
  </si>
  <si>
    <t>Higher Education Research Project of Hebei Province [BJ2025097]; Central Government's Guidance Fund for Local Science and Technology Development [246Z0309G]; Hebei Province Doctoral Student Innovation Capability Training Fund [CXZZBS2024073]</t>
  </si>
  <si>
    <t>Higher Education Research Project of Hebei Province; Central Government's Guidance Fund for Local Science and Technology Development; Hebei Province Doctoral Student Innovation Capability Training Fund</t>
  </si>
  <si>
    <t>This research was financially supported by the Central Government's Guidance Fund for Local Science and Technology Development (246Z0309G), the Higher Education Research Project of Hebei Province (BJ2025097), the Higher Education Research Project of Hebei Province (BJ2026072), and the Hebei Province Doctoral Student Innovation Capability Training Fund (CXZZBS2024073), China.</t>
  </si>
  <si>
    <t>[Liu, Zhiguo; Teng, Guifa] Hebei Agr Univ, Coll Informat Sci &amp; Technol, Baoding 071001, Peoples R China; [Liu, Zhiguo; Song, Yufei; Liu, Aoran; Meng, Xi; Liu, Chang; Li, Shanshan; Wang, Xiangqing] Shijiazhuang Univ, Sch Future Informat Technol, Hebei Key Lab IoT Blockchain Integrat, Shijiazhuang 050037, Peoples R China; [Liu, Aoran] Hebei Normal Univ, Hebei Prov Engn Res Ctr Supply Chain Big Data Anal, Hebei Prov Key Lab Network &amp; Informat Secur, Sch Coll Comp &amp; Cyber Secur, Shijiazhuang 050025, Peoples R China</t>
  </si>
  <si>
    <t>Hebei Agricultural University; Shijiazhuang University; Hebei Normal University</t>
  </si>
  <si>
    <t>DualStream-RTNet: A Multimodal Deep Learning Framework for Grape Cultivar Classification and Soluble Solid Content Prediction</t>
  </si>
  <si>
    <t>FOODS</t>
  </si>
  <si>
    <t>multimodal fusion; hyperspectral imaging; multi-task deep learning; RGB-HSV feature fusion</t>
  </si>
  <si>
    <t>2304-8158</t>
  </si>
  <si>
    <t>Foods</t>
  </si>
  <si>
    <t>MAR 20 2026</t>
  </si>
  <si>
    <t>1095</t>
  </si>
  <si>
    <t>10.3390/foods15061095</t>
  </si>
  <si>
    <t>http://dx.doi.org/10.3390/foods15061095</t>
  </si>
  <si>
    <t>Food Science &amp; Technology</t>
  </si>
  <si>
    <t>FS1YE</t>
  </si>
  <si>
    <t>41897816</t>
  </si>
  <si>
    <t>WOS:001726132700001</t>
  </si>
  <si>
    <t>Lee, CK; Chen, TL; Wu, JE; Liao, MT; Wang, CH; Wang, WC; Chou, CY</t>
  </si>
  <si>
    <t>Background and Objectives: Ambiguity in diagnosing acute heart failure (AHF) leads to inappropriate treatment and potential side effects of rescue medications. To address this issue, this study aimed to use multimodality deep learning models combining chest X-ray (CXR) and electronic health record (EHR) data to screen patients with abnormal N-terminal pro-B-type natriuretic peptide (NT-proBNP) levels in emergency departments. Methods: Using the open-source dataset MIMIC-IV and MIMIC-CXR, - CXR, the study population consisted of 1,432 patients and 1,833 pairs of CXRs and EHRs. We processed the CXRs, extracted relevant features through lung- heart masks, and combined these with the vital signs at triage to predict corresponding NT-proBNP levels. Results: The proposed method achieved a 0.89 area under the receiver operating characteristic curve by fusing predictions from single-modality models of heart size ratio, radiomic features, CXR, and the region of interest in the CXR. The model can accurately predict dyspneic patients with abnormal NT-proBNP concentrations, allowing physicians to reduce the risks associated with inappropriate treatment. Conclusion: The study provided new image features related to AHF and offered insights into future research directions. Overall, these models have great potential to improve patient outcomes and reduce risks in emergency departments.</t>
  </si>
  <si>
    <t>Lee, Chih-Kuo; Chen, Ting-Li; Wu, Jeng-En; Liao, Min-Tsun; Wang, Chiehhung; Wang, Weichung; Chou, Cheng-Ying</t>
  </si>
  <si>
    <t>Wang, WC; Chou, CY (corresponding author), NTU, Dept Mech Engn, 1 Roosevelt Rd Sec 4, Taipei 106, Taiwan.</t>
  </si>
  <si>
    <t>wwang@ntu.edu.tw; chengying@ntu.edu.tw</t>
  </si>
  <si>
    <t>[Lee, Chih-Kuo; Liao, Min-Tsun] Natl Taiwan Univ Hosp, Dept Internal Med, Hsin Chu Branch, 25,Ln 442,Sec 1,Jingguo Rd, Hsinchu 300, Taiwan; [Chen, Ting-Li] Acad Sinica, Inst Stat Sci, 128 Acad Rd, Nankang 11529, Taipei, Taiwan; [Wu, Jeng-En; Chou, Cheng-Ying] Natl Taiwan Univ, Master Program Stat, 1,Sec 4 Roosevelt Rd, Taipei 106, Taiwan; [Wang, Chiehhung] Natl Taiwan Univ, Data Sci Degree Program, 1,Sec 4 Roosevelt Rd, Taipei 106, Taiwan; [Wang, Weichung] Natl Taiwan Univ, Inst Appl Math Sci, 1,Sec 4 Roosevelt Rd, Taipei 106, Taiwan; [Chou, Cheng-Ying] Natl Taiwan Univ, Dept Biomechatron Engn, 1,Sec 4 Roosevelt Rd, Taipei 106, Taiwan</t>
  </si>
  <si>
    <t>National Taiwan University; National Taiwan University Hospital; National Taiwan University Hospital; Academia Sinica - Taiwan; National Taiwan University; National Taiwan University; National Taiwan University; National Taiwan University</t>
  </si>
  <si>
    <t>Multimodal deep learning models utilizing chest X-ray and electronic health record data for predictive screening of acute heart failure in emergency department</t>
  </si>
  <si>
    <t>COMPUTER METHODS AND PROGRAMS IN BIOMEDICINE</t>
  </si>
  <si>
    <t>Acute heart failure; Chest X-rays; Deep learning; Multimodality; NT-proBNP</t>
  </si>
  <si>
    <t>MORTALITY; TRENDS</t>
  </si>
  <si>
    <t>Chen, Ting-Li/AAF-5752-2020; Liao, Min-Tsun/GPG-6828-2022</t>
  </si>
  <si>
    <t>Lee, Chih-Kuo/0000-0001-5796-6971; CHOU, CHENG-YING/0000-0002-5737-6960; Wang, Weichung/0000-0002-6154-7750; Chen, Ting-Li/0000-0002-1375-0164</t>
  </si>
  <si>
    <t>0169-2607</t>
  </si>
  <si>
    <t>1872-7565</t>
  </si>
  <si>
    <t>COMPUT METH PROG BIO</t>
  </si>
  <si>
    <t>Comput. Meth. Programs Biomed.</t>
  </si>
  <si>
    <t>255</t>
  </si>
  <si>
    <t>108357</t>
  </si>
  <si>
    <t>10.1016/j.cmpb.2024.108357</t>
  </si>
  <si>
    <t>http://dx.doi.org/10.1016/j.cmpb.2024.108357</t>
  </si>
  <si>
    <t>Computer Science, Interdisciplinary Applications; Computer Science, Theory &amp; Methods; Engineering, Biomedical; Medical Informatics</t>
  </si>
  <si>
    <t>D1J0E</t>
  </si>
  <si>
    <t>39126913</t>
  </si>
  <si>
    <t>WOS:001293805800001</t>
  </si>
  <si>
    <t>Imrie, F; Denner, S; Brunschwig, LS; Maier-Hein, K; van der Schaar, M</t>
  </si>
  <si>
    <t>The application of machine learning in medicine and healthcare has led to the creation of numerous diagnostic and prognostic models. However, despite their success, current approaches generally issue predictions using data from a single modality. This stands in stark contrast with clinician decision-making which employs diverse information from multiple sources. While several multimodal machine learning approaches exist, significant challenges in developing multimodal systems remain that are hindering clinical adoption. In this paper, we introduce a multimodal framework, AutoPrognosis-M, that enables the integration of structured clinical (tabular) data and medical imaging using automated machine learning. AutoPrognosis-M incorporates 17 imaging models, including convolutional neural networks and vision transformers, and three distinct multimodal fusion strategies. In an illustrative application using a multimodal skin lesion dataset, we highlight the importance of multimodal machine learning and the power of combining multiple fusion strategies using ensemble learning. We have open-sourced our framework as a tool for the community and hope it will accelerate the uptake of multimodal machine learning in healthcare and spur further innovation.</t>
  </si>
  <si>
    <t>Imrie, Fergus; Denner, Stefan; Brunschwig, Lucas S.; Maier-Hein, Klaus; van der Schaar, Mihaela</t>
  </si>
  <si>
    <t>van der Schaar, M (corresponding author), Univ Cambridge, Dept Appl Math &amp; Theoret Phys, Cambridge CB2 1TN, England.</t>
  </si>
  <si>
    <t>mv472@cam.ac.uk; fergus.imrie@stats.ox.ac.uk; stefan.denner@dkfz-heidelberg.de; lucas.brunschwig@epfl.ch; k.maier-hein@dkfz-heidelberg.de</t>
  </si>
  <si>
    <t>The "NUM2.0" [FKZ: 01KX2121]</t>
  </si>
  <si>
    <t>The "NUM2.0"</t>
  </si>
  <si>
    <t>The work of Stefan Denner was supported by "NUM2.0" under Grant FKZ: 01KX2121.(Fergus Imrie and Stefan Dennercontributed equally to this work.)</t>
  </si>
  <si>
    <t>[Imrie, Fergus] Univ Oxford, Dept Stat, Oxford OX1 2JD, England; [Denner, Stefan; Maier-Hein, Klaus] German Canc Res Ctr, Div Med Image Comp, D-69120 Heidelberg, Germany; [Denner, Stefan] Heidelberg Univ, Fac Math &amp; Comp Sci, D-69117 Heidelberg, Germany; [Brunschwig, Lucas S.] Ecole Polytech Fed Lausanne, CH-1015 Lausanne, Switzerland; [Maier-Hein, Klaus] Heidelberg Univ Hosp, Dept Radiat Oncol, Pattern Anal &amp; Learning Grp, D-69120 Heidelberg, Germany; [Maier-Hein, Klaus] Natl Ctr Tumor Dis NCT Heidelberg, D-69120 Heidelberg, Germany; [van der Schaar, Mihaela] Univ Cambridge, Dept Appl Math &amp; Theoret Phys, Cambridge CB2 1TN, England</t>
  </si>
  <si>
    <t>University of Oxford; Helmholtz Association; German Cancer Research Center (DKFZ); Ruprecht Karls University Heidelberg; Swiss Federal Institutes of Technology Domain; Ecole Polytechnique Federale de Lausanne; Ruprecht Karls University Heidelberg; Ruprecht Karls University Heidelberg; Helmholtz Association; National Center for Tumor Diseases; German Cancer Research Center (DKFZ); University of Cambridge</t>
  </si>
  <si>
    <t>Automated Ensemble Multimodal Machine Learning for Healthcare</t>
  </si>
  <si>
    <t>IEEE JOURNAL OF BIOMEDICAL AND HEALTH INFORMATICS</t>
  </si>
  <si>
    <t>Predictive models; Feature extraction; Data models; Biological system modeling; Machine learning; Data mining; Automated machine learning; Medical services; Transformers; Pipelines; biomedicine; cancer; deep learning; healthcare informatics; machine learning; medical imaging; multimodal machine learning</t>
  </si>
  <si>
    <t>INFORMATION; DIAGNOSIS; MELANOMA</t>
  </si>
  <si>
    <t>Denner, Stefan/ISA-4077-2023; Imrie, Fergus/GPX-9474-2022; Maier-Hein, Klaus/AAF-8487-2020</t>
  </si>
  <si>
    <t>Denner, Stefan/0009-0008-2302-743X; Imrie, Fergus/0000-0002-6241-0123; Maier-Hein, Klaus/0000-0002-6626-2463; Brunschwig, Lucas S/0009-0002-0210-704X</t>
  </si>
  <si>
    <t>74</t>
  </si>
  <si>
    <t>2168-2194</t>
  </si>
  <si>
    <t>2168-2208</t>
  </si>
  <si>
    <t>IEEE J BIOMED HEALTH</t>
  </si>
  <si>
    <t>IEEE J. Biomed. Health Inform.</t>
  </si>
  <si>
    <t>4213</t>
  </si>
  <si>
    <t>4226</t>
  </si>
  <si>
    <t>10.1109/JBHI.2025.3530156</t>
  </si>
  <si>
    <t>http://dx.doi.org/10.1109/JBHI.2025.3530156</t>
  </si>
  <si>
    <t>Computer Science, Information Systems; Computer Science, Interdisciplinary Applications; Mathematical &amp; Computational Biology; Medical Informatics</t>
  </si>
  <si>
    <t>Computer Science; Mathematical &amp; Computational Biology; Medical Informatics</t>
  </si>
  <si>
    <t>3MW9K</t>
  </si>
  <si>
    <t>40031027</t>
  </si>
  <si>
    <t>WOS:001504143000003</t>
  </si>
  <si>
    <t>Mansouri, M; Attouri, K; Refaat, SS</t>
  </si>
  <si>
    <t>Renewable energy systems, such as solar, wind, and hybrid sources, present complex forecasting challenges due to their stochastic and weather-dependent nature. The growing availability of heterogeneous and complementary data modalities including meteorological forecasts, satellite imagery, numerical sensor streams, and grid interaction logs has motivated the application of multimodal learning techniques to improve time series forecasting accuracy. Unlike previous surveys that either focused narrowly on single-modality forecasting or provided only high-level overviews, this paper offers a focused and technically grounded review of multimodal learning strategies specific to renewable energy forecasting. We categorize and compare key fusion strategies (early, late, hybrid), analyze deep model architectures (e.g., co-attention and transformer-based fusion), and discuss deployment-related challenges such as data alignment, modality missingness, and interpretability. Then, this paper reviews multimodal learning techniques based on four main aspects, i.e., classify fusion techniques, examine model architectures, showcase practical application scenarios, and summarize benchmark datasets. Finally, the paper identifies existing research gaps and outlines promising future directions in this rapidly evolving field, such as self-supervised multimodal learning and adaptive fusion under uncertainty.</t>
  </si>
  <si>
    <t>Mansouri, Majdi; Attouri, Khadija; Refaat, Shady S.</t>
  </si>
  <si>
    <t>Refaat, SS (corresponding author), Texas A&amp;M Univ Qatar, Dept Elect &amp; Comp Engn, Doha, Qatar.; Refaat, SS (corresponding author), Univ Hertfordshire, Sch Phys Engn &amp; Comp Sci, Hatfield AL10 9EU, England.</t>
  </si>
  <si>
    <t>shady.khalil@qatar.tamu.edu</t>
  </si>
  <si>
    <t>Qatar National Library</t>
  </si>
  <si>
    <t>Qatar National Library (Qatar National Research Fund (QNRF), Qatar National Library Doha Qatar)</t>
  </si>
  <si>
    <t>This work was supported by the Qatar National Library</t>
  </si>
  <si>
    <t>[Mansouri, Majdi; Attouri, Khadija] Sultan Qaboos Univ, Coll Engn, Dept Elect &amp; Comp Engn, Muscat 123, Oman; [Refaat, Shady S.] Texas A&amp;M Univ Qatar, Dept Elect &amp; Comp Engn, Doha, Qatar; [Refaat, Shady S.] Univ Hertfordshire, Sch Phys Engn &amp; Comp Sci, Hatfield AL10 9EU, England</t>
  </si>
  <si>
    <t>Sultan Qaboos University; Qatar Foundation (QF); Texas A&amp;M University Qatar; University of Hertfordshire</t>
  </si>
  <si>
    <t>Multimodal Learning Techniques for Time Series Forecasting in Renewable Energy Systems: A Comprehensive Survey</t>
  </si>
  <si>
    <t>Forecasting; Renewable energy sources; Data models; Predictive models; Surveys; Wind speed; Wind forecasting; Meteorology; Time series analysis; Temperature sensors; Multimodal learning; renewable energy forecasting; time series forecasting; data fusion; deep learning; benchmark data sets; forecast uncertainty</t>
  </si>
  <si>
    <t>FAULT-DIAGNOSIS; NEURAL-NETWORKS; POWER; MODEL</t>
  </si>
  <si>
    <t>Mansouri, Majdi/QJW-6944-2026; S. Refaat, Shady/B-4953-2019</t>
  </si>
  <si>
    <t>143</t>
  </si>
  <si>
    <t>151970</t>
  </si>
  <si>
    <t>151992</t>
  </si>
  <si>
    <t>10.1109/ACCESS.2025.3602914</t>
  </si>
  <si>
    <t>http://dx.doi.org/10.1109/ACCESS.2025.3602914</t>
  </si>
  <si>
    <t>7BI5V</t>
  </si>
  <si>
    <t>WOS:001566975200029</t>
  </si>
  <si>
    <t>Hu, JB; Ma, A; Xiao, JH; Wang, YK; Wang, YQ</t>
  </si>
  <si>
    <t>Metal-organic frameworks (MOFs) show great potential for pollutant adsorption due to tunable pore structures and modifiable surface chemistry, but predicting their adsorption performance and screening optimal MOFs for specific scenarios remain challenging. Traditional experimental and empirical methods are inefficient, driving machine learning (ML) to accelerate MOF research; however, most existing ML models adopt single-modal approaches that fail to integrate heterogeneous data (e.g., MOF topological features, pollutant simplified molecular input line entry system SMILES data, and environmental parameters), limiting prediction accuracy. Herein, we propose a multimodal fusion framework, graph self-attention convolutional neural networks-fully connected network (GACNN-NN), which uses GACNN to decode MOF crystal spatial electronic distributions and a fully connected network to process pollutant physicochemical properties and environmental variables. We also developed a web-based prediction platform for real-time adsorption capacity estimation via inputting MOF synthesis and pollutant molecular parameters. Interpretability analysis further provides intuitive visualizations of key MOF adsorption sites, advancing MOF screening for environmental applications.</t>
  </si>
  <si>
    <t>Hu, Jianbin; Ma, Ao; Xiao, Junhua; Wang, Yunkun; Wang, Yunqian</t>
  </si>
  <si>
    <t>Wang, YQ (corresponding author), Nanchang Univ, Sch Math &amp; Comp Sci, Dept Comp Sci &amp; Technol, Nanchang 330031, Peoples R China.</t>
  </si>
  <si>
    <t>wangyunqian@ncu.edu.cn</t>
  </si>
  <si>
    <t>[Hu, Jianbin; Xiao, Junhua; Wang, Yunqian] Nanchang Univ, Sch Math &amp; Comp Sci, Dept Comp Sci &amp; Technol, Nanchang 330031, Peoples R China; [Ma, Ao; Wang, Yunkun] Univ Sci &amp; Technol China, Dept Environm Sci &amp; Engn, CAS Key Lab Urban Pollutant Convers, Hefei 230026, Peoples R China</t>
  </si>
  <si>
    <t>Nanchang University; University of Science &amp; Technology of China, CAS; Chinese Academy of Sciences; University of Science &amp; Technology of China, CAS</t>
  </si>
  <si>
    <t>Multimodal Machine Learning for Intelligent MOF Design: Adsorption Mechanism Analysis and Visual Prediction</t>
  </si>
  <si>
    <t>ACS ES&amp;T WATER</t>
  </si>
  <si>
    <t>multimodality; self-attention mechanism; metal-organicframework; adsorption</t>
  </si>
  <si>
    <t>WATER</t>
  </si>
  <si>
    <t>, AoMa/0009-0000-5448-5144</t>
  </si>
  <si>
    <t>2690-0637</t>
  </si>
  <si>
    <t>ACS EST WATER</t>
  </si>
  <si>
    <t>ACS ES&amp;T Wat.</t>
  </si>
  <si>
    <t>FEB 13 2026</t>
  </si>
  <si>
    <t>830</t>
  </si>
  <si>
    <t>842</t>
  </si>
  <si>
    <t>10.1021/acsestwater.5c00925</t>
  </si>
  <si>
    <t>http://dx.doi.org/10.1021/acsestwater.5c00925</t>
  </si>
  <si>
    <t>Environmental Sciences; Water Resources</t>
  </si>
  <si>
    <t>Environmental Sciences &amp; Ecology; Water Resources</t>
  </si>
  <si>
    <t>DR9NC</t>
  </si>
  <si>
    <t>WOS:001672332700001</t>
  </si>
  <si>
    <t>Cascella, M; Mariani, F; Barberio, D; Crispo, A; Ottaiano, A; Bimonte, S; Franci, G; Sabbatino, F; Piazza, O; Cutugno, F</t>
  </si>
  <si>
    <t>Introduction Since pain is a multidimensional and subjective experience, pain assessment remains challenging. With advances in artificial intelligence (AI), automatic pain assessment (APA) systems offer a valuable opportunity for objective pain evaluation. However, most approaches focus on a single modality. In this proof-of-concept study, exploring multimodal fusion strategies in a controlled experimental setting, we present a deep learning framework for multimodal fusion that combines facial, acoustic, and textual information to improve APA in cancer patients.Methods A multimodal dataset was created from video-recorded interviews with oncologic patients. In Phase I, audio, video, and transcripts were segmented at the sentence level and temporally aligned using the Eudico Linguistic Annotator (ELAN) to ensure frame-level correspondence across modalities. In Phase II, modality-specific features were extracted: Facial Action Units from OpenFace, acoustic descriptors (MFCCs, chroma, spectral contrast, and Mel-spectrogram) from a dedicated speech-processing pipeline, and sentence-level textual embeddings from ITA-BERT. During training, the most effective analytical strategy was chosen through knowledge transfer approaches. The ELAN-assisted annotation pipeline streamlined expert labeling. Two architectures were implemented and compared: bimodal autoencoder fusion models and a transformer-based model with pairwise cross-modal attention. These models were trained and evaluated using subject-independent and stratified 5-fold cross-validation. To address the lack of independence between segments, a strictly subject-independent cross-validation strategy was adopted.Results Knowledge transfer using pretrained large-scale models outperformed traditional feature-based approaches and was applied to multimodal pain detection. Multimodal models achieved performance comparable to the strongest unimodal modality (text), while showing improved balance across modalities, suggesting potential complementary effects. Both multimodal architectures demonstrated high accuracy in distinguishing between pain and non-pain classes. The bimodal autoencoder achieved stable results across folds, with a mean accuracy of about 80 % and balanced error distribution. The pairwise transformer with cross-modal attention achieved similar performance, with smooth training and validation loss curves. No evident divergence between training and validation loss curves was observed across folds, suggesting stable behavior within the cross-validation setting. However, subject-level overfitting cannot be excluded given the limited sample size.Conclusion Multimodal fusion enhances system robustness by integrating complementary signals. Despite limitations and the need for improvement, multimodal deep learning strategies can support the detection of observable pain-related expressions.</t>
  </si>
  <si>
    <t>Cascella, Marco; Mariani, Fabio; Barberio, Daniela; Crispo, Anna; Ottaiano, Alessandro; Bimonte, Sabrina; Franci, Gianluigi; Sabbatino, Francesco; Piazza, Ornella; Cutugno, Francesco</t>
  </si>
  <si>
    <t>Cascella, M (corresponding author), Univ Salerno, Dept Med Surg &amp; Dent, Unit Anesthesia &amp; Pain Med, I-84081 Baronissi, Italy.</t>
  </si>
  <si>
    <t>mcascella@unisa.it; fsabbatino@unisa.it</t>
  </si>
  <si>
    <t>[Cascella, Marco; Piazza, Ornella] Univ Salerno, Dept Med Surg &amp; Dent, Unit Anesthesia &amp; Pain Med, I-84081 Baronissi, Italy; [Mariani, Fabio; Cutugno, Francesco] Univ Napoli Federico II, Dept Elect Engn &amp; Informat Technol, Naples, Italy; [Barberio, Daniela; Crispo, Anna; Ottaiano, Alessandro; Bimonte, Sabrina] Ist Nazl Tumori IRCCS Fdn G Pascale, Naples, Italy; [Franci, Gianluigi] Univ Salerno, Dept Med Surg &amp; Dent, Clin Microbiol Unit, Baronissi, Italy; [Sabbatino, Francesco] Univ Salerno, Dept Med Surg &amp; Dent, Oncol Unit, Baronissi, Italy</t>
  </si>
  <si>
    <t>University of Salerno; University of Naples Federico II; IRCCS Fondazione Pascale; University of Salerno; University of Salerno</t>
  </si>
  <si>
    <t>Multimodal deep learning fusion for automatic pain detection in cancer patients</t>
  </si>
  <si>
    <t>SCANDINAVIAN JOURNAL OF PAIN</t>
  </si>
  <si>
    <t>pain; artificial intelligence; deep learning; automatic pain assessment; cancer pain</t>
  </si>
  <si>
    <t>EMOTION</t>
  </si>
  <si>
    <t>cascella, marco/N-1316-2018; Crispo, Anna/ABA-7435-2020; Sabbatino, Francesco/AAN-8563-2021</t>
  </si>
  <si>
    <t>WALTER DE GRUYTER GMBH</t>
  </si>
  <si>
    <t>GENTHINER STRASSE 13, D-10785 BERLIN, GERMANY</t>
  </si>
  <si>
    <t>1877-8860</t>
  </si>
  <si>
    <t>1877-8879</t>
  </si>
  <si>
    <t>SCAND J PAIN</t>
  </si>
  <si>
    <t>Scand. J. Pain</t>
  </si>
  <si>
    <t>JAN 23 2026</t>
  </si>
  <si>
    <t>20260015</t>
  </si>
  <si>
    <t>10.1515/sjpain-2026-0015</t>
  </si>
  <si>
    <t>http://dx.doi.org/10.1515/sjpain-2026-0015</t>
  </si>
  <si>
    <t>Clinical Neurology</t>
  </si>
  <si>
    <t>LO4SW</t>
  </si>
  <si>
    <t>42496586</t>
  </si>
  <si>
    <t>WOS:001829438500001</t>
  </si>
  <si>
    <t>Eftekharian, M; Hashemi, Z</t>
  </si>
  <si>
    <t>BackgroundArtificial intelligence (AI) has shown increasing potential in lung cancer imaging, particularly in detection, staging, prognosis, and recurrence prediction. However, there is limited synthesis of head-to-head comparative evidence between CT, FDG PET/CT, and multimodal fusion models within the same cohorts.ObjectivesTo systematically review and critically appraise studies that directly compared CT-only, FDG PET/CT-only, and combined multimodal models in lung cancer, with emphasis on clinical setting, fusion strategy, validation design, and clinical utility.MethodsThis systematic review followed PRISMA 2020 and PRISMA-S guidelines. PubMed, Scopus, IEEE Xplore, and Google Scholar were searched for English-language human studies published between January 1, 2019, and September 8, 2025. Eligible studies reported same-cohort, head-to-head comparisons of CT, PET/CT, or multimodal models for lung cancer screening, staging, or prognosis. Risk of bias was assessed using PROBAST for prediction model studies and SANRA for narrative reviews. Data were extracted in duplicate and synthesized narratively, with meta-analysis performed where &gt;= 3 studies were sufficiently homogeneous.ResultsFrom 2,417 records (PubMed 845, Scopus 920, IEEE Xplore 452, Google Scholar/manual 200), 31 studies met inclusion criteria (20 primary modeling studies, 11 reviews). In screening cohorts, low-dose CT deep-learning models consistently outperformed other modalities, with modest incremental value from clinical covariates. For nodal staging, integrated PET/CT radiomics-clinical models showed superior discrimination, calibration, and net-benefit compared with unimodal approaches. In prognostic and recurrence settings, fused PET/CT models outperformed CT- or PET-only models across institutions, with further improvement from clinical variables. Radiogenomics and pathology integration provided added value but were limited by small samples and lack of external validation.ConclusionsComparative evidence demonstrates that modality performance is context-dependent: CT dominates in screening, PET/CT fusion excels in staging and prognosis, and multimodal integration with clinical or biomarker data enhances discrimination and utility. Standardization, harmonization, and rigorous external validation remain critical for generalizability.Clinical trial numberNot applicable.</t>
  </si>
  <si>
    <t>Eftekharian, Mohamadmehdi; Hashemi, Zhila</t>
  </si>
  <si>
    <t>Hashemi, Z (corresponding author), Hamadan Univ Med Sci, Dept Cardiol, Hamadan, Iran.</t>
  </si>
  <si>
    <t>dr.hashemi64@gmail.com</t>
  </si>
  <si>
    <t>[Eftekharian, Mohamadmehdi] Hamadan Univ Med Sci, Dept Radiol, Hamadan, Iran; [Hashemi, Zhila] Hamadan Univ Med Sci, Dept Cardiol, Hamadan, Iran</t>
  </si>
  <si>
    <t>Hamadan University of Medical Sciences; Hamadan University of Medical Sciences</t>
  </si>
  <si>
    <t>Artificial intelligence for lung cancer: a systematic review of head-to-head CT, FDG PET/CT, and multimodal models across screening, staging, and prognosis</t>
  </si>
  <si>
    <t>BMC MEDICAL IMAGING</t>
  </si>
  <si>
    <t>Lung neoplasms; Tomography, X-Ray computed; Positron-emission tomography and computed tomography; Radiomics; Artificial intelligence</t>
  </si>
  <si>
    <t>PREDICTION</t>
  </si>
  <si>
    <t>1471-2342</t>
  </si>
  <si>
    <t>BMC MED IMAGING</t>
  </si>
  <si>
    <t>BMC Med. Imag.</t>
  </si>
  <si>
    <t>141</t>
  </si>
  <si>
    <t>10.1186/s12880-026-02222-5</t>
  </si>
  <si>
    <t>http://dx.doi.org/10.1186/s12880-026-02222-5</t>
  </si>
  <si>
    <t>FG5VD</t>
  </si>
  <si>
    <t>41680684</t>
  </si>
  <si>
    <t>WOS:001718247100003</t>
  </si>
  <si>
    <t>Kim, S</t>
  </si>
  <si>
    <t>Background: Chemotherapy-induced peripheral neuropathy (CIPN) is a common and debilitating adverse effect of cancer treatment that substantially impairs patients' quality of life and may lead to dose reduction or treatment discontinuation. Traditional prediction models based on single-modal data have shown limited accuracy in clinical settings. Aim: This study aimed to develop and evaluate a deep learning-based predictive model for CIPN by integrating multimodal data, including clinical, genomic, biosignal, wearable device, and imaging information. Methods: A retrospective and prospective cohort of cancer patients receiving chemotherapy between 2020 and 2025 was analyzed using data collected from multicenter electronic health records (EHRs) and public databases. An intermediate fusion framework was implemented using a Transformer-based architecture, which was compared with LSTM, CNN, and XGBoost models. SHAP (Shapley additive explanations) and Grad-CAM were used to improve model interpretability, while performance was assessed using AUC-ROC (area under the receiver operating characteristic curve), accuracy, sensitivity, specificity, and F1-score. Results: The Transformer-based model achieved the highest performance (AUC = 0.93; accuracy = 88.5%; sensitivity = 85.3%; specificity = 90.1%), outperforming conventional models. SHAP analysis identified chemotherapy dosage, nerve magnetic resonance imaging abnormalities, electrocardiogram changes, CYP2C8 mutations, and diabetes as the most influential predictors. Patients with a high predicted risk of CIPN also demonstrated significantly lower overall survival, indicating a broader systemic impact of CIPN beyond neurological symptoms. Conclusions: This study provides evidence that deep learning models incorporating multimodal data significantly enhance CIPN prediction and have the potential for clinical implementation. The use of explainable artificial intelligence techniques further supports their integration into precision oncology. Future research should focus on multicenter validation, real-time EHR integration, and the development of neuroprotective strategies for high-risk patients.</t>
  </si>
  <si>
    <t>Kim, Sanghee</t>
  </si>
  <si>
    <t>Kim, S (corresponding author), Keimyung Univ, Coll Nursing, Daegu, South Korea.</t>
  </si>
  <si>
    <t>shkim07@gw.kmu.ac.kr</t>
  </si>
  <si>
    <t>[Kim, Sanghee] Keimyung Univ, Coll Nursing, Daegu, South Korea</t>
  </si>
  <si>
    <t>Keimyung University</t>
  </si>
  <si>
    <t>Predicting Chemotherapy-Induced Peripheral Neuropathy Using Transformer-Based Multimodal Deep Learning</t>
  </si>
  <si>
    <t>Kim, Sanghee/LBH-7017-2024</t>
  </si>
  <si>
    <t>AUG 5 2025</t>
  </si>
  <si>
    <t>0795</t>
  </si>
  <si>
    <t>10.34133/research.0795</t>
  </si>
  <si>
    <t>http://dx.doi.org/10.34133/research.0795</t>
  </si>
  <si>
    <t>5TO1Y</t>
  </si>
  <si>
    <t>40765998</t>
  </si>
  <si>
    <t>WOS:001543996600001</t>
  </si>
  <si>
    <t>Karnadi; Ermatita; Abdiansah</t>
  </si>
  <si>
    <t>Advancements in Artificial Intelligence (AI) technology have enabled the recognition of human emotions. Along with the development of deep learning and multimodal processing methods, emotion analysis can now be performed by utilizing multiple data sources simultaneously, such as facial expressions and speech signals. However, existing emotion recognition systems still face limitations in terms of accuracy. This study aims to develop and evaluate a more accurate emotion recognition system by implementing a Convolutional Neural Network (CNN)-based prediction model that integrates facial and audio data simultaneously. The study utilizes the CREMA-D dataset, which consists of visual data in the form of facial images and audio data containing variations of emotional expressions. The research process includes data preprocessing, feature extraction, and multimodal integration using an optimized Convolutional Neural Network (CNN) architecture. The evaluation results based on the F1-score indicate that the multimodal facial and audio data enable the model to recognize emotions effectively. Model performance was measured using accuracy, precision, recall, and F1-score metrics. Experimental results show that the angry (ANG) class achieved the best performance with an F1-score of 82%, while the fear (FEA) class demonstrated the lowest performance with an F1-score of only 58%. The results further indicate that the multimodal model achieved higher accuracy than unimodal models, significantly improving generalization capability on diverse testing data. This study demonstrates an overall emotion recognition accuracy improvement of 69% through the combination of facial and audio features. The analysis of combined facial and speech features on emotion classification performance shows that the proposed model achieves good overall performance, where the integration of image and audio modalities improves the correctness of facial expression predictions. Future research is expected to further improve accuracy by incorporating additional modalities beyond facial and audio data.</t>
  </si>
  <si>
    <t>Ermatita (corresponding author), Univ Sriwijaya Palembang, Fac Comp Sci, Palembang, Indonesia.</t>
  </si>
  <si>
    <t>[Karnadi] Univ Sriwijaya Palembang, Engn Program, Palembang, Indonesia; [Ermatita; Abdiansah] Univ Sriwijaya Palembang, Fac Comp Sci, Palembang, Indonesia</t>
  </si>
  <si>
    <t>Universitas Sriwijaya; Universitas Sriwijaya</t>
  </si>
  <si>
    <t>Improving Emotion Recognition Accuracy Using a Multimodal Model (Face and Voice Video) Based on a Convolutional Neural Network (CNN)</t>
  </si>
  <si>
    <t>INTERNATIONAL JOURNAL OF ADVANCED COMPUTER SCIENCE AND APPLICATIONS</t>
  </si>
  <si>
    <t>Emotion recognition; CNN; multimodal learning; CREMA-D; face; voice; accuracy; deep learning</t>
  </si>
  <si>
    <t>SPEECH; ARCHITECTURE; ATTENTION; VISION; EEG</t>
  </si>
  <si>
    <t>SCIENCE &amp; INFORMATION SAI ORGANIZATION LTD</t>
  </si>
  <si>
    <t>Cleckheaton</t>
  </si>
  <si>
    <t>Summit House, Woodland Park, Bradford Road, Cleckheaton, ENGLAND</t>
  </si>
  <si>
    <t>2158-107X</t>
  </si>
  <si>
    <t>2156-5570</t>
  </si>
  <si>
    <t>INT J ADV COMPUT SC</t>
  </si>
  <si>
    <t>Int. J. Adv. Comput. Sci. Appl.</t>
  </si>
  <si>
    <t>185</t>
  </si>
  <si>
    <t>JW0SL</t>
  </si>
  <si>
    <t>WOS:001799335200001</t>
  </si>
  <si>
    <t>Jin, YY; Ding, JD; Ouyang, JS; Yao, ZY; Wang, LP; Xu, RS; Jin, XW</t>
  </si>
  <si>
    <t>Introduction Differentiating Mycobacterium tuberculosis lung disease (MTB-LD) from nontuberculous mycobacterial lung disease (NTM-LD) remains clinically challenging because of overlapping symptoms and imaging features, as well as the slow turnaround of conventional culture-based diagnostics.Methods This retrospective study enrolled 102 patients with microbiologically confirmed mycobacterial lung disease, including 53 patients with MTB-LD and 49 patients with NTM-LD. We developed and validated an interpretable multimodal machine-learning framework integrating clinical symptoms, hematological biomarkers, and high-resolution computed tomography (HRCT) features. Three representative classifiers, including k-nearest neighbors, logistic regression, and random forest, were used to evaluate the discriminative contribution of different feature modalities.Results Multimodal integration of HRCT, clinical, and laboratory features showed better discriminative performance than single-modality approaches. Among the three representative classifiers, the random forest model achieved the best hold-out test performance, with an AUC of 0.92, sensitivity of 0.89, specificity of 0.93, and F1-score of 0.90. Key predictive contributors included cystic bronchiectasis, tree-in-bud sign, fever, and selected laboratory biomarkers.Discussion These findings suggest that routinely available multimodal clinical data may provide preliminary decision support for MTB-LD/NTM-LD differentiation. However, the proposed framework should be regarded as an exploratory decision-support tool, and external validation is required before clinical implementation.</t>
  </si>
  <si>
    <t>Jin, Yangyi; Ding, Jindun; Ouyang, Jinsheng; Yao, Zhiye; Wang, Liping; Xu, Ruisong; Jin, Xuewen</t>
  </si>
  <si>
    <t>Jin, XW (corresponding author), Peoples Hosp Yuhuan, Dept Resp &amp; Crit Care Med, Yuhuan, Peoples R China.; Wang, LP; Xu, RS (corresponding author), Univ Chinese Acad Sci, Wenzhou Inst, Wenzhou, Peoples R China.</t>
  </si>
  <si>
    <t>lpwang-wiucas@ucas.ac.cn; ruisong_xu@126.com; jxw045@163.com</t>
  </si>
  <si>
    <t>Zhejiang Provincial Taizhou Municipal Science and Technology Program Project [23ywb152]</t>
  </si>
  <si>
    <t>Zhejiang Provincial Taizhou Municipal Science and Technology Program Project</t>
  </si>
  <si>
    <t>The author(s) declared that financial support was received for this work and/or its publication. This work is supported by Zhejiang Provincial Taizhou Municipal Science and Technology Program Project, Grant No. 23ywb152.</t>
  </si>
  <si>
    <t>[Jin, Yangyi] Zhejiang Canc Hosp, Dept Gen Internal Med, Hangzhou, Zhejiang, Peoples R China; [Ding, Jindun; Jin, Xuewen] Peoples Hosp Yuhuan, Dept Resp &amp; Crit Care Med, Yuhuan, Peoples R China; [Ouyang, Jinsheng] Wenzhou Med Univ, Affiliated Hosp 1, Dept Resp &amp; Crit Care Med, Wenzhou, Peoples R China; [Yao, Zhiye; Wang, Liping; Xu, Ruisong] Univ Chinese Acad Sci, Wenzhou Inst, Wenzhou, Peoples R China; [Yao, Zhiye] Univ Shanghai Sci &amp; Technol, Terahertz Technol Innovat Res Inst, Terahertz Spectrum &amp; Imaging Cooperat Innovat Ctr, Shanghai Key Lab Modern Opt Syst, Shanghai, Peoples R China</t>
  </si>
  <si>
    <t>Wenzhou Medical University; Chinese Academy of Sciences; University of Chinese Academy of Sciences, CAS; University of Shanghai for Science &amp; Technology</t>
  </si>
  <si>
    <t>Precise discrimination of mycobacterial pulmonary diseases via multimodal machine learning integrating chest CT and clinical markers</t>
  </si>
  <si>
    <t>machine learning; multimodal data integration; nontuberculous mycobacterial lung disease; pulmonary tuberculosis; rapid diagnostic differentiation</t>
  </si>
  <si>
    <t>LUNG-DISEASE; TUBERCULOSIS</t>
  </si>
  <si>
    <t>JUL 9 2026</t>
  </si>
  <si>
    <t>1858126</t>
  </si>
  <si>
    <t>10.3389/fmed.2026.1858126</t>
  </si>
  <si>
    <t>http://dx.doi.org/10.3389/fmed.2026.1858126</t>
  </si>
  <si>
    <t>MC9EH</t>
  </si>
  <si>
    <t>WOS:001839250300001</t>
  </si>
  <si>
    <t>Zhang, S; Zhang, XW; Zhong, WJ; Wang, YF; Zong, S; Pellissier, L</t>
  </si>
  <si>
    <t>High-resolution spatiotemporal biodiversity maps are essential for conservation and environmental management of freshwater ecosystems. Yet existing eDNA-based approaches remain largely static and spatially extrapolative, discarding fine-grained landscape structure and overlooking interannual dynamics. Here, we developed a multimodal deep learning framework that integrates raw satellite imagery with environmental tabular covariates to predict fish species richness across river networks, using eDNA-derived richness from 1302 sites across six Chinese river basins as training labels. The framework couples a U-Net encoder-decoder with a novel water-guided spatial attention mechanism that leverages MNDWI-derived water masks to prioritize aquatic and riparian pixels, and an attention autoencoder that compresses high-dimensional environmental variables into a latent representation. Ablation experiments confirmed that multimodal fusion of imagery and tabular data substantially outperformed single-modality baselines (R 2 from 0.54 to 0.76), and that the water-guided attention mechanism yielded further gains (R 2 = 0.81), demonstrating that raw imagery preserves ecologically critical spatial information lost by conventional buffer-based summarization. The model was validated on fully independent basins (middle Yangtze and Yuan River) and multiyear field surveys (2018-2023). It achieved strong spatial transferability (r = 0.83 and 0.69) without region-specific retraining, and captured interannual recovery trends following the Yangtze fishing ban without any direct policy input. By shifting from static spatial extrapolation to prediction that generalizes across space and time, this framework offers a scalable pathway for freshwater biodiversity monitoring and conservation evaluation under the Kunming-Montreal Global Biodiversity Framework.</t>
  </si>
  <si>
    <t>Zhang, Song; Zhang, Xiaowei; Zhong, Wenjun; Wang, Yifan; Zong, Shuo; Pellissier, Loic</t>
  </si>
  <si>
    <t>Zhang, XW (corresponding author), Nanjing Univ, Sch Environm, State Key Lab Pollut Control &amp; Resource Reuse, Nanjing 210023, Peoples R China.; Zhang, XW (corresponding author), Yunnan Univ, Sch Ecol &amp; Environm Sci, State Key Lab Vegetat Struct Funct &amp; Construction, Yunnan Key Lab Plateau Mt Ecol &amp; Restorat Degraded, Kunming 650500, Peoples R China.</t>
  </si>
  <si>
    <t>zhangxw@ynu.edu.cn</t>
  </si>
  <si>
    <t>China Scholarship Council [NA]; National Key Research and Development Program of China [2022YFC32021001]</t>
  </si>
  <si>
    <t>China Scholarship Council (China Scholarship Council); National Key Research and Development Program of China</t>
  </si>
  <si>
    <t>This work was supported by the National Key Research and Development Program of China (2022YFC32021001). This project was also supported by a grant from the China Scholarship Council awarded to S.Z.</t>
  </si>
  <si>
    <t>[Zhang, Song; Zhang, Xiaowei; Zhong, Wenjun; Wang, Yifan] Nanjing Univ, Sch Environm, State Key Lab Pollut Control &amp; Resource Reuse, Nanjing 210023, Peoples R China; [Zhang, Song; Zong, Shuo; Pellissier, Loic] Swiss Fed Inst Technol, Dept Environm Syst Sci, Ecosyst &amp; Landscape Evolut, CH-8092 Zurich, Switzerland; [Zhang, Song; Zong, Shuo; Pellissier, Loic] Swiss Fed Inst Forest Snow &amp; Landscape Res WSL, Ecosyst &amp; Landscape Evolut, CH-8903 Birmensdorf, Switzerland; [Zhang, Xiaowei] Yunnan Univ, Sch Ecol &amp; Environm Sci, State Key Lab Vegetat Struct Funct &amp; Construction, Yunnan Key Lab Plateau Mt Ecol &amp; Restorat Degraded, Kunming 650500, Peoples R China; [Wang, Yifan] Zhejiang Univ, Sch Earth Sci, Hangzhou 310027, Peoples R China</t>
  </si>
  <si>
    <t>Nanjing University; Swiss Federal Institutes of Technology Domain; ETH Zurich; Swiss Federal Institutes of Technology Domain; Swiss Federal Institute for Forest, Snow &amp; Landscape Research; Yunnan University; Zhejiang University</t>
  </si>
  <si>
    <t>Spatiotemporal Predictionof River Fish Biodiversityby Multimodal Deep Learning of eDNA and Satellite Imagery</t>
  </si>
  <si>
    <t>biodiversity monitoring; environmental DNA; multimodal deep learning; remote sensing; spatiotemporalprediction; conservation evaluation</t>
  </si>
  <si>
    <t>FRESH-WATER BIODIVERSITY; ENVIRONMENTAL DNA; CONSERVATION; TEMPERATURE; OCCUPANCY; GRADIENT; THREATS; MODELS; INDEX; RARE</t>
  </si>
  <si>
    <t>AUG 18 2026</t>
  </si>
  <si>
    <t>22641</t>
  </si>
  <si>
    <t>22652</t>
  </si>
  <si>
    <t>10.1021/acs.est.6c05038</t>
  </si>
  <si>
    <t>http://dx.doi.org/10.1021/acs.est.6c05038</t>
  </si>
  <si>
    <t>AUG 2026</t>
  </si>
  <si>
    <t>MW2IF</t>
  </si>
  <si>
    <t>42611479</t>
  </si>
  <si>
    <t>WOS:001842618600001</t>
  </si>
  <si>
    <t>Yu, CT; Wang, TL; Gao, Y; Wu, ZH; Chen, YZ; Shi, L; Liu, B; Zhang, H; Xu, HW; Chen, WG; Gao, SG; Yang, JL; Wang, LW; Han, L</t>
  </si>
  <si>
    <t>Background Early detection of esophageal squamous cell carcinoma (ESCC) is critical for optimizing patient outcomes. Magnifying endoscopy and endoscopic ultrasonography (EUS) serve as established diagnostic modalities. The multimodal ultrasound and magnifying endoscopic algorithm for early ESCC diagnostics (MUMA-EDx) integrates deep learning-based magnifying endoscopy and EUS imaging to improve early-stage ESCC identification and invasion depth assessment.&lt;br /&gt; Methods Model development and internal validation used a retrospective dataset; external validation used a prospective cohort. MUMA-EDx developed two TResNet_m-based classifiers (magnifying endoscopy/EUS) followed by feature-level fusion. Model performance was evaluated using area under the receiver operating characteristic curve (AUROC), accuracy, sensitivity, specificity, positive predictive value, and negative predictive value.&lt;br /&gt; Results MUMA-EDx was developed and validated using a retrospective dataset comprising 358 patients (18 420 images) and subsequently tested prospectively on an independent cohort of 122 patients (8711 images). The feature-level multimodal approach significantly outperformed single-modality models. For tumor discrimination, the model achieved an AUC of 0.94 (95%CI 0.92-0.96) in retrospective validation and a perfect patient-level AUC of 1.00 (95%CI 1.00-1.00) in prospective testing. For the more complex task of multiclass invasion depth classification, it achieved a retrospective AUC of 0.95 (95%CI 0.88-0.99), which remained strong at 0.80 (95%CI 0.67-0.87) in the prospective cohort. In a comparative study on invasion depth classification, MUMA-EDx's performance exceeded that of novice endoscopists and was comparable to expert-level diagnostics.&lt;br /&gt; Conclusion MUMA-EDx demonstrably delivers exceptional early ESCC detection and robust invasion depth classification, achieving performance comparable to expert endoscopists and is poised to significantly enhance diagnostic precision and patient outcomes.</t>
  </si>
  <si>
    <t>Yu, Chu-Ting; Wang, Ting-Lu; Gao, Ye; Wu, Zhi-Han; Chen, Ying-Zhou; Shi, Lei; Liu, Biao; Zhang, Hui; Xu, Hong-Wei; Chen, Wei-Gang; Gao, She-Gan; Yang, Jin-Lin; Wang, Luo-Wei; Han, Lin</t>
  </si>
  <si>
    <t>Han, L (corresponding author), Changhai Hosp, Gastroenterol, Shanghai, Peoples R China.</t>
  </si>
  <si>
    <t>babyhan831@aliyun.com</t>
  </si>
  <si>
    <t>China University Industry-Research Innovation Fund - Huaton Medical Research Special Program [2023HT064]; Shanghai Municipal Health Commission Fund [202240357]</t>
  </si>
  <si>
    <t>China University Industry-Research Innovation Fund - Huaton Medical Research Special Program; Shanghai Municipal Health Commission Fund</t>
  </si>
  <si>
    <t>China University Industry-Research Innovation Fund - Huaton Medical Research Special Program | 2023HT064Grants from Shanghai Municipal Health Commission Fund |202240357</t>
  </si>
  <si>
    <t>[Yu, Chu-Ting; Wang, Ting-Lu; Gao, Ye; Wang, Luo-Wei; Han, Lin] Changhai Hosp, Gastroenterol, Shanghai, Peoples R China; [Yu, Chu-Ting; Wang, Ting-Lu; Gao, Ye; Wang, Luo-Wei; Han, Lin] Natl Clin Res Ctr Digest Dis Shanghai, Shanghai, Peoples R China; [Wu, Zhi-Han; Chen, Ying-Zhou; Yang, Jin-Lin] Sichuan Univ, West China Hosp, Gastroenterol, Chengdu, Peoples R China; [Shi, Lei; Xu, Hong-Wei] Shandong First Med Univ, Shandong Prov Hosp, Gastroenterol, Jinan, Peoples R China; [Liu, Biao; Gao, She-Gan] Henan Univ Sci &amp; Technol, Affiliated Hosp 1, Gastroenterol, Luoyang, Peoples R China; [Zhang, Hui; Chen, Wei-Gang] Shihezi Univ, Affiliated Hosp 1, Sch Med, Gastroenterol, Shihezi, Peoples R China</t>
  </si>
  <si>
    <t>Naval Medical University; Sichuan University; Shandong First Medical University &amp; Shandong Academy of Medical Sciences; Henan University of Science &amp; Technology; Shihezi University</t>
  </si>
  <si>
    <t>Development and validation of a multimodal deep learning model for early esophageal squamous neoplasia detection and invasion depth prediction</t>
  </si>
  <si>
    <t>ENDOSCOPY</t>
  </si>
  <si>
    <t>GEORG THIEME VERLAG KG</t>
  </si>
  <si>
    <t>STUTTGART</t>
  </si>
  <si>
    <t>Oswald-Hesse-Strasse 50, D-70469 STUTTGART, GERMANY</t>
  </si>
  <si>
    <t>0013-726X</t>
  </si>
  <si>
    <t>1438-8812</t>
  </si>
  <si>
    <t>Endoscopy</t>
  </si>
  <si>
    <t>05</t>
  </si>
  <si>
    <t>467</t>
  </si>
  <si>
    <t>480</t>
  </si>
  <si>
    <t>10.1055/a-2780-0974</t>
  </si>
  <si>
    <t>http://dx.doi.org/10.1055/a-2780-0974</t>
  </si>
  <si>
    <t>Gastroenterology &amp; Hepatology; Surgery</t>
  </si>
  <si>
    <t>GW7UW</t>
  </si>
  <si>
    <t>41468904</t>
  </si>
  <si>
    <t>WOS:001705834000001</t>
  </si>
  <si>
    <t>Sun, CL; Zhang, YQ; Zhou, PY; Lu, ZE</t>
  </si>
  <si>
    <t>Introduction Timely identification of patients at high risk for early neurological deterioration (END) is critical for effective intervention after acute ischemic stroke; however, existing prediction models largely rely on structured clinical data and underutilize semantic information from imaging findings. Patients and methods In this retrospective single-center study at Xiangyang No.1 People's Hospital (January 2018-December 2023), 426 patients with acute ischemic stroke and imaging-confirmed middle cerebral artery occlusion who received non-endovascular treatment were included. Patients with other arterial occlusions, endovascular therapy, or incomplete data were excluded. END was defined as a &gt;= 2-point increase in total National Institutes of Health Stroke Scale (NIHSS) score or a &gt;= 1-point increase in the motor subscore within 7 days after admission. Structured clinical variables and radiology report text collected at admission were integrated into a multimodal deep learning model. Model performance was evaluated using AUC, accuracy, recall, precision, F1-score, calibration, and decision curve analysis, with interpretability assessed using SHAP and Integrated Gradients. Results Among all patients, 38.0% exhibited END (30.3% early; 7.7% late). The multimodal Concat-Fusion model achieved AUCs of 0.877 (training) and 0.771 (test), surpassing single-modality models, with strong predictive capabilities for early (AUC = 0.842) and late END (AUC = 0.855). Subgroup analyses confirmed consistent performance across NIHSS scores, D-dimer levels, hypertension, and atrial fibrillation, with significantly higher AUC in diabetic patients (p = 0.002). SHAP analysis identified D-dimer, diastolic blood pressure, and heart rate as key contributors. Integrated Gradients revealed symptom descriptors including "unsteadiness," "walking," and "vision" as significant textual predictors. Risk stratification effectively distinguished high- and low-risk groups with significantly different cumulative END incidences within 48 h and 7 days (log-rank p &lt; 0.0001). High-risk patients exhibited poorer NIHSS trajectories during 14-day follow-up. Conclusion This multimodal prediction model may improve early identification of END and support individualized clinical management. Larger prospective studies are required to validate its clinical utility.</t>
  </si>
  <si>
    <t>Sun, Chenglin; Zhang, Yaqiong; Zhou, Peiyang; Lu, Zuneng</t>
  </si>
  <si>
    <t>Lu, ZE (corresponding author), Wuhan Univ, Renmin Hosp, Dept Neurol, Wuhan, Hubei, Peoples R China.; Zhou, PY (corresponding author), Hubei Univ Med, Xiangyang 1 Peoples Hosp, Xiangyang, Hubei, Peoples R China.</t>
  </si>
  <si>
    <t>lzn196480@126.com; zhoupeiyang@hbmu.edu.cn</t>
  </si>
  <si>
    <t>Integrated Traditional Chinese and Western Medicine Chronic Disease Management Research Project of China [CXZH2024014-10]</t>
  </si>
  <si>
    <t>Integrated Traditional Chinese and Western Medicine Chronic Disease Management Research Project of China</t>
  </si>
  <si>
    <t>The author(s) declared that financial support was received for this work and/or its publication. This study was supported by a grant from the Integrated Traditional Chinese and Western Medicine Chronic Disease Management Research Project of China (Grant No. CXZH2024014-10).</t>
  </si>
  <si>
    <t>[Sun, Chenglin; Lu, Zuneng] Wuhan Univ, Renmin Hosp, Dept Neurol, Wuhan, Hubei, Peoples R China; [Sun, Chenglin; Zhang, Yaqiong; Zhou, Peiyang] Hubei Univ Med, Xiangyang 1 Peoples Hosp, Xiangyang, Hubei, Peoples R China</t>
  </si>
  <si>
    <t>Wuhan University; Hubei University of Medicine</t>
  </si>
  <si>
    <t>A multimodal deep learning model for predicting early neurological deterioration in patients with acute ischemic stroke</t>
  </si>
  <si>
    <t>FRONTIERS IN NEUROLOGY</t>
  </si>
  <si>
    <t>acute ischemic stroke; early neurological deterioration; multimodal machine learning; radiology reports; risk stratification</t>
  </si>
  <si>
    <t>RISK-FACTORS; ETIOLOGIES; MANAGEMENT</t>
  </si>
  <si>
    <t>Liu, Tianzhu/LMM-8639-2024</t>
  </si>
  <si>
    <t>1664-2295</t>
  </si>
  <si>
    <t>FRONT NEUROL</t>
  </si>
  <si>
    <t>Front. Neurol.</t>
  </si>
  <si>
    <t>MAR 16 2026</t>
  </si>
  <si>
    <t>1787921</t>
  </si>
  <si>
    <t>10.3389/fneur.2026.1787921</t>
  </si>
  <si>
    <t>http://dx.doi.org/10.3389/fneur.2026.1787921</t>
  </si>
  <si>
    <t>FW3UD</t>
  </si>
  <si>
    <t>41919134</t>
  </si>
  <si>
    <t>WOS:001728968300001</t>
  </si>
  <si>
    <t>Li, YL; Wang, X; Zhang, H; Wang, Q; Cao, X; Gong, RY; Guo, JL; Shan, JJ</t>
  </si>
  <si>
    <t>The aging process of microplastics (MPs) affects their surface physicochemical properties, thereby influencing their behaviors in releasing harmful chemicals, adsorption of organic contaminants, sinking, and more. Understanding the aging process is crucial for evaluating MPs' environmental behaviors and risks, but tracing the aging process remains challenging. Here, we propose a multimodal deep learning model to trace typical aging factors of aged MPs based on MPs' physicochemical characteristics. A total of 1353 surface morphology images and 1353 Fourier transform infrared spectroscopy spectra were achieved from 130 aged MPs undergoing different aging processes, demonstrating that physicochemical properties of aged MPs vary from aging processes. The multimodal deep learning model achieved an accuracy of 93% in predicting the major aging factors of aged MPs. The multimodal deep learning model improves the model's accuracy by approximately 5-20% and reduces prediction bias compared to the single-modal model. In practice, the established model was performed to predict the major aging factors of naturally aged MPs collected from typical environment matrices. The prediction results aligned with the aging conditions of specific environments, as reported in previous studies. Our findings provide new insights into tracing and understanding the plastic aging process, contributing more accurately to the environmental risk assessment of aged MPs.</t>
  </si>
  <si>
    <t>Li, Yunlong; Wang, Xue; Zhang, Han; Wang, Qing; Cao, Xun; Gong, Rongyi; Guo, Jianli; Shan, Jiajia</t>
  </si>
  <si>
    <t>Shan, JJ (corresponding author), Dalian Univ Technol, Sch Chem Engn Ocean &amp; Life Sci, Panjin 124221, Liaoning, Peoples R China.</t>
  </si>
  <si>
    <t>jiajiashan@dlut.edu.cn</t>
  </si>
  <si>
    <t>National Natural Science Foundation of China [31701691]</t>
  </si>
  <si>
    <t>The authors thank the National Natural Science Foundation of China [grant number: 31701691] for financial support.</t>
  </si>
  <si>
    <t>[Li, Yunlong; Wang, Xue; Gong, Rongyi; Shan, Jiajia] Dalian Univ Technol, Sch Chem Engn Ocean &amp; Life Sci, Panjin 124221, Liaoning, Peoples R China; [Zhang, Han; Wang, Qing] Dalian Univ Technol, Sch Environm Sci &amp; Technol, Dalian 116081, Liaoning, Peoples R China; [Cao, Xun] China Unicom Online Informat Technol Co Ltd, Beijing 100032, Peoples R China; [Guo, Jianli] Dalian Univ Technol, Panjin Inst Ind Technol, Panjin 124000, Liaoning, Peoples R China</t>
  </si>
  <si>
    <t>Dalian University of Technology; Dalian University of Technology; Dalian University of Technology</t>
  </si>
  <si>
    <t>Tracing Microplastic Aging Processes Using Multimodal Deep Learning: A Predictive Model for Enhanced Traceability</t>
  </si>
  <si>
    <t>microplastics; traceability; deep learning; aging process; multimodal learning</t>
  </si>
  <si>
    <t>PLASTIC PELLETS; BEACHES</t>
  </si>
  <si>
    <t>Zhang, Han/O-9095-2014</t>
  </si>
  <si>
    <t>Zhang, Han/0000-0003-1017-8593; Shan, Jiajia/0000-0002-6623-6281; Gong, Rongyi/0009-0009-6885-804X; Wang, Xue/0000-0001-7346-7072</t>
  </si>
  <si>
    <t>306</t>
  </si>
  <si>
    <t>SEP 9 2024</t>
  </si>
  <si>
    <t>18335</t>
  </si>
  <si>
    <t>18344</t>
  </si>
  <si>
    <t>10.1021/acs.est.4c05022</t>
  </si>
  <si>
    <t>http://dx.doi.org/10.1021/acs.est.4c05022</t>
  </si>
  <si>
    <t>SEP 2024</t>
  </si>
  <si>
    <t>I7E4E</t>
  </si>
  <si>
    <t>39251361</t>
  </si>
  <si>
    <t>WOS:001310112100001</t>
  </si>
  <si>
    <t>Wu, YJ; Wang, YX; Huang, XS; Wang, HF; Yang, F; Sun, WW; Su, SW; Ling, SH</t>
  </si>
  <si>
    <t>This paper focuses on the task of survival time analysis for lung cancer. Despite significant progress in recent years, the performance of existing methods is still far from satisfactory. Traditional and some deep learning- based approaches for lung cancer survival time analysis primarily rely on textual clinical information such as staging, age, and histology, etc. Unlike these existing methods that predicting on the single modality, we observe that human clinicians usually consider multimodal data, such as textual clinical parameters and visual scans when estimating survival time. Motivated by this observation, we propose Lite-ProSENet, a smart cross-modality network for survival analysis that simulates human decision-making. Specifically, Lite-ProSENet adopts a two-tower architecture that takes the clinical parameters and the CT scans as inputs to produce survival prediction. The textural tower is responsible for modeling the clinical parameters. We build alight transformer using multi-head self-attention as our textural tower. The visual tower, ProSENet, is designed to extract features from CT scans. The backbone of ProSENet is a 3D ResNet that works together with several repeatable building blocks named 3D-SE Resblocks for compact feature extraction. Our 3D-SE Resblock is composed of a 3D channel "Squeeze-and-Excitation"(SE) block and a temporal SE block. The purpose of 3D-SE Resblock is to adaptively select valuable features from CT scans. Besides, to further filter out the redundant information in the CT scans, we developed a simple yet effective frame difference mechanism, which boost the performance of our model to achieve new state-of-the-art results. Extensive experiments were conducted using data from 422 NSCLC patients from The Cancer Imaging Archive (TCIA). The results show that our Lite-ProSENet outperforms favorably against all comparison methods and achieves anew state-of-the-art concordance score of 89.3%. Our code is available at: https://github.com/wangyxxjtu/Lite_ProTrans.</t>
  </si>
  <si>
    <t>Wu, Yujiao; Wang, Yaxiong; Huang, Xiaoshui; Wang, Haofei; Yang, Fan; Sun, Wenwen; Su, Steven W.; Ling, Sai Ho</t>
  </si>
  <si>
    <t>Su, SW (corresponding author), Shandong First Med Univ, Coll Med Informat &amp; Artificial Intelligence, Tai An, Shandong, Peoples R China.</t>
  </si>
  <si>
    <t>Steve.Ling@uts.edu.au; yangfan@wpeony.com; wangyx@hfut.edu.cn; huangxiaoshui@sjtu.edu.cn; suweidong@sdfmu.edu.cn; wanghf@pcl.ac.cn; yujiao.wu@csiro.au; 412416074@qq.com</t>
  </si>
  <si>
    <t>[Wu, Yujiao] CSIRO, Hobart, Tas 7004, Australia; [Wang, Yaxiong] Hefei Univ Technol, Sch Comp Sci &amp; Informat Engn, Hefei, Peoples R China; [Huang, Xiaoshui] Shanghai Jiao Tong Univ, Sch Med, Sch Publ Hlth, Shanghai, Peoples R China; [Wang, Haofei] Peng Cheng Lab, Shenzhen, Peoples R China; [Yang, Fan] Shenzhen Peini Med Technol Co Ltd, Shenzhen, Peoples R China; [Sun, Wenwen] Southern Med Univ, Affiliated Shenzhen Matern &amp; Child Healthcare Hosp, Dept Dermatol, Shenzhen, Peoples R China; [Su, Steven W.] Shandong First Med Univ, Coll Med Informat &amp; Artificial Intelligence, Tai An, Shandong, Peoples R China; [Ling, Sai Ho] Univ Technol Sydney, Sch Elect &amp; Data Engn, Sydney, NSW, Australia</t>
  </si>
  <si>
    <t>Commonwealth Scientific &amp; Industrial Research Organisation (CSIRO); Hefei University of Technology; Shanghai Jiao Tong University; Peng Cheng Laboratory; Southern Medical University - China; Shandong First Medical University &amp; Shandong Academy of Medical Sciences; University of Technology Sydney</t>
  </si>
  <si>
    <t>Multimodal learning for non-small cell lung cancer prognosis</t>
  </si>
  <si>
    <t>Multimodal learning; NSCLC; Survival analysis; Transformer</t>
  </si>
  <si>
    <t>SURVIVAL PREDICTION; VARIABLE SELECTION; REGRESSION; MODELS</t>
  </si>
  <si>
    <t>Su, Steven/G-2564-2017; Wang, Meng/AEZ-9059-2022; Huang, Xiaoshui/HPG-0735-2023</t>
  </si>
  <si>
    <t>Su, Steven/0000-0002-5720-8852; Yang, Fan/0000-0003-4017-4577; Ling, Sai Ho/0000-0003-0849-5098; Huang, Xiaoshui/0000-0002-3579-538X</t>
  </si>
  <si>
    <t>63</t>
  </si>
  <si>
    <t>106</t>
  </si>
  <si>
    <t>107663</t>
  </si>
  <si>
    <t>10.1016/j.bspc.2025.107663</t>
  </si>
  <si>
    <t>http://dx.doi.org/10.1016/j.bspc.2025.107663</t>
  </si>
  <si>
    <t>Y7B0T</t>
  </si>
  <si>
    <t>WOS:001433619600001</t>
  </si>
  <si>
    <t>Kim, JC; Chung, K</t>
  </si>
  <si>
    <t>This estimation method operates by integrating the input values that are redundantly collected from heterogeneous devices through the selection of a representative value and estimating missing values by using a multimodal RNN. Users use a heterogeneous healthcare platform mainly in a mobile environment. Users who pay a relatively large amount of attention to healthcare possess various types of healthcare devices and collect data through their mobile devices. The collected data may be duplicated depending on the types of these devices. This data duplication causes an ambiguity issue in that it is difficult to determine which value among multiple data should be taken as the user's actual value. Accordingly, it is necessary to create a neural network structure that considers the data value at the time previous to the current time. RNNs are appropriate for handling data with a time series characteristic. To learn an RNN-based neural network, learning data that have the same time step are required. Therefore, an RNN in which one variable becomes single-modal was designed for each learning run. In the RNN, a cell is a gated recurrent unit (GRU) cell that presents sufficient accuracy in the small resource environment of mobile devices. The RNNs that are learned according to the variables can each operate without additional learning, even if the situation of the user's mobile device changes. In a heterogeneous environment, missing values are generated by various types of errors, including errors caused by battery charge and discharge, sensor failure, equipment exchange, and near-field communication errors. The higher the missing value ratio, the greater the number of errors that are likely to occur. For this reason, to achieve a more stable heterogeneous health platform, missing values must be considered. In this study, a missing value was estimated by means of multimodal deep learning; that is, a multimodal deep learning method was designed with one neural network that was connected with each learned single-modal RNN using a fully connected network (FCN). Each RNN input value delivers mutual influence through the weights of the FCN, and thereby, it is possible to estimate an output value even if any one of the input values is missing. According to the evaluation in terms of representative value selection, when a representative value was selected by using the mean or median, the most stable service was achieved. As a result of the evaluation according to the estimation method, the accuracy of the RNN-based multimodal deep learning method is 3.91%p higher than that of the SVD method.</t>
  </si>
  <si>
    <t>Kim, Joo-Chang; Chung, Kyungyong</t>
  </si>
  <si>
    <t>Chung, K (corresponding author), Kyonggi Univ, Div AI Comp Sci &amp; Engn, Suwon 16227, Gyeonggi Do, South Korea.</t>
  </si>
  <si>
    <t>kjc2232@naver.com; dragonhci@gmail.com</t>
  </si>
  <si>
    <t>GRRC program of Gyeonggi province [GRRC KGU 2020-B03]</t>
  </si>
  <si>
    <t>GRRC program of Gyeonggi province</t>
  </si>
  <si>
    <t>This work was supported by the GRRC program of Gyeonggi province [GRRC KGU 2020-B03, Industry Statistics and Data Mining Research].</t>
  </si>
  <si>
    <t>[Kim, Joo-Chang] Kyonggi Univ, Contents Convergence Software Res Inst, Suwon 16227, Gyeonggi Do, South Korea; [Chung, Kyungyong] Kyonggi Univ, Div AI Comp Sci &amp; Engn, Suwon 16227, Gyeonggi Do, South Korea</t>
  </si>
  <si>
    <t>Kyonggi University; Kyonggi University</t>
  </si>
  <si>
    <t>Recurrent Neural Network-Based Multimodal Deep Learning for Estimating Missing Values in Healthcare</t>
  </si>
  <si>
    <t>estimation; missing value; multimodal; deep learning; heterogeneous; health</t>
  </si>
  <si>
    <t>MODEL</t>
  </si>
  <si>
    <t>Kim, Joo-Chang/AAB-4892-2021; Chung, Kyungyong/JAC-2276-2023</t>
  </si>
  <si>
    <t>Kim, Joo-Chang/0000-0003-2723-3851; Chung, Kyungyong/0000-0002-6439-9992</t>
  </si>
  <si>
    <t>AUG 2022</t>
  </si>
  <si>
    <t>7477</t>
  </si>
  <si>
    <t>10.3390/app12157477</t>
  </si>
  <si>
    <t>http://dx.doi.org/10.3390/app12157477</t>
  </si>
  <si>
    <t>3R8LC</t>
  </si>
  <si>
    <t>WOS:000839156600001</t>
  </si>
  <si>
    <t>Jeong, H; Choi, JS; Moon, J; Yoon, Y; Cho, KH</t>
  </si>
  <si>
    <t>The adsorption of volatile organic compounds (VOCs) onto activated carbons (ACs) is primarily governed by its pore structure. However, previous studies have often reduced AC surface structural properties to a single numerical variable for predicting adsorption performance. This simplification limits the representation of adsorption mechanisms and affects model generalization, resulting in reduced predictive accuracy for ACs with untrained compositions. To address these limitations, this study developed a multimodal model that integrates raw brunauer-emmett-teller (BET) data to enhance adsorption capacity prediction. Generalization performance was assessed by testing on ACs that were not included in training and validation datasets. The proposed joint fusion-based multimodal model outperformed single-modal models and alternative fusion strategies, achieving high predictive accuracy, with R2 values of 0.9465 for validation and 0.9318 for testing. Furthermore, model interpretation identified BET data, initial surface area, and ion type as key factors influencing equilibrium adsorption capacity. The relative importance of these factors varied based on VOC type, revealing distinct adsorption mechanisms. Additionally, the analysis of BET data underscored the critical role of micropore size in adsorption performance, aligning with the pore-filling mechanism. This study highlights the potential of multimodal learning in adsorption modeling by improving both predictive accuracy and mechanistic interpretation. The proposed approach provides a scalable framework for analyzing adsorption processes across diverse adsorbents and environmental conditions.</t>
  </si>
  <si>
    <t>Jeong, Heewon; Choi, Jong-Soo; Moon, Jeongwoo; Yoon, Yeomin; Cho, Kyung Hwa</t>
  </si>
  <si>
    <t>Yoon, Y (corresponding author), Ewha Womans Univ, Dept Environm Sci &amp; Engn, Seoul 03760, South Korea.; Cho, KH (corresponding author), Korea Univ, Sch Civil Environm &amp; Architectural Engn, Seoul 02841, South Korea.</t>
  </si>
  <si>
    <t>khcho80@korea.ac.kr; yoony@ewha.ac.kr</t>
  </si>
  <si>
    <t>National Research Foundation of Korea (NRF) - Korea government (MSIT) [RS-2024-00512818, 2022R1A2C2006172]</t>
  </si>
  <si>
    <t>National Research Foundation of Korea (NRF) - Korea government (MSIT) (National Research Foundation of Korea, Ministry of Science &amp; ICT (MMSTI))</t>
  </si>
  <si>
    <t>This work was supported by the National Research Foundation of Korea (NRF) grant funded by the Korea government (MSIT) (NO. RS-2024-00512818 and NO. 2022R1A2C2006172) .</t>
  </si>
  <si>
    <t>[Jeong, Heewon; Moon, Jeongwoo] Korea Univ, Future &amp; Fus Lab Architectural, Civil &amp; Environm Engn, Seoul 02841, South Korea; [Choi, Jong-Soo; Yoon, Yeomin] Ewha Womans Univ, Dept Environm Sci &amp; Engn, Seoul 03760, South Korea; [Cho, Kyung Hwa] Korea Univ, Sch Civil Environm &amp; Architectural Engn, Seoul 02841, South Korea</t>
  </si>
  <si>
    <t>Korea University; Ewha Womans University; Korea University</t>
  </si>
  <si>
    <t>Multimodal deep learning-based prediction of activated carbon adsorption capacities for volatile organic compound removal</t>
  </si>
  <si>
    <t>JOURNAL OF CLEANER PRODUCTION</t>
  </si>
  <si>
    <t>Activated carbons (ACs); Adsorption capacity; Volatile organic compounds (VOCs); Multimodal deep learning; Model interpretation; Explainable artificial intelligence</t>
  </si>
  <si>
    <t>WASTE-WATER; TEMPERATURE; MODEL; VOCS</t>
  </si>
  <si>
    <t>Moon, Jeongwoo/MGV-4053-2025; Yoon, Yeomin/KDP-2253-2024</t>
  </si>
  <si>
    <t>Shi, jiafan/0009-0005-5757-0295</t>
  </si>
  <si>
    <t>0959-6526</t>
  </si>
  <si>
    <t>1879-1786</t>
  </si>
  <si>
    <t>J CLEAN PROD</t>
  </si>
  <si>
    <t>J. Clean Prod.</t>
  </si>
  <si>
    <t>AUG 10 2025</t>
  </si>
  <si>
    <t>519</t>
  </si>
  <si>
    <t>145999</t>
  </si>
  <si>
    <t>10.1016/j.jclepro.2025.145999</t>
  </si>
  <si>
    <t>http://dx.doi.org/10.1016/j.jclepro.2025.145999</t>
  </si>
  <si>
    <t>Green &amp; Sustainable Science &amp; Technology; Engineering, Environmental; Environmental Sciences</t>
  </si>
  <si>
    <t>Science &amp; Technology - Other Topics; Engineering; Environmental Sciences &amp; Ecology</t>
  </si>
  <si>
    <t>5KN9D</t>
  </si>
  <si>
    <t>WOS:001537876400002</t>
  </si>
  <si>
    <t>Wang, J; Wang, JJ; Peng, YY; Hou, F; Zhang, XC; Jin, H</t>
  </si>
  <si>
    <t>Objective To develop and evaluate a multimodal deep learning model that integrates first- and second-trimester ultrasound images with first-trimester maternal serum biomarkers for early prediction of severe fetal growth restriction (FGR).Materials and methods In this prospective study, 13,991 pregnant women were initially recruited, and after applying inclusion and exclusion criteria, 598 singleton pregnancies (299 with severe FGR and 299 controls) were analyzed. Severe FGR was diagnosed at or after 24 weeks' gestation and defined as an estimated fetal weight (EFW) or abdominal circumference (AC) below the 3rd percentile. Seven ultrasound views were collected (first-trimester crown-rump length, nuchal translucency; second-trimester head and abdominal circumference, femur length, umbilical artery S/D ratio, and amniotic fluid depth), along with maternal age and first-trimester serum markers (PAPP-A and free beta-hCG, expressed as MoM). A convolutional neural network (CNN) with multi-level attention and dynamic convolution modules was trained end-to-end using stochastic gradient descent with cross-entropy loss. Model performance was evaluated with five-fold cross-validation.Results The integrated model achieved high predictive accuracy for severe FGR, with an AUC of approximately 0.96, accuracy of 91%, and F1-score of 0.912. Matthews correlation coefficient (MCC) was 0.798. The model outperformed single-modality baselines, such as a ResNet-50 CNN trained on images alone. Ablation experiments showed that adding maternal serum biomarkers and advanced CNN modules significantly improved performance. The model demonstrated excellent discrimination between severe FGR and control cases, with high sensitivity and precision in classification.Conclusions A deep learning model combining routine ultrasound and first-trimester serum biomarkers can accurately predict severe FGR before clinical signs appear. This model significantly enhances early severe FGR risk stratification and suggests potential for AI-based prediction tools in prenatal care to guide earlier surveillance and intervention.</t>
  </si>
  <si>
    <t>Wang, Jin; Wang, Junjun; Peng, Yingying; Hou, Fei; Zhang, Xinche; Jin, Hua</t>
  </si>
  <si>
    <t>Jin, H (corresponding author), Jinan Matern &amp; Child Care Hosp Affiliated Shandong, Prenatal Diag Ctr, 22029 Jing Shi Rd, Shizhong Dist, Jinan 250000, Shandong, Peoples R China.</t>
  </si>
  <si>
    <t>prenatal123@163.com</t>
  </si>
  <si>
    <t>Shandong Province Medical and Health Science and Technology Project [202305020433]; the Science and Technology Development Project of Jinan [202430065, 202328021]; Ji Nan Health High-Caliber Talent Project [202512]</t>
  </si>
  <si>
    <t>Shandong Province Medical and Health Science and Technology Project; the Science and Technology Development Project of Jinan; Ji Nan Health High-Caliber Talent Project</t>
  </si>
  <si>
    <t>This research was funded by the Science and Technology Development Project of Jinan (No. 202430065, 202328021), the Shandong Province Medical and Health Science and Technology Project (No.202305020433) and the Ji Nan Health High-Caliber Talent Project (No.202512).</t>
  </si>
  <si>
    <t>[Wang, Jin; Peng, Yingying; Hou, Fei; Jin, Hua] Jinan Matern &amp; Child Care Hosp Affiliated Shandong, Prenatal Diag Ctr, Jinan, Peoples R China; [Wang, Junjun] Jinan Matern &amp; Child Care Hosp Affiliated Shandong, Ultrasound Dept, Jinan, Peoples R China; [Peng, Yingying; Jin, Hua] Shandong First Med Univ, Grad Sch, Jinan, Peoples R China; [Zhang, Xinche] Tsinghua Univ, Sch Biomed Engn, Beijing, Peoples R China; [Jin, Hua] Jinan Matern &amp; Child Care Hosp Affiliated Shandong, Prenatal Diag Ctr, 22029 Jing Shi Rd, Shizhong Dist, Jinan 250000, Shandong, Peoples R China</t>
  </si>
  <si>
    <t>Shandong First Medical University &amp; Shandong Academy of Medical Sciences; Tsinghua University</t>
  </si>
  <si>
    <t>Early detection of severe fetal growth restriction using multimodal deep learning based on ultrasound and prenatal biomarkers</t>
  </si>
  <si>
    <t>ANNALS OF MEDICINE</t>
  </si>
  <si>
    <t>Fetal growth restriction; ultrasound; deep learning; multimodal prediction; prenatal screening; serum biomarkers</t>
  </si>
  <si>
    <t>TAYLOR &amp; FRANCIS LTD</t>
  </si>
  <si>
    <t>ABINGDON</t>
  </si>
  <si>
    <t>2-4 PARK SQUARE, MILTON PARK, ABINGDON OR14 4RN, OXON, ENGLAND</t>
  </si>
  <si>
    <t>0785-3890</t>
  </si>
  <si>
    <t>1365-2060</t>
  </si>
  <si>
    <t>ANN MED</t>
  </si>
  <si>
    <t>Ann. Med.</t>
  </si>
  <si>
    <t>DEC 31 2026</t>
  </si>
  <si>
    <t>2688297</t>
  </si>
  <si>
    <t>10.1080/07853890.2026.2688297</t>
  </si>
  <si>
    <t>http://dx.doi.org/10.1080/07853890.2026.2688297</t>
  </si>
  <si>
    <t>KP7KY</t>
  </si>
  <si>
    <t>42403100</t>
  </si>
  <si>
    <t>WOS:001812672200001</t>
  </si>
  <si>
    <t>Yang, JL; Zeng, BW; Hang, ZY; Fan, YC; Ni, Z; Feng, C; Liu, C; Yang, J</t>
  </si>
  <si>
    <t>Accurately predicting the 28-day compressive strength (CS) of carbon nanotubes-reinforced cement composites (CNTRCCs) and graphene oxide-reinforced cement composites (GORCCs) is crucial for accelerating their potential application in civil engineering. However, traditional experimental and theoretical modeling methods suffer from problems, including time-consuming, costly, and inefficient. Moreover, it is also challenging to consider the effects of multiple coupling factors. In this work, a multimodal machine learning (ML) approach is proposed as the first attempt to explore the complex relationships between the CS of hybrid system containing both CNTRCCs and GORCCs. The proposed multimodal ML shows great potential in estimating the nanomaterials-reinforced cement composites with a coefficient of determination (R-2) of 0.96, surpassing the single-modal ML approaches. The results demonstrate the effectiveness of the developed model in accurately predicting the 28-day CS of hybrid system containing both CNTRCCs and GORCCs. Shapley additive explanations (SHAP) analysis illustrates that the optimal concentration of CNT is approximately 0.5 wt%, and preferred length of CNT and sheet size of GO are within a range of 20-30 &amp; mu;m and below 10 &amp; mu;m, respectively. Additionally, the enhancement effect of a single-layer GO is better than its multilayer counterparts.</t>
  </si>
  <si>
    <t>Yang, Jinlong; Zeng, Bowen; Hang, Ziyan; Fan, Yucheng; Ni, Zhi; Feng, Chuang; Liu, Chuang; Yang, Jie</t>
  </si>
  <si>
    <t>Feng, C (corresponding author), Nanjing Tech Univ, Coll Civil Engn, Nanjing 211816, Peoples R China.</t>
  </si>
  <si>
    <t>chuang.feng@njtech.edu.cn</t>
  </si>
  <si>
    <t>Innovative and Entrepreneurial Talents of Jiangsu Province of China; Australian Research Council [DP210103656, DP230100548]; Postgraduate Research amp; Practice Innovation Program of Jiangsu Province of China</t>
  </si>
  <si>
    <t>Innovative and Entrepreneurial Talents of Jiangsu Province of China; Australian Research Council (Australian Research Council); Postgraduate Research amp; Practice Innovation Program of Jiangsu Province of China</t>
  </si>
  <si>
    <t>The authors greatly acknowledge the financial support from Innovative and Entrepreneurial Talents of Jiangsu Province of China, Postgraduate Research &amp; Practice Innovation Program of Jiangsu Province of China and the Australian Research Council grant under the Discovery Project Scheme (DP210103656, DP230100548).</t>
  </si>
  <si>
    <t>[Yang, Jinlong; Zeng, Bowen; Hang, Ziyan; Fan, Yucheng; Ni, Zhi; Feng, Chuang; Liu, Chuang] Nanjing Tech Univ, Coll Civil Engn, Nanjing 211816, Peoples R China; [Yang, Jie] RMIT Univ, Sch Engn, Melbourne 3083, Australia</t>
  </si>
  <si>
    <t>Nanjing Tech University; Royal Melbourne Institute of Technology (RMIT)</t>
  </si>
  <si>
    <t>Multimodal machine learning approach for exploring the 28-day compressive strength of nanomaterials-reinforced cement composites</t>
  </si>
  <si>
    <t>ARCHIVES OF CIVIL AND MECHANICAL ENGINEERING</t>
  </si>
  <si>
    <t>Multimodal machine learning; Compressive strength; Carbon nanotubes; graphene oxide; Cement composites</t>
  </si>
  <si>
    <t>GRAPHENE OXIDE NANOSHEETS; MULTIWALLED CARBON NANOTUBE; MECHANICAL-PROPERTIES; RHEOLOGICAL PROPERTIES; MICROSTRUCTURE; PASTE; BEHAVIOR; DISPERSION; CNT; GO</t>
  </si>
  <si>
    <t>Feng, Chuang/B-9575-2013; Fan, Yucheng/IQU-8465-2023; Ni, Zhi/PTG-2638-2026; Liu, Chuang/Y-3579-2018; Yang, Jie/Y-2487-2019</t>
  </si>
  <si>
    <t>Feng, Chuang/0000-0002-1879-1950; Yang, Jinlong/0000-0001-9164-6402; Fan, Yucheng/0000-0001-5832-7020; Ni, Zhi/0009-0009-9044-6033</t>
  </si>
  <si>
    <t>SPRINGERNATURE</t>
  </si>
  <si>
    <t>CAMPUS, 4 CRINAN ST, LONDON, N1 9XW, ENGLAND</t>
  </si>
  <si>
    <t>1644-9665</t>
  </si>
  <si>
    <t>2083-3318</t>
  </si>
  <si>
    <t>ARCH CIV MECH ENG</t>
  </si>
  <si>
    <t>Arch. Civ. Mech. Eng.</t>
  </si>
  <si>
    <t>JUL 14 2023</t>
  </si>
  <si>
    <t>202</t>
  </si>
  <si>
    <t>10.1007/s43452-023-00738-z</t>
  </si>
  <si>
    <t>http://dx.doi.org/10.1007/s43452-023-00738-z</t>
  </si>
  <si>
    <t>Engineering, Civil; Engineering, Mechanical; Materials Science, Multidisciplinary</t>
  </si>
  <si>
    <t>Engineering; Materials Science</t>
  </si>
  <si>
    <t>M2UG8</t>
  </si>
  <si>
    <t>WOS:001028776400002</t>
  </si>
  <si>
    <t>Lu, JC; Tran, DK; Bui, XL; Le, NQK; Chua, MCH</t>
  </si>
  <si>
    <t>PurposeParkinson's disease (PD) is a complex neurodegenerative disorder influenced by genetic, clinical, and lifestyle factors. While machine learning (ML) has demonstrated potential in supporting PD diagnosis, existing approaches often rely on single-modality data and lack interpretability for individualized risk estimation. This study aimed to develop and validate an interpretable multimodal ML framework that enhances PD diagnosis and genetic subtype classification, supporting precision health and clinical decision-making.MethodsWe integrated clinical assessments, voice-derived acoustic features, and genetic variant data to construct a multimodal prediction framework. Random Forest, XGBoost, and LightGBM models were trained on clinical and voice data, while a separate classifier was trained on genetic variants for subtype identification. Stacked generalization was employed using logistic regression and support vector machine (SVM) as meta-learners. Final predictions were aggregated using weighted ensemble stacking, with AUC-informed contributions. Hierarchical clustering was applied to genetic data to explore subtype patterns. Model interpretability was examined using SHAP analysis.ResultsThe proposed ensemble model achieved strong predictive performance, with AUCs exceeding 0.96 for PD diagnosis. SHAP analysis highlighted clinically relevant predictors including UPDRS scores, tremor severity, and voice frequency features. Genetic clustering revealed subtype-specific variants, including GBA1 and SNCA (linked to cognitive decline) and LRRK2 (associated with early-onset PD).ConclusionsThis interpretable and integrative framework provides accurate PD prediction and meaningful genetic subtype classification. It offers a practical foundation for AI-driven clinical decision support, aligning with personalized care initiatives and advancing the role of health technology in neurodegenerative disease management.</t>
  </si>
  <si>
    <t>Lu, Jingcheng; Tran, Doan Khanh; Bui, Xuan Lam; Le, Nguyen Quoc Khanh; Chua, Matthew Chin Heng</t>
  </si>
  <si>
    <t>Chua, MCH (corresponding author), Natl Univ Singapore, Yong Loo Lin Sch Med, Dept Biomed Informat, Singapore 117597, Singapore.; Le, NQK (corresponding author), Taipei Med Univ, AIBioMed Res Grp, Taipei 110, Taiwan.; Le, NQK (corresponding author), Taipei Med Univ, Coll Med, Inserv Master Program Artificial Intelligence Med, Taipei 110, Taiwan.; Le, NQK (corresponding author), Taipei Med Univ Hosp, Translat Imaging Res Ctr, Taipei 110, Taiwan.</t>
  </si>
  <si>
    <t>matthewchua@nus.edu.sg; khanhlee@tmu.edu.tw</t>
  </si>
  <si>
    <t>National Science and Technology Council</t>
  </si>
  <si>
    <t>The authors thanks students from NUS-BMI (Aletheia Lai Xuanyu, Cai Runchao, Liu Huixian, Chen Banghao, Fong Shao Yang Ryan) for involving to generate results of this study.</t>
  </si>
  <si>
    <t>[Lu, Jingcheng; Chua, Matthew Chin Heng] Natl Univ Singapore, Yong Loo Lin Sch Med, Dept Biomed Informat, Singapore 117597, Singapore; [Tran, Doan Khanh; Bui, Xuan Lam] Taipei Med Univ, Coll Med, Int Master Program Med, Taipei 110, Taiwan; [Bui, Xuan Lam; Le, Nguyen Quoc Khanh] Taipei Med Univ, AIBioMed Res Grp, Taipei 110, Taiwan; [Le, Nguyen Quoc Khanh] Taipei Med Univ, Coll Med, Inserv Master Program Artificial Intelligence Med, Taipei 110, Taiwan; [Le, Nguyen Quoc Khanh] Taipei Med Univ Hosp, Translat Imaging Res Ctr, Taipei 110, Taiwan</t>
  </si>
  <si>
    <t>National University of Singapore; Taipei Medical University; Taipei Medical University; Taipei Medical University; Taipei Medical University; Taipei Medical University Hospital</t>
  </si>
  <si>
    <t>Multimodal machine learning for Parkinson's disease diagnosis and genetic subtyping</t>
  </si>
  <si>
    <t>HEALTH AND TECHNOLOGY</t>
  </si>
  <si>
    <t>Parkinson's disease; Multimodal machine learning; Genetic subtyping; Biomedical decision support; Precision neurology; Clinical informatics</t>
  </si>
  <si>
    <t>Chua, Matthew/P-6434-2014; Le, Nguyen Quoc Khanh/H-2057-2017</t>
  </si>
  <si>
    <t>Le, Nguyen Quoc Khanh/0000-0003-4896-7926</t>
  </si>
  <si>
    <t>SPRINGER HEIDELBERG</t>
  </si>
  <si>
    <t>HEIDELBERG</t>
  </si>
  <si>
    <t>TIERGARTENSTRASSE 17, D-69121 HEIDELBERG, GERMANY</t>
  </si>
  <si>
    <t>2190-7188</t>
  </si>
  <si>
    <t>2190-7196</t>
  </si>
  <si>
    <t>HEALTH TECHNOL-GER</t>
  </si>
  <si>
    <t>Health Technol.</t>
  </si>
  <si>
    <t>337</t>
  </si>
  <si>
    <t>343</t>
  </si>
  <si>
    <t>10.1007/s12553-025-01021-2</t>
  </si>
  <si>
    <t>http://dx.doi.org/10.1007/s12553-025-01021-2</t>
  </si>
  <si>
    <t>FA1VO</t>
  </si>
  <si>
    <t>WOS:001585031600001</t>
  </si>
  <si>
    <t>Addepalli, P; Addepalli, L; Sagar, SDV; Sawangsri, W; Ghani, SAC; Lloret, J</t>
  </si>
  <si>
    <t>In biomedical machining, proper tool wear monitoring is required as surface integrity and dimensional accuracy have a direct impact on the way of the implants to work and the safety of patients. Traditional monitoring methods that are based on single-modality data do not usually identify the presence of the subtle wear development in a complex cutting environment. In this research, the authors introduce a deep-learning methodology based on multimodality as Thermo-Edge Attention Network (TEA-Net) consisting of the fusion of thermal images, line maps, and statistical wear detection to obtain accurate tool-wear separation. The model uses multi-head attention to focus on local wear areas and combines similarities of complementary cues of various data modalities using a common fusion point. Experimental analyses on Austenitic Stainless Steel 316L (SS316L) and Zirconia (ZrO2) machining tools show that TEA-Net can be evaluated at 82.5 and 88.4 classification accuracy on direct comparison with conventional machine-learning models, and with standard convolutional networks, respectively, with 15-percent higher accuracy. This framework also has a high capability of discrimination whose Area Under the Receiver Operating Characteristic Curve (AUC) exceed 0.97 therefore showing the reliability in both ductile and brittle materials. The findings show that multimodal integration has a significant positive effect on interpretability and prediction stability despite the scanty data quantity. TEA-Net is therefore an effective and timely solution to intelligent tool-wear saving and predictive maintenance in biomedical manufacturing sector.</t>
  </si>
  <si>
    <t>Addepalli, Phanindra; Addepalli, Lavanya; Sagar, S. D. Vidya; Sawangsri, Worapong; Ghani, Saiful Anwar Che; Lloret, Jaime</t>
  </si>
  <si>
    <t>Addepalli, P (corresponding author), Kasetsart Univ, Fac Engn, Dept Mech Engn, Bangkok, Thailand.</t>
  </si>
  <si>
    <t>phanindra.a@ku.th</t>
  </si>
  <si>
    <t>Faculty of Engineering, KASETSART UNIVERSITY, BANGKOK, THAILAND</t>
  </si>
  <si>
    <t>The research is Funded By Faculty of Engineering, KASETSART UNIVERSITY, BANGKOK, THAILAND.</t>
  </si>
  <si>
    <t>[Addepalli, Phanindra; Sawangsri, Worapong] Kasetsart Univ, Fac Engn, Dept Mech Engn, Bangkok, Thailand; [Addepalli, Lavanya] Univ Politecn Valencia, Dept Commun &amp; Cultural Ind, Valencia, Spain; [Sagar, S. D. Vidya] NITTE Meenakshi Inst Technol, Dept Master Comp Applicat, Bengaluru, India; [Ghani, Saiful Anwar Che] Univ Malaysia Pahang Al Sultan Abdullah, Fac Mech &amp; Automot Engn, Pekan, Pahang, Malaysia; [Lloret, Jaime] Univ Politecn Valencia, Inst Invest Gest Integrada Zonas Costeras, Valencia, Spain</t>
  </si>
  <si>
    <t>Kasetsart University; Universitat Politecnica de Valencia; NITTE (Deemed to be University); Nitte Meenakshi Institute of Technology; Universiti Malaysia Pahang Al-Sultan Abdullah (UMPSA); Universitat Politecnica de Valencia</t>
  </si>
  <si>
    <t>TEA-net: A multimodal deep learning framework for tool wear classification in biomedical machining</t>
  </si>
  <si>
    <t>WEAR</t>
  </si>
  <si>
    <t>Tool wear analysis; Biomedical machining; SS316L and ZrO 2 tools; Machine learning classification; Thermal imaging in wear studies; Predictive wear modelling</t>
  </si>
  <si>
    <t>ONLINE; SYSTEM</t>
  </si>
  <si>
    <t>Addepalli, Lavanya/ACC-2329-2022; Sawangsri, Worapong/ABG-8127-2021; Lloret, Jaime/H-3994-2013</t>
  </si>
  <si>
    <t>Addepalli, Phanindra/0000-0001-8883-164X</t>
  </si>
  <si>
    <t>56</t>
  </si>
  <si>
    <t>ELSEVIER SCIENCE SA</t>
  </si>
  <si>
    <t>PO BOX 564, 1001 LAUSANNE, SWITZERLAND</t>
  </si>
  <si>
    <t>0043-1648</t>
  </si>
  <si>
    <t>1873-2577</t>
  </si>
  <si>
    <t>Wear</t>
  </si>
  <si>
    <t>FEB 15 2026</t>
  </si>
  <si>
    <t>587</t>
  </si>
  <si>
    <t>206484</t>
  </si>
  <si>
    <t>10.1016/j.wear.2025.206484</t>
  </si>
  <si>
    <t>http://dx.doi.org/10.1016/j.wear.2025.206484</t>
  </si>
  <si>
    <t>Engineering, Mechanical; Materials Science, Multidisciplinary</t>
  </si>
  <si>
    <t>AO0DC</t>
  </si>
  <si>
    <t>WOS:001652653500001</t>
  </si>
  <si>
    <t>Mojumder, S; Halder, P; Tonge, T</t>
  </si>
  <si>
    <t>While multiple sensors are used for real-time monitoring in additive manufacturing, not all provide practical or reliable process insights. For example, high-speed X-ray imaging offers valuable spatial information about subsurface melt pool behavior but is costly and impractical for most industrial settings. In contrast, absorptivity data from low-cost photodiodes correlate with melt pool dynamics but is often too noisy for accurate prediction when used alone. In this paper, we propose a multimodal data fusion approach for predicting melt pool dynamics by combining high-fidelity X-ray data with low-fidelity absorptivity data in the Laser Powder Bed Fusion (LPBF) process. Our multimodal learning framework integrates convolutional neural networks (CNNs) for spatial feature extraction from spot and scan laser X-ray images with recurrent neural networks (RNNs) for temporal feature extraction from absorptivity signals, using an early fusion strategy. The multimodal model is further used as a transfer learning model to fine-tune the RNN branch that can predict melt pool dynamics only with absorptivity data, with comparable accuracy to the multimodal model. Results show that training with both modalities significantly improves prediction accuracy compared to a single modality. Furthermore, once trained, the model can infer melt pool features using only absorptivity data, eliminating the need for expensive X-ray imaging. This multimodal fusion approach enables cost-effective, real-time monitoring and has broad applicability in additive manufacturing.</t>
  </si>
  <si>
    <t>Mojumder, Satyajit; Halder, Pallock; Tonge, Tiana</t>
  </si>
  <si>
    <t>Mojumder, S (corresponding author), Washington State Univ, Sch Mech &amp; Mat Engn, Pullman, WA 99163 USA.</t>
  </si>
  <si>
    <t>satyajit.mojumder@wsu.edu; pallock.halder@wsu.edu; tiana.tonge@wsu.edu</t>
  </si>
  <si>
    <t>Washington State University</t>
  </si>
  <si>
    <t>The authors gratefully acknowledge the WSU start-up grant for supporting this research. They also thank Mr. Apurba Sarker and Mr. M. Abrar Muhit for their valuable discussions through the WSU SUPREME program for this work.</t>
  </si>
  <si>
    <t>[Mojumder, Satyajit; Halder, Pallock; Tonge, Tiana] Washington State Univ, Sch Mech &amp; Mat Engn, Pullman, WA 99163 USA</t>
  </si>
  <si>
    <t>Multimodal learning of melt pool dynamics in laser powder bed fusion</t>
  </si>
  <si>
    <t>PROGRESS IN ADDITIVE MANUFACTURING</t>
  </si>
  <si>
    <t>Multimodal fusion; CNN; RNN; Melt pool dynamics; Transfer learning; Laser powder bed fusion</t>
  </si>
  <si>
    <t>CHALLENGES</t>
  </si>
  <si>
    <t>Mojumder, Satyajit/ABE-4047-2021</t>
  </si>
  <si>
    <t>Halder, Pallock/0009-0007-4455-598X</t>
  </si>
  <si>
    <t>59</t>
  </si>
  <si>
    <t>2363-9512</t>
  </si>
  <si>
    <t>2363-9520</t>
  </si>
  <si>
    <t>PROG ADDIT MANUF</t>
  </si>
  <si>
    <t>Prog. Addit. Manuf.</t>
  </si>
  <si>
    <t>2801</t>
  </si>
  <si>
    <t>2814</t>
  </si>
  <si>
    <t>10.1007/s40964-025-01496-5</t>
  </si>
  <si>
    <t>http://dx.doi.org/10.1007/s40964-025-01496-5</t>
  </si>
  <si>
    <t>Engineering, Manufacturing; Materials Science, Multidisciplinary</t>
  </si>
  <si>
    <t>FL4SA</t>
  </si>
  <si>
    <t>WOS:001658365000001</t>
  </si>
  <si>
    <t>Karbalaie, A; Grinberg, A; Strong, A; Grip, H; Prorok, K; Häger, CK; Nordström, T</t>
  </si>
  <si>
    <t>Fear of re-injury after anterior cruciate ligament (ACL) rupture often hinders return-to-sport and has been linked to movement patterns associated with increased injury risk. Identifying fearful individuals is thus critical. Selfreported questionnaires are commonly used but may be affected by underreporting in sporting and clinical contexts. We aimed to classify individuals with ACL reconstruction (ACLR) into HIGH-FEAR and LOW-FEAR groups, using machine learning (ML) models trained on unimodal or multimodal time-series movement data from side hop landings. Seventy-two participants (median: 13.0 months post-ACLR; interquartile range: 15.8 months) were dichotomized into HIGH-FEAR/LOW-FEAR groups using a single item (statement 9) from the Tampa Scale for Kinesiophobia. Participants performed one-leg standardized rebound side hops while kinematics and kinetics were recorded using 3D motion capture and force plates, respectively, and electromyography (EMG) was registered from flexor and extensor thigh muscles. We extracted time-series features from each modality and ten ML algorithms were trained and evaluated using leave-one-participant-out and grouped 3-fold crossvalidation. Integrating kinematic/kinetic and EMG data improved classification accuracy compared to single modality datasets. The extreme gradient boosting model achieved the highest accuracy for fused data (86%) using the top 40 ranked features, including trunk tilt, pelvic obliquity, knee rotation, and flexor and extensor muscle activations. Kinematic/kinetic data alone achieved 83% accuracy per participant, while EMG data alone yielded 85%. This study demonstrates the potential of integrating different movement-related data to enhance the accuracy of ML models in classifying fear of re-injury post-ACLR, supporting identification of patterns associated with fear and guiding treatment.</t>
  </si>
  <si>
    <t>Karbalaie, Abdolamir; Grinberg, Adam; Strong, Andrew; Grip, Helena; Prorok, Kalle; Hager, Charlotte K.; Nordstrom, Tomas</t>
  </si>
  <si>
    <t>Häger, CK (corresponding author), Umea Univ, Dept Community Med &amp; Rehabil, Umea, Sweden.; Häger, CK (corresponding author), Umea Univ, Dept Diagnost &amp; Intervent, Umea, Sweden.</t>
  </si>
  <si>
    <t>charlotte.hager@umu.se</t>
  </si>
  <si>
    <t>Swedish Research Council [K2014-99X-21876-04-4, 2017-00892, 2022-00774]; Region Vasterbotten [ALF VLL548501, VLL838421, VLL-358901, 7002795, RV966109, RV 967112]; Swedish Research Council for Sports Science [2021/9 P2022, 2022/10, P2023-003, P2024-0036, P2025-0069]; Umea University School of Sport Science [IH 5.2-25-2021, IH 5.1-7-2025]; King Gustaf V and Queen Victoria's Foundation of Freemasons</t>
  </si>
  <si>
    <t>Swedish Research Council (Swedish Research Council); Region Vasterbotten; Swedish Research Council for Sports Science; Umea University School of Sport Science (Umea University); King Gustaf V and Queen Victoria's Foundation of Freemasons</t>
  </si>
  <si>
    <t>CK Hager obtained the following funding for the research for the current study: the Swedish Research Council (Grant No. K2014-99X-21876-04-4; 2017-00892; 2022-00774), Region Vasterbotten (Grant No. ALF VLL548501, VLL838421 and Strategic funding VLL-358901; Project No. 7002795; Cutting Edge funding RV966109 and 2022-2024; ALF funding RV 967112 and 2022-2024), the Swedish Research Council for Sports Science (Grants No.; 2021/9 P2022; 2022/10; P2023-003; P2024-0036; P2025-0069), Umea University School of Sport Science (Grant No IH 5.2-25-2021; IH 5.1-7-2025 Karbalaie), and King Gustaf V and Queen Victoria's Foundation of Freemasons.</t>
  </si>
  <si>
    <t>[Karbalaie, Abdolamir; Grinberg, Adam; Strong, Andrew; Prorok, Kalle; Hager, Charlotte K.] Umea Univ, Dept Community Med &amp; Rehabil, Umea, Sweden; [Grip, Helena; Hager, Charlotte K.] Umea Univ, Dept Diagnost &amp; Intervent, Umea, Sweden; [Nordstrom, Tomas] Umea Univ, Dept Appl Phys &amp; Elect, Umea, Sweden</t>
  </si>
  <si>
    <t>Umea University; Umea University; Umea University</t>
  </si>
  <si>
    <t>Enhancing fear of re-injury classification after ACL reconstruction by integrating biomechanical and electromyography data using multimodal machine learning methods</t>
  </si>
  <si>
    <t>JOURNAL OF BIOMECHANICS</t>
  </si>
  <si>
    <t>EMG; Kinematics; Kinetics; Side hop; Artificial intelligence; Feature extraction</t>
  </si>
  <si>
    <t>CRUCIATE LIGAMENT RECONSTRUCTION; IN-VIVO EXPOSURE; LOWER-EXTREMITY; SOCIAL DESIRABILITY; RETURN; SPORT; FEMALES; METAANALYSIS; THERAPY; SURGERY</t>
  </si>
  <si>
    <t>Häger, Charlotte/ACG-7979-2022; Karbalaie, Abdolamir/B-6201-2016; Grinberg, Adam/N-7174-2018; Strong, Andrew/JCO-1913-2023</t>
  </si>
  <si>
    <t>Grip, Helena/0000-0003-1635-122X</t>
  </si>
  <si>
    <t>0021-9290</t>
  </si>
  <si>
    <t>1873-2380</t>
  </si>
  <si>
    <t>J BIOMECH</t>
  </si>
  <si>
    <t>J. Biomech.</t>
  </si>
  <si>
    <t>204</t>
  </si>
  <si>
    <t>113346</t>
  </si>
  <si>
    <t>10.1016/j.jbiomech.2026.113346</t>
  </si>
  <si>
    <t>http://dx.doi.org/10.1016/j.jbiomech.2026.113346</t>
  </si>
  <si>
    <t>Biophysics; Engineering, Biomedical</t>
  </si>
  <si>
    <t>Biophysics; Engineering</t>
  </si>
  <si>
    <t>IF0QY</t>
  </si>
  <si>
    <t>42127561</t>
  </si>
  <si>
    <t>WOS:001770158000001</t>
  </si>
  <si>
    <t>Zheng, HT; Wen, DH; Zhang, LW; Lu, HY; Li, XY; Li, YX</t>
  </si>
  <si>
    <t>Colorectal cancer liver metastasis (CRLM) remains a major determinant of long-term outcomes. Existing clinical models are typically static and single-modality, limiting early warning and individualized follow-up. We prospectively enrolled 300 treatment-na &amp; iuml;ve colorectal cancer patients. We collected preoperative three-phase contrast-enhanced ultrasound (CEUS) dynamic sequences, longitudinal serum marker measurements (EZH2/CD10) from preoperation through 12 months, and 35 clinical-pathological variables. The proposed Dynamic Modality Alignment Network (DMA-Net) includes (i) an imaging encoder based on an enhanced 3D-ResNet18 to extract perfusion kinetics, (ii) a molecular encoder using BiLSTM with temporal attention to model serial biomarkers, and (iii) a clinical encoder (MLP) for structured variables. A dynamic alignment module and cross-modal attention fuse modalities, followed by a discrete-time survival head that outputs month-specific conditional hazards and cumulative risks. On the held-out test set, the tri-modal model achieved an area under the curve (AUC) of 0.918 at 12 months with favorable calibration (Brier score 0.123), outperforming a traditional Cox model built from clinical variables (AUC 0.782, Brier score 0.177). Time-dependent evaluation showed stable AUCs from 3 to 12 months (0.904-0.919). Ablation experiments indicated that imaging and molecular branches contributed most to discrimination, whereas clinical variables improved calibration. Multimodal dynamic modeling integrating CEUS perfusion, longitudinal biomarkers, and clinical variables improves early warning and risk stratification for CRLM, and provides a practical framework to support personalized surveillance.</t>
  </si>
  <si>
    <t>Zheng, Haitao; Wen, Dehui; Zhang, Liwei; Lu, Haiyong; Li, Xiaoyu; Li, Yongxin</t>
  </si>
  <si>
    <t>Wen, DH (corresponding author), Hebei North Univ, Affiliated Hosp 1, Dept Ultrasound Med, Shijiazhuang 075000, Peoples R China.</t>
  </si>
  <si>
    <t>15530396808@163.com</t>
  </si>
  <si>
    <t>Hebei Provincial Government Funding Provincial Medical Excellent Talents Project [ZF2024230]</t>
  </si>
  <si>
    <t>Hebei Provincial Government Funding Provincial Medical Excellent Talents Project</t>
  </si>
  <si>
    <t>This research was supported by the internal project of the Hebei Provincial Government Funding Provincial Medical Excellent Talents Project (No. ZF2024230) .</t>
  </si>
  <si>
    <t>[Zheng, Haitao; Wen, Dehui; Zhang, Liwei; Lu, Haiyong; Li, Xiaoyu] Hebei North Univ, Affiliated Hosp 1, Dept Ultrasound Med, Shijiazhuang 075000, Peoples R China; [Zheng, Haitao] Hebei North Univ, Clin Med Coll 1, Shijiazhuang 075000, Peoples R China; [Li, Yongxin] China Aerosp Sci &amp; Ind Corp 731 Hosp, Dept Thorac Surg, Beijing 100074, Peoples R China</t>
  </si>
  <si>
    <t>Hebei North University; Hebei North University</t>
  </si>
  <si>
    <t>A multimodal deep learning-based dynamic prediction model for colorectal cancer liver metastasis</t>
  </si>
  <si>
    <t>ADVANCES IN DIFFERENTIAL EQUATIONS AND CONTROL PROCESSES</t>
  </si>
  <si>
    <t>colorectal carcinoma; hepatic metastasis; contrast-enhanced ultrasound; multimodal fusion learning; discrete-time survival analysis; dynamic risk stratification</t>
  </si>
  <si>
    <t>SCORE</t>
  </si>
  <si>
    <t>Zheng, Haitao/0009-0006-3206-8765</t>
  </si>
  <si>
    <t>Acad Publ Pte Ltd - Singapore</t>
  </si>
  <si>
    <t>Singapore</t>
  </si>
  <si>
    <t>73 Upper Paya Lebar Road #07-02B-01 Centro Bianco, Singapore, SINGAPORE</t>
  </si>
  <si>
    <t>0974-3243</t>
  </si>
  <si>
    <t>3048-734X</t>
  </si>
  <si>
    <t>ADV DIFFER EQU CONTR</t>
  </si>
  <si>
    <t>Adv. Differ. Equ. Control Process.</t>
  </si>
  <si>
    <t>3902</t>
  </si>
  <si>
    <t>10.59400/adecp3902</t>
  </si>
  <si>
    <t>http://dx.doi.org/10.59400/adecp3902</t>
  </si>
  <si>
    <t>Mathematics, Applied</t>
  </si>
  <si>
    <t>Mathematics</t>
  </si>
  <si>
    <t>GF7RA</t>
  </si>
  <si>
    <t>WOS:001735341000002</t>
  </si>
  <si>
    <t>Yi, YY; Shi, L; Liu, HR; Wang, MY; Feng, M; Li, YX</t>
  </si>
  <si>
    <t>COPD affects approximately 391 million people globally. While spirometry is recognized as the gold standard for diagnosing COPD according to the GOLD guidelines, its availability is limited in primary healthcare settings, particularly in low- and middle-income countries. Furthermore, spirometry requires patient cooperation, which may be challenging for individuals with physical limitations or comorbidities, potentially impacting its accuracy. As a result, there is a need for alternative diagnostic methods, particularly those suited for resource-constrained environments. This study proposes a novel multimodal deep learning framework, COPD-MMDDxNet, which integrates structured pulmonary CT reports, blood gas analysis, and hematological analysis from electronic medical records (EMRs) to overcome the limitations of existing diagnostic methods. This framework develops the first multimodal diagnostic tool for COPD that does not rely on spirometry. It innovatively fuses cross-modal data, incorporating four key components: parametric numerical embedding, hierarchical interaction mechanisms, contrastive regularization strategies, and dynamic fusion coefficients. These innovations significantly enhance the model's ability to capture complex cross-modal relationships, thereby improving diagnostic accuracy.The dataset used in this study comprises 800 COPD patients, with a balanced age and sex distribution, and data were collected over a 24-month period. Experimental results demonstrate that COPD-MMDDxNet outperforms traditional single-modality models and other state-of-the-art multimodal models in terms of accuracy (81.76%), precision (78.87%), recall (77.78%), and F1 score (78.32%). Ablation studies confirm the critical importance of each model component, particularly the contrastive learning module and cross-modal attention mechanism, in enhancing model performance.This framework offers a robust solution for more accurate and accessible COPD diagnosis, particularly in resource-constrained environments, without the need for spirometry.</t>
  </si>
  <si>
    <t>Yi, Yuanyuan; Shi, Lei; Liu, Haoran; Wang, Mingyu; Feng, Min; Li, Yanxia</t>
  </si>
  <si>
    <t>Feng, M; Li, YX (corresponding author), Dalian Med Univ, Affiliated Hosp 1, Dept Resp Med, Dalian, Peoples R China.</t>
  </si>
  <si>
    <t>liyanxia001@163.com; fengfeng0716@163.com</t>
  </si>
  <si>
    <t>Natural Science Foundation of Liaoning Province, China [2024-MS-163]</t>
  </si>
  <si>
    <t>Natural Science Foundation of Liaoning Province, China (Natural Science Foundation of Liaoning Province)</t>
  </si>
  <si>
    <t>The author(s) declare that financial support was received for the research and/or publication of this article. We would acknowledge the support of the Natural Science Foundation of Liaoning Province, China (No. 2024-MS-163).</t>
  </si>
  <si>
    <t>[Yi, Yuanyuan; Feng, Min; Li, Yanxia] Dalian Med Univ, Affiliated Hosp 1, Dept Resp Med, Dalian, Peoples R China; [Shi, Lei] Dalian Med Univ, Affiliated Hosp 1, Dept Emergency Med, Dalian, Peoples R China; [Liu, Haoran; Wang, Mingyu] Dalian Med Univ, Dalian, Peoples R China</t>
  </si>
  <si>
    <t>Dalian Medical University; Dalian Medical University; Dalian Medical University</t>
  </si>
  <si>
    <t>COPD-MMDDxNet: a multimodal deep learning framework for accurate COPD diagnosis using electronic medical records</t>
  </si>
  <si>
    <t>COPD; multimodal deep learning; diagnosis; cross-modal interaction; electronic medical records</t>
  </si>
  <si>
    <t>OBSTRUCTIVE PULMONARY-DISEASE</t>
  </si>
  <si>
    <t>/AAL-7266-2020</t>
  </si>
  <si>
    <t>JUL 11 2025</t>
  </si>
  <si>
    <t>1601736</t>
  </si>
  <si>
    <t>10.3389/fmed.2025.1601736</t>
  </si>
  <si>
    <t>http://dx.doi.org/10.3389/fmed.2025.1601736</t>
  </si>
  <si>
    <t>5GA6L</t>
  </si>
  <si>
    <t>40718419</t>
  </si>
  <si>
    <t>WOS:001534815400001</t>
  </si>
  <si>
    <t>Mou, CY; Zhao, JJ; Yan, ZL; Zhang, L; Tian, XJ; Wang, YC; Wang, HX; Hu, J; He, ZL; Ling, Y; Kang, AS; Luo, QW; Gao, J; Ye, XM; Hong, LR; Li, JQ; Yan, TY; Yu, J; Luo, BY</t>
  </si>
  <si>
    <t>Background Accurate assessment of consciousness in patients with disorders of consciousness (DoC) remains a major clinical challenge in both specialized neurorehabilitation and acute care settings, where behavioral evaluations alone can lead to misdiagnosis rates of up to 40%. This study aimed to develop and validate an explainable multimodal machine learning (ML) model to improve diagnostic precision in DoC. Methods Leveraging one of the largest multicenter cohorts of patients with DoC in China to date (n = 583), together with an independent external validation set (n = 70), we examined whether routinely collected clinical indicators together with EEG features could improve diagnostic reliability. Using LASSO-based feature selection, we developed three predictive ML models (clinical, EEG, and a combined clinical-EEG model). Nine ML algorithms were tested, with hyperparameters optimized by grid search and cross-validation. Model performance was assessed using ROC curves, calibration plots, and decision curve analysis (DCA). Model interpretability was examined using SHapley Additive exPlanations (SHAP). Results The combined clinical-EEG model (Model 3) consistently outperformed single-modality models. The final logistic regression-based Model 3 achieved an AUC of 0.77 (95% CI: 0.68-0.85) in the training set, 0.76 (95% CI: 0.61-0.92) in the internal validation set, and 0.75 (95% CI: 0.64-0.87) in the external validation set. SHAP analysis identified eight key features that contributed most to classification, providing biologically and clinically interpretable insights. To support clinical translation and time-sensitive decision-making, we developed a web-based tool enabling automated EEG feature extraction and individualized diagnostic predictions. Conclusions This study developed and validated an explainable ML model integrating clinical and EEG features to classify consciousness levels in DoC, based on the large-multicenter DoC cohorts in China. Taken together, these findings suggest that a transparent multimodal framework can strengthen the clinical evaluation of consciousness and may offer a practical template for improving assessment in complex care environments.</t>
  </si>
  <si>
    <t>Mou, Chenye; Zhao, Jiajia; Yan, Zilong; Zhang, Li; Tian, Xuejiao; Wang, Yingchen; Wang, Hanxiao; Hu, Jun; He, Zhuolin; Ling, Yi; Kang, Anshun; Luo, Qiwen; Gao, Jian; Ye, Xiangming; Hong, Lirong; Li, Jingqi; Yan, Tianyi; Yu, Jie; Luo, Benyan</t>
  </si>
  <si>
    <t>Yu, J; Luo, BY (corresponding author), Zhejiang Univ, Affiliated Hosp 1, Dept Neurol, Sch Med, Hangzhou, Zhejiang, Peoples R China.</t>
  </si>
  <si>
    <t>yujie0813@zju.edu.cn; luobenyan@zju.edu.cn</t>
  </si>
  <si>
    <t>the China Brain Project [2022ZD0208905]; Zhejiang Provincial Natural Science Foundation of China [QN25H090042]; the China Postdoctoral Science Foundation [2024M752878]; the National Natural Science Foundation of China [8250050433]; the Brain Science and Brain-like Intelligence Technology-National Science and Technology Major Project [2021ZD0200404]</t>
  </si>
  <si>
    <t>the China Brain Project; Zhejiang Provincial Natural Science Foundation of China (Natural Science Foundation of Zhejiang Province); the China Postdoctoral Science Foundation (China Postdoctoral Science Foundation); the National Natural Science Foundation of China (National Natural Science Foundation of China (NSFC)); the Brain Science and Brain-like Intelligence Technology-National Science and Technology Major Project</t>
  </si>
  <si>
    <t>This work was supported by the Brain Science and Brain-like Intelligence Technology-National Science and Technology Major Project (Grant Number 2021ZD0200404), the China Brain Project (Grant Number 2022ZD0208905) and the National Natural Science Foundation of China (Grant/Award Number U22A20293) to B. L., the National Natural Science Foundation of China (Grant Number 8250050433), Zhejiang Provincial Natural Science Foundation of China (QN25H090042) and the China Postdoctoral Science Foundation (2024M752878) to J.Y.</t>
  </si>
  <si>
    <t>[Mou, Chenye; Zhao, Jiajia; Zhang, Li; Wang, Yingchen; Wang, Hanxiao; Hu, Jun; He, Zhuolin; Ling, Yi; Yu, Jie; Luo, Benyan] Zhejiang Univ, Affiliated Hosp 1, Dept Neurol, Sch Med, Hangzhou, Zhejiang, Peoples R China; [Yan, Zilong; Kang, Anshun; Luo, Qiwen; Yan, Tianyi] Beijing Inst Technol, Sch Med Technol, Beijing, Peoples R China; [Zhang, Li; Ye, Xiangming] Hangzhou Med Coll, Affiliated Peoples Hosp, Rehabil &amp; Sports Med Res Inst Zhejiang Prov, Ctr Rehabil Med,Dept Rehabil Med,Zhejiang Prov Peo, Hangzhou, Zhejiang, Peoples R China; [Tian, Xuejiao] Shaoxing Shangyu Second Peoples Hosp, Dept Neurol, Shaoxing, Zhejiang, Peoples R China; [Gao, Jian; Li, Jingqi] Hangzhou Mingzhou Brain Rehabil Hosp, Dept Rehabil, Hangzhou, Zhejiang, Peoples R China; [Hong, Lirong] Hangzhou Hosp Zhejiang Armed Police Corps, Dept Rehabil, Hangzhou, Zhejiang, Peoples R China</t>
  </si>
  <si>
    <t>Zhejiang University; Beijing Institute of Technology; Hangzhou Medical College; Zhejiang Provincial People's Hospital</t>
  </si>
  <si>
    <t>An explainable multimodal machine learning model for diagnosing disorders of consciousness: evidence from a large multicenter Chinese cohort</t>
  </si>
  <si>
    <t>Disorders of consciousness; Intensive care; Machine learning; Diagnosis; SHAP analysis</t>
  </si>
  <si>
    <t>APR 15 2026</t>
  </si>
  <si>
    <t>708</t>
  </si>
  <si>
    <t>10.1186/s12967-026-08108-y</t>
  </si>
  <si>
    <t>http://dx.doi.org/10.1186/s12967-026-08108-y</t>
  </si>
  <si>
    <t>IR5XV</t>
  </si>
  <si>
    <t>41987185</t>
  </si>
  <si>
    <t>WOS:001778653700002</t>
  </si>
  <si>
    <t>Luo, YS; Huang, H; Chen, TK; Ehsan, RM; Kamalanathan, S; Li, Y; Lai, NK</t>
  </si>
  <si>
    <t>Breast cancer prognosis and treatment outcomes are shaped by intricate interplay between tumor biology, systemic comorbidities, and patient-reported functional status. This paper introduces a framework to address critical gaps in precision oncology by systematically integrating multimodal data-including clinical parameters, comorbidity profiles, and patient-reported outcomes (PROs)-to refine prognostic stratification and therapeutic decision-making. Section 1 contextualizes the clinical relevance of comorbidity burden and quality-of-life metrics in breast cancer care, emphasizing their underutilization in conventional models. Section 2 synthesizes prior efforts in machine learning and oncology, identifying limitations in single-modality approaches and underscoring the necessity for holistic data integration. Section 3 describes the harmonization of structured clinical variables, binary comorbidity flags, and EORTC QLQ-C30/BR23 scores from a prospective cohort of 1727 patients, alongside methodological innovations for handling missingness and feature engineering. Section 4 outlines experimental protocols for model training, cross-validation, and ablation studies to quantify the incremental value of multimodal inputs. Section 5 highlights key insights into prognostic heterogeneity, including the differential impacts of specific comorbidities (e.g., urinary tract infections, depression) and PRO domains (e.g., fatigue, global health status) on survival trajectories. Section 6 interprets these findings through the lens of clinical utility, addressing scalability challenges and ethical considerations for real-world deployment. Finally, Sect. 7 proposes translational pathways for embedding multimodal analytics into risk-adapted treatment paradigms. This work bridges computational innovation with patient-centered care, offering a roadmap for advancing precision oncology through data-driven, multidimensional modeling.</t>
  </si>
  <si>
    <t>Luo, Yongsheng; Huang, Hai; Chen, Tet Khuan; Ehsan, Rana Muhammad; Kamalanathan, Shanmugam; Li, Yu; Lai, Ngan Kuen</t>
  </si>
  <si>
    <t>Luo, YS (corresponding author), Zhuhai Coll Sci &amp; Technol, Zhu Hai, Guang Dong, Peoples R China.</t>
  </si>
  <si>
    <t>vincent@zcst.edu.cn</t>
  </si>
  <si>
    <t>Guangdong Key Disciplines Project [2024ZDJS137]</t>
  </si>
  <si>
    <t>Guangdong Key Disciplines Project</t>
  </si>
  <si>
    <t>This research was funded by the Guangdong Key Disciplines Project under grant number 2024ZDJS137.</t>
  </si>
  <si>
    <t>[Luo, Yongsheng; Huang, Hai; Li, Yu] Zhuhai Coll Sci &amp; Technol, Zhu Hai, Guang Dong, Peoples R China; [Chen, Tet Khuan; Ehsan, Rana Muhammad; Kamalanathan, Shanmugam; Lai, Ngan Kuen] Asia Pacific Univ Technol &amp; Innovat, Kuala Lumpur, Malaysia</t>
  </si>
  <si>
    <t>Asia Pacific University of Technology &amp; Innovation</t>
  </si>
  <si>
    <t>Multimodal machine learning integrates clinical and comorbidity data to predict breast cancer prognosis and treatment outcomes</t>
  </si>
  <si>
    <t>Multimodal machine learning; Precision oncology; Breast cancer prognosis; Comorbidity burden; Treatment outcomes</t>
  </si>
  <si>
    <t>QUALITY-OF-LIFE; GENE-EXPRESSION; CHEMOTHERAPY; RISK; VALIDATION; HETEROGENEITY; SIGNATURE; CLASSIFICATION; RECURRENCE; TAMOXIFEN</t>
  </si>
  <si>
    <t>APR 19 2026</t>
  </si>
  <si>
    <t>18122</t>
  </si>
  <si>
    <t>10.1038/s41598-026-47972-y</t>
  </si>
  <si>
    <t>http://dx.doi.org/10.1038/s41598-026-47972-y</t>
  </si>
  <si>
    <t>JI9VF</t>
  </si>
  <si>
    <t>42002617</t>
  </si>
  <si>
    <t>WOS:001790453800016</t>
  </si>
  <si>
    <t>Wu, XL; Li, MY; Cui, XW; Xu, GP</t>
  </si>
  <si>
    <t>Objective. The incidence of primary thyroid cancer has risen steadily over the past decades because of overdiagnosis and overtreatment through the improvement in imaging techniques for screening, especially in ultrasound examination. Metastatic status of lymph nodes is important for staging the type of primary thyroid cancer. Deep learning algorithms based on ultrasound images were thus developed to assist radiologists on the diagnosis of lymph node metastasis. The objective of this study is to integrate more clinical context (e.g., health records and various image modalities) into, and explore more interpretable patterns discovered by, deep learning algorithms for the prediction of lymph node metastasis in primary thyroid cancer patients. Approach. A deep multimodal learning network was developed in this study with a novel index proposed to compare the contribution of different modalities when making the predictions. Main results. The proposed multimodal network achieved an average F1 score of 0.888 and an average area under the receiver operating characteristic curve (AUC) value of 0.973 in two independent validation sets, and the performance was significantly better than that of three single-modality deep learning networks. Moreover, among three modalities used in this study, the deep multimodal learning network relied generally more on image modalities than the data modality of clinic records when making the predictions. Significance. Our work is beneficial to prospective clinic trials of radiologists on the diagnosis of lymph node metastasis in primary thyroid cancer, and will better help them understand how the predictions are made in deep multimodal learning algorithms.</t>
  </si>
  <si>
    <t>Wu, Xinglong; Li, Mengying; Cui, Xin-Wu; Xu, Guoping</t>
  </si>
  <si>
    <t>Xu, GP (corresponding author), Wuhan Inst Technol, Hubei Key Lab Intelligent Robot, Wuhan, Peoples R China.</t>
  </si>
  <si>
    <t>xugp2006@126.com</t>
  </si>
  <si>
    <t>Wuhan Tongji Hospital, Tongji Medical College, Huazhong University of Science and Technology; Open Project Program of Wuhan National Laboratory for Optoelectronics [2018WNLOKF027]; Hubei Key Laboratory of Intelligent Robot in Wuhan Institute of Technology [HBIRL 202003]</t>
  </si>
  <si>
    <t>Wuhan Tongji Hospital, Tongji Medical College, Huazhong University of Science and Technology; Open Project Program of Wuhan National Laboratory for Optoelectronics; Hubei Key Laboratory of Intelligent Robot in Wuhan Institute of Technology</t>
  </si>
  <si>
    <t>The authors are grateful to the doctors in Department of Medical Ultrasound, Wuhan Tongji Hospital, Tongji Medical College, Huazhong University of Science and Technology for the support in collecting the ultrasound images and clinical records. Comments from two anonymous reviewers greatly improve the work. This work was supported by the Open Project Program of Wuhan National Laboratory for Optoelectronics (Grant No. 2018WNLOKF027) and the Hubei Key Laboratory of Intelligent Robot in Wuhan Institute of Technology (Grant No. HBIRL 202003).</t>
  </si>
  <si>
    <t>[Wu, Xinglong; Li, Mengying; Xu, Guoping] Wuhan Inst Technol, Hubei Key Lab Intelligent Robot, Wuhan, Peoples R China; [Wu, Xinglong] Huazhong Univ Sci &amp; Technol, Britton Chance Ctr Biomed Photon, Wuhan Natl Lab Optoelect, Wuhan, Peoples R China; [Cui, Xin-Wu] Huazhong Univ Sci &amp; Technol, Tongji Hosp, Tongji Med Coll, Dept Med Ultrasound, Wuhan, Peoples R China</t>
  </si>
  <si>
    <t>Wuhan Institute of Technology; Huazhong University of Science &amp; Technology; Huazhong University of Science &amp; Technology</t>
  </si>
  <si>
    <t>Deep multimodal learning for lymph node metastasis prediction of primary thyroid cancer</t>
  </si>
  <si>
    <t>PHYSICS IN MEDICINE AND BIOLOGY</t>
  </si>
  <si>
    <t>convolutional neural network; deep multimodal learning; lymph node metastasis; medical imaging; thyroid cancer</t>
  </si>
  <si>
    <t>DIAGNOSIS</t>
  </si>
  <si>
    <t>Xu, Guoping/HJY-3520-2023; Wu, Xinglong/IVV-4926-2023; Cui, Xin-Wu/H-2140-2015</t>
  </si>
  <si>
    <t>Wu, Xinglong/0000-0001-9778-0864</t>
  </si>
  <si>
    <t>BRISTOL</t>
  </si>
  <si>
    <t>TEMPLE CIRCUS, TEMPLE WAY, BRISTOL BS1 6BE, ENGLAND</t>
  </si>
  <si>
    <t>0031-9155</t>
  </si>
  <si>
    <t>1361-6560</t>
  </si>
  <si>
    <t>PHYS MED BIOL</t>
  </si>
  <si>
    <t>Phys. Med. Biol.</t>
  </si>
  <si>
    <t>FEB 7 2022</t>
  </si>
  <si>
    <t>035008</t>
  </si>
  <si>
    <t>10.1088/1361-6560/ac4c47</t>
  </si>
  <si>
    <t>http://dx.doi.org/10.1088/1361-6560/ac4c47</t>
  </si>
  <si>
    <t>Engineering, Biomedical; Radiology, Nuclear Medicine &amp; Medical Imaging</t>
  </si>
  <si>
    <t>Engineering; Radiology, Nuclear Medicine &amp; Medical Imaging</t>
  </si>
  <si>
    <t>YQ4LY</t>
  </si>
  <si>
    <t>35042207</t>
  </si>
  <si>
    <t>WOS:000749282700001</t>
  </si>
  <si>
    <t>Bronze</t>
  </si>
  <si>
    <t>Weber, J; Weber, M; Alcaraz, JML</t>
  </si>
  <si>
    <t>Background Depression is a major public health concern, affecting an estimated five percent of the global population. Early and accurate diagnosis is essential to initiate effective treatment, yet recognition remains challenging in many clinical contexts. Speech, language, and behavioral cues collected during patient interviews may provide objective markers that support clinical assessment.Methods We developed a diagnostic approach that integrates features derived from patient interviews, including speech patterns, linguistic characteristics, and structured clinical information. Separate models were trained for each modality and subsequently combined through multimodal fusion to reflect the complexity of real-world psychiatric assessment. Model validity was assessed with established performance metrics, and further evaluated using calibration and decision-analytic approaches to estimate potential clinical utility.Results The multimodal model achieved superior diagnostic accuracy compared to single-modality models, with an AUROC of 0.88 and a macro F1-score of 0.75. Importantly, the fused model demonstrated good calibration and offered higher net clinical benefit compared to baseline strategies, highlighting its potential to assist clinicians in identifying patients with depression more reliably.Conclusion Multimodal analysis of patient interviews using machine learning may serve as a valuable adjunct to psychiatric evaluation. By combining speech, language, and clinical features, this approach provides a robust framework that could enhance early detection of depressive disorders and support evidence-based decision-making in mental healthcare.</t>
  </si>
  <si>
    <t>Weber, Jana; Weber, Marcel; Lopez Alcaraz, Juan Miguel</t>
  </si>
  <si>
    <t>Alcaraz, JML (corresponding author), Carl von Ossietzky Univ Oldenburg, AI4Hlth Div, Oldenburg, Germany.</t>
  </si>
  <si>
    <t>juan.lopez.alcaraz@uol.de</t>
  </si>
  <si>
    <t>[Weber, Jana; Weber, Marcel; Lopez Alcaraz, Juan Miguel] Carl von Ossietzky Univ Oldenburg, AI4Hlth Div, Oldenburg, Germany</t>
  </si>
  <si>
    <t>Carl von Ossietzky Universitat Oldenburg</t>
  </si>
  <si>
    <t>Depression diagnosis from patient interviews using multimodal machine learning</t>
  </si>
  <si>
    <t>FRONTIERS IN PSYCHIATRY</t>
  </si>
  <si>
    <t>depression diagnosis; digital biomarkers; multimodal analysis; machine learning; deep learning; clinical decision support</t>
  </si>
  <si>
    <t>1664-0640</t>
  </si>
  <si>
    <t>FRONT PSYCHIATRY</t>
  </si>
  <si>
    <t>Front. Psychiatry</t>
  </si>
  <si>
    <t>NOV 27 2025</t>
  </si>
  <si>
    <t>1694762</t>
  </si>
  <si>
    <t>10.3389/fpsyt.2025.1694762</t>
  </si>
  <si>
    <t>http://dx.doi.org/10.3389/fpsyt.2025.1694762</t>
  </si>
  <si>
    <t>Psychiatry</t>
  </si>
  <si>
    <t>R0662</t>
  </si>
  <si>
    <t>41393230</t>
  </si>
  <si>
    <t>WOS:001635218400001</t>
  </si>
  <si>
    <t>Yang, B; Zheng, S</t>
  </si>
  <si>
    <t>Effective human resource management (HRM) is essential for optimizing enterprise decisions and enhancing employee satisfaction. However, traditional models rely on single-modal data and fail to adapt dynamically to complex employee behaviors and emotions. To address these limitations, the authors propose HR-GENIE, a deep generative model integrating graph neural networks (GNNs), vision-language models (VLMs), and reinforcement learning (RL). GNNs analyze corporate social networks, VLMs extract emotional insights from multimodal data, and RL optimizes HR policies dynamically. Experiments show that HR-GENIE outperforms baseline models in MSE, RMSE, NDCG@10, employee attrition reduction, and NPS improvement, improving satisfaction prediction, social network analysis, and HR decision-making. Ablation studies confirm the contribution of each component. This study offers a data-driven HRM framework that enables enterprises to develop adaptive and employee-centric strategies, enhancing organizational stability.</t>
  </si>
  <si>
    <t>Yang, Bowen; Zheng, Shirong</t>
  </si>
  <si>
    <t>Yang, B (corresponding author), Kookmin Univ, Dept Business Adm, Seoul, South Korea.</t>
  </si>
  <si>
    <t>boweny1104@gmail.com</t>
  </si>
  <si>
    <t>[Yang, Bowen] Kookmin Univ, Dept Business Adm, Seoul, South Korea; [Zheng, Shirong] Portland Univ, Portland, OR USA</t>
  </si>
  <si>
    <t>Kookmin University; University of Portland</t>
  </si>
  <si>
    <t>Enhancing Employee Satisfaction and Retention via Multimodal Deep Learning in Dynamic Human Resources Decision-Making</t>
  </si>
  <si>
    <t>JOURNAL OF ORGANIZATIONAL AND END USER COMPUTING</t>
  </si>
  <si>
    <t>Human Resource Management; Deep Generative Model; Graph Neural Networks; Multimodal Emotion Analysis; Reinforcement Learning; Employee Satisfaction Prediction</t>
  </si>
  <si>
    <t>yang, bowen/0009-0002-3148-0265; Zheng, Shirong/0009-0007-2962-8677</t>
  </si>
  <si>
    <t>IGI GLOBAL</t>
  </si>
  <si>
    <t>HERSHEY</t>
  </si>
  <si>
    <t>701 E CHOCOLATE AVE, STE 200, HERSHEY, PA 17033-1240 USA</t>
  </si>
  <si>
    <t>1546-2234</t>
  </si>
  <si>
    <t>1546-5012</t>
  </si>
  <si>
    <t>J ORGAN END USER COM</t>
  </si>
  <si>
    <t>J. Organ. End User Comput.</t>
  </si>
  <si>
    <t>389080</t>
  </si>
  <si>
    <t>10.4018/JOEUC.389080</t>
  </si>
  <si>
    <t>http://dx.doi.org/10.4018/JOEUC.389080</t>
  </si>
  <si>
    <t>Computer Science, Information Systems; Information Science &amp; Library Science; Management</t>
  </si>
  <si>
    <t>Computer Science; Information Science &amp; Library Science; Business &amp; Economics</t>
  </si>
  <si>
    <t>8DE1R</t>
  </si>
  <si>
    <t>WOS:001585853900007</t>
  </si>
  <si>
    <t>Wang, JH; Zhou, C; Wang, W; Zhang, HX; Zhang, AM; Cui, DX</t>
  </si>
  <si>
    <t>Early screening for gastrointestinal (GI) diseases is critical for preventing cancer development. With the rapid advancement of deep learning technology, artificial intelligence (AI) has become increasingly prominent in the early detection of GI diseases. Capsule endoscopy is a non-invasive medical imaging technique used to examine the gastrointestinal tract. In our previous work, we developed a near-infrared fluorescence capsule endoscope (NIRF-CE) capable of exciting and capturing near-infrared (NIR) fluorescence images to specifically identify subtle mucosal microlesions and submucosal abnormalities while simultaneously capturing conventional white- light images to detect lesions with significant morphological changes. However, limitations such as low camera resolution and poor lighting within the gastrointestinal tract may lead to misdiagnosis and other medical errors. Manually reviewing and interpreting large volumes of capsule endoscopy images is time-consuming and prone to errors. Deep learning models have shown potential in automatically detecting abnormalities in NIRF-CE images. This study focuses on an improved deep learning model called Retinex-Attention-YOLO (RAY), which is based on single-modality image data and built on the YOLO series of object detection models. RAY enhances the accuracy and efficiency of anomaly detection, especially under low-light conditions. To further improve detection performance, we also propose a multimodal deep learning model, Multimodal-Retinex-Attention-YOLO (MRAY), which combines both white-light and fluorescence image data. The dataset used in this study consists of images of pig stomachs captured by our NIRF-CE system, simulating the human GI tract. In conjunction with a targeted fluorescent probe, which accumulates at lesion sites and releases fluorescent signals for imaging when abnormalities are present, a bright spot indicates a lesion. The MRAY model achieved an impressive precision of 96.3%, outperforming similar object detection models. To further validate the model's performance, ablation experiments were conducted, and comparisons were made with publicly available datasets. MRAY shows great promise for the automated detection of GI cancers, ulcers, inflammations, and other medical conditions in clinical practice.</t>
  </si>
  <si>
    <t>Wang, Junhao; Zhou, Cheng; Wang, Wei; Zhang, Hanxiao; Zhang, Amin; Cui, Daxiang</t>
  </si>
  <si>
    <t>Cui, DX (corresponding author), Shanghai Jiao Tong Univ, Sch Elect Informat &amp; Elect Engn, Shanghai 200240, Peoples R China.; Zhang, HX (corresponding author), Shanghai Jiao Tong Univ, Inst &amp; Med Robot, Shanghai 200240, Peoples R China.; Zhang, AM (corresponding author), Shanghai Jiao Tong Univ, Sch Agr &amp; Biol, Dept Food Sci &amp; Technol, Shanghai 200240, Peoples R China.</t>
  </si>
  <si>
    <t>dxcui@sjtu.edu.cn; hanxiao.zhang@sjtu.edu.cn; zhangamin@sjtu.edu.cn</t>
  </si>
  <si>
    <t>Projects of International Cooperation and Exchanges NSFC [82020108017]; Innovation Group Project of National Natural Science Foundation of China [81921002]; National Key Research and Development Program of China [2017FYA0205301, 82272821]; Projects of Shanghai Science and Technology Commission [21DZ2203200, 20142201300]; Natural Science Foundation of Shanghai [22ZR1467600]; National Facility for Translational Medicine (Shanghai) Open Project Fund [TMSK-2021-302]; China Postdoctoral Science Foundation [2020TQ0191, 2021M702139, 2023M732267]; National Natural Science Foundation of China [82403893]</t>
  </si>
  <si>
    <t>Projects of International Cooperation and Exchanges NSFC; Innovation Group Project of National Natural Science Foundation of China (National Natural Science Foundation of China (NSFC)); National Key Research and Development Program of China (National Key Research &amp; Development Program of China); Projects of Shanghai Science and Technology Commission; Natural Science Foundation of Shanghai (Natural Science Foundation of Shanghai); National Facility for Translational Medicine (Shanghai) Open Project Fund; China Postdoctoral Science Foundation (China Postdoctoral Science Foundation); National Natural Science Foundation of China (National Natural Science Foundation of China (NSFC))</t>
  </si>
  <si>
    <t>Great thanks for the financial support from Projects of International Cooperation and Exchanges NSFC (No. 82020108017), Innovation Group Project of National Natural Science Foundation of China (No. 81921002), National Key Research and Development Program of China (No. 2017FYA0205301 and No. 82272821), Projects of Shanghai Science and Technology Commission (No. 21DZ2203200 and No. 20142201300), and Natural Science Foundation of Shanghai (No. 22ZR1467600). We also thank the National Facility for Translational Medicine (Shanghai) Open Project Fund under Grant TMSK-2021-302, the financial support of China Postdoctoral Science Foundation (No. 2020TQ0191, 2021M702139 and 2023M732267) and National Natural Science Foundation of China (82403893).</t>
  </si>
  <si>
    <t>[Wang, Junhao; Zhou, Cheng; Wang, Wei; Cui, Daxiang] Shanghai Jiao Tong Univ, Sch Elect Informat &amp; Elect Engn, Shanghai 200240, Peoples R China; [Wang, Junhao; Zhang, Hanxiao] Shanghai Jiao Tong Univ, Inst &amp; Med Robot, Shanghai 200240, Peoples R China; [Cui, Daxiang] Henan Univ, Med &amp; Engn Cross Res Inst, Sch Med, Kaifeng 475004, Peoples R China; [Zhang, Amin] Shanghai Jiao Tong Univ, Sch Agr &amp; Biol, Dept Food Sci &amp; Technol, Shanghai 200240, Peoples R China</t>
  </si>
  <si>
    <t>Shanghai Jiao Tong University; Shanghai Jiao Tong University; Henan University; Shanghai Jiao Tong University</t>
  </si>
  <si>
    <t>A multimodal deep learning model for detecting endoscopic images of near-infrared fluorescence capsules</t>
  </si>
  <si>
    <t>BIOSENSORS &amp; BIOELECTRONICS</t>
  </si>
  <si>
    <t>Fluorescence endoscopy; Multimodal deep learning; Disease detection</t>
  </si>
  <si>
    <t>CANCER</t>
  </si>
  <si>
    <t>Wang, Junhao/0000-0002-3938-8466; Zhang, Amin/0000-0002-8006-4615</t>
  </si>
  <si>
    <t>ELSEVIER ADVANCED TECHNOLOGY</t>
  </si>
  <si>
    <t>OXFORD FULFILLMENT CENTRE THE BOULEVARD, LANGFORD LANE, KIDLINGTON, OXFORD OX5 1GB, OXON, ENGLAND</t>
  </si>
  <si>
    <t>0956-5663</t>
  </si>
  <si>
    <t>1873-4235</t>
  </si>
  <si>
    <t>BIOSENS BIOELECTRON</t>
  </si>
  <si>
    <t>Biosens. Bioelectron.</t>
  </si>
  <si>
    <t>JUN 15 2025</t>
  </si>
  <si>
    <t>278</t>
  </si>
  <si>
    <t>117251</t>
  </si>
  <si>
    <t>10.1016/j.bios.2025.117251</t>
  </si>
  <si>
    <t>http://dx.doi.org/10.1016/j.bios.2025.117251</t>
  </si>
  <si>
    <t>Biophysics; Biotechnology &amp; Applied Microbiology; Chemistry, Analytical; Electrochemistry; Nanoscience &amp; Nanotechnology</t>
  </si>
  <si>
    <t>Biophysics; Biotechnology &amp; Applied Microbiology; Chemistry; Electrochemistry; Science &amp; Technology - Other Topics</t>
  </si>
  <si>
    <t>Z1M3N</t>
  </si>
  <si>
    <t>40020636</t>
  </si>
  <si>
    <t>WOS:001436629300001</t>
  </si>
  <si>
    <t>Li, H; Chen, J; Lin, PJ; Pan, YM; Cao, YW; Xie, WF</t>
  </si>
  <si>
    <t>Background: Predicting enterocutaneous fistula (ECF)-associated sepsis and mortality poses significant challenges in digital health care dueto the disease's complexity and heterogeneous clinical manifestations. Current approaches that rely on single-modal data or traditional scoring systems often fail to capture the intricate immune-inflammatory dynamics and multisystem involvement in patients with ECF. Objective: This study aims to develop an artificial intelligence (AI)-driven multimodal fusion model integrating clinical, imaging, and transcriptomic data for early prediction of ECF-associated sepsis and 28-day mortality, addressing the limitations of conventional single-dimensional models. Methods: This study leveraged publicly available datasets (Medical Information Mart for Intensive Care III [MIMIC-III], electronic Intensive Care Unit [eICU], and The Cancer GenomeAtlas) to construct a multimodal framework. Clinical parameters were processed using Extreme Gradient Boosting, abdominal imaging features were extracted via convolutional neural networks, and transcriptomic profiles were analyzed with variational autoencoders. A Transformer-based fusion network was employed forjoint prediction and validated through cross-validation and external testing. Key features were identified using Shapley Additive Explanations and Local Interpretable Model-Agnostic Explanations interpretability algorithms, while immune regulatory mechanisms were explored via weighted gene co-expression network analysis. Results: The multimodal model achieved an area under the curve (AUC) of 0.89 for predicting sepsis and 28-day mortality, outperformingunimodal models(clinical-onlymodel, AUC0.72, and imaging-only model,AUC0.78).Critical predictors included Sequential Organ Failure Assessment score, lactate levels, intra-abdominal free fluid on imaging, and immunoregulatory genes (programmed death-ligand 1 [PD-L1] and indoleamine 2,3-dioxygenase 1 [IDO1]). Mechanistic analysis revealed distinct immune reprogramming in patients with sepsis, characterized by increased regulatory T cells and M2 macrophages, along with downregulated cluster of differentiation 8+(CD8+) T cells. Conclusions: This multimodal AI model offers an innovative digital solution in medical informatics, enabling precise early risk stratification for ECF-associated sepsis. By integrating multisource data and providing interpretable insights into immune-inflammatory pathways, the model enhances health care quality for patients with ECF and paves the way for personalized intervention strategies.</t>
  </si>
  <si>
    <t>Li, Hui; Chen, Jing; Lin, Peijun; Pan, Youmei; Cao, Yawen; Xie, Wenfeng</t>
  </si>
  <si>
    <t>Xie, WF (corresponding author), Sun Yat Sen Univ, Affiliated Hosp 6, Biomed Innovat Ctr, Dept Emergency Med, 26 Yuancun Erheng Rd, Guangzhou 510655, Guangdong, Peoples R China.</t>
  </si>
  <si>
    <t>xiewfeng@mail.sysu.edu.cn</t>
  </si>
  <si>
    <t>[Li, Hui; Chen, Jing; Lin, Peijun; Pan, Youmei; Cao, Yawen; Xie, Wenfeng] Sun Yat Sen Univ, Affiliated Hosp 6, Biomed Innovat Ctr, Dept Emergency Med, 26 Yuancun Erheng Rd, Guangzhou 510655, Guangdong, Peoples R China</t>
  </si>
  <si>
    <t>Enterocutaneous Fistula-Associated Sepsis and Mortality: Development and Validation of a Multimodal Artificial Intelligence Prediction Model</t>
  </si>
  <si>
    <t>JMIR MEDICAL INFORMATICS</t>
  </si>
  <si>
    <t>enterocutaneous fistula; sepsis; multimodal artificial intelligence; immunoregulation; radiomics; transcriptomics</t>
  </si>
  <si>
    <t>JMIR PUBLICATIONS, INC</t>
  </si>
  <si>
    <t>TORONTO</t>
  </si>
  <si>
    <t>130 QUEENS QUAY East, Unit 1100, TORONTO, ON M5A 0P6, CANADA</t>
  </si>
  <si>
    <t>2291-9694</t>
  </si>
  <si>
    <t>JMIR MED INF</t>
  </si>
  <si>
    <t>JMIR Med. Inf.</t>
  </si>
  <si>
    <t>e79985</t>
  </si>
  <si>
    <t>10.2196/79985</t>
  </si>
  <si>
    <t>http://dx.doi.org/10.2196/79985</t>
  </si>
  <si>
    <t>HP1JD</t>
  </si>
  <si>
    <t>42060923</t>
  </si>
  <si>
    <t>WOS:001759354500001</t>
  </si>
  <si>
    <t>Hua, PY; Lin, CC; Fenlon, T; Liu, XY; Hassanpour, S</t>
  </si>
  <si>
    <t>Background Accurate survival prediction for grade 2/3 glioma patients remains challenging due to tumor biological heterogeneity and limitations of current prognostic methods that rely on single-modality data.Methods We developed a multimodal deep learning framework integrating histopathology whole-slide images, somatic mutations, and clinical-demographic data. A 3-stage training pipeline combined contrastive learning with survival-specific optimization to align cross-modal representations. The framework was trained on 498 grade 2/3 glioma patients from The Cancer Genome Atlas and evaluated using 5-fold cross-validation and an independent Dartmouth-Hitchcock Medical Center (DHMC) cohort (n = 61).Results The contrastive multimodal model achieved a c-index of 0.91 (95% confidence interval [CI] = 0.84 to 0.96), significantly outperforming the unimodal models (image-only = 0.76; non-image-only = 0.87) and showing an improvement over the noncontrastive multimodal model (c-index = 0.89), although this difference was not statistically significant. Kaplan-Meier analysis demonstrated clear survival separation across risk strata (log-rank P = 4.4 &amp; times; 10-5). Contrastive learning improved representation clustering quality, with silhouette scores increasing from 0.20 to 0.24 (P = .05). External evaluation on the DHMC cohort achieved a c-index of 0.87 (95% CI = 0.77 to 0.95) after domain adaptation.Conclusion Contrastive multimodal learning significantly enhances survival prediction in grade 2/3 gliomas by effectively integrating histopathology, genomics, and clinical data. This annotation-free approach enables early risk stratification using routinely collected data and shows promise for informing personalized treatment decisions and clinical trial stratification.</t>
  </si>
  <si>
    <t>Hua, Peiying; Lin, Chun-Chieh; Fenlon, Travis; Liu, Xiaoying; Hassanpour, Saeed</t>
  </si>
  <si>
    <t>Hassanpour, S (corresponding author), 1 Med Ctr Dr, Lebanon, NH 03756 USA.</t>
  </si>
  <si>
    <t>saeed.hassanpour@dartmouth.edu</t>
  </si>
  <si>
    <t>US National Library of Medicine [R01LM013833]</t>
  </si>
  <si>
    <t>US National Library of Medicine (United States Department of Health &amp; Human Services, National Institutes of Health (NIH) - USA, NIH National Library of Medicine (NLM))</t>
  </si>
  <si>
    <t>This research was supported in part by a grant from the US National Library of Medicine (R01LM013833).</t>
  </si>
  <si>
    <t>[Hua, Peiying; Hassanpour, Saeed] Geisel Sch Med Dartmouth, Dept Biomed Data Sci, Hanover, NH 03755 USA; [Lin, Chun-Chieh; Fenlon, Travis; Liu, Xiaoying] Dartmouth Hitchcock Med Ctr, Dept Pathol &amp; Lab Med, Lebanon, NH USA; [Hassanpour, Saeed] Geisel Sch Med Dartmouth, Dept Epidemiol, Hanover, NH 03755 USA; [Hassanpour, Saeed] Dartmouth Coll, Dept Comp Sci, Hanover, NH USA</t>
  </si>
  <si>
    <t>Dartmouth College</t>
  </si>
  <si>
    <t>Contrastive multimodal deep learning for survival prediction in grade 2/3 gliomas</t>
  </si>
  <si>
    <t>JNCI CANCER SPECTRUM</t>
  </si>
  <si>
    <t>RECURSIVE PARTITIONING ANALYSIS; TEMOZOLOMIDE</t>
  </si>
  <si>
    <t>2515-5091</t>
  </si>
  <si>
    <t>JNCI CANCER SPECT</t>
  </si>
  <si>
    <t>JNCI Cancer Spectr.</t>
  </si>
  <si>
    <t>pkag039</t>
  </si>
  <si>
    <t>10.1093/jncics/pkag039</t>
  </si>
  <si>
    <t>http://dx.doi.org/10.1093/jncics/pkag039</t>
  </si>
  <si>
    <t>II7GD</t>
  </si>
  <si>
    <t>41987576</t>
  </si>
  <si>
    <t>WOS:001772634000001</t>
  </si>
  <si>
    <t>Cai, JW; Wang, ZL; Wang, H; Chen, ZH; Yu, QQ; Lai, ZC; Xu, LY</t>
  </si>
  <si>
    <t>Accurate midpalatal suture maturation assessment is critical for orthodontic treatment planning, yet current manual staging methods exhibit substantial inter-examiner variability (kappa values 0.3-0.8), compromising treatment decision reliability. This study developed and validated DeepMSM, an automated multimodal deep learning framework integrating cone-beam computed tomography with clinical indicators for standardized midpalatal suture staging. We retrospectively analyzed cone-beam computed tomography and lateral cephalometric radiographs from 200 orthodontic patients aged 7-36 years. The DeepMSM framework integrated multimodal images with clinical variables including age, gender, cervical vertebral maturation stage, and mandibular third molar stage using attention-based fusion strategies. DeepMSM achieved 93.75% accuracy and 93.81% F1-score, substantially outperforming single-modality approaches (47.50%-71.25% accuracy) and dual-modality models (73.75-81.25% accuracy). The system demonstrated excellent performance in distinguishing critical stages C and D with F1-scores of 92%-93%, representing the decision point between conventional expansion and surgical intervention. All clinical parameters showed significant correlations with midpalatal suture maturation (p&lt;0.05). DeepMSM, a novel multimodal midpalatal suture maturation assessment system, achieved a high accuracy of 93.75%, demonstrating the potential to reduce diagnostic variability and improve treatment reliability. This automated framework particularly benefits less experienced clinicians in making critical treatment decisions for maxillary expansion therapy.</t>
  </si>
  <si>
    <t>Cai, Jingwen; Wang, Zhenling; Wang, Han; Chen, Zhonghan; Yu, Qinqi; Lai, Zhichen; Xu, Linyu</t>
  </si>
  <si>
    <t>Xu, LY (corresponding author), Fujian Med Univ, Sch &amp; Hosp Stomatol, Fujian Key Lab Oral Dis, Fuzhou 350025, Peoples R China.; Xu, LY (corresponding author), Fujian Med Univ, Sch &amp; Hosp Stomatol, Orthodont Dept, Fuzhou 350025, Peoples R China.; Lai, ZC (corresponding author), Fuzhou Univ, Coll Comp &amp; Data Sci, Fuzhou 350108, Peoples R China.; Lai, ZC (corresponding author), Aalborg Univ, Dept Comp Sci, DK-9220 Aalborg, Denmark.</t>
  </si>
  <si>
    <t>zhla@cs.aau.dk; xlyyydentist1042@163.com</t>
  </si>
  <si>
    <t>National Natural Science Foundation of China [82501193]; Project of Fujian Provincial Department of Finance [2024CZZX04]; Startup Fund for Scientific Research, Fujian Medical University [2024QH1163]; Fujian Provincial Natural Science Foundation [2025J01807, 2025J01123719]</t>
  </si>
  <si>
    <t>National Natural Science Foundation of China (National Natural Science Foundation of China (NSFC)); Project of Fujian Provincial Department of Finance; Startup Fund for Scientific Research, Fujian Medical University; Fujian Provincial Natural Science Foundation</t>
  </si>
  <si>
    <t>This work was supported by the National Natural Science Foundation of China (No. 82501193), the Project of Fujian Provincial Department of Finance (No. 2024CZZX04), the Startup Fund for Scientific Research, Fujian Medical University (No. 2024QH1163), and the Fujian Provincial Natural Science Foundation (Nos. 2025J01807 and 2025J01123719).</t>
  </si>
  <si>
    <t>[Cai, Jingwen; Wang, Zhenling; Wang, Han; Chen, Zhonghan; Yu, Qinqi; Xu, Linyu] Fujian Med Univ, Sch &amp; Hosp Stomatol, Fujian Key Lab Oral Dis, Fuzhou 350025, Peoples R China; [Cai, Jingwen; Wang, Zhenling; Wang, Han; Chen, Zhonghan; Yu, Qinqi; Xu, Linyu] Fujian Med Univ, Sch &amp; Hosp Stomatol, Orthodont Dept, Fuzhou 350025, Peoples R China; [Lai, Zhichen] Fuzhou Univ, Coll Comp &amp; Data Sci, Fuzhou 350108, Peoples R China; [Lai, Zhichen] Aalborg Univ, Dept Comp Sci, DK-9220 Aalborg, Denmark</t>
  </si>
  <si>
    <t>Fujian Medical University; Fujian Medical University; Fuzhou University; Aalborg University</t>
  </si>
  <si>
    <t>Multimodal deep learning for midpalatal suture assessment in maxillary expansion</t>
  </si>
  <si>
    <t>Maxillary expansion; Cone-beam computed tomography; MARPE; Cervical vertebral maturation; Clinical decision support</t>
  </si>
  <si>
    <t>COMPUTED-TOMOGRAPHY EVALUATION; MATURATION; SKELETAL; MORPHOLOGY; MATURITY</t>
  </si>
  <si>
    <t>Lai, Zhichen/NOE-8466-2025</t>
  </si>
  <si>
    <t>NOV 12 2025</t>
  </si>
  <si>
    <t>39723</t>
  </si>
  <si>
    <t>10.1038/s41598-025-23500-2</t>
  </si>
  <si>
    <t>http://dx.doi.org/10.1038/s41598-025-23500-2</t>
  </si>
  <si>
    <t>9UX7V</t>
  </si>
  <si>
    <t>41224896</t>
  </si>
  <si>
    <t>WOS:001615622600006</t>
  </si>
  <si>
    <t>Shen, QX; Bao, J; Liu, Y; Wang, X; Cui, L</t>
  </si>
  <si>
    <t>Plasma-based advanced oxidation processes show great potential for the removal of pharmaceuticals and personal care products (PPCPs) from wastewater, yet the simultaneous optimization of removal efficiency and energy consumption remains challenging due to complex multi-factor interactions. Most existing machine learning (ML) models rely on single-modal data, which limits both interpretability and reliability in process optimization. This study developed a novel multimodal machine learning (MML) framework that integrates experimental parameters, ultraviolet spectral data, and molecular descriptors to accurately predict the plasma removal efficiency of six structurally varied PPCPs. The predictive performance was evaluated through three complementary validation strategies. In a per-compound modeling approach, a separate model was trained and tested for each PPCP individually, yielding individual R2 values that averaged 0.8216 across the six target compounds, with ibuprofen reaching the highest R2 of 0.9293. Global five-fold cross-validation using all samples yielded a mean R2 of 0.9040. Leave-one-compound cross-validation, in which each compound was left out in turn as an unseen target, yielded an overall R2 of 0.8685 but showed compound-dependent performance, with norfloxacin exhibiting the lowest predictive accuracy (R2 = 0.5670). These results support preliminary within-domain transferability across the six target PPCPs. Further interpretability analysis indicated that the MML model can identify key influencing factors and quantify the contribution of each data modality. Crucially, by integrating Pareto optimality theory, a dual-objective optimization system was established to target maximum removal efficiency together with minimum energy consumption. This data-driven strategy derives the optimal conditions that inherently align with cleaner production principles. The optimized plasma process achieved higher removal efficiencies (93.76-99.07 %) for all target PPCPs while lowering energy consumption to 20.57-53.97 kWh &amp; sdot;m-3, with generally lower energy consumption than previously reported plasma-based PPCP removal processes. Based upon the integration of interpretability with multi-objective optimization, this study presents a practical framework that balances PPCPs removal efficiency with energy savings in intrinsically greener plasma water treatment. This strategy enhances the operational sustainability and controllability of the plasma process, paving the way for smarter data-driven wastewater treatment solutions.</t>
  </si>
  <si>
    <t>Shen, Qing-Xin; Bao, Jia; Liu, Yang; Wang, Xin; Cui, Li</t>
  </si>
  <si>
    <t>Bao, J; Liu, Y (corresponding author), Shenyang Univ Technol, Sch Environm &amp; Chem Engn, Shenyang 110870, Peoples R China.</t>
  </si>
  <si>
    <t>baojia@sut.edu.cn; liuyang@sut.edu.cn</t>
  </si>
  <si>
    <t>National Natural Science Foundation of China [21976124, 21507092]; Sci-ence and Technology Joint Program of Liaoning Province (Key R &amp; D Program Project) [2025JH2/101800383]; Basic Scientific Research Project of Liaoning Provincial Department of Education [LJ212410142086, LJ212410142025]</t>
  </si>
  <si>
    <t>National Natural Science Foundation of China (National Natural Science Foundation of China (NSFC)); Sci-ence and Technology Joint Program of Liaoning Province (Key R &amp; D Program Project); Basic Scientific Research Project of Liaoning Provincial Department of Education</t>
  </si>
  <si>
    <t>This research was financially supported by the National Natural Science Foundation of China (No. 21976124 and No. 21507092) , Sci-ence and Technology Joint Program of Liaoning Province (Key R &amp; D Program Project) (No. 2025JH2/101800383) , Basic Scientific Research Project of Liaoning Provincial Department of Education (No. LJ212410142086 and No. LJ212410142025) .</t>
  </si>
  <si>
    <t>[Shen, Qing-Xin; Bao, Jia; Liu, Yang; Wang, Xin; Cui, Li] Shenyang Univ Technol, Sch Environm &amp; Chem Engn, Shenyang 110870, Peoples R China</t>
  </si>
  <si>
    <t>Shenyang University of Technology</t>
  </si>
  <si>
    <t>Integrating interpretable multimodal machine learning and Pareto optimization for energy-efficient removal of diverse PPCPs in plasma water treatment</t>
  </si>
  <si>
    <t>Multimodal machine learning; Interpretability; Pareto optimization; PPCPs; Plasma water treatment; Energy-efficiency</t>
  </si>
  <si>
    <t>ANTIBIOTICS; DEGRADATION</t>
  </si>
  <si>
    <t>SEP 5 2026</t>
  </si>
  <si>
    <t>575</t>
  </si>
  <si>
    <t>149219</t>
  </si>
  <si>
    <t>10.1016/j.jclepro.2026.149219</t>
  </si>
  <si>
    <t>http://dx.doi.org/10.1016/j.jclepro.2026.149219</t>
  </si>
  <si>
    <t>MV4WD</t>
  </si>
  <si>
    <t>WOS:001851854400001</t>
  </si>
  <si>
    <t>Shi, XC; Yu, TX; Yuan, Y; Wang, D; Cui, JH; Bai, L; Zheng, F; Dai, XB; Du, R; Chen, ZL; Zhou, ZH</t>
  </si>
  <si>
    <t>Rationale and Objectives: Ultrasound (US)-based deep learning (DL) models for grading the severity of carpal tunnel syndrome (CTS) are scarce. We aimed to advance CTS grading by developing a joint-DL model integrating clinical information and multimodal US features. Materials and Methods: A retrospective dataset of CTS patients from three hospitals was randomly divided into the training (n = 680) and internal validation (n = 173) sets. An external validation set was prospectively recruited from another hospital (n = 174). To further test the model's generalizability, cross-vendor testing was conducted at three additional hospitals utilizing different US systems in the external validation set 2 (n = 224). An US-based model was developed to grade CTS severity utilizing multimodal sonographic features, including cross-sectional area [CSA], echogenicity, longitudinal nerve appearance, and intraneural vascularity. A joint-DL model (CTSGrader) was constructed integrating sonographic features and clinical information. Diagnostic performance of both models was verified based on electrophysiological results. In the validation sets, the better-performing model was compared to two junior and two senior radiologists. Additionally, the radiologists' diagnostic performance with artificial intelligence (AI) assistance was evaluated in external validation sets. Results: CTSGrader achieved areas under the curve (AUCs) of 0.951, 0.910, and 0.897 in the validation sets. The accuracies of CTSGrader were 0.849, 0.833, and 0.827, which were higher than those of US-based model (all p &lt; .05). It outperformed two junior and one senior radiologists (all p &lt; .05) and was equivalent to 1 senior radiologist (all p &gt; .05). With its assistance, the accuracies of two junior and one senior radiologists were improved (all p &lt; .05). Conclusion: The joint-DL model (CTSGrader) developed in our study outperformed the single-modality model. The AI-aided strategy suggested its potential to support clinical decision-making for grading CTS severity.</t>
  </si>
  <si>
    <t>Shi, Xiaochen; Yu, Tianxiang; Yuan, Yu; Wang, Dan; Cui, Jinhua; Bai, Ling; Zheng, Fang; Dai, Xiaobin; Du, Rui; Chen, Zili; Zhou, Zhuhuang</t>
  </si>
  <si>
    <t>Zhou, ZH (corresponding author), Beijing Univ Technol, Coll Chem &amp; Life Sci, Dept Biomed Engn, 100 Pingleyuan, Beijing 100124, Peoples R China.</t>
  </si>
  <si>
    <t>zhouzh@bjut.edu.cn</t>
  </si>
  <si>
    <t>China Medical Foundation [2024CMFA05]</t>
  </si>
  <si>
    <t>China Medical Foundation (China Medical University)</t>
  </si>
  <si>
    <t>This work was supported by China Medical Foundation (grant no. 2024CMFA05 to Xiaochen Shi) .</t>
  </si>
  <si>
    <t>[Shi, Xiaochen] Peking Univ Peoples Hosp, Dept Trauma &amp; Orthoped, 11 Xizhimen South St, Beijing 100044, Peoples R China; [Yu, Tianxiang; Zhou, Zhuhuang] Beijing Univ Technol, Coll Chem &amp; Life Sci, Dept Biomed Engn, 100 Pingleyuan, Beijing 100124, Peoples R China; [Yuan, Yu] Tianjin Univ, Tianjin Hosp, Dept Ultrasound, 406 Jiefang South Rd, Tianjin 300211, Peoples R China; [Wang, Dan] Guangxi Univ Tradit Chinese Med, Dept Ultrasound, Dept Ultrasound, 89 Dongge Rd, Nanning 530023, Guangxi, Peoples R China; [Cui, Jinhua] Beijing Daxing Dist Hosp Integrated Chinese &amp; West, Dept Ultrasound, 3 Zhongxing South Rd, Beijing 100076, Peoples R China; [Bai, Ling] Shijiazhuang Peoples Hosp, Dept Ultrasound, 30 Fanxi Rd, Shijiazhuang 50011, Hebei, Peoples R China; [Zheng, Fang; Dai, Xiaobin] Qingdao Municipal Hosp, Dept Ultrasound, 5 Donghai Rd, Qingdao 266071, Shandong, Peoples R China; [Du, Rui; Chen, Zili] Gen Hosp Cent Theater Command, Dept Ultrasound, 627 Wuluo Rd, Wuhan 430070, Hubei, Peoples R China</t>
  </si>
  <si>
    <t>Peking University; Beijing University of Technology; Tianjin University; Guangxi University of Chinese Medicine; Qingdao Municipal Hospital</t>
  </si>
  <si>
    <t>Multimodal Deep Learning for Grading Carpal Tunnel Syndrome: A Multicenter Study in China</t>
  </si>
  <si>
    <t>Carpal tunnel syndrome; Deep learning; Ultrasonography; Multimodal; Artificial intelligence</t>
  </si>
  <si>
    <t>MEDIAN NERVE; ULTRASOUND; DIAGNOSIS</t>
  </si>
  <si>
    <t>Zhou, Zhuhuang/M-3301-2019</t>
  </si>
  <si>
    <t>4705</t>
  </si>
  <si>
    <t>4723</t>
  </si>
  <si>
    <t>10.1016/j.acra.2025.02.043</t>
  </si>
  <si>
    <t>http://dx.doi.org/10.1016/j.acra.2025.02.043</t>
  </si>
  <si>
    <t>JUL 2025</t>
  </si>
  <si>
    <t>5IK2Y</t>
  </si>
  <si>
    <t>40157849</t>
  </si>
  <si>
    <t>WOS:001536423400013</t>
  </si>
  <si>
    <t>Yu, MZ; Yan, Y; Yan, TW; Xi, ZH; Zeng, JC; Huang, T; Xu, M; Ding, MY</t>
  </si>
  <si>
    <t>Thyroid cancer is the most common endocrine cancer with a steadily rising incidence. In recent years, artificial intelligence, particularly deep learning, has shown great potential in assisting with the diagnosis of thyroid nodules. Despite these advances, existing approaches still face several challenges, including limited single-modal information, inadequate multimodal feature fusion, and a scarcity of multimodal datasets. Hence, this study proposes a Two-stage Text-driven Multimodal Network (TTM-Net), a novel network designed for thyroid nodule ultrasound diagnosis. In the first stage, a Text-Driven Vision Pretraining (TDVP) strategy is introduced to align visual and textual features using large-scale unlabeled text-image pairs, thereby enhancing the visual encoder's ability to capture clinically relevant patterns from the thyroid ultrasound images. In the second stage, supervised classification training is conducted using labeled data. Visual and textual features are integrated via the Cross-Modal Concat-Attention Fusion (CMCAF) module, and a joint optimization strategy is employed to improve diagnostic performance. To overcome the limitations of TI RADS, we propose a Thyroid Nodule Ultrasound Feature Classification System for Artificial Intelligence (TNUFCS-AI), which integrates clinical domain knowledge. Based on this system, we constructed a structured multimodal thyroid dataset comprising 22,544 ultrasound images and corresponding clinical reports from 9466 patients. Experiments show that TTM-Net outperforms SOTA methods in classification accuracy, stability, and interpretability, achieving (94.98 +/- 0.15%) accuracy. In summary, TTM-Net significantly improves the diagnostic performance and increases the model robustness while alleviating the dependence on labeled data, providing a viable solution for developing high-performance, interpretable, and deployable AI-assisted diagnostic systems for thyroid nodules.</t>
  </si>
  <si>
    <t>Yu, Mengzhu; Yan, Yu; Yan, Tianwei; Xi, Zihan; Zeng, Junchao; Huang, Tao; Xu, Ming; Ding, Mingyue</t>
  </si>
  <si>
    <t>Ding, MY (corresponding author), Huazhong Univ Sci &amp; Technol, Sch Life Sci &amp; Technol, Dept Biomed Engn, Luoyu Rd 1037, Wuhan 430074, Peoples R China.; Ding, MY (corresponding author), Huazhong Univ Sci &amp; Technol, Adv Biomed Imaging Facilityy, Luoyu Rd 1037, Wuhan 430074, Hubei, Peoples R China.; Xu, M (corresponding author), Huazhong Univ Sci &amp; Technol, Union Hosp, Tongji Med Coll, Dept Breast &amp; Thyroid Surg, Hangkong Rd 13, Wuhan 430022, Hubei, Peoples R China.</t>
  </si>
  <si>
    <t>myding@hust.edu.cn; mingxuwhuh@hust.edu.cn</t>
  </si>
  <si>
    <t>Key Program of the Natural Science Foundation of Hubei Province [2021BCA142]; National Natural Science Foundation of China [82303518]</t>
  </si>
  <si>
    <t>Key Program of the Natural Science Foundation of Hubei Province; National Natural Science Foundation of China (National Natural Science Foundation of China (NSFC))</t>
  </si>
  <si>
    <t>This work was supported in part by the Key Program of the Natural Science Foundation of Hubei Province (Grant No. 2021BCA142) and the National Natural Science Foundation of China (Grant No. 82303518) .</t>
  </si>
  <si>
    <t>[Yu, Mengzhu; Zeng, Junchao; Ding, Mingyue] Huazhong Univ Sci &amp; Technol, Sch Life Sci &amp; Technol, Dept Biomed Engn, Luoyu Rd 1037, Wuhan 430074, Peoples R China; [Yu, Mengzhu; Ding, Mingyue] Huazhong Univ Sci &amp; Technol, Adv Biomed Imaging Facilityy, Luoyu Rd 1037, Wuhan 430074, Hubei, Peoples R China; [Yan, Yu; Yan, Tianwei] Huazhong Univ Sci &amp; Technol, Union Hosp, Tongji Med Coll, Dept Breast &amp; Thyroid Surg, Ultrasonog Room,Hangkong Rd 13, Wuhan 430022, Hubei, Peoples R China; [Yan, Yu; Xi, Zihan; Huang, Tao; Xu, Ming] Huazhong Univ Sci &amp; Technol, Union Hosp, Tongji Med Coll, Dept Breast &amp; Thyroid Surg, Hangkong Rd 13, Wuhan 430022, Hubei, Peoples R China</t>
  </si>
  <si>
    <t>Huazhong University of Science &amp; Technology; Huazhong University of Science &amp; Technology; Huazhong University of Science &amp; Technology; Huazhong University of Science &amp; Technology</t>
  </si>
  <si>
    <t>A two-stage multimodal learning framework based on text-driven vision pretraining and cross-modal feature fusion for thyroid ultrasound diagnosis</t>
  </si>
  <si>
    <t>EXPERT SYSTEMS WITH APPLICATIONS</t>
  </si>
  <si>
    <t>Thyroid nodule diagnosis; Multimodal fusion; Unsupervised pretraining; Attention mechanism</t>
  </si>
  <si>
    <t>DATA SYSTEM; NODULES; STRATIFICATION</t>
  </si>
  <si>
    <t>ZENG, JUNCHAO/AFL-8060-2022</t>
  </si>
  <si>
    <t>0957-4174</t>
  </si>
  <si>
    <t>1873-6793</t>
  </si>
  <si>
    <t>EXPERT SYST APPL</t>
  </si>
  <si>
    <t>Expert Syst. Appl.</t>
  </si>
  <si>
    <t>MAY 25 2026</t>
  </si>
  <si>
    <t>312</t>
  </si>
  <si>
    <t>131440</t>
  </si>
  <si>
    <t>10.1016/j.eswa.2026.131440</t>
  </si>
  <si>
    <t>http://dx.doi.org/10.1016/j.eswa.2026.131440</t>
  </si>
  <si>
    <t>Computer Science, Artificial Intelligence; Engineering, Electrical &amp; Electronic; Operations Research &amp; Management Science</t>
  </si>
  <si>
    <t>Computer Science; Engineering; Operations Research &amp; Management Science</t>
  </si>
  <si>
    <t>DQ4IK</t>
  </si>
  <si>
    <t>WOS:001689609400001</t>
  </si>
  <si>
    <t>Thamizharasi, M</t>
  </si>
  <si>
    <t>Alzheimer's disease (AD) is a progressive neurodegenerative disorder affecting the brain, primarily in elderly adults. Early and accurate diagnosis is essential for effective intervention. This paper proposes a Multimodal Cross-Attention Fusion Network (MCAF-Net) for AD classification, integrating three complementary data types: structural magnetic resonance imaging (MRI) providing structural volume, amyloid positron emission tomography (PET) quantifying amyloid burden, and cognitive assessments using the Alzheimer's Disease Assessment Scale-Cognitive (ADAS-Cog) and Mini-Mental State Examination (MMSE) sub-scores. Although prior multimodal approaches have demonstrated the value of combining multiple biomarkers, their architectures are limited by static feature concatenation or late-fusion strategies that cannot model nonlinear, dynamic interdependencies among heterogeneous data types. MCAF-Net overcomes this by employing modality-specific 3D Convolutional Encoders and a Cross-Modal Attention (CMA) mechanism that dynamically weighs and combines features across modalities. A Multi-Task Learning (MTL) strategy predicts future trajectories of cognitive decline (at 12, 24, and 36 months) from baseline data-explicitly avoiding target leakage. The model was evaluated on 1,000 subjects from the Alzheimer's Disease Neuroimaging Initiative (ADNI) using strict subject-level 5-fold cross-validation. MCAF-Net achieved a Macro F1-Score of 89.7% +/- 1.9% (95% confidence interval, CI) and an area under the receiver operating characteristic curve (AUC) of 0.975 +/- 0.008 for AD vs. cognitively normal (CN) classification. For the challenging mild cognitive impairment (MCI) vs. CN differentiation, accuracy improved to 78.2% +/- 2.4%, surpassing the best single-modality method (72.0%). Statistical significance was confirmed (p &lt; 0.01). External validation on the Australian Imaging, Biomarkers &amp; Lifestyle (AIBL) dataset (n = 210) demonstrated robustness (Macro F1: 85.4%). Attention-based multimodal fusion with future trajectory prediction significantly improves early-stage AD diagnosis. MCAF-Net shows promise for clinical decision support and patient stratification in preclinical trials.</t>
  </si>
  <si>
    <t>Thamizharasi, M.</t>
  </si>
  <si>
    <t>Thamizharasi, M (corresponding author), Saveetha Engn Coll, Dept Informat Technol, Chennai 602105, Tamil Nadu, India.</t>
  </si>
  <si>
    <t>drthamizhmanikndan@gmail.com</t>
  </si>
  <si>
    <t>[Thamizharasi, M.] Saveetha Engn Coll, Dept Informat Technol, Chennai 602105, Tamil Nadu, India</t>
  </si>
  <si>
    <t>A deep multimodal learning framework for Alzheimer's disease classification integrating volumetric, amyloid, and cognitive biomarkers</t>
  </si>
  <si>
    <t>Alzheimer's Disease(AD); Mild Cognitive Impairment (MCI); Multimodal classification; Deep learning; Structural magnetic resonance imaging (sMRI); Amyloidpositron emission tomography(PET); Cognitive assessment; Cross-Modal attention (CMA); Multi-Task learning (MTL); Alzheimer's Disease Neuroimaging Initiative (ADNI)</t>
  </si>
  <si>
    <t>NEUROIMAGING INITIATIVE ADNI; IMPAIRMENT; SYSTEM</t>
  </si>
  <si>
    <t>OCT 15 2026</t>
  </si>
  <si>
    <t>126</t>
  </si>
  <si>
    <t>110977</t>
  </si>
  <si>
    <t>10.1016/j.bspc.2026.110977</t>
  </si>
  <si>
    <t>http://dx.doi.org/10.1016/j.bspc.2026.110977</t>
  </si>
  <si>
    <t>LA5BB</t>
  </si>
  <si>
    <t>WOS:001819971700001</t>
  </si>
  <si>
    <t>Hong, SX; Zou, ZQ; Luo, AL; Kong, X; Yang, WY; Chen, YL</t>
  </si>
  <si>
    <t>We propose a Multimodal Machine Learning method for estimating the Photometric Redshifts of quasars (PhotoRedshift-MML for short), which has long been the subject of many investigations. Our method includes two main models, i.e. the feature transformation model by multimodal representation learning, and the photometric redshift estimation model by multimodal transfer learning. The prediction accuracy of the photometric redshift was significantly improved owing to the large amount of information offered by the generated spectral features learned from photometric data via the MML. A total of 415 930 quasars from Sloan Digital Sky Survey (SDSS) Data Release 17, with redshifts between 1 and 5, were screened for our experiments. We used |Delta z| = |(z(phot) - z(spec))/(1 + z(spec))| to evaluate the redshift prediction and demonstrated a $4.04{{\ \rm per\ cent}}$ increase in accuracy. With the help of the generated spectral features, the proportion of data with |Delta z| &lt; 0.1 can reach $84.45{{\ \rm per\ cent}}$ of the total test samples, whereas it reaches $80.41{{\ \rm per\ cent}}$ for single-modal photometric data. Moreover, the Root Mean Square (RMS) of |Delta z| is shown to decrease from 0.1332 to 0.1235. Our method has the potential to be generalized to other astronomical data analyses such as galaxy classification and redshift prediction.</t>
  </si>
  <si>
    <t>Hong, Shuxin; Zou, Zhiqiang; Luo, A-Li; Kong, Xiao; Yang, Wenyu; Chen, Yanli</t>
  </si>
  <si>
    <t>Zou, ZQ (corresponding author), Nanjing Univ Posts &amp; Telecommun, Coll Comp, Nanjing 210023, Peoples R China.; Zou, ZQ (corresponding author), Jiangsu Key Lab Big Data Secur &amp; Intelligent Proc, Nanjing 210023, Peoples R China.; Luo, AL (corresponding author), Chinese Acad Sci, Natl Astron Observ, Key Lab Opt Astron, Beijing 100101, Peoples R China.; Luo, AL (corresponding author), Univ Chinese Acad Sci, Sch Astron &amp; Space Sci, Beijing 100049, Peoples R China.</t>
  </si>
  <si>
    <t>lal@nao.cas.cn; zouzq@njupt.edu.cn</t>
  </si>
  <si>
    <t>National Science Foundation of China; China Manned Space Project</t>
  </si>
  <si>
    <t>National Science Foundation of China (National Natural Science Foundation of China (NSFC)); China Manned Space Project</t>
  </si>
  <si>
    <t>ACKNOWLEDGEMENTS This work is supported by the science research grants from the National Science Foundation of China (No. U1931209) and the China Manned Space Project with NO.CMS-CSST-2021-B05. The authors are also highly grateful for the constructive suggestions given by Jiali Deng.</t>
  </si>
  <si>
    <t>[Hong, Shuxin; Zou, Zhiqiang; Yang, Wenyu; Chen, Yanli] Nanjing Univ Posts &amp; Telecommun, Coll Comp, Nanjing 210023, Peoples R China; [Hong, Shuxin; Zou, Zhiqiang; Yang, Wenyu; Chen, Yanli] Jiangsu Key Lab Big Data Secur &amp; Intelligent Proc, Nanjing 210023, Peoples R China; [Hong, Shuxin; Luo, A-Li; Kong, Xiao] Chinese Acad Sci, Natl Astron Observ, Key Lab Opt Astron, Beijing 100101, Peoples R China; [Hong, Shuxin; Luo, A-Li] Univ Chinese Acad Sci, Sch Astron &amp; Space Sci, Beijing 100049, Peoples R China</t>
  </si>
  <si>
    <t>Nanjing University of Posts &amp; Telecommunications; Chinese Academy of Sciences; National Astronomical Observatory, CAS; Chinese Academy of Sciences; University of Chinese Academy of Sciences, CAS</t>
  </si>
  <si>
    <t>PhotoRedshift-MML: A multimodal machine learning method for estimating photometric redshifts of quasars</t>
  </si>
  <si>
    <t>MONTHLY NOTICES OF THE ROYAL ASTRONOMICAL SOCIETY</t>
  </si>
  <si>
    <t>methods: data analysis; methods: statistical; techniques: photometric; surveys</t>
  </si>
  <si>
    <t>DIGITAL SKY SURVEY; NEURAL-NETWORKS; SDSS; SELECTION; GALAXIES</t>
  </si>
  <si>
    <t>Luo, A-Li/0000-0001-7865-2648</t>
  </si>
  <si>
    <t>0035-8711</t>
  </si>
  <si>
    <t>1365-2966</t>
  </si>
  <si>
    <t>MON NOT R ASTRON SOC</t>
  </si>
  <si>
    <t>Mon. Not. Roy. Astron. Soc.</t>
  </si>
  <si>
    <t>FEB 2023</t>
  </si>
  <si>
    <t>518</t>
  </si>
  <si>
    <t>5049</t>
  </si>
  <si>
    <t>5058</t>
  </si>
  <si>
    <t>10.1093/mnras/stac3259</t>
  </si>
  <si>
    <t>http://dx.doi.org/10.1093/mnras/stac3259</t>
  </si>
  <si>
    <t>DEC 2022</t>
  </si>
  <si>
    <t>Astronomy &amp; Astrophysics</t>
  </si>
  <si>
    <t>8J9IZ</t>
  </si>
  <si>
    <t>WOS:000922725900014</t>
  </si>
  <si>
    <t>Alrawis, M; Al-Ahmadi, S; Mohammad, F</t>
  </si>
  <si>
    <t>Parkinson's disease (PD) is a slowly progressing neurological disorder with symptoms that overlap with those of other conditions, making early detection and accurate diagnosis vital for effective treatment and a patient's quality of life. Symptoms such as tremors, stiffness, slow movements, and balance issues, along with psychiatric manifestations, are typical of PD. This study introduces a groundbreaking approach to PD diagnosis, utilizing a multimodal machine learning framework that integrates Electroencephalography (EEG) and Magnetic Resonance Imaging (MRI) data. Focusing on the early detection and accurate classification of PD, the proposed research leverages the distinct yet complementary nature of EEG and MRI datasets to enhance diagnostic precision. We employed a robust algorithmic strategy, including LightGBM and machine learning techniques, to analyze the complex patterns inherent in neurological data. The key steps of the proposed research are preprocessing and feature extraction from both EEG and MRI modalities, followed by their fusion using Principal Component Analysis (PCA) for dimensionality reduction. The fused dataset was then analyzed using a LightGBM model and validated through a 10-fold cross-validation process to ensure reliability and stability. The model's efficacy was further tested on independent datasets, demonstrating its robustness across diverse patient demographics. The obtained results showcased an accuracy of 97.17%, sensitivity of 96.58%, and specificity of 96.82% in PD classification, outperforming traditional multimodal as well as single-modality diagnostic methods. The integration of EEG and MRI data provided a more comprehensive view of the neurophysiological and neuroanatomical changes associated with PD. Additionally, the use of advanced machine learning algorithms allowed for a nuanced analysis, capturing subtle patterns indicative of early PD stages.</t>
  </si>
  <si>
    <t>Alrawis, Manal; Al-Ahmadi, Saad; Mohammad, Farah</t>
  </si>
  <si>
    <t>Mohammad, F (corresponding author), King Saud Univ, Ctr Excellence &amp; Informat Assurance CoEIA, Riyadh 11543, Saudi Arabia.</t>
  </si>
  <si>
    <t>salahmadi@ksu.edu.sa; fnazar@ieee.org</t>
  </si>
  <si>
    <t>Research Center of College of Computer and Information Sciences, Deanship of Scientific Research, King Saud University; Deputyship for Research &amp; Innovation, Ministry of Education in Saudi Arabia</t>
  </si>
  <si>
    <t>Research Center of College of Computer and Information Sciences, Deanship of Scientific Research, King Saud University; Deputyship for Research &amp; Innovation, Ministry of Education in Saudi Arabia (Ministry of Education Saudi Arabia)</t>
  </si>
  <si>
    <t>The authors extend their appreciation to the Deputyship for Research &amp; Innovation, Ministry of Education in Saudi Arabia for funding this research.</t>
  </si>
  <si>
    <t>[Alrawis, Manal; Al-Ahmadi, Saad; Mohammad, Farah] King Saud Univ, Ctr Excellence &amp; Informat Assurance CoEIA, Riyadh 11543, Saudi Arabia</t>
  </si>
  <si>
    <t>King Saud University</t>
  </si>
  <si>
    <t>Bridging Modalities: A Multimodal Machine Learning Approach for Parkinson's Disease Diagnosis Using EEG and MRI Data</t>
  </si>
  <si>
    <t>Parkinson's disease; feature extraction; EEG; MRI; FAWT; LightGBM</t>
  </si>
  <si>
    <t>INDEPENDENT COMPONENT ANALYSIS; MILD COGNITIVE IMPAIRMENT; BIOMARKERS; DEMENTIA; SIGNAL</t>
  </si>
  <si>
    <t>Mohammad, Farah/NXB-9224-2025; Al-Ahmadi, Saad/A-4886-2019</t>
  </si>
  <si>
    <t>Al-Ahmadi, Saad/0000-0001-9406-6809</t>
  </si>
  <si>
    <t>3883</t>
  </si>
  <si>
    <t>10.3390/app14093883</t>
  </si>
  <si>
    <t>http://dx.doi.org/10.3390/app14093883</t>
  </si>
  <si>
    <t>QH5K5</t>
  </si>
  <si>
    <t>WOS:001219998000001</t>
  </si>
  <si>
    <t>Lin, YC; Lu, KM; Yu, S; Cai, TX; Zitnik, M</t>
  </si>
  <si>
    <t>Disease knowledge graphs have emerged as a powerful tool for artificial intelligence to connect, organize, and access diverse information about diseases. Relations between disease concepts are often distributed across multiple datasets, including unstructured plain text datasets and incomplete disease knowledge graphs. Extracting disease relations from multimodal data sources is thus crucial for constructing accurate and comprehensive disease knowledge graphs. We introduce REMAP, a multimodal approach for disease relation extraction. The REMAP machine learning approach jointly embeds a partial, incomplete knowledge graph and a medical language dataset into a compact latent vector space, aligning the multimodal embeddings for optimal disease relation extraction. Additionally, REMAP utilizes a decoupled model structure to enable inference in single-modal data, which can be applied under missing modality scenarios. We apply the REMAP approach to a disease knowledge graph with 96,913 relations and a text dataset of 1.24 million sentences. On a dataset annotated by human experts, REMAP improves language-based disease relation extraction by 10.0% (accuracy) and 17.2% (F1-score) by fusing disease knowledge graphs with language information. Furthermore, REMAP leverages text information to recommend new relationships in the knowledge graph, outperforming graph-based methods by 8.4% (accuracy) and 10.4% (F1-score). REMAP is a flexible multimodal approach for extracting disease relations by fusing structured knowledge and language information. This approach provides a powerful model to easily find, access, and evaluate relations between disease concepts.</t>
  </si>
  <si>
    <t>Lin, Yucong; Lu, Keming; Yu, Sheng; Cai, Tianxi; Zitnik, Marinka</t>
  </si>
  <si>
    <t>Zitnik, M (corresponding author), Harvard Med Sch, Dept Biomed Informat, 10 Shattuck St, Boston, MA 02115 USA.</t>
  </si>
  <si>
    <t>marinka@hms.harvard.com</t>
  </si>
  <si>
    <t>National Science Foundation [IIS-2030459, IIS-2033384]; US Air Force [FA8702-15-D-0001]; National Institutes of Health [R01HD108794]; Harvard Data Science Initiative; Google; Bayer Early Excellence in Science Award; Roche Alliance; Harvard Translational Data Science Center for a Learning Healthcare System (CELeHS); Amazon Research Award; AstraZeneca Research</t>
  </si>
  <si>
    <t>National Science Foundation (National Science Foundation (NSF)); US Air Force (United States Department of Defense); National Institutes of Health (United States Department of Health &amp; Human Services, National Institutes of Health (NIH) - USA); Harvard Data Science Initiative (Harvard University); Google (Google Incorporated); Bayer Early Excellence in Science Award; Roche Alliance; Harvard Translational Data Science Center for a Learning Healthcare System (CELeHS); Amazon Research Award; AstraZeneca Research (AstraZeneca)</t>
  </si>
  <si>
    <t>We gratefully acknowledge the support of the Harvard Translational Data Science Center for a Learning Healthcare System (CELeHS) (T.C.) . M.Z. is supported, in part, by the National Science Foundation under Nos. IIS-2030459 and IIS-2033384, US Air Force Contract No. FA8702-15-D-0001, National Institutes of Health under No. R01HD108794, Harvard Data Science Initiative, Amazon Research Award, Google Research Scholar Program, Bayer Early Excellence in Science Award, AstraZeneca Research, and Roche Alliance with Distinguished Scientists Award. Any opinions, findings, conclusions or recommendations expressed in this material are those of the authors and do not necessarily reflect the views of the funders.</t>
  </si>
  <si>
    <t>[Lin, Yucong] Beijing Inst Technol, Inst Engn Med, Beijing, Peoples R China; [Lin, Yucong] Beijing Inst Technol, Sch Opt &amp; Photon, Beijing Engn Res Ctr Mixed Real &amp; Adv Display, Beijing, Peoples R China; [Lu, Keming] Univ Southern Calif, Viterbi Sch Engn, Los Angeles, CA 90007 USA; [Yu, Sheng] Tsinghua Univ, Ctr Stat Sci, Beijing, Peoples R China; [Yu, Sheng] Tsinghua Univ, Dept Ind Engn, Beijing, Peoples R China; [Cai, Tianxi] Harvard THChan Sch Publ Hlth, Dept Biostat, Boston, MA 02115 USA; [Cai, Tianxi; Zitnik, Marinka] Harvard Med Sch, Dept Biomed Informat, Boston, MA 02115 USA; [Zitnik, Marinka] Broad Inst MIT &amp; Harvard, Boston, MA 02142 USA; [Zitnik, Marinka] Harvard Data Sci Initiat, Cambridge, MA 02138 USA; [Zitnik, Marinka] Harvard Med Sch, Dept Biomed Informat, 10 Shattuck St, Boston, MA 02115 USA</t>
  </si>
  <si>
    <t>Beijing Institute of Technology; Beijing Institute of Technology; University of Southern California; Tsinghua University; Tsinghua University; Harvard University; Harvard Medical School; Harvard University; Massachusetts Institute of Technology (MIT); Broad Institute; Harvard University; Harvard Medical School</t>
  </si>
  <si>
    <t>Multimodal learning on graphs for disease relation extraction</t>
  </si>
  <si>
    <t>Disease relation extraction; Medical relation extraction; Multimodal learning; Knowledge graphs; Graph neural networks; Language models</t>
  </si>
  <si>
    <t>FATTY-LIVER</t>
  </si>
  <si>
    <t>Yu, Sheng/0000-0002-6347-0507</t>
  </si>
  <si>
    <t>85</t>
  </si>
  <si>
    <t>80</t>
  </si>
  <si>
    <t>JUL 2023</t>
  </si>
  <si>
    <t>104415</t>
  </si>
  <si>
    <t>10.1016/j.jbi.2023.104415</t>
  </si>
  <si>
    <t>http://dx.doi.org/10.1016/j.jbi.2023.104415</t>
  </si>
  <si>
    <t>JAN 2023</t>
  </si>
  <si>
    <t>N3MH8</t>
  </si>
  <si>
    <t>37276949</t>
  </si>
  <si>
    <t>WOS:001036089700001</t>
  </si>
  <si>
    <t>Zhou, CH; Cao, YH; Ming, BH; Luo, JW; Xu, FR; Zhang, JM; Dong, M</t>
  </si>
  <si>
    <t>This study addressed the core challenge of intelligent pest and disease monitoring and early warning in smart horticultural production by proposing a multimodal deep learning framework based on multi-parameter environmental sensor arrays. The framework integrates visual information with electrical signals to overcome the inherent limitations of conventional single-modality approaches in terms of real-time capability, stability, and early detection performance. A long-term field experiment was conducted over 18 months in the Hetao Irrigation District of Bayannur, Inner Mongolia, using three representative horticultural crops-grape (Vitis vinifera), tomato (Solanum lycopersicum), and sweet pepper (Capsicum annuum)-to construct a multimodal dataset comprising illumination intensity, temperature, humidity, gas concentration, and high-resolution imagery, with a total of more than 2.6x106 recorded samples. The proposed framework consists of a lightweight convolution-Transformer hybrid encoder for electrical signal representation, a cross-modal feature alignment module, and an early-warning decision module, enabling dynamic spatiotemporal modeling and complementary feature fusion under complex field conditions. Experimental results demonstrated that the proposed model significantly outperformed both unimodal and traditional fusion methods, achieving an accuracy of 0.921, a precision of 0.935, a recall of 0.912, an F1-score of 0.923, and an area under curve (AUC) of 0.957, confirming its superior recognition stability and early-warning capability. Ablation experiments further revealed that the electrical feature encoder, cross-modal alignment module, and early-warning module each played a critical role in enhancing performance. This research provides a low-cost, scalable, and energy-efficient solution for precise pest and disease management in intelligent horticulture, supporting efficient monitoring and predictive decision-making in greenhouses, orchards, and facility-based production systems. It offers a novel technological pathway and theoretical foundation for artificial-intelligence-driven sustainable horticultural production.</t>
  </si>
  <si>
    <t>Zhou, Chuhuang; Cao, Yuhan; Ming, Bihong; Luo, Jingwen; Xu, Fangrou; Zhang, Jiamin; Dong, Min</t>
  </si>
  <si>
    <t>Dong, M (corresponding author), China Agr Univ, Beijing 100083, Peoples R China.</t>
  </si>
  <si>
    <t>dongmin@cau.edu.cn</t>
  </si>
  <si>
    <t>Modern Agricultural Industrial Technology System Beijing Innovation Team [BAIC08-2024-YJ03]</t>
  </si>
  <si>
    <t>Modern Agricultural Industrial Technology System Beijing Innovation Team</t>
  </si>
  <si>
    <t>This work was supported by the Modern Agricultural Industrial Technology System Beijing Innovation Team (BAIC08-2024-YJ03).</t>
  </si>
  <si>
    <t>[Zhou, Chuhuang; Cao, Yuhan; Ming, Bihong; Luo, Jingwen; Xu, Fangrou; Dong, Min] China Agr Univ, Beijing 100083, Peoples R China; [Ming, Bihong; Zhang, Jiamin] Peking Univ, Natl Sch Dev, Beijing 100871, Peoples R China; [Zhang, Jiamin] Beijing Forestry Univ, Mat Sci &amp; Technol, Beijing 100083, Peoples R China</t>
  </si>
  <si>
    <t>China Agricultural University; Peking University; Beijing Forestry University</t>
  </si>
  <si>
    <t>A Multimodal Deep Learning Framework for Intelligent Pest and Disease Monitoring in Smart Horticultural Production Systems</t>
  </si>
  <si>
    <t>HORTICULTURAE</t>
  </si>
  <si>
    <t>deep learning in horticulture; early warning system; precision horticultural management; pest and disease detection; transformer-based signal encoding</t>
  </si>
  <si>
    <t>2311-7524</t>
  </si>
  <si>
    <t>Horticulturae</t>
  </si>
  <si>
    <t>DEC 21 2025</t>
  </si>
  <si>
    <t>10.3390/horticulturae12010008</t>
  </si>
  <si>
    <t>http://dx.doi.org/10.3390/horticulturae12010008</t>
  </si>
  <si>
    <t>Horticulture</t>
  </si>
  <si>
    <t>CO3LI</t>
  </si>
  <si>
    <t>WOS:001670553200001</t>
  </si>
  <si>
    <t>Tang, K; She, RL; Chen, GY; Xie, ZY; Li, T; Chen, DX; Huang, WH; Feng, QJ; Zhao, YH; Liu, YB</t>
  </si>
  <si>
    <t>Objectives: To develop and validate a multimodal deep learning (DL) model that integrates preoperative contrast-enhanced computed tomography (CECT) and postoperative whole-slide images (WSIs) to predict microsatellite instability (MSI) status in colorectal cancer (CRC). Materials and methods: This retrospective, multicenter study enrolled 305 CRC patients with paired CECT and WSIs. Patients from Center I and II were allocated to the training (n = 169) and internal validation (n = 85) sets, while those from Center III formed the external test set (n = 51). Pathology-based DL (PathDL) and venous-phase CECT (VPDL) models were constructed using EfficientNet-b0 and ResNet 101 architectures, respectively. A fusion model (F-VP-PathDL, Fusion of venous phase CT and pathology with deep learning) was developed using an adaptive residual network to integrate features from both modalities. Model performance was evaluated using area under the receiver operating characteristic curve (AUC), accuracy, sensitivity, specificity, and F1 score. Results: The F-VP-PathDL model achieved strong performance on the internal validation set, with an AUC of 0.883 (95 % CI: 0.732-0.967). On the external test set, the model achieved an AUC of 0.905 (95 % CI: 0.831-0.945), outperforming single-modality and alternative fusion models (PathDL: 0.794; VPDL: 0.858; APDL: 0.802; F-AVPDL: 0.813). The model also demonstrated robust accuracy (84.2 %, 95 % CI: 69.1 %-92.8 %), sensitivity (80.3 %, 95 % CI: 28.4 %-98.7 %), specificity (83.7 %, 95% CI: 68.8 %-93.9 %) and F1 score (0.837, 95 % CI: 0.326-0.999) on the external test set. Conclusions: The F-VP-PathDL model demonstrates robust generalizability across centers and offers a clinically scalable tool for MSI prediction in CRC, supporting patient stratification and informing immunotherapy decisions.</t>
  </si>
  <si>
    <t>Tang, Kai; She, Ruiling; Chen, Guangyuan; Xie, Zhuoyao; Li, Tao; Chen, Dexuan; Huang, Weihong; Feng, Qianjin; Zhao, Yinghua; Liu, Yubao</t>
  </si>
  <si>
    <t>Zhao, YH (corresponding author), Southern Med Univ, Affiliated Hosp 3, Acad Orthoped, Dept Radiol, 183 Zhongshan Da Dao Xi, Guangzhou 510630, Guangdong, Peoples R China.; Liu, YB (corresponding author), Southern Med Univ, Med Imaging Ctr, Shenzhen Hosp, Shenzhen 518100, Peoples R China.; Feng, QJ (corresponding author), Southern Med Univ, Sch Biomed Engn, Guangzhou 510515, Peoples R China.; Feng, QJ (corresponding author), Southern Med Univ, Guangdong Prov Key Lab Med Image Proc, Guangzhou 510515, Guangdong, Peoples R China.; Feng, QJ (corresponding author), Southern Med Univ, Guangdong Prov Engn Lab Med Imaging &amp; Diagnost Tec, Guangzhou 510515,, Guangdong, Peoples R China.; Feng, QJ (corresponding author), Southern Med Univ, Sch Biomed Engn, Guangdong Prov Key Lab Med Image Proc, Guangzhou 510515, Peoples R China.; Zhao, YH (corresponding author), Southern Med Univ, Affiliated Hosp 3, Acad Orthoped, Dept Radiol, 183 Zhongshan Da Dao Xi, Guangzhou 510630, Guangdong, Peoples R China.; Liu, YB (corresponding author), Southern Med Univ, Med Imaging Ctr, Shenzhen Hosp, Shenzhen 518100, Peoples R China.</t>
  </si>
  <si>
    <t>ruilingshe@163.com; zhuoyao120@163.com; lt3030240@163.com; 532141736@qq.com; zhaoyh@smu.edu.cn; mxd8889995@hotmail.com; 1477753347@qq.com; fengqj99@smu.edu.cn; ybliu28@163.com; 13682232823@163.com</t>
  </si>
  <si>
    <t>National Natural Science Foundation of China [81871510, 82172014]; General Program of the National Natural Science Foundation of China [62471214]; National Key R&amp;D Program of China [2024YFA1012002]; Natural Science Foundation of Guangdong Province [2023A1515011318]</t>
  </si>
  <si>
    <t>National Natural Science Foundation of China (National Natural Science Foundation of China (NSFC)); General Program of the National Natural Science Foundation of China (National Natural Science Foundation of China (NSFC)); National Key R&amp;D Program of China (National Key Research &amp; Development Program of China); Natural Science Foundation of Guangdong Province (National Natural Science Foundation of Guangdong Province)</t>
  </si>
  <si>
    <t>This work was supported by the National Natural Science Foundation of China (No. 81871510, No. 82172014) , the General Program of the National Natural Science Foundation of China (No. 62471214) , the National Key R&amp;D Program of China (No. 2024YFA1012002) , and the Natural Science Foundation of Guangdong Province (No. 2023A1515011318) .</t>
  </si>
  <si>
    <t>[Tang, Kai; She, Ruiling; Chen, Guangyuan; Xie, Zhuoyao; Li, Tao; Chen, Dexuan; Huang, Weihong; Zhao, Yinghua] Southern Med Univ, Affiliated Hosp 3, Acad Orthoped, Dept Radiol, 183 Zhongshan Da Dao Xi, Guangzhou 510630, Guangdong, Peoples R China; [Liu, Yubao] Southern Med Univ, Med Imaging Ctr, Shenzhen Hosp, Shenzhen 518100, Peoples R China; [Tang, Kai; Feng, Qianjin] Southern Med Univ, Sch Biomed Engn, Guangzhou 510515, Peoples R China; [Tang, Kai; Feng, Qianjin] Southern Med Univ, Guangdong Prov Key Lab Med Image Proc, Guangzhou 510515, Guangdong, Peoples R China; [Tang, Kai; Feng, Qianjin] Southern Med Univ, Guangdong Prov Engn Lab Med Imaging &amp; Diagnost Tec, Guangzhou 510515,, Guangdong, Peoples R China; [Feng, Qianjin] Southern Med Univ, Sch Biomed Engn, Guangdong Prov Key Lab Med Image Proc, Guangzhou 510515, Peoples R China; [Zhao, Yinghua] Southern Med Univ, Affiliated Hosp 3, Acad Orthoped, Dept Radiol, 183 Zhongshan Da Dao Xi, Guangzhou 510630, Guangdong, Peoples R China; [Liu, Yubao] Southern Med Univ, Med Imaging Ctr, Shenzhen Hosp, Shenzhen 518100, Peoples R China</t>
  </si>
  <si>
    <t>Southern Medical University - China; Southern Medical University - China; Southern Medical University - China; Southern Medical University - China; Southern Medical University - China; Southern Medical University - China; Southern Medical University - China; Southern Medical University - China</t>
  </si>
  <si>
    <t>Multimodal deep learning model for predicting microsatellite instability in colorectal cancer by contrast-enhanced computed tomography and histopathology</t>
  </si>
  <si>
    <t>EUROPEAN JOURNAL OF RADIOLOGY</t>
  </si>
  <si>
    <t>Colorectal cancer; Microsatellite instability; Deep learning; Whole-slide image; Contrast-enhanced computed tomography</t>
  </si>
  <si>
    <t>SHE, RUILING/LLK-1891-2024; Feng, Qianjin/Y-5438-2019</t>
  </si>
  <si>
    <t>0720-048X</t>
  </si>
  <si>
    <t>1872-7727</t>
  </si>
  <si>
    <t>EUR J RADIOL</t>
  </si>
  <si>
    <t>Eur. J. Radiol.</t>
  </si>
  <si>
    <t>193</t>
  </si>
  <si>
    <t>112468</t>
  </si>
  <si>
    <t>10.1016/j.ejrad.2025.112468</t>
  </si>
  <si>
    <t>http://dx.doi.org/10.1016/j.ejrad.2025.112468</t>
  </si>
  <si>
    <t>8WS2N</t>
  </si>
  <si>
    <t>41101004</t>
  </si>
  <si>
    <t>WOS:001599147400001</t>
  </si>
  <si>
    <t>Li, X</t>
  </si>
  <si>
    <t>This study proposes an AI-driven seismic detection method that uses deep learning, sensor networks, multimodal data fusion, and adaptive seismic modeling. This study addresses a major issue in current seismic detection and forecasting systems. They struggle to integrate multiple seismic data sources, limiting prediction accuracy and system efficiency. This study aims to develop a robust and scalable framework that integrates these diverse seismic data sources into a unified AI-driven system to improve earthquake detection, real-time monitoring, early warning, and disaster risk reduction and preparedness. The databases contain 25 years (1998-2023) of seismic waveforms, tomography images, borehole data, and accelerometer measurements from seismically active areas like California, Nevada, Oregon and New York. This study fuses temporal and spatial features from seismic waveforms, accelerometer data, strain gauges, and borehole readings using a convolutional neural network (CNN) with an attention mechanism. The seismic model optimizes prediction performance by weighting each modality like Seismic Waveforms, Accelerometer Data and Borehole Readings, and its adaptive capabilities allow it to continuously refine its predictions based on new data, improving accuracy and responsiveness in dynamic seismic environments. Features were extracted after Fourier Transform was used to remove noise and isolate critical seismic signals. The use of waveform, accelerometer, borehole, and tomography inputs together in the multimodal framework aids in the detection of cross-sensor relationships which are not obtainable by any single-modality system, thus enhancing the reliability of detection and minimizing the occurrence of false alarms. The AI-driven model captures seismic data modalities' interdependencies and adapts to real-time seismic activity to improve earthquake prediction. This hybrid approach can improve earthquake preparedness and forecasting, revealing how AI and geophysical methods can mitigate disasters. AI-driven seismic detection models with multimodal data fusion, noise filtering, and adaptive forecasting reduce earthquake prediction errors and false positives. These models optimize sensor deployment and seismic data integration for event classification and forecasting. This method improves early warning, disaster preparedness, and seismic hazard assessments, reducing risks and strengthening earthquake-prone areas.</t>
  </si>
  <si>
    <t>Li, Xu</t>
  </si>
  <si>
    <t>Li, X (corresponding author), Northeastern Univ, Khoury Coll Comp Sci, 360 Huntington Ave, Boston, MA 02115 USA.</t>
  </si>
  <si>
    <t>xu13li@outlook.com</t>
  </si>
  <si>
    <t>[Li, Xu] Northeastern Univ, Khoury Coll Comp Sci, 360 Huntington Ave, Boston, MA 02115 USA</t>
  </si>
  <si>
    <t>Northeastern University</t>
  </si>
  <si>
    <t>Enhancing Earthquake Detection Systems Through AI-Based Frameworks for Multimodal Learning and Sensor Integration Models</t>
  </si>
  <si>
    <t>JOURNAL OF EARTHQUAKE AND TSUNAMI</t>
  </si>
  <si>
    <t>AI-driven seismic detection; multimodal data fusion; earthquake prediction; early warning systems; sensor optimization</t>
  </si>
  <si>
    <t>1793-4311</t>
  </si>
  <si>
    <t>1793-7116</t>
  </si>
  <si>
    <t>J EARTHQ TSUNAMI</t>
  </si>
  <si>
    <t>J. Earthq. Tsunami</t>
  </si>
  <si>
    <t>10.1142/S1793431125400019</t>
  </si>
  <si>
    <t>http://dx.doi.org/10.1142/S1793431125400019</t>
  </si>
  <si>
    <t>Geochemistry &amp; Geophysics; Engineering, Civil</t>
  </si>
  <si>
    <t>Geochemistry &amp; Geophysics; Engineering</t>
  </si>
  <si>
    <t>EM3RK</t>
  </si>
  <si>
    <t>WOS:001704505100001</t>
  </si>
  <si>
    <t>Wang, F; Chen, QQ; Chen, YA; Zhu, YJ; Zhang, YY; Cao, D; Zhou, W; Liang, X; Yang, YJ; Lin, LF; Hu, HJ</t>
  </si>
  <si>
    <t>Background: Accurate preoperative identification of the microvascular invasion (MVI) can relieve the pressure from personalized treatment adaptation and improve the poor prognosis for hepatocellular carcinoma (HCC). This study aimed to develop and validate a novel multimodal deep learning (DL) model for predicting MVI based on multi-parameter magnetic resonance imaging (MRI) and contrast-enhanced computed tomography (CT).Methods: A total of 397 HCC patients underwent both CT and MRI examinations before surgery. We established the radiological models (RCT, RMRI) by support vector machine (SVM), DL models (DLCT_ALL, DLMRI_ALL, DLCT thorn MRI) by ResNet18. The comprehensive model (CALL) involving multi-modality DL features and clinical and radiological features was constructed using SVM. Model performance was quantified by the area under the receiver operating characteristic curve (AUC) and compared by net reclassification index (NRI) and integrated discrimination improvement (IDI).Results: The DLCT thorn MRI model exhibited superior predicted efficiency over single-modality models, especially over the DLCT_ALL model (AUC: 0.819 vs. 0.742, NRI &gt; 0, IDI &gt; 0). The DLMRI_ALL model improved the performance over the RMRI model (AUC: 0.794 vs. 0.766, NRI &gt; 0, IDI &lt; 0), but no such difference was found between the DLCT_ALLmodel and RCT model (AUC: 0.742 vs. 0.710, NRI &lt; 0, IDI &lt; 0). Furthermore, both the DLCT thorn MRI and CALL models revealed the prognostic power in recurrence-free survival stratifi-cation (P &lt; 0.001).Conclusion: The proposed DLCT thorn MRI model showed robust capability in predicting MVI and outcomes for HCC. Besides, the identification ability of the multi-modality DL model was better than any single mo-dality, especially for CT.(c) 2022 Published by Elsevier Ltd.</t>
  </si>
  <si>
    <t>Wang, Fang; Chen, Qingqing; Chen, Yinan; Zhu, Yajing; Zhang, Yuanyuan; Cao, Dan; Zhou, Wei; Liang, Xiao; Yang, Yunjun; Lin, Lanfen; Hu, Hongjie</t>
  </si>
  <si>
    <t>Hu, HJ (corresponding author), Zhejiang Univ, Sir Run Run Shaw Hosp, Dept Radiol, Sch Med, Hangzhou 310016, Peoples R China.; Yang, YJ (corresponding author), Wenzhou Med Univ, Affiliated Hosp 1, Dept Radiol, Wenzhou 325000, Peoples R China.; Lin, LF (corresponding author), Zhejiang Univ, Coll Comp Sci &amp; Technol, Hangzhou 310027, Peoples R China.</t>
  </si>
  <si>
    <t>yyjunjim@163.com; hongjiehu@zju.edu.cn; llf@zju.edu.cn; wangfang11@zju.edu.cn</t>
  </si>
  <si>
    <t>National Natural Science Foundation of China [82071988]; Key Research and Development Program of Zhejiang Province [2019C03064]; Province and Ministry [WKJ-ZJ-1926]; Fundamental Research Funds for the Central Universities [2021FZZX003-02-17, 226-2022-00160]; Public Welfare Applied Research Project of Huzhou [2020GY06]</t>
  </si>
  <si>
    <t>National Natural Science Foundation of China (National Natural Science Foundation of China (NSFC)); Key Research and Development Program of Zhejiang Province; Province and Ministry; Fundamental Research Funds for the Central Universities (Fundamental Research Funds for the Central Universities); Public Welfare Applied Research Project of Huzhou</t>
  </si>
  <si>
    <t>This work was supported by Grant 82071988 from National Natural Science Foundation of China, Grant 2019C03064 from Key Research and Development Program of Zhejiang Province, Grant WKJ-ZJ-1926 from Program Co -sponsored by Province and Ministry, Grant 2021FZZX003-02-17 and 226-2022-00160 from the Fundamental Research Funds for the Central Universities, Grant 2020GY06 from Public Welfare Applied Research Project of Huzhou.</t>
  </si>
  <si>
    <t>[Wang, Fang; Chen, Qingqing; Zhang, Yuanyuan; Cao, Dan; Hu, Hongjie] Zhejiang Univ, Sir Run Run Shaw Hosp, Dept Radiol, Sch Med, Hangzhou 310016, Peoples R China; [Chen, Yinan; Zhu, Yajing] SenseTime Res, Shanghai 200030, Peoples R China; [Zhang, Yuanyuan] Shaoxing Univ, Med Coll, Shaoxing 312000, Peoples R China; [Cao, Dan] Zhejiang Univ, Affiliated Hosp 4, Int Inst Med, Dept Radiol,Sch Med, Yiwu, Peoples R China; [Zhou, Wei] Huzhou Univ, Huzhou Cent Hosp, Dept Radiol, Huzhou 313000, Peoples R China; [Liang, Xiao] Zhejiang Univ Sch Med, Sir Run Run Shaw Hosp, Dept Gen Surg, Huzhou, Hangzhou 310016, Peoples R China; [Yang, Yunjun] Wenzhou Med Univ, Affiliated Hosp 1, Dept Radiol, Wenzhou 325000, Peoples R China; [Lin, Lanfen] Zhejiang Univ, Coll Comp Sci &amp; Technol, Hangzhou 310027, Peoples R China</t>
  </si>
  <si>
    <t>Zhejiang University; Shaoxing University; Zhejiang University; Huzhou Normal University; Wenzhou Medical University; Zhejiang University</t>
  </si>
  <si>
    <t>A novel multimodal deep learning model for preoperative prediction of microvascular invasion and outcome in hepatocellular carcinoma</t>
  </si>
  <si>
    <t>EJSO</t>
  </si>
  <si>
    <t>Hepatocellular carcinoma; Microvascular invasion; Multimodal; Deep learning</t>
  </si>
  <si>
    <t>LIVER-TRANSPLANTATION; RADIOMICS NOMOGRAM; RESECTION</t>
  </si>
  <si>
    <t>Chen, Qingqing/QTV-3322-2026; Cao, Dan/GLU-5169-2022; Hu, Hongjie/PEX-6320-2025</t>
  </si>
  <si>
    <t>Zhou, Wei/0000-0003-2434-4644; Wang, Fang/0000-0001-8979-1520</t>
  </si>
  <si>
    <t>0748-7983</t>
  </si>
  <si>
    <t>1532-2157</t>
  </si>
  <si>
    <t>EJSO-EUR J SURG ONC</t>
  </si>
  <si>
    <t>156</t>
  </si>
  <si>
    <t>164</t>
  </si>
  <si>
    <t>10.1016/j.ejso.2022.08.036</t>
  </si>
  <si>
    <t>http://dx.doi.org/10.1016/j.ejso.2022.08.036</t>
  </si>
  <si>
    <t>Oncology; Surgery</t>
  </si>
  <si>
    <t>8K8SA</t>
  </si>
  <si>
    <t>36333180</t>
  </si>
  <si>
    <t>WOS:000923363400001</t>
  </si>
  <si>
    <t>Yonemaru, N; Tabuchi, H; Deguchi, H; Omi, Y; Tanabe, M; Ishitobi, N; Maruyama, H; Ayatsuka, Y</t>
  </si>
  <si>
    <t>Background/aims This study aimed to develop a multimodal artificial intelligence (AI) system that integrates fundus imaging and patient questionnaire data to achieve clinician-level diagnostic accuracy for diagnosing retinal detachment (RD).Methods Ultra-widefield fundus images and comprehensive patient questionnaires were collected from patients with RD and healthy controls at Tsukazaki Hospital. A multimodal model was developed using the Contrastive Language-Image Pretraining framework to classify RD cases, alongside separate image-only and questionnaire-only models for comparison. Per-image and per-subject analyses were conducted to assess model performance.Results The multimodal model outperformed single-modal models in per-image and per-subject assessments. It achieved accuracy, recall and F1 scores of 0.899 +/- 0.054, 0.902 +/- 0.043 and 0.902 +/- 0.048 in the per-image analysis and 0.893 +/- 0.071, 0.949 +/- 0.044 and 0.873 +/- 0.074 in the per-subject analysis, respectively. The AI model's overall diagnostic accuracy was slightly lower than that of human clinicians; however, it exhibited a higher recall rate, indicating improved detection of true RD cases.Conclusion Integrating fundus imaging with patient questionnaire data significantly improves AI-based RD diagnosis. Future research needs to focus on expanding the dataset and refining the questionnaire design to further improve model performance.</t>
  </si>
  <si>
    <t>Yonemaru, Naoyuki; Tabuchi, Hitoshi; Deguchi, Hodaka; Omi, Yuto; Tanabe, Mao; Ishitobi, Naofumi; Maruyama, Hisashi; Ayatsuka, Yuji</t>
  </si>
  <si>
    <t>Yonemaru, N (corresponding author), Cresco Ltd, Technol Lab, Minato Ku, Tokyo, Japan.</t>
  </si>
  <si>
    <t>maruyama@cresco.co.jp; y-ayatsuka@cresco.co.jp; y.omi@tsukazaki-eye.net; n.ishitobi@tsukazaki-eye.net; n-yonemaru@cresco.co.jp; h.deguchi@tsukazaki-eye.net; m.tanabe@tsukazaki-eye.net; h.tabuchi@tsukazaki-eye.net</t>
  </si>
  <si>
    <t>CRESCO LTD.</t>
  </si>
  <si>
    <t>This study received support from CRESCO LTD. No specific award or grant number is associated with this funding. The funder did not influence the results/outcomes of the study despite author affiliations with the funder.</t>
  </si>
  <si>
    <t>[Yonemaru, Naoyuki; Maruyama, Hisashi; Ayatsuka, Yuji] Cresco Ltd, Technol Lab, Minato Ku, Tokyo, Japan; [Tabuchi, Hitoshi; Deguchi, Hodaka; Omi, Yuto; Tanabe, Mao; Ishitobi, Naofumi] Tsukazaki Hosital, Dept Ophthalmol, Himeji, Hyogo, Japan; [Tabuchi, Hitoshi] Hiroshima Univ, Dept Technol &amp; Design Thinking Med, Hiroshima, Hiroshima, Japan; [Tabuchi, Hitoshi] Hyogo Med Univ, Dept Ophthalmol, Nishinomiya, Hyogo, Japan</t>
  </si>
  <si>
    <t>Hiroshima University; Hyogo Medical University</t>
  </si>
  <si>
    <t>Multimodal artificial intelligence for retinal detachment diagnosis using fundus imaging and patient questionnaires</t>
  </si>
  <si>
    <t>BRITISH JOURNAL OF OPHTHALMOLOGY</t>
  </si>
  <si>
    <t>Retina</t>
  </si>
  <si>
    <t>/ACT-4100-2022</t>
  </si>
  <si>
    <t>Yonemaru, Naoyuki/0009-0000-8745-8214</t>
  </si>
  <si>
    <t>BMJ PUBLISHING GROUP</t>
  </si>
  <si>
    <t>BRITISH MED ASSOC HOUSE, TAVISTOCK SQUARE, LONDON WC1H 9JR, ENGLAND</t>
  </si>
  <si>
    <t>0007-1161</t>
  </si>
  <si>
    <t>1468-2079</t>
  </si>
  <si>
    <t>BRIT J OPHTHALMOL</t>
  </si>
  <si>
    <t>Br. J. Ophthalmol.</t>
  </si>
  <si>
    <t>586</t>
  </si>
  <si>
    <t>591</t>
  </si>
  <si>
    <t>10.1136/bjo-2025-327506</t>
  </si>
  <si>
    <t>http://dx.doi.org/10.1136/bjo-2025-327506</t>
  </si>
  <si>
    <t>HO1PB</t>
  </si>
  <si>
    <t>41203264</t>
  </si>
  <si>
    <t>WOS:001611110900001</t>
  </si>
  <si>
    <t>Luo, JX; Xiao, Y; Li, Y; Xiao, Y; Yao, W</t>
  </si>
  <si>
    <t>Maritime ship trajectory prediction is an essential but challenging research topic in intelligent maritime traffic. It has garnered growing attention due to developments in deep learning methods. Although deep learning networks have been employed in the prediction task of single-modal automatic identification system (AIS) data, their performance inevitably faces bottlenecks in complex scenes that require reliable prediction due to the limitations of marine environment factors. In this study, we propose a solution to this problem by designing a multimodal deep learning trajectory prediction (MDL-TP) framework. Timestamps and shortest distances were used to fuse marine ship spatiotemporal and environmental data. We also designed an extraction and fusion network architecture based on the multimodal data. Specifically, five trajectory prediction models were designed and implemented using a unified MDL-TP framework. Finally, we verified the effectiveness and superiority of the MDL-TP framework on actual AIS and maritime environment datasets along the West Coast of the United States. The five models provided by our MDL-TP framework have an average accuracy improvement of 40.18% in the MAE evaluation metric compared to all baseline comparison models. Moreover, qualitative analysis and ablation experiments proved the superiority of our framework.</t>
  </si>
  <si>
    <t>Luo, Jiaxiang; Xiao, Yi; Li, Yu; Xiao, Ye; Yao, Wen</t>
  </si>
  <si>
    <t>Yao, W (corresponding author), Chinese Acad Mil Sci, Def Innovat Inst, Beijing 100071, Peoples R China.; Xiao, Y (corresponding author), North China Univ Water Resources &amp; Elect Power, Sch Elect Engn, Zhengzhou 450045, Henan, Peoples R China.; Yao, W (corresponding author), Intelligent Game &amp; Decis Lab, Beijing 100071, Peoples R China.</t>
  </si>
  <si>
    <t>liyu_npu@outlook.com; wendy0782@126.com; luojiaxiang22@163.com; yixiaohuas@163.com</t>
  </si>
  <si>
    <t>National Natural Science Foundation of China [92371206, 12372123]</t>
  </si>
  <si>
    <t>Acknowledgement This work is supported in part by National Natural Science Foundation of China under grant nos 92371206 and 12372123.</t>
  </si>
  <si>
    <t>[Luo, Jiaxiang] Natl Univ Def Technol, Coll Aerosp Sci &amp; Engn, Changsha 410073, Hunan, Peoples R China; [Luo, Jiaxiang; Li, Yu; Xiao, Ye; Yao, Wen] Chinese Acad Mil Sci, Def Innovat Inst, Beijing 100071, Peoples R China; [Xiao, Yi] North China Univ Water Resources &amp; Elect Power, Sch Elect Engn, Zhengzhou 450045, Henan, Peoples R China; [Li, Yu; Yao, Wen] Intelligent Game &amp; Decis Lab, Beijing 100071, Peoples R China; [Xiao, Ye] Hunan Univ, Coll Comp Sci &amp; Elect Engn, Changsha 410082, Peoples R China</t>
  </si>
  <si>
    <t>National University of Defense Technology - China; North China University of Water Resources &amp; Electric Power; Hunan University</t>
  </si>
  <si>
    <t>Multimodal deep learning framework for vessel trajectory prediction</t>
  </si>
  <si>
    <t>OCEAN ENGINEERING</t>
  </si>
  <si>
    <t>Intelligent maritime traffic; Multimodal; Deep learning; Automatic identification system (AIS) data; Environmental data; Trajectory prediction</t>
  </si>
  <si>
    <t>BIG DATA</t>
  </si>
  <si>
    <t>0029-8018</t>
  </si>
  <si>
    <t>1873-5258</t>
  </si>
  <si>
    <t>OCEAN ENG</t>
  </si>
  <si>
    <t>Ocean Eng.</t>
  </si>
  <si>
    <t>SEP 1 2025</t>
  </si>
  <si>
    <t>336</t>
  </si>
  <si>
    <t>121766</t>
  </si>
  <si>
    <t>10.1016/j.oceaneng.2025.121766</t>
  </si>
  <si>
    <t>http://dx.doi.org/10.1016/j.oceaneng.2025.121766</t>
  </si>
  <si>
    <t>Engineering, Marine; Engineering, Civil; Engineering, Ocean; Oceanography</t>
  </si>
  <si>
    <t>Engineering; Oceanography</t>
  </si>
  <si>
    <t>4GG5W</t>
  </si>
  <si>
    <t>WOS:001517303500009</t>
  </si>
  <si>
    <t>Li, Z; Xu, RQ; Shen, YF; Cao, JN; Wang, B; Zhang, Y; Li, SK</t>
  </si>
  <si>
    <t>The outbreak of coronavirus disease 2019 (COVID-19) has caused massive infections and large death tolls worldwide. Despite many studies on the clinical characteristics and the treatment plans of COVID-19, they rarely conduct in-depth prognostic research on leveraging consecutive rounds of multimodal clinical examination and laboratory test data to facilitate clinical decision-making for the treatment of COVID-19. To address this issue, we propose a multistage multimodal deep learning (MMDL) model to (1) first assess the patient's current condition (i.e., the mild and severe symptoms), then (2) give early warnings to patients with mild symptoms who are at high risk to develop severe illness. In MMDL, we build a sequential stage-wise learning architecture whose design philosophy embodies the model's predicted outcome and does not only depend on the current situation but also the history. Concretely, we meticulously combine the latest round of multimodal clinical data and the decayed past information to make assessments and predictions. In each round (stage), we design a two-layer multimodal feature extractor to extract the latent feature representation across different modalities of clinical data, including patient demographics, clinical manifestation, and 11 modalities of laboratory test results. We conduct experiments on a clinical dataset consisting of 216 COVID-19 patients that have passed the ethical review of the medical ethics committee. Experimental results validate our assumption that sequential stage-wise learning outperforms single-stage learning, but history long ago has little influence on the learning outcome. Also, comparison tests show the advantage of multimodal learning. MMDL with multimodal inputs can beat any reduced model with single-modal inputs only. In addition, we have deployed the prototype of MMDL in a hospital for clinical comparison tests and to assist doctors in clinical diagnosis.</t>
  </si>
  <si>
    <t>Li, Zhuo; Xu, Ruiqing; Shen, Yifei; Cao, Jiannong; Wang, Ben; Zhang, Ying; Li, Shikang</t>
  </si>
  <si>
    <t>Li, Z (corresponding author), Chongqing Univ Posts &amp; Telecommun, Sch Comp Sci &amp; Technol, Chongqing, Peoples R China.; Li, Z; Shen, YF (corresponding author), Hong Kong Polytech Univ, Dept Comp, Hong Kong, Peoples R China.</t>
  </si>
  <si>
    <t>sam.yifei.shen@gmail.com; lizhuo@cqupt.edu.cn</t>
  </si>
  <si>
    <t>Scientific Research Sharing Foundation of the Chongqing University of Posts and Telecommunications [E012A2022026]; Chongqing Key Special Program for Technology Innovation and Application Development [cstc2020jscx-fyzxX0023]</t>
  </si>
  <si>
    <t>Scientific Research Sharing Foundation of the Chongqing University of Posts and Telecommunications; Chongqing Key Special Program for Technology Innovation and Application Development</t>
  </si>
  <si>
    <t>This research is supported by the Ph.D., Scientific Research Sharing Foundation of the Chongqing University of Posts and Telecommunications (Project No. E012A2022026) and the Chongqing Key Special Program for Technology Innovation and Application Development (Project No. cstc2020jscx-fyzxX0023).</t>
  </si>
  <si>
    <t>[Li, Zhuo] Chongqing Univ Posts &amp; Telecommun, Sch Comp Sci &amp; Technol, Chongqing, Peoples R China; [Li, Zhuo; Shen, Yifei; Cao, Jiannong] Hong Kong Polytech Univ, Dept Comp, Hong Kong, Peoples R China; [Xu, Ruiqing] Univ Sheffield, Dept Comp Sci, Sheffield, England; [Wang, Ben] Baoding 2 Cent Hosp, Baoding, Peoples R China; [Zhang, Ying; Li, Shikang] Chongqing Publ Hlth Med Ctr, Chongqing, Peoples R China</t>
  </si>
  <si>
    <t>Chongqing University of Posts &amp; Telecommunications; Hong Kong Polytechnic University; University of Sheffield</t>
  </si>
  <si>
    <t>A multistage multimodal deep learning model for disease severity assessment and early warnings of high-risk patients of COVID-19</t>
  </si>
  <si>
    <t>COVID-19; disease severity assessment; disease progression prediction; sequential stage-wise learning; multimodal feature fusion</t>
  </si>
  <si>
    <t>CLINICAL CHARACTERISTICS</t>
  </si>
  <si>
    <t>Shen, yifei/0009-0001-1413-0055</t>
  </si>
  <si>
    <t>NOV 22 2022</t>
  </si>
  <si>
    <t>982289</t>
  </si>
  <si>
    <t>10.3389/fpubh.2022.982289</t>
  </si>
  <si>
    <t>http://dx.doi.org/10.3389/fpubh.2022.982289</t>
  </si>
  <si>
    <t>6T9CA</t>
  </si>
  <si>
    <t>36483265</t>
  </si>
  <si>
    <t>WOS:000893969800001</t>
  </si>
  <si>
    <t>Wang, YL; Deng, YX; Song, C; Yuan, XF; Liu, CL</t>
  </si>
  <si>
    <t>Accurate online measurement of key quality variables is crucial for industrial process monitoring and supervisory control. However, many quality indices are difficult to measure directly in real time because of high sensing cost, limited analyzer availability, or delayed laboratory assays. Data-driven models therefore provide an effective inferential estimation approach for hard-to-measure quality variables from auxiliary process measurements. Nevertheless, most existing methods rely on single-modality information and do not sufficiently exploit the complementary characteristics of heterogeneous measurement channels in industrial environments. To this end, this paper proposes a multimodal fusion framework with LLM-guided initialization (LMMF) for industrial data-driven modeling. Specifically, a multimodal gated adaptive fusion transformer (MGAFormer) is developed to perform reliability-aware fusion of heterogeneous measurements by learning dynamic gating weights between attention outputs and original queries, thereby alleviating the challenges caused by modality heterogeneity and complex cross-modal interactions. In addition, LLM-EvoInit is introduced as an offline initialization optimization module to generate task-aware initialization strategies from the task description, MGAFormer architecture, modality characteristics, and industrial process prior knowledge, without participating in online multimodal fusion or inference. Experiments on a real industrial flotation dataset show that the proposed method acts as a reliable virtual sensor for online K+ concentration estimation and outperforms representative baseline methods. Ablation studies further indicate that the performance gains mainly arise from the reliability-aware gated fusion design in MGAFormer, while distribution matching serves as an auxiliary regularization term that becomes beneficial when combined with adaptive gating.</t>
  </si>
  <si>
    <t>Wang, Yalin; Deng, Yuxin; Song, Cao; Yuan, Xiaofeng; Liu, Chenliang</t>
  </si>
  <si>
    <t>Liu, CL (corresponding author), Cent South Univ, Sch Automation, Changsha 410083, Peoples R China.; Liu, CL (corresponding author), Natl Engn Res Ctr Adv Energy Storage Mat, Changsha 410083, Hunan, Peoples R China.</t>
  </si>
  <si>
    <t>songcao@csu.edu.cn; yuanxf@csu.edu.cn; lcliang@csu.edu.cn; ylwang@csu.edu.cn; deng_csu@csu.edu.cn</t>
  </si>
  <si>
    <t>Natural Science Foundation of Hunan Province [62503507]</t>
  </si>
  <si>
    <t>Natural Science Foundation of Hunan Province (Natural Science Foundation of Hunan Province)</t>
  </si>
  <si>
    <t>This work was supported in part by the Fundamental and Interdisciplinary Disciplines Breakthrough Plan of the Ministry of Education of China under Grant 2025XDXM309, in part by the National Natural Science Foundation of China (NSFC) under Grants U25A20466 andr 62503507, and in part by the Natural Science Foundation of Hunan Province under Grants 2025JJ60423 and 2025JJ10007.</t>
  </si>
  <si>
    <t>[Wang, Yalin; Deng, Yuxin; Song, Cao; Yuan, Xiaofeng; Liu, Chenliang] Cent South Univ, Sch Automation, Changsha 410083, Peoples R China; [Wang, Yalin; Song, Cao; Yuan, Xiaofeng; Liu, Chenliang] Natl Engn Res Ctr Adv Energy Storage Mat, Changsha 410083, Hunan, Peoples R China</t>
  </si>
  <si>
    <t>Central South University</t>
  </si>
  <si>
    <t>When large language models meet data-driven modeling: Heuristic multimodal deep learning network for industrial quality prediction</t>
  </si>
  <si>
    <t>CHEMOMETRICS AND INTELLIGENT LABORATORY SYSTEMS</t>
  </si>
  <si>
    <t>Large language model; Data-driven modeling; Multimodal fusion; Online quality estimation; Industrial process</t>
  </si>
  <si>
    <t>0169-7439</t>
  </si>
  <si>
    <t>1873-3239</t>
  </si>
  <si>
    <t>CHEMOMETR INTELL LAB</t>
  </si>
  <si>
    <t>Chemometrics Intell. Lab. Syst.</t>
  </si>
  <si>
    <t>SEP 15 2026</t>
  </si>
  <si>
    <t>276</t>
  </si>
  <si>
    <t>105782</t>
  </si>
  <si>
    <t>10.1016/j.chemolab.2026.105782</t>
  </si>
  <si>
    <t>http://dx.doi.org/10.1016/j.chemolab.2026.105782</t>
  </si>
  <si>
    <t>Automation &amp; Control Systems; Chemistry, Analytical; Computer Science, Artificial Intelligence; Instruments &amp; Instrumentation; Mathematics, Interdisciplinary Applications; Statistics &amp; Probability</t>
  </si>
  <si>
    <t>Automation &amp; Control Systems; Chemistry; Computer Science; Instruments &amp; Instrumentation; Mathematics</t>
  </si>
  <si>
    <t>JR8DI</t>
  </si>
  <si>
    <t>WOS:001796445000001</t>
  </si>
  <si>
    <t>Afshar, S; Braun, PR; Han, SZ; Lin, Y</t>
  </si>
  <si>
    <t>BackgroundFunctional gene networks (FGNs) capture functional relationships among genes that vary across tissues and cell types. Construction of cell-type-specific FGNs enables the understanding of cell-type-specific functional gene relationships and insights into genetic mechanisms of human diseases in disease-relevant cell types. However, most existing FGNs were developed without consideration of specific cell types within tissues.ResultsIn this study, we created a multimodal deep learning model (MDLCN) to predict cell-type-specific FGNs in the human brain by integrating single-nuclei gene expression data with global protein interaction networks. We systematically evaluated the prediction performance of the MDLCN and showed its superior performance compared to two baseline models (boosting tree and convolutional neural network). Based on the predicted cell-type-specific FGNs, we observed that cell-type marker genes had a higher level of hubness than non-marker genes in their corresponding cell type. Furthermore, we showed that risk genes underlying autism and Alzheimer's disease were more strongly connected in disease-relevant cell types, supporting the cellular context of predicted cell-type-specific FGNs.ConclusionsOur study proposes a powerful deep learning approach (MDLCN) to predict FGNs underlying a diverse set of cell types in human brain. The MDLCN model enhances prediction accuracy of cell-type-specific FGNs compared to single modality convolutional neural network (CNN) and boosting tree models, as shown by higher areas under both receiver operating characteristic (ROC) and precision-recall curves for different levels of independent test datasets. The predicted FGNs also show evidence for the cellular context and distinct topological features (i.e. higher hubness and topological score) of cell-type marker genes. Moreover, we observed stronger modularity among disease-associated risk genes in FGNs of disease-relevant cell types. For example, the strength of connectivity among autism risk genes was stronger in neurons, but risk genes underlying Alzheimer's disease were more connected in microglia.</t>
  </si>
  <si>
    <t>Afshar, Shiva; Braun, Patricia R.; Han, Shizhong; Lin, Ying</t>
  </si>
  <si>
    <t>Lin, Y (corresponding author), Univ Houston, Dept Ind Engn, Houston, TX 77204 USA.</t>
  </si>
  <si>
    <t>ylin58@uh.edu</t>
  </si>
  <si>
    <t>NIMH NIH HHS [R01 MH121394] Funding Source: Medline</t>
  </si>
  <si>
    <t>NIMH NIH HHS (United States Department of Health &amp; Human Services, National Institutes of Health (NIH) - USA, NIH National Institute of Mental Health (NIMH))</t>
  </si>
  <si>
    <t>[Afshar, Shiva; Lin, Ying] Univ Houston, Dept Ind Engn, Houston, TX 77204 USA; [Braun, Patricia R.; Han, Shizhong] Johns Hopkins Sch Med, Dept Psychiat &amp; Behav Sci, Baltimore, MD 21287 USA; [Han, Shizhong] Lieber Inst Brain Dev, Baltimore, MD 21205 USA</t>
  </si>
  <si>
    <t>University of Houston System; University of Houston; Johns Hopkins University; Johns Hopkins Medicine</t>
  </si>
  <si>
    <t>A multimodal deep learning model to infer cell-type-specific functional gene networks</t>
  </si>
  <si>
    <t>BMC BIOINFORMATICS</t>
  </si>
  <si>
    <t>Cell-type-specific functional gene networks; Multimodal deep learning; Single-nuclei gene expression; Global protein interaction networks</t>
  </si>
  <si>
    <t>EXPRESSION; DISCOVERY; DISEASE</t>
  </si>
  <si>
    <t>Han, Shizhong/H-5785-2011; Lin, Ying/AAE-1879-2020</t>
  </si>
  <si>
    <t>Lin, Ying/0000-0002-2020-8066</t>
  </si>
  <si>
    <t>1471-2105</t>
  </si>
  <si>
    <t>BMC Bioinformatics</t>
  </si>
  <si>
    <t>FEB 14 2023</t>
  </si>
  <si>
    <t>10.1186/s12859-023-05146-x</t>
  </si>
  <si>
    <t>http://dx.doi.org/10.1186/s12859-023-05146-x</t>
  </si>
  <si>
    <t>Biochemical Research Methods; Biotechnology &amp; Applied Microbiology; Mathematical &amp; Computational Biology</t>
  </si>
  <si>
    <t>Biochemistry &amp; Molecular Biology; Biotechnology &amp; Applied Microbiology; Mathematical &amp; Computational Biology</t>
  </si>
  <si>
    <t>9C9HX</t>
  </si>
  <si>
    <t>36788477</t>
  </si>
  <si>
    <t>WOS:000935720600001</t>
  </si>
  <si>
    <t>Xia, YJ; Zhou, J; Xun, XL; Zhang, J; Wei, T; Gao, RT; Reddy, B; Liu, C; Kim, G; Yu, ZS</t>
  </si>
  <si>
    <t>Objectives To develop a deep learning model combining CT scans and clinical information to predict overall survival in advanced hepatocellular carcinoma (HCC). Methods This retrospective study included immunotherapy-treated advanced HCC patients from 52 multi-national in-house centers between 2018 and 2022. A multi-modal prognostic model using baseline and the first follow-up CT images and 7 clinical variables was proposed. A convolutional-recurrent neural network (CRNN) was developed to extract spatial-temporal information from automatically selected representative 2D CT slices to provide a radiological score, then fused with a Cox-based clinical score to provide the survival risk. The model's effectiveness was assessed using a time-dependent area under the receiver operating curve (AUC), and risk group stratification using the log-rank test. Prognostic performances of multi-modal inputs were compared to models of missing modality, and the size-based RECIST criteria. Results Two-hundred seven patients (mean age, 61 years +/- 12 [SD], 180 men) were included. The multi-modal CRNN model reached the AUC of 0.777 and 0.704 of 1-year overall survival predictions in the validation and test sets. The model achieved significant risk stratification in validation (hazard ratio [HR] = 3.330, p = 0.008), and test sets (HR = 2.024, p = 0.047) based on the median risk score of the training set. Models with missing modalities (the single-modal imaging-based model and the model incorporating only baseline scans) can still achieve favorable risk stratification performance (all p &lt; 0.05, except for one, p = 0.053). Moreover, results proved the superiority of the deep learning-based model to the RECIST criteria. Conclusion Deep learning analysis of CT scans and clinical data can offer significant prognostic insights for patients with advanced HCC. Critical relevance statement The established model can help monitor patients' disease statuses and identify those with poor prognosis at the time of first follow-up, helping clinicians make informed treatment decisions, as well as early and timely interventions.</t>
  </si>
  <si>
    <t>Xia, Yujia; Zhou, Jie; Xun, Xiaolei; Zhang, Jin; Wei, Ting; Gao, Ruitian; Reddy, Bobby; Liu, Chao; Kim, Geoffrey; Yu, Zhangsheng</t>
  </si>
  <si>
    <t>Yu, ZS (corresponding author), Shanghai Jiao Tong Univ, Sch Life Sci &amp; Biotechnol, Dept Bioinformat &amp; Biostat, Shanghai, Peoples R China.; Yu, ZS (corresponding author), Shanghai Jiao Tong Univ, SJTU Yale Joint Ctr Biostat &amp; Data Sci, Sch Life Sci &amp; Biotechnol, Shanghai, Peoples R China.; Yu, ZS (corresponding author), Shanghai Jiao Tong Univ, Sch Math Sci, Dept Stat, Shanghai, Peoples R China.; Yu, ZS (corresponding author), Shanghai Jiao Tong Univ, Sch Med, Clin Res Inst, Shanghai, Peoples R China.</t>
  </si>
  <si>
    <t>yuzhangsheng@sjtu.edu.cn</t>
  </si>
  <si>
    <t>[Xia, Yujia; Wei, Ting; Gao, Ruitian; Yu, Zhangsheng] Shanghai Jiao Tong Univ, Sch Life Sci &amp; Biotechnol, Dept Bioinformat &amp; Biostat, Shanghai, Peoples R China; [Xia, Yujia; Zhou, Jie; Wei, Ting; Gao, Ruitian; Yu, Zhangsheng] Shanghai Jiao Tong Univ, SJTU Yale Joint Ctr Biostat &amp; Data Sci, Sch Life Sci &amp; Biotechnol, Shanghai, Peoples R China; [Zhou, Jie; Yu, Zhangsheng] Shanghai Jiao Tong Univ, Sch Math Sci, Dept Stat, Shanghai, Peoples R China; [Xun, Xiaolei] Beigene, Stat Global Stat &amp; Data Sci, Shanghai, Peoples R China; [Zhang, Jin; Reddy, Bobby; Liu, Chao; Kim, Geoffrey] PiHealth USA, Cambridge, MA USA; [Yu, Zhangsheng] Shanghai Jiao Tong Univ, Sch Med, Clin Res Inst, Shanghai, Peoples R China</t>
  </si>
  <si>
    <t>Shanghai Jiao Tong University; Shanghai Jiao Tong University; Shanghai Jiao Tong University; Shanghai Jiao Tong University</t>
  </si>
  <si>
    <t>CT-based multimodal deep learning for non-invasive overall survival prediction in advanced hepatocellular carcinoma patients treated with immunotherapy</t>
  </si>
  <si>
    <t>INSIGHTS INTO IMAGING</t>
  </si>
  <si>
    <t>Unresectable hepatocellular carcinoma; Computed tomography; Prognostic predictions; Multi-modal; Deep learning</t>
  </si>
  <si>
    <t>SEGMENTATION; PROGNOSIS; CANCER</t>
  </si>
  <si>
    <t>/AFI-6110-2022</t>
  </si>
  <si>
    <t>Yu, Zhangsheng/0000-0002-8189-5330</t>
  </si>
  <si>
    <t>SPRINGER WIEN</t>
  </si>
  <si>
    <t>Vienna</t>
  </si>
  <si>
    <t>Prinz-Eugen-Strasse 8-10, A-1040 Vienna, AUSTRIA</t>
  </si>
  <si>
    <t>1869-4101</t>
  </si>
  <si>
    <t>INSIGHTS IMAGING</t>
  </si>
  <si>
    <t>Insights Imaging</t>
  </si>
  <si>
    <t>AUG 26 2024</t>
  </si>
  <si>
    <t>214</t>
  </si>
  <si>
    <t>10.1186/s13244-024-01784-8</t>
  </si>
  <si>
    <t>http://dx.doi.org/10.1186/s13244-024-01784-8</t>
  </si>
  <si>
    <t>D8R7J</t>
  </si>
  <si>
    <t>39186192</t>
  </si>
  <si>
    <t>WOS:001298806400001</t>
  </si>
  <si>
    <t>Xie, NN; Liang, YW; Luo, ZX; Hu, J; Ge, RQ; Wan, X; Wang, CM; Zou, GN; Guo, F; Jiang, Y</t>
  </si>
  <si>
    <t>Purpose Early-stage cirrhosis frequently presents without symptoms, making timely identification of high-risk patients challenging. We aimed to develop a deep learning-based triple-modal fusion liver cirrhosis network (TMF-LCNet) for the prediction of adverse outcomes, offering a promising tool to enhance early risk assessment and improve clinical management strategies. Methods This retrospective study included 243 patients with early-stage cirrhosis across two centers. Adverse outcomes were defined as the development of severe complications like ascites, hepatic encephalopathy and variceal bleeding. TMF-LCNet was developed by integrating three types of data: non-contrast abdominal CT images, radiomic features extracted from liver and spleen, and clinical text detailing laboratory parameters and adipose tissue composition measurements. TMF-LCNet was compared with conventional methods on the same dataset, and single-modality versions of TMF-LCNet were tested to determine the impact of each data type. Model effectiveness was measured using the area under the receiver operating characteristics curve (AUC) for discrimination, calibration curves for model fit, and decision curve analysis (DCA) for clinical utility. Results TMF-LCNet demonstrated superior predictive performance compared to conventional image-based, radiomics-based, and multimodal methods, achieving an AUC of 0.797 in the training cohort (n = 184) and 0.747 in the external test cohort (n = 59). Only TMF-LCNet exhibited robust model calibration in both cohorts. Of the three data types, the imaging modality contributed the most, as the image-only version of TMF-LCNet achieved performance closest to the complete version (AUC = 0.723 and 0.716, respectively; p &gt; 0.05). This was followed by the text modality, with radiomics contributing the least, a pattern consistent with the clinical utility trends observed in DCA. Conclusion TMF-LCNet represents an accurate and robust tool for predicting adverse outcomes in early-stage cirrhosis by integrating multiple data types. It holds potential for early identification of high-risk patients, guiding timely interventions, and ultimately improving patient prognosis.</t>
  </si>
  <si>
    <t>Xie, Nanai; Liang, Yiwen; Luo, Zixin; Hu, Jing; Ge, Ruiquan; Wan, Xiang; Wang, Changmiao; Zou, Guannan; Guo, Feng; Jiang, Yi</t>
  </si>
  <si>
    <t>Jiang, Y (corresponding author), Chinese Univ Hong Kong, Affiliated Hosp 2, Shenzhen &amp; Longgang Dist Peoples Hosp Shenzhen, Sch Med,Dept Radiol, Shenzhen, Peoples R China.; Guo, F (corresponding author), Xinjiang Uygur Autonomous Reg Chinese Med Hosp, Dept Liver Dis, Urumqi, Peoples R China.</t>
  </si>
  <si>
    <t>echo.hj.9120@163.com; gf_sj@163.com; lzxxx_9921@163.com; cmwangalbert@gmail.com; lywenn@163.com; gespring@hdu.edu.cn; jacky_1001@163.com; wanxiang@sribd.cn; xienanai@163.com; zgn18718211753@163.com</t>
  </si>
  <si>
    <t>[Xie, Nanai; Liang, Yiwen; Luo, Zixin; Zou, Guannan; Jiang, Yi] Chinese Univ Hong Kong, Affiliated Hosp 2, Shenzhen &amp; Longgang Dist Peoples Hosp Shenzhen, Sch Med,Dept Radiol, Shenzhen, Peoples R China; [Hu, Jing] Shukun Technol Co Ltd, Beijing, Peoples R China; [Ge, Ruiquan] Hangzhou Dianzi Univ, Sch Comp Sci, Hangzhou, Peoples R China; [Wan, Xiang; Wang, Changmiao] Shenzhen Res Inst Big Data, Med Big Data Lab, Shenzhen, Peoples R China; [Guo, Feng] Xinjiang Uygur Autonomous Reg Chinese Med Hosp, Dept Liver Dis, Urumqi, Peoples R China</t>
  </si>
  <si>
    <t>Longgang District People's Hospital, Shenzhen; The Chinese University of Hong Kong, Shenzhen; Hangzhou Dianzi University; Shenzhen Research Institute of Big Data</t>
  </si>
  <si>
    <t>Early prediction of adverse outcomes in liver cirrhosis using a CT-based multimodal deep learning model</t>
  </si>
  <si>
    <t>Liver cirrhosis; Prognosis; Computed tomography; Deep learning; Radiomics; Adipose tissue</t>
  </si>
  <si>
    <t>MANAGEMENT; GUIDELINES; FEATURES</t>
  </si>
  <si>
    <t>Ge, Ruiquan/AEY-6870-2022; Wang, Changmiao/LIG-0945-2024</t>
  </si>
  <si>
    <t>Wang, Changmiao/0000-0003-2466-5990</t>
  </si>
  <si>
    <t>137</t>
  </si>
  <si>
    <t>150</t>
  </si>
  <si>
    <t>10.1007/s00261-025-05045-0</t>
  </si>
  <si>
    <t>http://dx.doi.org/10.1007/s00261-025-05045-0</t>
  </si>
  <si>
    <t>DC5LJ</t>
  </si>
  <si>
    <t>40576670</t>
  </si>
  <si>
    <t>WOS:001518892800001</t>
  </si>
  <si>
    <t>Fard, RS; Agu, E; Busaranuvong, P; Kumar, D; Gautam, S; Tulu, B; Strong, D</t>
  </si>
  <si>
    <t>Chronic wounds affect 8.5 million Americans, especially the elderly and patients with diabetes. As regular care is critical for proper healing, many patients receive care in their homes from visiting nurses and caregivers with variable wound expertise. Problematic, non-healing wounds should be referred to experts in wound clinics to avoid adverse outcomes such as limb amputations. Unfortunately, due to the lack of wound expertise, referral decisions made in non-clinical settings can be erroneous, delayed or unnecessary. This paper proposes the Deep Multimodal Wound Assessment Tool (DM-WAT), a novel machine learning framework to support visiting nurses by recommending wound referral decisions from smartphone-captured wound images and associated clinical notes. DM-WAT extracts visual features from wound images using DeiT-Base-Distilled, a Vision Transformer (ViT) architecture. Distillation-based training facilitates representation learning and knowledge transfer from a larger teacher model to DeiT-Base, enabling robust performance on our small wound image dataset of 205 wound images. DM-WAT extracts text features from clinical notes using DeBERTa-base, which comprehends context by disentangling content and position information from clinical notes. Visual and text features are combined using an intermediate fusion approach. To overcome the challenges posed by a small and imbalanced dataset, DM-WAT integrates image and text augmentation along with transfer learning via pre-trained feature extractors to achieve high performance. In rigorous evaluation, DM-WAT achieved an accuracy of 77% +/- 3% and an F1 score of 70% +/- 2%, outperforming the prior state of the art and all baseline single-modality and multimodal approaches. Additionally, to interpret DM-WAT's recommendations, the Score-CAM and Captum interpretation algorithms provided insights into the specific parts of the image and text inputs that the model focused on during decision-making.</t>
  </si>
  <si>
    <t>Fard, Reza Saadati; Agu, Emmanuel; Busaranuvong, Palawat; Kumar, Deepak; Gautam, Shefalika; Tulu, Bengisu; Strong, Diane</t>
  </si>
  <si>
    <t>Fard, RS (corresponding author), Worcester Polytech Inst, Dept Comp Sci, Worcester, MA 01609 USA.</t>
  </si>
  <si>
    <t>rsaadatifard@wpi.edu</t>
  </si>
  <si>
    <t>Academic and Research Computing Group; Worcester Polytechnic Institute</t>
  </si>
  <si>
    <t>This research was performed using computational resources supported by the Academic and Research Computing Group, Worcester Polytechnic Institute.</t>
  </si>
  <si>
    <t>[Fard, Reza Saadati; Agu, Emmanuel; Kumar, Deepak] Worcester Polytech Inst, Dept Comp Sci, Worcester, MA 01609 USA; [Busaranuvong, Palawat; Gautam, Shefalika] Worcester Polytech Inst, Dept Data Sci, Worcester, MA 01609 USA; [Tulu, Bengisu; Strong, Diane] Worcester Polytech Inst, Business Sch, Worcester, MA 01609 USA</t>
  </si>
  <si>
    <t>Worcester Polytechnic Institute; Worcester Polytechnic Institute; Worcester Polytechnic Institute</t>
  </si>
  <si>
    <t>Multimodal AI for Home Wound Patient Referral Decisions From Images With Specialist Annotations</t>
  </si>
  <si>
    <t>IEEE JOURNAL OF TRANSLATIONAL ENGINEERING IN HEALTH AND MEDICINE</t>
  </si>
  <si>
    <t>Chronic wounds; wound care patient referral; machine learning</t>
  </si>
  <si>
    <t>COMPENDIUM; BURDEN</t>
  </si>
  <si>
    <t>Saadati Fard, Reza/0009-0005-9065-3084</t>
  </si>
  <si>
    <t>2168-2372</t>
  </si>
  <si>
    <t>IEEE J TRANSL ENG HE</t>
  </si>
  <si>
    <t>IEEE J. Transl. Eng. Health Med.-JTEHM</t>
  </si>
  <si>
    <t>341</t>
  </si>
  <si>
    <t>353</t>
  </si>
  <si>
    <t>10.1109/JTEHM.2025.3588427</t>
  </si>
  <si>
    <t>http://dx.doi.org/10.1109/JTEHM.2025.3588427</t>
  </si>
  <si>
    <t>FG7QM</t>
  </si>
  <si>
    <t>40740838</t>
  </si>
  <si>
    <t>WOS:001718370200001</t>
  </si>
  <si>
    <t>Du, Q; Kuang, XJ; Huang, JC; Liang, JC; Li, DL; Yang, SJ</t>
  </si>
  <si>
    <t>This study proposes a physics-guided multimodal deep learning method for predicting rock brittleness from integrated microstructural and compositional data. The multimodal framework was constructed by integrating scanning electron microscopy (SEM), energy dispersive spectroscopy (EDS), and X-ray diffraction (XRD) data. Vision Transformers were employed for microstructural image analysis, while specialized neural networks were designed for compositional data processing. Feature fusion was achieved through attention-based mechanisms to maintain physical interpretability. The multimodal approach significantly outperformed single-modality methods (R2 = 0.995, RMSE = 0.065, MAE = 0.051). Feature correlation analysis was conducted to identify key determinants, revealing Si/Al ratio, quartz content, and porosity as primary controlling factors. Laboratory validation was performed using three representative rock types (granite, red sandstone, and green sandstone) through uniaxial compression tests. The model predictions showed excellent agreement with experimental brittleness indices, demonstrating superior discrimination capability with expanded dynamic range compared to traditional methods (B1, B2). Fragmentation analysis using mean particle size (dm) provided additional validation, confirming the trend that predicted brittleness increases as post-failure particle size decreases. Granite samples exhibited the highest brittleness (Bpred = 3.62-4.87) and finest fragmentation (dm = 16.8-19.5 mm), while green sandstone showed the lowest brittleness (Bpred = 0.74-0.95) and coarsest fragmentation (dm = 21.3-30.7 mm). The results demonstrate that the proposed multimodal deep learning framework effectively captures the complex relationships between microstructural features and rock brittleness, offering significant potential for accurate brittleness prediction and enhanced understanding of rock failure mechanisms.</t>
  </si>
  <si>
    <t>Du, Qing; Kuang, Xiaoju; Huang, Jiancheng; Liang, Jincheng; Li, Danli; Yang, Shijiao</t>
  </si>
  <si>
    <t>Yang, SJ (corresponding author), Univ South China, Sch Resources Environm &amp; Safety Engn, Hengyang 421001, Peoples R China.</t>
  </si>
  <si>
    <t>15598002230@163.com</t>
  </si>
  <si>
    <t>[Du, Qing; Huang, Jiancheng; Liang, Jincheng; Yang, Shijiao] Univ South China, Sch Resources Environm &amp; Safety Engn, Hengyang 421001, Peoples R China; [Kuang, Xiaoju] Jiangnan Univ, Coll Text Sci &amp; Engn, Wuxi 214122, Peoples R China; [Li, Danli] Sichuan Univ, Coll Water Resource &amp; Hydropower, Chengdu 610065, Peoples R China</t>
  </si>
  <si>
    <t>University of South China; Jiangnan University; Sichuan University</t>
  </si>
  <si>
    <t>Physics-guided multimodal deep learning reveals determinants of rock brittleness across scales</t>
  </si>
  <si>
    <t>INTERNATIONAL JOURNAL OF ROCK MECHANICS AND MINING SCIENCES</t>
  </si>
  <si>
    <t>Rock brittleness; Multimodal data fusion; Vision transformer; Physical mechanism; Multiscale characterization</t>
  </si>
  <si>
    <t>SHALE; DISCOVERY; STRENGTH; BASIN</t>
  </si>
  <si>
    <t>Li, Danli/HKO-0235-2023</t>
  </si>
  <si>
    <t>Yang, Shijiao/0009-0004-0944-211X</t>
  </si>
  <si>
    <t>1365-1609</t>
  </si>
  <si>
    <t>1873-4545</t>
  </si>
  <si>
    <t>INT J ROCK MECH MIN</t>
  </si>
  <si>
    <t>Int. J. Rock Mech. Min. Sci.</t>
  </si>
  <si>
    <t>194</t>
  </si>
  <si>
    <t>106225</t>
  </si>
  <si>
    <t>10.1016/j.ijrmms.2025.106225</t>
  </si>
  <si>
    <t>http://dx.doi.org/10.1016/j.ijrmms.2025.106225</t>
  </si>
  <si>
    <t>Engineering, Geological; Mining &amp; Mineral Processing</t>
  </si>
  <si>
    <t>Engineering; Mining &amp; Mineral Processing</t>
  </si>
  <si>
    <t>5VV3V</t>
  </si>
  <si>
    <t>WOS:001545545500002</t>
  </si>
  <si>
    <t>Wang, CC; Liu, WK; Ai, DM; Liu, XQ</t>
  </si>
  <si>
    <t>Background Immune checkpoint inhibitor (ICI) therapy has significantly improved treatment outcomes for various cancers by enhancing T cell-mediated anti-tumor immune responses. However, accurately predicting patient response to ICI treatment remains a major challenge due to the risk of immune-related adverse events. Microsatellite instability (MSI), as an important molecular biomarker characterized by high mutation rates and abundant tumor neoantigen production, has been demonstrated to effectively predict clinical benefits from immunotherapy. In gastric adenocarcinoma (STAD) patients, approximately 22% exhibit the MSI subtype while the majority are microsatellite stable (MSS). This significant molecular heterogeneity underscores the urgent need to develop reliable predictive tools.Methods To address this problem, we developed a multimodal deep learning model named ProMMF_Kron based on a multicenter dataset comprising 282 patients. The model employs a two stage feature fusion strategy: first extracting key features from both molecular profiles and pathological images through differential gene analysis and a pretrained deep convolutional neural network, respectively; then designing a sophisticated fusion architecture incorporating Kronecker product operations and back-projection modules to achieve efficient interaction between gene expression features and pathological image features. The dataset was partitioned into training, validation, and testing sets at a ratio of 6:2:2.Results Experimental results demonstrate that the ProMMF_Kron model effectively distinguishes between MSI and MSS subtypes (MSI versus MSS) and exhibits competitive predictive performance on independent test datasets, achieving an AUC of 0.96 (95% CI: 0.89-1.00), outperforming traditional single-modality prediction models (3.2% AUC improvement) and other multimodal fusion approaches (4.3% AUC improvement). Further validation confirms the model's excellent stability and generalization capability, maintaining high predictive accuracy on colorectal cancer (CRC) dataset.Discussion Through bioinformatics analysis and feature visualization techniques, this study also reveals potential associations between key molecular biomarkers and critical immune regulatory pathways, providing a powerful decision-support tool for precision immunotherapy in gastric cancer with substantial clinical translation value and application prospects.</t>
  </si>
  <si>
    <t>Wang, Chenchen; Liu, Weikun; Ai, Dongmei; Liu, Xiuqin</t>
  </si>
  <si>
    <t>Liu, XQ (corresponding author), Univ Sci &amp; Technol Beijing, Sch Math &amp; Phys, Beijing, Peoples R China.</t>
  </si>
  <si>
    <t>b0001428@ustb.edu.cn</t>
  </si>
  <si>
    <t>Fundamental Research Funds for the Central Universities (Interdisciplinary Research Project for Young Teachers of USTB) [FRF-IDRY-24-024]</t>
  </si>
  <si>
    <t>Fundamental Research Funds for the Central Universities (Interdisciplinary Research Project for Young Teachers of USTB)</t>
  </si>
  <si>
    <t>The author(s) declared that financial support was received for this work and/or its publication. The work is supported by the Fundamental Research Funds for the Central Universities (Interdisciplinary Research Project for Young Teachers of USTB, Grant No. FRF-IDRY-24-024).</t>
  </si>
  <si>
    <t>[Wang, Chenchen; Liu, Weikun; Ai, Dongmei; Liu, Xiuqin] Univ Sci &amp; Technol Beijing, Sch Math &amp; Phys, Beijing, Peoples R China</t>
  </si>
  <si>
    <t>University of Science &amp; Technology Beijing</t>
  </si>
  <si>
    <t>ProMMF_Kron: a multimodal deep learning model for immunotherapy response prediction in stomach adenocarcinoma</t>
  </si>
  <si>
    <t>microsatellite instability; ICI therapy; multimodal data; deep learning; stomach adenocarcinoma</t>
  </si>
  <si>
    <t>MICROSATELLITE INSTABILITY; CHECKPOINT BLOCKADE; CANCER-IMMUNITY; THERAPY; NIVOLUMAB; FUTURE</t>
  </si>
  <si>
    <t>FEB 10 2026</t>
  </si>
  <si>
    <t>1602846</t>
  </si>
  <si>
    <t>10.3389/fimmu.2026.1602846</t>
  </si>
  <si>
    <t>http://dx.doi.org/10.3389/fimmu.2026.1602846</t>
  </si>
  <si>
    <t>EC1AA</t>
  </si>
  <si>
    <t>41743737</t>
  </si>
  <si>
    <t>WOS:001697538000001</t>
  </si>
  <si>
    <t>Zhu, YX; Wu, J; Long, QX; Li, Y; Luo, H; Pang, L; Zhu, L; Luo, H</t>
  </si>
  <si>
    <t>Objective: This study aimed to develop and validate a multimodal deep learning model that utilizes preoperative grayscale and contrast-enhanced ultrasound (CEUS) video data for noninvasive WHO/ISUP nuclear grading of renal cell carcinoma (RCC). Methods: In this dual-center retrospective study, CEUS videos from 100 patients with RCC collected between June 2012 and June 2021 were analyzed. A total of 6,293 ultrasound images were categorized into low-grade (G1-G2) and high-grade (G3-G4) groups. A novel model, the Multimodal Ultrasound Fusion Network (MUF-Net), integrated B-mode and CEUS modalities to extract and fuse image features using a weighted sum of predicted weights. Model performance was assessed using five-fold cross-validation and compared to single-modality models. Grad-CAM visualization highlighted key regions influencing the model's predictions. Results: MUF-Net achieved an accuracy of 85.9%, outperforming B-mode (80.8%) and CEUS-mode (81.8%, P &lt; 0.05) models. Sensitivities were 85.1%, 80.2%, and 77.8%, while specificities were 86.0%, 82.5%, and 82.7%, respectively. The AUC of MUF-Net (0.909, 95% CI: 0.829-0.990) was superior to B-mode (0.838, 95% CI: 0.689-0.988) and CEUS-mode (0.845, 95% CI: 0.745-0.944). Grad-CAM analysis revealed distinct and complementary salient regions across modalities. Conclusion: MUF-Net provides accurate and interpretable RCC nuclear grading, surpassing unimodal approaches, with Grad-CAM offering intuitive insights into the model's predictions.</t>
  </si>
  <si>
    <t>Zhu, Yixin; Wu, Ji; Long, Qiongxian; Li, Yan; Luo, Hao; Pang, Lu; Zhu, Lin; Luo, Hui</t>
  </si>
  <si>
    <t>Zhu, L (corresponding author), Shenzhen Mindray Biomed Elect Co Ltd, Dept Clin &amp; Res, Shenzhen, Peoples R China.; Luo, H (corresponding author), Jinan Univ, Shenzhen Peoples Hosp, Clin Med Coll 2, Dept Ultrasound, Shenzhen, Guangdong, Peoples R China.</t>
  </si>
  <si>
    <t>luoh98@sina.com; zhulin@kmmu.edu.cn</t>
  </si>
  <si>
    <t>Shenzhen Key Medical Discipline Construction Fund [SZXK051]; Sanming Project of Medicine in Shenzhen [SZSM202111011]; Shenzhen Natural Science Foundation [JCYJ20240806134133002]</t>
  </si>
  <si>
    <t>Shenzhen Key Medical Discipline Construction Fund; Sanming Project of Medicine in Shenzhen; Shenzhen Natural Science Foundation</t>
  </si>
  <si>
    <t>The author(s) declare that financial support was received for the research and/or publication of this article. This project was supported by the Shenzhen Key Medical Discipline Construction Fund (No. SZXK051), by Sanming Project of Medicine in Shenzhen (No. SZSM202111011), and the Shenzhen Natural Science Foundation (JCYJ20240806134133002).</t>
  </si>
  <si>
    <t>[Zhu, Yixin] Peking Univ, Shenzhen Hosp, Dept Ultrasound, Shenzhen, Guangdong, Peoples R China; [Wu, Ji] North Sichuan Med Coll, Affiliated Nanchong Cent Hosp, Dept Urol, Nanchong, Sichuan, Peoples R China; [Long, Qiongxian] North Sichuan Med Coll, Affiliated Nanchong Cent Hosp, Dept Pathol, Nanchong, Sichuan, Peoples R China; [Li, Yan; Luo, Hao; Pang, Lu] North Sichuan Med Coll, Affiliated Nanchong Cent Hosp, Dept Ultrasound, Nanchong, Sichuan, Peoples R China; [Zhu, Lin] Shenzhen Mindray Biomed Elect Co Ltd, Dept Clin &amp; Res, Shenzhen, Peoples R China; [Luo, Hui] Jinan Univ, Shenzhen Peoples Hosp, Clin Med Coll 2, Dept Ultrasound, Shenzhen, Guangdong, Peoples R China</t>
  </si>
  <si>
    <t>Peking University; North Sichuan Medical University; North Sichuan Medical University; North Sichuan Medical University; Jinan University</t>
  </si>
  <si>
    <t>Multimodal deep learning with MUF-net for noninvasive WHO/ISUP grading of renal cell carcinoma using CEUS and B-mode ultrasound</t>
  </si>
  <si>
    <t>FRONTIERS IN PHYSIOLOGY</t>
  </si>
  <si>
    <t>renal tumor; artificial intelligence; classification; deep learning; WHO/ISUP grading system; contrast-enhanced ultrasound</t>
  </si>
  <si>
    <t>ISUP</t>
  </si>
  <si>
    <t>1664-042X</t>
  </si>
  <si>
    <t>FRONT PHYSIOL</t>
  </si>
  <si>
    <t>Front. Physiol.</t>
  </si>
  <si>
    <t>MAR 7 2025</t>
  </si>
  <si>
    <t>1558997</t>
  </si>
  <si>
    <t>10.3389/fphys.2025.1558997</t>
  </si>
  <si>
    <t>http://dx.doi.org/10.3389/fphys.2025.1558997</t>
  </si>
  <si>
    <t>Physiology</t>
  </si>
  <si>
    <t>0KG4V</t>
  </si>
  <si>
    <t>40124951</t>
  </si>
  <si>
    <t>WOS:001449371000001</t>
  </si>
  <si>
    <t>Assudani, PJ; Krishna, VR</t>
  </si>
  <si>
    <t>Early diagnosis, the correct diagnosis of plant diseases is important to ensure sustainable agriculture and the minimalization of the loss of production. Traditional approaches of plant disease detection, which involve manual inspection and single modal imaging, are highly cumbersome, erroneous and lack in capturing the niche characteristics of the disease. Some recent achievements of deep learning advocate for possible automatic plant disease diagnosis; however, still most of the current models are plagued from low generalization capability, high computational cost and the issue of real time implementation. To alleviate these difficulties, this article introduces a brand-new multiple-mode deep learning framework, that combines RGB, hyperspectral and thermal imaging to take on the task of setting up precision and efficiency for plant disease detection. The described framework makes use of EfficientNetbased CNN for spatial feature extraction from RGB images, 1D-CNN for hyperspectral spectral feature learning and Vision Transformers (ViT) for learning long-range contextual dependencies. Above sensor-features are fused by Means of weighted summation methodology, dynamically adjusts contribution of per modality to Obtain endurance and accurate. To achieve real-time performance, the model is optimized via quantization, knowledge distillation and model pruning, with a substantial decrease in its computational load. The final optimal model is implemented in NVIDIA Jetson Nano to allow low-latency inference supporting high precision agriculture. The results of the experimental results show, the proposed multi-modal framework has achieved 97.8% accuracy, 96.5% precision, 95.7% recall and 96.1% score of F, all far exceed traditional deep learning models of ResNet-50, VGG-16, EfficientNet and Vision Transformers (ViT). Moreover, the framework offers inferences in 20 milliseconds, which makes it really suitable for real-time applications. Accomplishing a successful integration of multi-modal data fusion and model optimization not only increase classification performance, but also makes the solution/matter practical and deployable in real-world agricultural environment. The proposed framework provides a hopeful solution to smart farming, which provides a possibility of detecting disease early and managing effectively the crops.</t>
  </si>
  <si>
    <t>Assudani, Purshottam J.; Krishna, V. Rama</t>
  </si>
  <si>
    <t>Assudani, PJ (corresponding author), Ramdeobaba Univ, Sch Comp Sci &amp; Engn, Nagpur, India.</t>
  </si>
  <si>
    <t>pjassudani@gmail.com</t>
  </si>
  <si>
    <t>[Assudani, Purshottam J.] Ramdeobaba Univ, Sch Comp Sci &amp; Engn, Nagpur, India; [Krishna, V. Rama] Anurag Univ, Sch Engn, Hyderabad, India</t>
  </si>
  <si>
    <t>Ramdeobaba University, Nagpur</t>
  </si>
  <si>
    <t>Multimodal Deep Learning Framework for Proactive Plant Disease Diagnosis</t>
  </si>
  <si>
    <t>METALLURGICAL &amp; MATERIALS ENGINEERING</t>
  </si>
  <si>
    <t>RGB Imaging; Hyperspectral Imaging; Thermal Imaging; Convolutional Neural Network (CNN); Vision Transformer (ViT); Real-Time Inference; Knowledge Distillation; Model Quantization</t>
  </si>
  <si>
    <t>Assudani, Purshottam/AAY-5039-2021</t>
  </si>
  <si>
    <t>TechnoFit Acad Publishers LLC</t>
  </si>
  <si>
    <t>Dover</t>
  </si>
  <si>
    <t>611 South DuPont Highway, Dover, DE, UNITED STATES</t>
  </si>
  <si>
    <t>2217-8961</t>
  </si>
  <si>
    <t>2812-9105</t>
  </si>
  <si>
    <t>METALL MATER ENG</t>
  </si>
  <si>
    <t>Metall. Mater. Eng.</t>
  </si>
  <si>
    <t>153</t>
  </si>
  <si>
    <t>161</t>
  </si>
  <si>
    <t>Metallurgy &amp; Metallurgical Engineering</t>
  </si>
  <si>
    <t>1ZT0N</t>
  </si>
  <si>
    <t>WOS:001477509500009</t>
  </si>
  <si>
    <t>Bowd, C; Belghith, A; Rezapour, J; Christopher, M; Jonas, JB; Hyman, L; Fazio, MA; Weinreb, RN; Zangwill, LM</t>
  </si>
  <si>
    <t>Precis: An optical coherence tomography (OCT)-based multimodal deep learning (DL) classification model, including texture information, is introduced that outperforms single-modal models and multimodal models without texture information for glaucoma diagnosis in eyes with and without high myopia. Background/Aims: To evaluate the diagnostic accuracy of a multimodal DL classifier using wide OCT optic nerve head cube scans in eyes with and without axial high myopia. Materials and Methods: Three hundred seventy-one primary open angle glaucoma (POAG) eyes and 86 healthy eyes, all without axial high myopia [axial length (AL) &lt;= 26 mm] and 92 POAG eyes and 44 healthy eyes, all with axial high myopia (AL &gt; 26 mm) were included. The multimodal DL classifier combined features of 3 individual VGG-16 models: (1) texture-based en face image, (2) retinal nerve fiber layer (RNFL) thickness map image, and (3) confocal scanning laser ophthalmoscope (cSLO) image. Age, AL, and disc area adjusted area under the receiver operating curves were used to compare model accuracy. Results: Adjusted area under the receiver operating curve for the multimodal DL model was 0.91 (95% CI = 0.87, 0.95). This value was significantly higher than the values of individual models [0.83 (0.79, 0.86) for texture-based en face image; 0.84 (0.81, 0.87) for RNFL thickness map; and 0.68 (0.61, 0.74) for cSLO image; all P &lt;= 0.05]. Using only highly myopic eyes, the multimodal DL model showed significantly higher diagnostic accuracy [0.89 (0.86, 0.92)] compared with texture en face image [0.83 (0.78, 0.85)], RNFL [0.85 (0.81, 0.86)] and cSLO image models [0.69 (0.63, 0.76)] (all P &lt;= 0.05). Conclusions: Combining OCT-based RNFL thickness maps with texture-based en face images showed a better ability to discriminate between healthy and POAG than thickness maps alone, particularly in high axial myopic eyes.</t>
  </si>
  <si>
    <t>Bowd, Christopher; Belghith, Akram; Rezapour, Jasmin; Christopher, Mark; Jonas, Jost B.; Hyman, Leslie; Fazio, Massimo A.; Weinreb, Robert N.; Zangwill, Linda M.</t>
  </si>
  <si>
    <t>Zangwill, LM (corresponding author), Shiley Eye Inst, Hamilton Glaucoma Ctr, Viterbi Family Dept Ophthalmol, 9500 Gilman Dr Jolla, San Diego, CA 92093 USA.</t>
  </si>
  <si>
    <t>jost.jonas@medma.uni-heidelberg.de; cbowd@health.ucsd.edu; LHyman@willseye.org; akrambelghith@gmail.com; jasmin.rezapour@googlemail.com; rweinreb@health.ucsd.edu; massimofazio@uabmc.edu; mark.allen.christopher@gmail.com; lzangwill@ucsd.edu</t>
  </si>
  <si>
    <t>National Institutes of Health (Bethesda, MA) [R01EY027510, P30EY022589, K99EY030942, R01EY029058]; German Research Foundation [RE 4155/1-1]; German Ophthalmological Society Grant; Eye-sight Foundation of Alabama; Research to Prevent Blindness (New York, NY); National Eye Institute [R01EY027510, P30EY022589, K99EY030942, R01EY029058] Funding Source: NIH RePORTER</t>
  </si>
  <si>
    <t>National Institutes of Health (Bethesda, MA) (United States Department of Health &amp; Human Services, National Institutes of Health (NIH) - USA); German Research Foundation (German Research Foundation (DFG)); German Ophthalmological Society Grant; Eye-sight Foundation of Alabama; Research to Prevent Blindness (New York, NY) (Research to Prevent Blindness (RPB)); National Eye Institute (United States Department of Health &amp; Human Services, National Institutes of Health (NIH) - USA, NIH National Eye Institute (NEI))</t>
  </si>
  <si>
    <t>This study was supported by the National Institutes of Health (Bethesda, MA) R01EY027510 (L.M.Z.), P30EY022589 (L.M.Z.), K99EY030942 (M.C.), R01EY029058; German Research Foundation (RE 4155/1-1); German Ophthalmological Society Grant; Eye-sight Foundation of Alabama; An unrestricted grant from Research to Prevent Blindness (New York, NY).</t>
  </si>
  <si>
    <t>[Bowd, Christopher; Belghith, Akram; Rezapour, Jasmin; Christopher, Mark; Weinreb, Robert N.; Zangwill, Linda M.] Hamilton Glaucoma Ctr, Shiley Eye Inst, Viterbi Family Dept Ophthalmol, La Jolla, CA USA; [Rezapour, Jasmin] Univ Med Ctr Johannes Gutenberg Univ Mainz, Dept Ophthalmol, Mainz, Germany; [Jonas, Jost B.] Heidelberg Univ, Dept Ophthalmol, Mannheim, Germany; [Hyman, Leslie] Thomas Jefferson Univ, Wills Eye Hosp, Vickie &amp; Jack Farber Vis Res Ctr, Philadelphia, PA USA; [Fazio, Massimo A.] Univ Alabama Birmingham, Dept Ophthalmol &amp; Visual Sci, Birmingham, AL USA; [Zangwill, Linda M.] Shiley Eye Inst, Hamilton Glaucoma Ctr, Viterbi Family Dept Ophthalmol, 9500 Gilman Dr Jolla, San Diego, CA 92093 USA</t>
  </si>
  <si>
    <t>Johannes Gutenberg University of Mainz; Ruprecht Karls University Heidelberg; Thomas Jefferson University; University of Alabama System; University of Alabama Birmingham</t>
  </si>
  <si>
    <t>Multimodal Deep Learning Classifier for Primary Open Angle Glaucoma Diagnosis Using Wide-Field Optic Nerve Head Cube Scans in Eyes With and Without High Myopia</t>
  </si>
  <si>
    <t>JOURNAL OF GLAUCOMA</t>
  </si>
  <si>
    <t>glaucoma; myopia; optical coherence tomography; deep learning; multimodal; classification</t>
  </si>
  <si>
    <t>COHERENCE TOMOGRAPHY; ACCURACY; THICKNESS; PERIMETRY; IMPROVES; HEALTHY</t>
  </si>
  <si>
    <t>Jonas, Jost/AEP-3841-2022</t>
  </si>
  <si>
    <t>1057-0829</t>
  </si>
  <si>
    <t>1536-481X</t>
  </si>
  <si>
    <t>J GLAUCOMA</t>
  </si>
  <si>
    <t>J. Glaucoma</t>
  </si>
  <si>
    <t>841</t>
  </si>
  <si>
    <t>847</t>
  </si>
  <si>
    <t>10.1097/IJG.0000000000002267</t>
  </si>
  <si>
    <t>http://dx.doi.org/10.1097/IJG.0000000000002267</t>
  </si>
  <si>
    <t>T3QQ4</t>
  </si>
  <si>
    <t>37523623</t>
  </si>
  <si>
    <t>WOS:001077170100010</t>
  </si>
  <si>
    <t>Lyu, Y; Wu, HM; Chen, R; Hong, J; Chen, CF; Shi, YJ; Wang, YQ; Yan, HX; Xu, J</t>
  </si>
  <si>
    <t>Background Cardiovascular diseases (CVDs), particularly coronary artery disease (CAD) and its severe sequela, heart failure (HF), pose a massive global public health burden, necessitating efficient, non-invasive early screening tools. Traditional Chinese Medicine (TCM) offers a unique holistic diagnostic paradigm through "four examinations," where "pulse diagnosis" (Mai Zhen, perceiving internal hemodynamics) and "auscultation-olfaction diagnosis" (Wen Zhen, assessing external systemic manifestations via voice) are pivotal. However, these subjective methods lack objective quantification. This study aims to scientifically operationalize the TCM "combined diagnosis" (He-Can) principle for automated CVD discrimination through a prediction model development and validation study. Methods We implemented a rigorous multimodal data acquisition protocol. Radial artery pulse waves (reflecting TCM pulse diagnosis) were collected under standardized conditions, and vocal signals (reflecting TCM auscultation) of sustained /a:/ phonation were synchronously recorded from 553 subjects (Healthy, CAD, HF). To assess the potential added value of multimodal integration, we systematically compared single-modality models (pulse-only and voice-only) with multimodal fusion models using four deep learning architectures (MLP, GAN-Discriminator, ResNet-MLP, and Bi-LSTM) under ten-fold cross-validation. Results In an independent external validation cohort (n = 194), the fused model achieved an accuracy of 0.7165 and an AUC of 0.8454, indicating maintained performance on unseen data. Explainable AI analyses (SHAP and LIME) suggested that the model's predictions drew on both pulse-derived hemodynamic features and vocal acoustic features. Among the higher-contributing features were pulse dynamic variables (e.g., t(3)/t(max)) and vocal acoustic biomarkers (e.g., MFCCs), suggesting that both modalities contributed to model predictions. Implication This study provides empirical support for the feasibility of digitally integrating selected TCM-informed diagnostic signals within a prediction model framework. By digitizing and integrating pulse and voice signals, we developed a multimodal prediction model with potential utility for non-invasive cardiovascular screening in primary care, while linking the TCM concept of combined diagnosis with contemporary artificial intelligence and cardiovascular physiology.</t>
  </si>
  <si>
    <t>Lyu, Yi; Wu, Hai-Mei; Chen, Rui; Hong, Jing; Chen, Chun-Feng; Shi, Yu-Jing; Wang, Yi-Qin; Yan, Hai-Xia; Xu, Jin</t>
  </si>
  <si>
    <t>Yan, HX; Xu, J (corresponding author), Shanghai Univ Tradit Chinese Med, Sch Tradit Chinese Med, Shanghai 201203, Peoples R China.; Yan, HX; Xu, J (corresponding author), Shanghai Key Lab Hlth Identificat &amp; Assessment, Shanghai 201203, Peoples R China.</t>
  </si>
  <si>
    <t>xujin3264@hotmail.com; hjy2012ok@163.com</t>
  </si>
  <si>
    <t>Internal development of Shanghai Institute of International Standardization of Traditional Chinese Medicine [BZH-N26-01]; Shanghai Key Laboratory of Health Identification and Assessment Project [21DZ2271000]; National Natural Science Foundation of China [81973749]; Science and Technology Development Project of Shanghai University of Traditional Chinese Medicine [24KFL011]; Construction of a High Ground for International Standardization of Traditional Chinese Medicine [ZY(2021-2023)-0212]</t>
  </si>
  <si>
    <t>Internal development of Shanghai Institute of International Standardization of Traditional Chinese Medicine; Shanghai Key Laboratory of Health Identification and Assessment Project; National Natural Science Foundation of China (National Natural Science Foundation of China (NSFC)); Science and Technology Development Project of Shanghai University of Traditional Chinese Medicine; Construction of a High Ground for International Standardization of Traditional Chinese Medicine</t>
  </si>
  <si>
    <t>This work is supported by Shanghai Key Laboratory of Health Identification and Assessment Project (Grant No. 21DZ2271000), Science and Technology Development Project of Shanghai University of Traditional Chinese Medicine (Grant No. 24KFL011), Internal development of Shanghai Institute of International Standardization of Traditional Chinese Medicine (Grant No. BZH-N26-0103), National Natural Science Foundation of China (Grant No. 81973749) and Construction of a High Ground for International Standardization of Traditional Chinese Medicine (Grant No. ZY(2021-2023)-0212).</t>
  </si>
  <si>
    <t>[Lyu, Yi; Hong, Jing; Wang, Yi-Qin; Yan, Hai-Xia; Xu, Jin] Shanghai Univ Tradit Chinese Med, Sch Tradit Chinese Med, Shanghai 201203, Peoples R China; [Lyu, Yi; Hong, Jing; Wang, Yi-Qin; Yan, Hai-Xia; Xu, Jin] Shanghai Key Lab Hlth Identificat &amp; Assessment, Shanghai 201203, Peoples R China; [Wu, Hai-Mei; Chen, Chun-Feng] Shanghai Lingyun Community Hlth Serv Ctr, Shanghai 200237, Peoples R China; [Chen, Rui] Suzhou Global Inst, Suzhou 215163, Peoples R China; [Shi, Yu-Jing] Nanjing Univ Chinese Med, Affiliated Hosp, Nanjing 210029, Peoples R China</t>
  </si>
  <si>
    <t>Shanghai University of Traditional Chinese Medicine; Nanjing University of Chinese Medicine</t>
  </si>
  <si>
    <t>Multimodal deep learning for cardiovascular disease detection using pulse wave and vocal signals: a prediction model development and validation study</t>
  </si>
  <si>
    <t>BMC MEDICAL INFORMATICS AND DECISION MAKING</t>
  </si>
  <si>
    <t>Multimodal deep learning; Cardiovascular disease; Heart failure; Pulse wave analysis; Vocal biomarkers; Traditional Chinese medicine</t>
  </si>
  <si>
    <t>ARTIFICIAL-INTELLIGENCE</t>
  </si>
  <si>
    <t>Lyu, Yi/LNQ-4016-2024</t>
  </si>
  <si>
    <t>Lyu, Yi/0000-0001-5407-3043</t>
  </si>
  <si>
    <t>1472-6947</t>
  </si>
  <si>
    <t>BMC MED INFORM DECIS</t>
  </si>
  <si>
    <t>BMC Med. Inform. Decis. Mak.</t>
  </si>
  <si>
    <t>APR 24 2026</t>
  </si>
  <si>
    <t>209</t>
  </si>
  <si>
    <t>10.1186/s12911-026-03518-w</t>
  </si>
  <si>
    <t>http://dx.doi.org/10.1186/s12911-026-03518-w</t>
  </si>
  <si>
    <t>JD9YA</t>
  </si>
  <si>
    <t>42032577</t>
  </si>
  <si>
    <t>WOS:001787068500002</t>
  </si>
  <si>
    <t>Suo, M; Ma, CJ; Chen, X; Guan, Y; Wang, XL; Li, ZH</t>
  </si>
  <si>
    <t>Background: Chronic nonspecific low back pain (cNLBP) is a prevalent global health concern. Radiomics enables the extraction of high-dimensional quantitative features from medical images and has shown promise in disease diagnosis, prognostic assessment, and therapeutic response evaluation. To construct and validate an artificial intelligence (AI)-based evaluation model for clinical symptoms in cNLBP patients, leveraging both clinical and radiomics features. The clinical utility of this approach was evaluated in identifying patients at high risk for severe pain. Methods: A total of 148 patients with cNLBP were enrolled and stratified by VAS into mild and severe pain groups. Radiomics features from the paraspinal muscles were extracted from lumbar MRI scans. Multiple AI algorithms were applied to construct evaluation models. Logistic regression was used to construct clinical models, radiomics models, and combined clinical-radiomics models, respectively, to compare the predictive power of different models. Model performance was evaluated by multiple methods. Results: Fat infiltration rate of multifidus muscles as significant predictors of pain intensity. The Bagging decision tree model and random forest model achieved higher area under the ROC curve (AUC) values and F1 scores, respectively, in radiomics models. The combined models integrating radiomics and clinical features further increased AUCs. Conclusion: AI algorithms have a significant advantage over traditional algorithms in improving the performance of predictive models. Integrating radiomics features with clinical variables significantly enhances the predictive performance for pain intensity in cNLBP. Multimodal data integration compensates for the limitations of single-modality models, improving both accuracy and stability. The translational potential of this article: This study facilitates early risk stratification of cNLBP patients in clinical practice, enabling clinicians to prioritize intervention for high-risk individuals and optimize the allocation of medical resources. Moreover, the validated high-performance AI models and the multimodal integration strategy lay a foundation for the development of clinical auxiliary tools. Such tools can be integrated into existing clinical workflows to assist clinicians in accurately identifying patients with severe pain at high risk, thereby supporting early intervention and personalized treatment decision-making.</t>
  </si>
  <si>
    <t>Suo, Moran; Ma, Changjun; Chen, Xin; Guan, Yu; Wang, Xiulin; Li, Zhonghai</t>
  </si>
  <si>
    <t>Li, ZH (corresponding author), Dalian Med Univ, Dept Orthoped, Affiliated Hosp 1, 5 Longbin Rd,Dalian Dev Zone, Dalian, Liaoning, Peoples R China.; Guan, Y (corresponding author), Naval Med Univ, Affiliated Hosp 2, Dept Radiol, 415 Fengyang Rd, Shanghai 200003, Peoples R China.; Wang, XL (corresponding author), Dalian Med Univ, Stem Cell Clin Res Ctr, Affiliated Hosp 1, Shahekou 193,Lianhe Rd, Dalian, Liaoning, Peoples R China.</t>
  </si>
  <si>
    <t>guan.yu8635@163.com; lizhonghaispine@126.com; xiulinwang@dmu.edu.cn</t>
  </si>
  <si>
    <t>Key Tackling Project of the Education Department of Liaoning Province [2024C011]; Dalian Medical Science Research Program [2023DF009]; Medical-Industrial Joint Innovation Funding Project of the First Hospital of Dalian Medical University and Dalian Institute of Chemical Physics [DMU-1DICP UN202311]</t>
  </si>
  <si>
    <t>Key Tackling Project of the Education Department of Liaoning Province; Dalian Medical Science Research Program; Medical-Industrial Joint Innovation Funding Project of the First Hospital of Dalian Medical University and Dalian Institute of Chemical Physics</t>
  </si>
  <si>
    <t>This study was supported by the Key Tackling Project of the Education Department of Liaoning Province (2024C011), the Dalian Medical Science Research Program (2023DF009), and the Medical-Industrial Joint Innovation Funding Project of the First Hospital of Dalian Medical University and Dalian Institute of Chemical Physics (DMU-1&amp;DICP UN202311). The funders had no role in the study design, data collection and analysis, decision to publish, or preparation of the manuscript.</t>
  </si>
  <si>
    <t>[Suo, Moran; Chen, Xin; Li, Zhonghai] Dalian Med Univ, Dept Orthoped, Affiliated Hosp 1, 5 Longbin Rd,Dalian Dev Zone, Dalian, Liaoning, Peoples R China; [Suo, Moran; Chen, Xin; Li, Zhonghai] Key Lab Mol Mech Repair &amp; Remodeling Orthoped Dis, Dalian, Liaoning, Peoples R China; [Ma, Changjun] Dalian Univ Technol, Fac Med, Sch Biomed Engn, Dalian, Peoples R China; [Ma, Changjun; Wang, Xiulin] Dalian Med Univ, Stem Cell Clin Res Ctr, Natl Joint Engn Lab, Regenerat Med,Affiliated Hosp 1, Dalian, Liaoning, Peoples R China; [Guan, Yu] Naval Med Univ, Affiliated Hosp 2, Dept Radiol, 415 Fengyang Rd, Shanghai 200003, Peoples R China; [Wang, Xiulin] Dalian Innovat Inst Stem Cell &amp; Precis Med, Dalian 116085, Peoples R China</t>
  </si>
  <si>
    <t>Dalian Medical University; Dalian University of Technology; Dalian Medical University; Naval Medical University</t>
  </si>
  <si>
    <t>A novel multimodal AI-based radiomics approach for precision assessment of pain intensity in chronic nonspecific low back pain</t>
  </si>
  <si>
    <t>JOURNAL OF ORTHOPAEDIC TRANSLATION</t>
  </si>
  <si>
    <t>Artificial intelligence; Chronic nonspecific low back pain; Multimodal data integration; Paraspinal muscles; Predictive model; Radiomic</t>
  </si>
  <si>
    <t>LUMBAR PARASPINAL MUSCLES; IMAGES; CHEMOTHERAPY; INFORMATION; PREDICTION; OUTCOMES; WOMEN; MODEL; AGE</t>
  </si>
  <si>
    <t>Li, Zhonghai/M-1060-2019</t>
  </si>
  <si>
    <t>Editorial Office Journal Orthopaedic Translation</t>
  </si>
  <si>
    <t>Shatin</t>
  </si>
  <si>
    <t>Room 74029, 5/F, Lui Che Woo Clinical Sciences Building, Prince of Wales Hospital, Shatin, Hong Kong, PEOPLES R CHINA</t>
  </si>
  <si>
    <t>2214-031X</t>
  </si>
  <si>
    <t>J ORTHOP TRANSL</t>
  </si>
  <si>
    <t>J. ORTHOP. TRANSL.</t>
  </si>
  <si>
    <t>101062</t>
  </si>
  <si>
    <t>10.1016/j.jot.2026.101062</t>
  </si>
  <si>
    <t>http://dx.doi.org/10.1016/j.jot.2026.101062</t>
  </si>
  <si>
    <t>Orthopedics</t>
  </si>
  <si>
    <t>EO3MY</t>
  </si>
  <si>
    <t>41800231</t>
  </si>
  <si>
    <t>WOS:001705855800001</t>
  </si>
  <si>
    <t>Bose, P; Rana, P; Sleeman, WC; Srinivasan, S; Kapoor, R; Palta, J; Ghosh, P</t>
  </si>
  <si>
    <t>Simple Summary Structure name standardization is a critical problem in Radiotherapy planning systems to correctly identify the various Organs-at-Risk, Planning Target Volumes and 'Other' organs for monitoring present and future medications. We propose a deep neural network-based approach on the multimodal vision-language prostate cancer patient data that provides state-of-the-art results for structure name standardization. Our framework considers for the first time, both the bony anatomy along with radiation dose information and the textual physician-given names of the structures present in the prostate of cancer patients. The pipeline presented here, helps in automatic standardization of structure names given by physicians with high accuracy. Our pipeline can successfully standardize the Organs-at-Risk and the Planning Target Volumes, which are of utmost interest to the clinicians and simultaneously, performs very well on the 'Other' organs. We performed comprehensive experiments by varying input data modalities to show that using masked images and masked dose data with text outperforms the combination of other input modalities. We also undersampled the majority class, i.e., the 'Other' class, at different degrees and conducted extensive experiments to demonstrate that a small amount of majority class undersampling is essential for superior performance. Overall, our proposed integrated, deep neural network-based architecture for prostate structure name standardization can solve several challenges associated with multimodal data.Abstract Physicians often label anatomical structure sets in Digital Imaging and Communications in Medicine (DICOM) images with nonstandard random names. Hence, the standardization of these names for the Organs at Risk (OARs), Planning Target Volumes (PTVs), and 'Other' organs is a vital problem. This paper presents novel deep learning methods on structure sets by integrating multimodal data compiled from the radiotherapy centers of the US Veterans Health Administration (VHA) and Virginia Commonwealth University (VCU). These de-identified data comprise 16,290 prostate structures. Our method integrates the multimodal textual and imaging data with Convolutional Neural Network (CNN)-based deep learning approaches such as CNN, Visual Geometry Group (VGG) network, and Residual Network (ResNet) and shows improved results in prostate radiotherapy structure name standardization. Evaluation with macro-averaged F1 score shows that our model with single-modal textual data usually performs better than previous studies. The models perform well on textual data alone, while the addition of imaging data shows that deep neural networks achieve better performance using information present in other modalities. Additionally, using masked images and masked doses along with text leads to an overall performance improvement with the CNN-based architectures than using all the modalities together. Undersampling the majority class leads to further performance enhancement. The VGG network on the masked image-dose data combined with CNNs on the text data performs the best and presents the state-of-the-art in this domain.</t>
  </si>
  <si>
    <t>Bose, Priyankar; Rana, Pratip; Sleeman, William C.; Srinivasan, Sriram; Kapoor, Rishabh; Palta, Jatinder; Ghosh, Preetam</t>
  </si>
  <si>
    <t>Bose, P (corresponding author), Virginia Commonwealth Univ, Dept Comp Sci, Richmond, VA 23284 USA.</t>
  </si>
  <si>
    <t>rishabh.kapoor@vcuhealth.org; prana@bennettaerospace.com; pghosh@vcu.edu; sriram.srinivasan@vcuhealth.org; bosep@vcu.edu; jatinder.palta@vcuhealth.org; william.sleemaniv@vcuhealth.org</t>
  </si>
  <si>
    <t>US Veterans Health Administration-National Radiation Oncology Program (VHA-NROP)</t>
  </si>
  <si>
    <t>This research was funded by the US Veterans Health Administration-National Radiation Oncology Program (VHA-NROP). The results, discussions, and conclusions reported in this paper are completely those of the authors and are independent from the funding sources.</t>
  </si>
  <si>
    <t>[Bose, Priyankar; Rana, Pratip; Sleeman, William C.; Ghosh, Preetam] Virginia Commonwealth Univ, Dept Comp Sci, Richmond, VA 23284 USA; [Rana, Pratip] Bennett Aerosp, Raleigh, NC 27603 USA; [Sleeman, William C.; Srinivasan, Sriram; Kapoor, Rishabh; Palta, Jatinder; Ghosh, Preetam] Virginia Commonwealth Univ, Dept Radiat Oncol, Richmond, VA 23284 USA; [Sleeman, William C.; Srinivasan, Sriram; Kapoor, Rishabh; Palta, Jatinder] Dept Vet Affairs, Natl Radiat Oncol Program, Richmond, VA 23249 USA</t>
  </si>
  <si>
    <t>Virginia Commonwealth University; Virginia Commonwealth University; Hunter Holmes McGuire Veterinary Affairs Medical Center</t>
  </si>
  <si>
    <t>Multimodal Deep Learning Methods on Image and Textual Data to Predict Radiotherapy Structure Names</t>
  </si>
  <si>
    <t>BIOMEDINFORMATICS</t>
  </si>
  <si>
    <t>multimodal data integration; radiotherapy structure names; radiation oncology; deep learning; TG-263 names</t>
  </si>
  <si>
    <t>AMERICAN ASSOCIATION; RADIATION ONCOLOGY; PHYSICISTS</t>
  </si>
  <si>
    <t>/AAL-7284-2021</t>
  </si>
  <si>
    <t>2673-7426</t>
  </si>
  <si>
    <t>BioMedInformatics</t>
  </si>
  <si>
    <t>JUN 25 2023</t>
  </si>
  <si>
    <t>493</t>
  </si>
  <si>
    <t>513</t>
  </si>
  <si>
    <t>10.3390/biomedinformatics3030034</t>
  </si>
  <si>
    <t>http://dx.doi.org/10.3390/biomedinformatics3030034</t>
  </si>
  <si>
    <t>Mathematical &amp; Computational Biology; Medical Informatics</t>
  </si>
  <si>
    <t>AB6IK</t>
  </si>
  <si>
    <t>WOS:001644279800001</t>
  </si>
  <si>
    <t>Zhang, YX; Yang, PS; Zhu, QY; Zeng, KY; Cai, SW</t>
  </si>
  <si>
    <t>Background: Multimodal data fusion approaches not only capture the multidimensional characteristics of diseases but also compensate for the limitations of single-modality data in clinical diagnostics. These methods are increasingly utilized in clinical practice to significantly improve diagnostic accuracy. Artificial intelligence (AI), particularly in the domain of machine learning, has demonstrated a strong ability to extract meaningful features from large-scale datasets and is now widely applied in medical research. Differentiating benign from malignant anterior mediastinal tumors remains challenging in clinical settings. This study aimed to develop a multimodal AI model to accurately distinguish benign from malignant anterior mediastinal tumors. Methods: We retrospectively analyzed patients with anterior mediastinal tumors treated at a single hospital between 2021 and 2025. Clinical data, laboratory test results, imaging studies, and final pathological diagnoses were collected. Radiomics features were extracted from chest computed tomography (CT) images and analyzed. Machine learning techniques were used to select key variables. Four predictive models were constructed: a model based solely on clinical variables, a model based solely on imaging features, a multimodal model integrating variables via logistic regression, and a multimodal model based on a random forest algorithm. The performance of each model was evaluated through receiver operating characteristic curve analysis and comprehensive performance metrics to identify the optimal model. Results: A total of 104 patients met the inclusion criteria, including 58 cases of benign and 46 cases of malignant anterior mediastinal tumors. Five clinical features and seven imaging features were identified as predictive variables. The logistic regression-based multimodal model achieved the best performance [area under the curve (AUC) =0.94], followed by the clinical-only model (AUC =0.899), the random forest-based fusion model (AUC =0.881), and the imaging-only model (AUC =0.844). Conclusions: The logistic regression-based multimodal model demonstrated superior performance in differentiating benign and malignant anterior mediastinal tumors compared to models based on clinical data alone, imaging data alone, or the random forest approach. This method holds promise for aiding preoperative diagnosis in clinical settings. Notably, features such as tumor cross-sectional diameter, short-axis length on CT, history of myasthenia gravis, lactate dehydrogenase, and carcinoembryonic antigen showed significant clinical value in differentiating tumor types. These findings suggest that clinicians should pay closer attention to these indicators during differential diagnosis of anterior mediastinal tumors.</t>
  </si>
  <si>
    <t>Zhang, Yunxi; Yang, Pingshan; Zhu, Qingyi; Zeng, Kangyao; Cai, Songwang</t>
  </si>
  <si>
    <t>Cai, SW (corresponding author), Jinan Univ, Affiliated Hosp 1, Dept Thorac Surg, 601 Huangpu Rd West, Guangzhou 510632, Peoples R China.</t>
  </si>
  <si>
    <t>caisongwang@jnu.edu.cn</t>
  </si>
  <si>
    <t>[Zhang, Yunxi; Yang, Pingshan; Zhu, Qingyi; Zeng, Kangyao; Cai, Songwang] Jinan Univ, Affiliated Hosp 1, Dept Thorac Surg, 601 Huangpu Rd West, Guangzhou 510632, Peoples R China</t>
  </si>
  <si>
    <t>Jinan University</t>
  </si>
  <si>
    <t>Construction of a multimodal artificial intelligence model for differentiating benign and malignant anterior mediastinal tumors</t>
  </si>
  <si>
    <t>JOURNAL OF THORACIC DISEASE</t>
  </si>
  <si>
    <t>Anterior mediastinal tumors; machine learning; radiomics</t>
  </si>
  <si>
    <t>RADIOMICS; DIAGNOSIS; THYMOMA; PATIENT; MASSES; GUIDE</t>
  </si>
  <si>
    <t>Zhu, Qingyi/HJZ-3880-2023; Yang, Pingshan/JAN-5679-2023</t>
  </si>
  <si>
    <t>2072-1439</t>
  </si>
  <si>
    <t>2077-6624</t>
  </si>
  <si>
    <t>J THORAC DIS</t>
  </si>
  <si>
    <t>J. Thorac. Dis.</t>
  </si>
  <si>
    <t>OCT 31 2025</t>
  </si>
  <si>
    <t>7853</t>
  </si>
  <si>
    <t>7864</t>
  </si>
  <si>
    <t>10.21037/jtd-2025-1010</t>
  </si>
  <si>
    <t>http://dx.doi.org/10.21037/jtd-2025-1010</t>
  </si>
  <si>
    <t>Respiratory System</t>
  </si>
  <si>
    <t>I3093</t>
  </si>
  <si>
    <t>41229873</t>
  </si>
  <si>
    <t>WOS:001626418800033</t>
  </si>
  <si>
    <t>Cui, HC; Zhao, YC; Xiong, S; Feng, YL; Li, P; Lv, Y; Chen, Q; Wang, RH; Xie, PT; Luo, ZL; Cheng, SD; Wang, WJ; Li, X; Xiong, DK; Cao, XY; Bai, SY; Yang, AM; Cheng, B</t>
  </si>
  <si>
    <t>Importance Diagnosing solid lesions in the pancreas via endoscopic ultrasonographic (EUS) images is challenging. Artificial intelligence (AI) has the potential to help with such diagnosis, but existing AI models focus solely on a single modality. Objective To advance the clinical diagnosis of solid lesions in the pancreas through developing a multimodal AI model integrating both clinical information and EUS images. Design, Setting, and ParticipantsIn this randomized crossover trial conducted from January 1 to June 30, 2023, from 4 centers across China, 12 endoscopists of varying levels of expertise were randomly assigned to diagnose solid lesions in the pancreas with or without AI assistance. Endoscopic ultrasonographic images and clinical information of 439 patients from 1 institution who had solid lesions in the pancreas between January 1, 2014, and December 31, 2022, were collected to train and validate the joint-AI model, while 189 patients from 3 external institutions were used to evaluate the robustness and generalizability of the model. Intervention Conventional or AI-assisted diagnosis of solid lesions in the pancreas. Main Outcomes and Measures In the retrospective dataset, the performance of the joint-AI model was evaluated internally and externally. In the prospective dataset, diagnostic performance of the endoscopists with or without the AI assistance was compared. Results The retrospective dataset included 628 patients (400 men [63.7%]; mean [SD] age, 57.7 [27.4] years) who underwent EUS procedures. A total of 130 patients (81 men [62.3%]; mean [SD] age, 58.4 [11.7] years) were prospectively recruited for the crossover trial. The area under the curve of the joint-AI model ranged from 0.996 (95% CI, 0.993-0.998) in the internal test dataset to 0.955 (95% CI, 0.940-0.968), 0.924 (95% CI, 0.888-0.955), and 0.976 (95% CI, 0.942-0.995) in the 3 external test datasets, respectively. The diagnostic accuracy of novice endoscopists was significantly enhanced with AI assistance (0.69 [95% CI, 0.61-0.76] vs 0.90 [95% CI, 0.83-0.94]; P &lt; .001), and the supplementary interpretability information alleviated the skepticism of the experienced endoscopists. Conclusions and Relevance In this randomized crossover trial of diagnosing solid lesions in the pancreas with or without AI assistance, the joint-AI model demonstrated positive human-AI interaction, which suggested its potential to facilitate a clinical diagnosis. Nevertheless, future randomized clinical trials are warranted.</t>
  </si>
  <si>
    <t>Cui, Haochen; Zhao, Yuchong; Xiong, Si; Feng, Yunlu; Li, Peng; Lv, Ying; Chen, Qian; Wang, Ronghua; Xie, Pengtao; Luo, Zhenlong; Cheng, Sideng; Wang, Wujun; Li, Xing; Xiong, Dingkun; Cao, Xinyuan; Bai, Shuya; Yang, Aiming; Cheng, Bin</t>
  </si>
  <si>
    <t>Cheng, B (corresponding author), Huazhong Univ Sci &amp; Technol, Tongji Hosp, Tongji Med Coll, Dept Gastroenterol &amp; Hepatol, Wuhan 430030, Peoples R China.; Yang, AM (corresponding author), Chinese Acad Med Sci &amp; Peking Union Med Coll, Peking Union Med Coll Hosp, Dept Gastroenterol, Beijing 100730, Peoples R China.</t>
  </si>
  <si>
    <t>yangaiming@medmail.com.cn; b.cheng@tjh.tjmu.edu.cn</t>
  </si>
  <si>
    <t>National Natural Science Foundation of China [82203812, 82173318]</t>
  </si>
  <si>
    <t>This study is supported by the National Natural Science Foundation of China (grant 82203812 [Dr Y. Zhao] and grant 82173318 [Dr B. Cheng]).</t>
  </si>
  <si>
    <t>[Cui, Haochen; Zhao, Yuchong; Xiong, Si; Chen, Qian; Luo, Zhenlong; Bai, Shuya; Cheng, Bin] Huazhong Univ Sci &amp; Technol, Tongji Hosp, Tongji Med Coll, Dept Gastroenterol &amp; Hepatol, Wuhan 430030, Peoples R China; [Feng, Yunlu; Xiong, Dingkun; Cao, Xinyuan; Yang, Aiming] Chinese Acad Med Sci &amp; Peking Union Med Coll, Peking Union Med Coll Hosp, Dept Gastroenterol, Beijing 100730, Peoples R China; [Li, Peng] Capital Med Univ, Beijing Friendship Hosp, Dept Gastroenterol, Beijing, Peoples R China; [Lv, Ying] Nanjing Univ, Nanjing Drum Tower Hosp, Affiliated Drum Tower Hosp, Dept Gastroenterol,Med Sch, Nanjing, Jiangsu, Peoples R China; [Wang, Ronghua] Univ Pittsburgh, Sch Med, Dept Surg, Pittsburgh, PA USA; [Xie, Pengtao] Univ Calif San Diego, Dept Elect &amp; Comp Engn, La Jolla, CA USA; [Cheng, Sideng] Algoma Univ, Dept Comp Sci, Sault Ste Marie, ON, Canada; [Wang, Wujun; Li, Xing] Wuhan EndoAngel Med Technol Co, Wuhan, Peoples R China</t>
  </si>
  <si>
    <t>Huazhong University of Science &amp; Technology; Chinese Academy of Medical Sciences - Peking Union Medical College; Peking Union Medical College; Peking Union Medical College Hospital; Capital Medical University; Nanjing University; Pennsylvania Commonwealth System of Higher Education (PCSHE); University of Pittsburgh; University of California System; University of California San Diego; Algoma University</t>
  </si>
  <si>
    <t>Diagnosing Solid Lesions in the Pancreas With Multimodal Artificial Intelligence A Randomized Crossover Trial</t>
  </si>
  <si>
    <t>JAMA NETWORK OPEN</t>
  </si>
  <si>
    <t>ADENOCARCINOMA; FNA</t>
  </si>
  <si>
    <t>Lv, Ying/HJY-3517-2023; Zhao, Yuchong/GQY-6610-2022; Xiong, Shiyu/ONJ-9548-2025; Feng, Yunlu/AAS-8014-2020; Cui, Haochen/NIU-8910-2025</t>
  </si>
  <si>
    <t>Zhao, Yuchong/0000-0003-2245-8541</t>
  </si>
  <si>
    <t>AMER MEDICAL ASSOC</t>
  </si>
  <si>
    <t>CHICAGO</t>
  </si>
  <si>
    <t>330 N WABASH AVE, STE 39300, CHICAGO, IL 60611-5885 USA</t>
  </si>
  <si>
    <t>2574-3805</t>
  </si>
  <si>
    <t>JAMA NETW OPEN</t>
  </si>
  <si>
    <t>JAMA Netw. Open</t>
  </si>
  <si>
    <t>JUL 19 2024</t>
  </si>
  <si>
    <t>e2422454</t>
  </si>
  <si>
    <t>10.1001/jamanetworkopen.2024.22454</t>
  </si>
  <si>
    <t>http://dx.doi.org/10.1001/jamanetworkopen.2024.22454</t>
  </si>
  <si>
    <t>ZB6A1</t>
  </si>
  <si>
    <t>39028670</t>
  </si>
  <si>
    <t>WOS:001272857200003</t>
  </si>
  <si>
    <t>Chen, D; Huang, RS; Jomy, J; Wong, P; Yan, M; Croke, J; Tong, D; Hope, A; Eng, L; Raman, S</t>
  </si>
  <si>
    <t>Importance Multimodal artificial intelligence (AI) chatbots can process complex medical image and text-based information that may improve their accuracy as a clinical diagnostic and management tool compared with unimodal, text-only AI chatbots. However, the difference in medical accuracy of multimodal and text-only chatbots in addressing questions about clinical oncology cases remains to be tested. Objective To evaluate the utility of prompt engineering (zero-shot chain-of-thought) and compare the competency of multimodal and unimodal AI chatbots to generate medically accurate responses to questions about clinical oncology cases. Design, Setting, and Participants This cross-sectional study benchmarked the medical accuracy of multiple-choice and free-text responses generated by AI chatbots in response to 79 questions about clinical oncology cases with images. Exposures A unique set of 79 clinical oncology cases from JAMA Network Learning accessed on April 2, 2024, was posed to 10 AI chatbots. Main Outcomes and Measures The primary outcome was medical accuracy evaluated by the number of correct responses by each AI chatbot. Multiple-choice responses were marked as correct based on the ground-truth, correct answer. Free-text responses were rated by a team of oncology specialists in duplicate and marked as correct based on consensus or resolved by a review of a third oncology specialist. Results This study evaluated 10 chatbots, including 3 multimodal and 7 unimodal chatbots. On the multiple-choice evaluation, the top-performing chatbot was chatbot 10 (57 of 79 [72.15%]), followed by the multimodal chatbot 2 (56 of 79 [70.89%]) and chatbot 5 (54 of 79 [68.35%]). On the free-text evaluation, the top-performing chatbots were chatbot 5, chatbot 7, and the multimodal chatbot 2 (30 of 79 [37.97%]), followed by chatbot 10 (29 of 79 [36.71%]) and chatbot 8 and the multimodal chatbot 3 (25 of 79 [31.65%]). The accuracy of multimodal chatbots decreased when tested on cases with multiple images compared with questions with single images. Nine out of 10 chatbots, including all 3 multimodal chatbots, demonstrated decreased accuracy of their free-text responses compared with multiple-choice responses to questions about cancer cases. Conclusions and Relevance In this cross-sectional study of chatbot accuracy tested on clinical oncology cases, multimodal chatbots were not consistently more accurate than unimodal chatbots. These results suggest that further research is required to optimize multimodal chatbots to make more use of information from images to improve oncology-specific medical accuracy and reliability.</t>
  </si>
  <si>
    <t>Chen, David; Huang, Ryan S.; Jomy, Jane; Wong, Philip; Yan, Michael; Croke, Jennifer; Tong, Daniel; Hope, Andrew; Eng, Lawson; Raman, Srinivas</t>
  </si>
  <si>
    <t>Raman, S (corresponding author), Princess Margaret Hosp Canc Ctr, Radiat Med Program, 610 Univ Ave, Toronto, ON M5G 2M9, Canada.</t>
  </si>
  <si>
    <t>srinivas.raman@rmp.uhn.ca</t>
  </si>
  <si>
    <t>Canadian Association of Radiation Oncology-Canadian Radiation Oncology Foundation Pamela Catton Summer Studentship; Robert L. Tundermann and Christine E.Couturier philanthropic funds</t>
  </si>
  <si>
    <t>This work was partially supported by a Canadian Association of Radiation Oncology-Canadian Radiation Oncology Foundation Pamela Catton Summer Studentship and Robert L. Tundermann and Christine E.Couturier philanthropic funds.</t>
  </si>
  <si>
    <t>[Chen, David; Huang, Ryan S.; Jomy, Jane; Wong, Philip; Yan, Michael; Croke, Jennifer; Tong, Daniel; Hope, Andrew; Raman, Srinivas] Princess Margaret Hosp Canc Ctr, Radiat Med Program, 610 Univ Ave, Toronto, ON M5G 2M9, Canada; [Chen, David; Huang, Ryan S.; Jomy, Jane; Tong, Daniel] Univ Toronto, Temerty Fac Med, Toronto, ON, Canada; [Wong, Philip; Yan, Michael; Croke, Jennifer; Tong, Daniel; Hope, Andrew] Univ Toronto, Dept Radiat Oncol, Toronto, ON, Canada; [Eng, Lawson; Raman, Srinivas] Univ Hlth Network Toronto, Princess Margaret Canc Ctr, Dept Med, Div Med Oncol &amp; Hematol, Toronto, ON, Canada; [Eng, Lawson] Univ Toronto, Dept Med, Div Med Oncol, Toronto, ON, Canada</t>
  </si>
  <si>
    <t>University of Toronto; University Health Network Toronto; Princess Margaret Cancer Centre; University of Toronto; University of Toronto; University of Toronto; University Health Network Toronto; Princess Margaret Cancer Centre; University of Toronto</t>
  </si>
  <si>
    <t>Performance of Multimodal Artificial Intelligence Chatbots Evaluated on Clinical Oncology Cases</t>
  </si>
  <si>
    <t>Yan, Michael/JWO-8739-2024; Eng, Lawson/AAB-8539-2020; Jomy, Jane/AHC-5946-2022; Huang, Ryan S/KHD-7917-2024</t>
  </si>
  <si>
    <t>Yan, Michael/0000-0002-8387-6563; Eng, Lawson/0000-0002-4816-8385; Jomy, Jane/0000-0001-6066-9548; Huang, Ryan S/0000-0002-3404-5376</t>
  </si>
  <si>
    <t>OCT 23 2024</t>
  </si>
  <si>
    <t>e2437711</t>
  </si>
  <si>
    <t>10.1001/jamanetworkopen.2024.37711</t>
  </si>
  <si>
    <t>http://dx.doi.org/10.1001/jamanetworkopen.2024.37711</t>
  </si>
  <si>
    <t>K2D7K</t>
  </si>
  <si>
    <t>39441598</t>
  </si>
  <si>
    <t>WOS:001342041200010</t>
  </si>
  <si>
    <t>Orhan, D; Ucan, M; Alhajj, R; Kaya, M</t>
  </si>
  <si>
    <t>Background/Objectives: Early and accurate diagnosis of chest diseases is a critical challenge in clinical practice, particularly in scenarios where multiple pathologies may coexist. While deep learning-based medical image analysis has shown promising results, most existing studies rely on unimodal data and fixed-scale datasets, limiting their generalizability and clinical relevance. In this study, we present a comprehensive comparative analysis of unimodal and multimodal deep learning models for multi-label chest disease classification using chest X-ray images and associated clinical metadata. Methods: A total of twelve models were developed based on three widely used convolutional neural network architectures-ResNet50, EfficientNetB3, and DenseNet121-under both unimodal (image-only) and multimodal (image + clinical data) configurations. To systematically investigate the impact of data scale, experiments were conducted on two distinct versions: the Random Sample of NIH Chest X-ray Dataset and the NIH Chest X-ray Dataset, containing 5606 and 121,120 samples, respectively. Model performance was evaluated using label-based Area Under the Receiver Operating Characteristic Curve (AUROC) metrics. Results: Experimental results demonstrate that multimodal fusion consistently outperforms unimodal approaches across all architectures and data scales, with more pronounced improvements observed in large-scale settings. Furthermore, increasing data volume leads to improved generalization and reduced performance variance, particularly for rare pathologies. Conclusions: These findings highlight the effectiveness of multimodal, multi-label learning in enhancing diagnostic accuracy and support the development of robust clinical decision support systems for chest disease assessment.</t>
  </si>
  <si>
    <t>Orhan, Digdem; Ucan, Murat; Alhajj, Reda; Kaya, Mehmet</t>
  </si>
  <si>
    <t>Kaya, M (corresponding author), Firat Univ, Dept Comp Engn, TR-23119 Elazig, Turkiye.; Alhajj, R (corresponding author), Univ Calgary, Dept Comp Sci, Calgary, AB T2N 1N4, Canada.; Alhajj, R (corresponding author), Istanbul Medipol Univ, Dept Comp Engn, TR-34810 Istanbul, Turkiye.; Alhajj, R (corresponding author), Univ Southern Denmark, Dept Hlth Informat, DK-5230 Odense, Denmark.</t>
  </si>
  <si>
    <t>murat.ucan@dicle.edu.tr; kaya@firat.edu.tr; dorhan23@gmail.com; alhajj@cpsc.ucalgary.ca</t>
  </si>
  <si>
    <t>Scientific and Technological Research Council of Turkey (TUBITAK) [125E165]; Firat University Scientific Research Projects Unit (FUBAP) [MF.25.79]</t>
  </si>
  <si>
    <t>Scientific and Technological Research Council of Turkey (TUBITAK) (Turkiye Bilimsel ve Teknolojik Arastirma Kurumu (TUBITAK)); Firat University Scientific Research Projects Unit (FUBAP) (Firat University)</t>
  </si>
  <si>
    <t>This research was supported in part by the Scientific and Technological Research Council of Turkey (TUBITAK) under Grant No 125E165 and in part by the Firat University Scientific Research Projects Unit (FUBAP) under Grant No: MF.25.79.</t>
  </si>
  <si>
    <t>[Orhan, Digdem; Kaya, Mehmet] Firat Univ, Dept Comp Engn, TR-23119 Elazig, Turkiye; [Ucan, Murat] Dicle Univ, Dept Comp Technol, TR-21200 Diyarbakir, Turkiye; [Alhajj, Reda] Univ Calgary, Dept Comp Sci, Calgary, AB T2N 1N4, Canada; [Alhajj, Reda] Istanbul Medipol Univ, Dept Comp Engn, TR-34810 Istanbul, Turkiye; [Alhajj, Reda] Univ Southern Denmark, Dept Hlth Informat, DK-5230 Odense, Denmark</t>
  </si>
  <si>
    <t>Firat University; Dicle University; University of Calgary; Istanbul Medipol University; University of Southern Denmark</t>
  </si>
  <si>
    <t>Scalable Unimodal and Multimodal Deep Learning for Multi-Label Chest Disease Detection: A Comparative Analysis</t>
  </si>
  <si>
    <t>deep learning; chest diseases; multimodal fusion; multi-label classification</t>
  </si>
  <si>
    <t>Kaya, Mehmet/D-4459-2013; Ucan, Murat/AAS-9270-2020; Orhan, Digdem/LZI-2642-2025</t>
  </si>
  <si>
    <t>MAR 1 2026</t>
  </si>
  <si>
    <t>734</t>
  </si>
  <si>
    <t>10.3390/diagnostics16050734</t>
  </si>
  <si>
    <t>http://dx.doi.org/10.3390/diagnostics16050734</t>
  </si>
  <si>
    <t>FA1ZE</t>
  </si>
  <si>
    <t>41828010</t>
  </si>
  <si>
    <t>WOS:001713909700001</t>
  </si>
  <si>
    <t>Sun, YX; Liu, CC; Zhang, JC; Wei, ZA; Zhou, ZF; Fan, CM; Yue, FY</t>
  </si>
  <si>
    <t>Background: Pressure injury (PI) can cause severe infections or death, and has a high global prevalence. Accurate staging is vital for effective intervention. Deep learning streamlines PI assessment; enhances efficiency; and yields practical, accurate results. Objective: The primary objective of this scoping review was to map the landscape of deep learning applications for PI identification and categorize the existing body of evidence into distinct technological trajectories: unimodal imaging and multimodal integration. Methods: We searched the following databases and sources: PubMed, the Cochrane Library, IEEE Xplore, and Web of Science. This scoping review was conducted in accordance with the PRISMA-ScR (Preferred Reporting Items for Systematic Reviews and Meta-Analyses extension for Scoping Reviews) guidelines. Results: A total of 15 articles were included: 40% (n=6) studies applied multimodal integration, whereas 60% (n=9) applied unimodal imaging. In total, 26 models were involved. Different models exhibited varying accuracy rates in staging PI, with overall accuracy fluctuating between 54.8% and 93.7%. The same model demonstrated significant variations in recognition accuracy across different studies. Multimodal integration appeared to be a distinguishing characteristic of the studies that will progress toward clinical validation. Conclusions: The current landscape of deep learning in PI identification is heavily skewed toward unimodal imaging, creating a modality gap that hinders clinical translation. While unimodal models demonstrate high accuracy in controlled settings, future research must prioritize bridging the gap from unimodal imaging to true multimodal integration to achieve clinical-grade reliability. Trial Registration: PROSPERO CRD420251251573; https://www.crd.york.ac.uk/PROSPERO/view/CRD420251251573 JMIR Med Inform 2026;14:e91048; doi: 10.2196/91048</t>
  </si>
  <si>
    <t>Sun, Yingxue; Liu, Congcong; Zhang, Ji-cheng; Wei, Zhengang; Zhou, Zhenfeng; Fan, Chunmei; Yue, Fangyan</t>
  </si>
  <si>
    <t>Liu, CC (corresponding author), Shandong First Med Univ, Shandong Prov Hosp, Dept Crit Care Med, Ward 2, 324 Jingwu Weiqu Rd, Jinan 250021, Shandong Provin, Peoples R China.</t>
  </si>
  <si>
    <t>liucongcong1988@126.com</t>
  </si>
  <si>
    <t>Shandong Provincial Medical and Health Science and Technology Project [202419010502]</t>
  </si>
  <si>
    <t>Shandong Provincial Medical and Health Science and Technology Project</t>
  </si>
  <si>
    <t>This study was funded by Shandong Provincial Medical and Health Science and Technology Project (grant 202419010502).</t>
  </si>
  <si>
    <t>[Sun, Yingxue; Liu, Congcong; Zhang, Ji-cheng; Wei, Zhengang; Zhou, Zhenfeng; Fan, Chunmei; Yue, Fangyan] Shandong First Med Univ, Shandong Prov Hosp, Dept Crit Care Med, Ward 2, 324 Jingwu Weiqu Rd, Jinan 250021, Shandong Provin, Peoples R China</t>
  </si>
  <si>
    <t>Unimodal and Multimodal Deep Learning for Pressure Injury Identification: Scoping Review</t>
  </si>
  <si>
    <t>deep learning; pressure injuries; intelligent recognition; staging; assessment; artificial intelligence; AI</t>
  </si>
  <si>
    <t>CLASSIFICATION; DIAGNOSIS; NETWORKS; SYSTEM</t>
  </si>
  <si>
    <t>e91048</t>
  </si>
  <si>
    <t>10.2196/91048</t>
  </si>
  <si>
    <t>http://dx.doi.org/10.2196/91048</t>
  </si>
  <si>
    <t>MQ2OW</t>
  </si>
  <si>
    <t>42574717</t>
  </si>
  <si>
    <t>WOS:001848297900002</t>
  </si>
  <si>
    <t>Ben Rabah, C; Sattar, A; Ibrahim, A; Serag, A</t>
  </si>
  <si>
    <t>Background: Breast cancer is a heterogeneous disease with distinct molecular subtypes, each requiring tailored therapeutic strategies. Accurate classification of these subtypes is crucial for optimizing treatment and improving patient outcomes. While immunohistochemistry remains the gold standard for subtyping, it is invasive and may not fully capture tumor heterogeneity. Artificial Intelligence (AI), particularly Deep Learning (DL), offers a promising non-invasive alternative by analyzing medical imaging data. Methods: In this study, we propose a multimodal DL model that integrates mammography images with clinical metadata to classify breast lesions into five categories: benign, luminal A, luminal B, HER2-enriched, and triple-negative. Using the publicly available Chinese Mammography Database (CMMD), our model was trained and evaluated on a dataset of 4056 images from 1775 patients. Results: The proposed multimodal approach significantly outperformed a unimodal model based solely on mammography images, achieving an AUC of 88.87% for multiclass classification of these five categories, compared to 61.3% AUC for the unimodal model. Conclusions: These findings highlight the potential of multimodal AI-driven approaches for non-invasive breast cancer subtype classification, paving the way for improved diagnostic precision and personalized treatment strategies.</t>
  </si>
  <si>
    <t>Ben Rabah, Chaima; Sattar, Aamenah; Ibrahim, Ahmed; Serag, Ahmed</t>
  </si>
  <si>
    <t>Ben Rabah, C; Serag, A (corresponding author), Weill Cornell Med, AI Innovat Lab, Doha 24144, Qatar.</t>
  </si>
  <si>
    <t>afs4002@qatar-med.cornell.edu; chb4036@qatar-med.cornell.edu</t>
  </si>
  <si>
    <t>[Ben Rabah, Chaima; Ibrahim, Ahmed; Serag, Ahmed] Weill Cornell Med, AI Innovat Lab, Doha 24144, Qatar; [Sattar, Aamenah] New Vis Univ, Dept Med, Tbilisi 0159, Georgia</t>
  </si>
  <si>
    <t>Qatar Foundation (QF); Weill Cornell Medical College Qatar</t>
  </si>
  <si>
    <t>A Multimodal Deep Learning Model for the Classification of Breast Cancer Subtypes</t>
  </si>
  <si>
    <t>breast cancer; molecular subtype classification; deep learning; artificial intelligence; multimodal; personalized medicine</t>
  </si>
  <si>
    <t>DENSITY; RISK; PREDICTOR</t>
  </si>
  <si>
    <t>Serag, Ahmed/O-1836-2019</t>
  </si>
  <si>
    <t>Ibrahim, Ahmed/0009-0002-9217-4173; Sattar, Aamenah/0000-0001-5149-9954; Serag, Ahmed/0000-0002-4145-5509</t>
  </si>
  <si>
    <t>APR 14 2025</t>
  </si>
  <si>
    <t>995</t>
  </si>
  <si>
    <t>10.3390/diagnostics15080995</t>
  </si>
  <si>
    <t>http://dx.doi.org/10.3390/diagnostics15080995</t>
  </si>
  <si>
    <t>1WE4D</t>
  </si>
  <si>
    <t>40310373</t>
  </si>
  <si>
    <t>WOS:001475098100001</t>
  </si>
  <si>
    <t>Drougkas, G; Bakker, EM; Spruit, M</t>
  </si>
  <si>
    <t>BackgroundThere are numerous papers focusing on diagnosing mental health disorders using unimodal and multimodal approaches. However, our literature review shows that the majority of these studies either use unimodal approaches to diagnose a variety of mental disorders or employ multimodal approaches to diagnose a single mental disorder instead. In this research we combine these approaches by first identifying and compiling an extensive list of mental health disorder markers for a wide range of mental illnesses which have been used for both unimodal and multimodal methods, which is subsequently used for determining whether the multimodal approach can outperform the unimodal approaches.MethodsFor this study we used the well known and robust multimodal DAIC-WOZ dataset derived from clinical interviews. Here we focus on the modalities text and audio. First, we constructed two unimodal models to analyze text and audio data, respectively, using feature extraction, based on the extensive list of mental disorder markers that has been identified and compiled by us using related and earlier studies. For our unimodal text model, we also propose an initial pragmatic binary label creation process. Then, we employed an early fusion strategy to combine our text and audio features before model processing. Our fused feature set was then given as input to various baseline machine and deep learning algorithms, including Support Vector Machines, Logistic Regressions, Random Forests, and fully connected neural network classifiers (Dense Layers). Ultimately, the performance of our models was evaluated using accuracy, AUC-ROC score, and two F1 metrics: one for the prediction of positive cases and one for the prediction of negative cases.ResultsOverall, the unimodal text models achieved an accuracy ranging from 78% to 87% and an AUC-ROC score between 85% and 93%, while the unimodal audio models attained an accuracy of 64% to 72% and AUC-ROC scores of 53% to 75%. The experimental results indicated that our multimodal models achieved comparable accuracy (ranging from 80% to 87%) and AUC-ROC scores (between 84% and 93%) to those of the unimodal text models. However, the majority of the multimodal models managed to outperform the unimodal models in F1 scores, particularly in the F1 score of the positive class (F1 of 1s), which reflects how well the models perform in identifying the presence of a marker.ConclusionsIn conclusion, by refining the binary label creation process and by improving the feature engineering process of the unimodal acoustic model, we argue that the multimodal model can outperform both unimodal approaches. This study underscores the importance of multimodal integration in the field of mental health diagnostics and sets the stage for future research to explore more sophisticated fusion techniques and deeper learning models.</t>
  </si>
  <si>
    <t>Drougkas, Georgios; Bakker, Erwin M.; Spruit, Marco</t>
  </si>
  <si>
    <t>Spruit, M (corresponding author), Leiden Univ, Leiden Inst Adv Comp Sci, Leiden, Netherlands.; Spruit, M (corresponding author), Leiden Univ, Med Ctr, Publ Hlth &amp; Primary Care, Leiden, Netherlands.</t>
  </si>
  <si>
    <t>m.r.spruit@lumc.nl</t>
  </si>
  <si>
    <t>[Drougkas, Georgios; Bakker, Erwin M.; Spruit, Marco] Leiden Univ, Leiden Inst Adv Comp Sci, Leiden, Netherlands; [Spruit, Marco] Leiden Univ, Med Ctr, Publ Hlth &amp; Primary Care, Leiden, Netherlands</t>
  </si>
  <si>
    <t>Leiden University - Excl LUMC; Leiden University; Leiden University; Leiden University - Excl LUMC; Leiden University Medical Center (LUMC)</t>
  </si>
  <si>
    <t>Multimodal machine learning for language and speech markers identification in mental health</t>
  </si>
  <si>
    <t>Mental illness marker; Mental health disorder; Multimodal machine learning; Unimodal model; Early fusion; Textual features extraction; Acoustic features extraction; Feature selection; Binary labels creation</t>
  </si>
  <si>
    <t>DISORDER</t>
  </si>
  <si>
    <t>Spruit, Marco/HZL-8810-2023</t>
  </si>
  <si>
    <t>Bakker, Erwin/0000-0002-2624-5271; Spruit, Marco/0000-0002-9237-221X</t>
  </si>
  <si>
    <t>NOV 22 2024</t>
  </si>
  <si>
    <t>354</t>
  </si>
  <si>
    <t>10.1186/s12911-024-02772-0</t>
  </si>
  <si>
    <t>http://dx.doi.org/10.1186/s12911-024-02772-0</t>
  </si>
  <si>
    <t>N0G6O</t>
  </si>
  <si>
    <t>39578814</t>
  </si>
  <si>
    <t>WOS:001361222400001</t>
  </si>
  <si>
    <t>Nguyen, DK; Li, AHA; Lai, YJ; Yang, PC; Chan, CL</t>
  </si>
  <si>
    <t>Lung nodules, while often benign, can become significant health concerns if their growth is not monitored accurately. Predicting lung nodule growth is critical for improving patient outcomes and guiding clinical decision-making. This study aims to develop a Multimodal Deep Learning Approach to enhance the accuracy of lung nodule growth prediction by integrating time-series CT image data with demographics and nodule-specific features. Data were collected from the Far Eastern Memorial Hospital, Taiwan, including CT image sequences of lung nodules and patient demographics and nodule-specific features. Using this dataset, a Multimodal Deep Learning framework was developed and optimized. The model's performance was assessed using metrics such as Accuracy, Precision, Sensitivity, F1-score, and AUC. The proposed Multimodal Deep Learning framework substantially outperformed traditional machine learning and unimodal models. Among all configurations, the repeat frame strategy achieved the best overall performance, with an accuracy of 0.929, precision of 0.878, sensitivity of 0.908, F1-score of 0.878, and AUC of 0.977. Paired t-test analysis confirmed that these improvements were statistically significant (p &lt; 0.05) compared to other multimodal variants and baseline models. These results highlight the model's ability to effectively integrate image, demographics, and nodule-specific features, leading to superior predictive accuracy and robust clinical decision-support potential. By using the time-series of CT image data, along with demographics and nodule-specific features, the proposed Multimodal Deep Learning provides a reliable tool for predicting lung nodule growth. This advancement has significant implications for lung nodule management, offering clinicians a robust and dependable resource to support medical decision-making and improve patient care. The findings highlight the transformative potential of deep learning techniques in critical healthcare domains.</t>
  </si>
  <si>
    <t>Nguyen, Duc-Khanh; Li, Ai-Hsien Adams; Lai, Yen-Jun; Yang, Pan-Chyr; Chan, Chien-Lung</t>
  </si>
  <si>
    <t>Chan, CL (corresponding author), Yuan Ze Univ, Dept Informat Management, Taoyuan 320, Taiwan.; Chan, CL (corresponding author), Yuan Ze Univ, Innovat Ctr Big Data &amp; Digital Convergence, Taoyuan 320, Taiwan.</t>
  </si>
  <si>
    <t>clchan@saturn.yzu.edu.tw</t>
  </si>
  <si>
    <t>National Science and Technology Council [111-2221-E-155-024, 112-2221-E-155-023]</t>
  </si>
  <si>
    <t>This study is supported by NSTC (National Science and Technology Council) under grant number NSTC 111-2221-E-155-024 &amp; 112-2221-E-155-023.</t>
  </si>
  <si>
    <t>[Nguyen, Duc-Khanh; Chan, Chien-Lung] Yuan Ze Univ, Dept Informat Management, Taoyuan 320, Taiwan; [Li, Ai-Hsien Adams] Far Eastern Mem Hosp, Div Cardiol, New Taipei 220, Taiwan; [Li, Ai-Hsien Adams] Yuan Ze Univ, Grad Program Biomed Informat, Taoyuan 320, Taiwan; [Lai, Yen-Jun] Far Eastern Mem Hosp, Dept Radiol, New Taipei 220, Taiwan; [Yang, Pan-Chyr] Acad Sinica, Inst Biomed Sci, Taipei 106, Taiwan; [Yang, Pan-Chyr] Natl Taiwan Univ, Coll Med, Dept Internal Med, Taipei 100, Taiwan; [Chan, Chien-Lung] Yuan Ze Univ, Innovat Ctr Big Data &amp; Digital Convergence, Taoyuan 320, Taiwan</t>
  </si>
  <si>
    <t>Yuan Ze University; Far Eastern Memorial Hospital; Yuan Ze University; Far Eastern Memorial Hospital; Academia Sinica - Taiwan; National Taiwan University; Yuan Ze University</t>
  </si>
  <si>
    <t>A Timeseries-based Multimodal Deep Learning Approach for Lung Nodule Growth Prediction</t>
  </si>
  <si>
    <t>Multimodal; Deep Learning; Machine Learning; Nodule growth prediction</t>
  </si>
  <si>
    <t>MANAGEMENT; CANCER</t>
  </si>
  <si>
    <t>Chan, Chien-Lung/K-2086-2012; Nguyen, Duc-Khanh/QAV-5185-2026</t>
  </si>
  <si>
    <t>Nguyen, Duc-Khanh/0000-0001-8388-7425; YANG, PAN-CHYR/0000-0001-6330-6048</t>
  </si>
  <si>
    <t>10.1007/s10278-025-01788-w</t>
  </si>
  <si>
    <t>http://dx.doi.org/10.1007/s10278-025-01788-w</t>
  </si>
  <si>
    <t>X6848</t>
  </si>
  <si>
    <t>41402619</t>
  </si>
  <si>
    <t>WOS:001640854800001</t>
  </si>
  <si>
    <t>Tonekaboni, S; Friedman, SF; Zhang, XY; Maddah, M; Uhler, C</t>
  </si>
  <si>
    <t>Modern medicine increasingly relies on multimodal data, ranging from clinical notes to imaging and genomics, to guide diagnosis and treatment. However, integrating these heterogeneous data sources in a principled and interpretable manner remains a major challenge. We present MODES (Multi-mOdal Disentangled Embedding Space), a representation fusion framework that explicitly separates shared and modality-specific factors of variation, offering a structured latent space for multimodal information that improves both prediction and interpretability. By leveraging pre-trained unimodal foundation models, MODES mitigates the dependency on extensive paired datasets, crucial in data-scarce clinical settings. We introduce a masking strategy that optimizes representation dimensionality by eliminating low-information dimensions, to achieve compact, information-rich representations. Our framework demonstrates superior performance in predicting diagnoses and phenotypes compared to unimodal and conventional fusion models. MODES also enables robust diagnostic inference in missing data scenarios, offering an opportunity toward interpretable and efficient multimodal diagnostics in personalized healthcare.</t>
  </si>
  <si>
    <t>Tonekaboni, Sana; Friedman, Sam Freesun; Zhang, Xinyi; Maddah, Mahnaz; Uhler, Caroline</t>
  </si>
  <si>
    <t>Tonekaboni, S; Uhler, C (corresponding author), Broad Inst MIT &amp; Harvard, Eric &amp; Wendy Schmidt Ctr, Cambridge, MA 02139 USA.; Tonekaboni, S (corresponding author), Broad Inst MIT &amp; Harvard, Data Sci Platform, Cambridge, MA 02142 USA.; Uhler, C (corresponding author), MIT, Lab Informat &amp; Decis Syst, Cambridge, MA 02142 USA.</t>
  </si>
  <si>
    <t>cuhler@mit.edu; stonekab@broadinstitute.org</t>
  </si>
  <si>
    <t>U.S. Department of Energy [DE-SC0023187]; Simons Foundation [Simons Investigator Award]; NCCIH/NIH [1DP2AT012345]; Eric and Wendy Schmidt Center, Broad Institute; Office of Naval Research [N00014-22-1-2116 and N00014-24-1-2687]; U.S. Department of Energy (DOE) [DE-SC0023187] Funding Source: U.S. Department of Energy (DOE)</t>
  </si>
  <si>
    <t>U.S. Department of Energy (United States Department of Energy (DOE)); Simons Foundation (Simons Foundation); NCCIH/NIH; Eric and Wendy Schmidt Center, Broad Institute; Office of Naval Research (United States Department of Defense, United States Navy, Office of Naval Research); U.S. Department of Energy (DOE) (United States Department of Energy (DOE))</t>
  </si>
  <si>
    <t>S.T. and X.Z. were supported by Fellowships from the Eric and Wendy Schmidt Center at the Broad institute of MIT and Harvard, C.U. was partially supported by NCCIH/NIH (1DP2AT012345), ONR (N00014-22-1-2116 and N00014-24-1-2687), the United States Department of Energy (DE-SC0023187), the Eric and Wendy Schmidt Center at the Broad Institute, and a Simons Investigator Award. M.M. was partially supported by grants from the National Institutes of Health (3OT2OD035404-01S3, 1R01NS134597, and 1UG3HG014379-01) and from the American Heart Association (961045). S.F. was partially supported by grants from the NIH 3OT2OD035404-01S3 and 1UG3HG014379-01. We thank Dr. Elvira Forte for editing the manuscript.</t>
  </si>
  <si>
    <t>[Tonekaboni, Sana; Friedman, Sam Freesun; Zhang, Xinyi; Uhler, Caroline] Broad Inst MIT &amp; Harvard, Eric &amp; Wendy Schmidt Ctr, Cambridge, MA 02139 USA; [Tonekaboni, Sana; Friedman, Sam Freesun; Maddah, Mahnaz] Broad Inst MIT &amp; Harvard, Data Sci Platform, Cambridge, MA 02142 USA; [Zhang, Xinyi; Uhler, Caroline] MIT, Lab Informat &amp; Decis Syst, Cambridge, MA 02142 USA</t>
  </si>
  <si>
    <t>Harvard University; Broad Institute; Massachusetts Institute of Technology (MIT); Broad Institute; Harvard University; Broad Institute; Massachusetts Institute of Technology (MIT); Broad Institute; Massachusetts Institute of Technology (MIT)</t>
  </si>
  <si>
    <t>A Representation Fusion Framework for Decoupling Diagnostic Information in Multimodal Learning</t>
  </si>
  <si>
    <t>Zhang, Xinyi/AAJ-4858-2021</t>
  </si>
  <si>
    <t>Zhang, Xinyi/0000-0003-4996-4698</t>
  </si>
  <si>
    <t>DEC 17 2025</t>
  </si>
  <si>
    <t>765</t>
  </si>
  <si>
    <t>10.1038/s41746-025-02144-6</t>
  </si>
  <si>
    <t>http://dx.doi.org/10.1038/s41746-025-02144-6</t>
  </si>
  <si>
    <t>X9294</t>
  </si>
  <si>
    <t>41408105</t>
  </si>
  <si>
    <t>WOS:001641099400002</t>
  </si>
  <si>
    <t>Choi, BK; Choi, Y; Jang, S; Ha, WS; Cho, S; Chang, K; Sohn, B; Kim, KM; Park, YR</t>
  </si>
  <si>
    <t>Inflammatory diseases of the CNS impose a substantial disease burden, necessitating prompt and appropriate prognosis prediction. We developed a multimodal deep learning model integrating clinical features and brain MRI data to enhance early prognosis prediction of CNS inflammation. This retrospective study used thin-cut T1-weighted brain MRI scans and the clinical variables of patients with CNS inflammation who were admitted to a tertiary referral hospital between January 2010 and December 2023. Data collected after January 2022 served as the external test set. 3D MRI images were first segmented into 43 brain regions using the FastSurfer library. The segmented images were then processed through a 3D convolutional neural network model for feature extraction and vectorization, after which they were integrated with clinical features for prediction. The performance of each artificial intelligence model was assessed using accuracy, F1 score, area under the receiver operating characteristic curve and area under the precision-recall curve. The internal dataset comprised 413 images from 291 patients (mean age, 45.5 years +/- 19.3 [SD]; 151 male patients; 54 with poor prognosis). The external dataset comprised 210 images from 106 patients (mean age, 45.5 years +/- 18.9 [SD]; 59 male patients; 31 with poor prognosis). The multimodal deep learning model outperformed unimodal models across all aetiological groups, achieving area under the receiver operating characteristic curve values of 0.8048 for autoimmune, 0.9107 for bacterial, 1.0000 for tuberculosis and 0.9242 for viral infections. Furthermore, artificial intelligence assistance improved clinicians' prognostic accuracy, as demonstrated in comparisons with neurologists, paediatricians and radiologists. Our findings demonstrate that the multimodal deep learning model enhances artificial intelligence-assisted prognosis prediction in CNS inflammation, improving both model performance and clinician decision-making.Choi et al. report that a multimodal deep learning model was developed to predict the prognosis of CNS inflammation using brain MRI and clinical data. The model outperformed unimodal models and clinical experts in predicting outcomes across different aetiologies, enhancing artificial intelligence-supported clinical decision-making for CNS inflammation.</t>
  </si>
  <si>
    <t>Choi, Bo Kyu; Choi, Yoonhyeok; Jang, Sooyoung; Ha, Woo-Seok; Cho, Soomi; Chang, Kimoon; Sohn, Beomseok; Kim, Kyung Min; Park, Yu Rang</t>
  </si>
  <si>
    <t>Park, YR (corresponding author), Yonsei Univ, Coll Med, Dept Biomed Syst Informat, 50-1 Yonsei ro, Seoul 03722, South Korea.; Kim, KM (corresponding author), Yonsei Univ, Coll Med, Dept Neurol, 50-1 Yonsei ro, Seoul 03722, South Korea.</t>
  </si>
  <si>
    <t>yurangpark@yuhs.ac; penlighting11@yuhs.ac</t>
  </si>
  <si>
    <t>Hyundai Motor Chung Mong-Koo Foundation; MCU</t>
  </si>
  <si>
    <t>We would like to thank the MCU (Medical informatics Collaborative Unit) members of Yonsei University College of Medicine for their assistance in data analysis.</t>
  </si>
  <si>
    <t>[Choi, Bo Kyu; Choi, Yoonhyeok; Jang, Sooyoung; Park, Yu Rang] Yonsei Univ, Coll Med, Dept Biomed Syst Informat, 50-1 Yonsei ro, Seoul 03722, South Korea; [Choi, Bo Kyu] Yonsei Univ, Gangnam Severance Hosp, Coll Med, Dept Neurol, Seoul 06273, South Korea; [Choi, Yoonhyeok] Yonsei Univ, Dept Comp Sci &amp; Engn, Coll Comp, Seoul 03722, South Korea; [Ha, Woo-Seok; Cho, Soomi; Kim, Kyung Min] Yonsei Univ, Coll Med, Dept Neurol, 50-1 Yonsei ro, Seoul 03722, South Korea; [Chang, Kimoon] Eulji Univ, Uijeongbu Eulji Med Ctr, Dept Neurol, Uijongbu 11759, South Korea; [Sohn, Beomseok] Sungkyunkwan Univ, Samsung Med Ctr, Sch Med, Dept Radiol, Seoul 06351, South Korea</t>
  </si>
  <si>
    <t>Yonsei University; Yonsei University Health System; Yonsei University; Severance Hospital; Yonsei University Health System; Yonsei University; Yonsei University; Yonsei University Health System; Eulji University; Sungkyunkwan University (SKKU); Samsung Medical Center</t>
  </si>
  <si>
    <t>Multimodal deep learning model for prediction of prognosis in central nervous system inflammation</t>
  </si>
  <si>
    <t>BRAIN COMMUNICATIONS</t>
  </si>
  <si>
    <t>central nervous system inflammation; artificial intelligence; brain MRI; multimodal deep learning</t>
  </si>
  <si>
    <t>ENCEPHALITIS; CLASSIFICATION; DIAGNOSIS</t>
  </si>
  <si>
    <t>Sohn, Beomseok/GSO-1579-2022; Ha, Woo-Seok/LYO-2690-2024; Cho, Soomi/NOE-6804-2025</t>
  </si>
  <si>
    <t>Sohn, Beomseok/0000-0002-6765-8056; Kim, Kyung Min/0000-0002-0261-1687; Ha, Woo-Seok/0000-0003-1188-449X; Choi, Yoonhyeok/0009-0008-5914-3600; Cho, Soomi/0000-0003-4723-8975; Choi, Bo Kyu/0000-0002-0796-4043; Park, Yu Rang/0000-0002-4210-2094</t>
  </si>
  <si>
    <t>2632-1297</t>
  </si>
  <si>
    <t>BRAIN COMMUN</t>
  </si>
  <si>
    <t>Brain Commun.</t>
  </si>
  <si>
    <t>fcaf179</t>
  </si>
  <si>
    <t>10.1093/braincomms/fcaf179</t>
  </si>
  <si>
    <t>http://dx.doi.org/10.1093/braincomms/fcaf179</t>
  </si>
  <si>
    <t>2QX1R</t>
  </si>
  <si>
    <t>40385378</t>
  </si>
  <si>
    <t>WOS:001489166400001</t>
  </si>
  <si>
    <t>Alsaafin, A; Shafique, A; Alfasly, S; Kalari, KR; Tizhoosh, HR</t>
  </si>
  <si>
    <t>Integrating artificial intelligence (AI) with healthcare data is rapidly transforming medical diagnostics and driving progress toward precision medicine. However, effectively leveraging multimodal data, particularly digital pathology whole slide images (WSIs) and genomic sequencing, remains a significant challenge due to the intrinsic heterogeneity of these modalities and the need for scalable and interpretable frameworks. Existing diagnostic models typically operate on unimodal data, overlooking critical cross-modal interactions that can yield richer clinical insights. We introduce MarbliX (Multimodal Association and Retrieval with Binary Latent Indexed matriX), a self-supervised framework that learns to embed WSIs and immunogenomic profiles into compact, scalable binary codes, termed "monogram." By optimizing a triplet contrastive objective across modalities, MarbliX captures high-resolution patient similarity in a unified latent space, enabling efficient retrieval of clinically relevant cases and facilitating case-based reasoning. In lung cancer, MarbliX achieves 85%-89% across all evaluation metrics, outperforming histopathology (69%-71%) and immunogenomics (73%-76%). In kidney cancer, real-valued monograms yield the strongest performance (F1: 80%-83%, Accuracy: 87%-90%), with binary monograms slightly lower (F1: 78%-82%).</t>
  </si>
  <si>
    <t>Alsaafin, Areej; Shafique, Abubakr; Alfasly, Saghir; Kalari, Krishna R.; Tizhoosh, H. R.</t>
  </si>
  <si>
    <t>Tizhoosh, HR (corresponding author), Mayo Clin, Dept Artificial Intelligence &amp; Informat, Kimia Lab, Rochester, MN 55905 USA.</t>
  </si>
  <si>
    <t>tizhoosh.hamid@mayo.edu</t>
  </si>
  <si>
    <t>[Alsaafin, Areej; Shafique, Abubakr; Alfasly, Saghir; Tizhoosh, H. R.] Mayo Clin, Dept Artificial Intelligence &amp; Informat, Kimia Lab, Rochester, MN 55905 USA; [Kalari, Krishna R.] Mayo Clin, Dept Quantitat Hlth Sci, Div Computat Biol, Rochester, MN USA</t>
  </si>
  <si>
    <t>Mayo Clinic; Mayo Clinic</t>
  </si>
  <si>
    <t>Multimodal learning for scalable representation of high-dimensional medical data</t>
  </si>
  <si>
    <t>FRONTIERS IN DIGITAL HEALTH</t>
  </si>
  <si>
    <t>cancer image classification; deep learning; genomic sequence; multimodal retrieval; patholog; whole slide image analysis</t>
  </si>
  <si>
    <t>IMPACT</t>
  </si>
  <si>
    <t>Tizhoosh, Hamid/KIL-6277-2024</t>
  </si>
  <si>
    <t>Alfasly, Saghir/0000-0002-8561-660X</t>
  </si>
  <si>
    <t>2673-253X</t>
  </si>
  <si>
    <t>FRONT DIGIT HEALTH</t>
  </si>
  <si>
    <t>Front. Digit. Health</t>
  </si>
  <si>
    <t>JAN 27 2026</t>
  </si>
  <si>
    <t>1709277</t>
  </si>
  <si>
    <t>10.3389/fdgth.2025.1709277</t>
  </si>
  <si>
    <t>http://dx.doi.org/10.3389/fdgth.2025.1709277</t>
  </si>
  <si>
    <t>DK3BE</t>
  </si>
  <si>
    <t>41684639</t>
  </si>
  <si>
    <t>WOS:001685448000001</t>
  </si>
  <si>
    <t>Vollmer, A; Hartmann, S; Vollmer, M; Shavlokhova, V; Brands, RC; Kübler, A; Wollborn, J; Hassel, F; Couillard-Despres, S; Lang, G; Saravi, B</t>
  </si>
  <si>
    <t>In this study, we aimed to develop a novel prognostic algorithm for oral squamous cell carcinoma (OSCC) using a combination of pathogenomics and AI-based techniques. We collected comprehensive clinical, genomic, and pathology data from a cohort of OSCC patients in the TCGA dataset and used machine learning and deep learning algorithms to identify relevant features that are predictive of survival outcomes. Our analyses included 406 OSCC patients. Initial analyses involved gene expression analyses, principal component analyses, gene enrichment analyses, and feature importance analyses. These insights were foundational for subsequent model development. Furthermore, we applied five machine learning/deep learning algorithms (Random Survival Forest, Gradient Boosting Survival Analysis, Cox PH, Fast Survival SVM, and DeepSurv) for survival prediction. Our initial analyses revealed relevant gene expression variations and biological pathways, laying the groundwork for robust feature selection in model building. The results showed that the multimodal model outperformed the unimodal models across all methods, with c-index values of 0.722 for RSF, 0.633 for GBSA, 0.625 for FastSVM, 0.633 for CoxPH, and 0.515 for DeepSurv. When considering only important features, the multimodal model continued to outperform the unimodal models, with c-index values of 0.834 for RSF, 0.747 for GBSA, 0.718 for FastSVM, 0.742 for CoxPH, and 0.635 for DeepSurv. Our results demonstrate the potential of pathogenomics and AI-based techniques in improving the accuracy of prognostic prediction in OSCC, which may ultimately aid in the development of personalized treatment strategies for patients with this devastating disease.</t>
  </si>
  <si>
    <t>Vollmer, Andreas; Hartmann, Stefan; Vollmer, Michael; Shavlokhova, Veronika; Brands, Roman C.; Kuebler, Alexander; Wollborn, Jakob; Hassel, Frank; Couillard-Despres, Sebastien; Lang, Gernot; Saravi, Babak</t>
  </si>
  <si>
    <t>Vollmer, A (corresponding author), Univ Hosp Wurzburg, Dept Oral &amp; Maxillofacial Plast Surg, D-97070 Wurzburg, Franconia, Germany.</t>
  </si>
  <si>
    <t>Vollmer_a@ukw.de</t>
  </si>
  <si>
    <t>Projekt DEAL</t>
  </si>
  <si>
    <t>Projekt DEAL (Projekt DEAL)</t>
  </si>
  <si>
    <t>Open Access funding enabled and organized by Projekt DEAL. This research received no external funding.</t>
  </si>
  <si>
    <t>[Vollmer, Andreas; Hartmann, Stefan; Brands, Roman C.; Kuebler, Alexander] Univ Hosp Wurzburg, Dept Oral &amp; Maxillofacial Plast Surg, D-97070 Wurzburg, Franconia, Germany; [Vollmer, Michael] Tuebingen Univ Hosp, Dept Oral &amp; Maxillofacial Surg, Osianderstr 2-8, D-72076 Tubingen, Germany; [Shavlokhova, Veronika] Maxillofacial Surg Univ Hosp Ruppin Brandenburg, Fehrbelliner Str 38, D-16816 Neuruppin, Germany; [Wollborn, Jakob; Saravi, Babak] Brigham &amp; Womens Hosp, Harvard Med Sch, Dept Anesthesiol Perioperat &amp; Pain Med, Boston, MA USA; [Hassel, Frank; Saravi, Babak] Loretto Hosp, Dept Spine Surg, Freiburg, Germany; [Couillard-Despres, Sebastien; Saravi, Babak] Paracelsus Med Univ, Inst Expt Neuroregenerat, A-5020 Salzburg, Austria; [Couillard-Despres, Sebastien] Austrian Cluster Tissue Regenerat, Vienna, Austria; [Lang, Gernot; Saravi, Babak] Univ Freiburg, Fac Med, Med Ctr, Dept Orthoped &amp; Trauma Surg, Freiburg, Germany</t>
  </si>
  <si>
    <t>University of Wurzburg; Eberhard Karls University of Tubingen; Eberhard Karls University Hospital; TUBINGEN UNIVERSITY CHILDRENS HOSPITAL; Harvard University; Harvard Medical School; Harvard University Medical Affiliates; Brigham &amp; Women's Hospital; Paracelsus Private Medical University; University of Freiburg</t>
  </si>
  <si>
    <t>Multimodal artificial intelligence-based pathogenomics improves survival prediction in oral squamous cell carcinoma</t>
  </si>
  <si>
    <t>Oral cancer; Oral squamous cell carcinoma; Survival; Artificial intelligence; Deep learning; Machine learning; Pathogenomics; Multimodal prediction</t>
  </si>
  <si>
    <t>Vollmer, Andreas/ABD-1971-2021; Saravi, Babak/AAV-9666-2020; Hassel, Frank/HJO-9844-2023; Couillard-Despres, Sebastien/AFN-0929-2022; Kübler, Alexander/ABA-9297-2021</t>
  </si>
  <si>
    <t>Saravi, Babak/0000-0003-2298-3696; Couillard-Despres, Sebastien/0000-0002-8486-6412</t>
  </si>
  <si>
    <t>MAR 7 2024</t>
  </si>
  <si>
    <t>5687</t>
  </si>
  <si>
    <t>10.1038/s41598-024-56172-5</t>
  </si>
  <si>
    <t>http://dx.doi.org/10.1038/s41598-024-56172-5</t>
  </si>
  <si>
    <t>LE4F0</t>
  </si>
  <si>
    <t>38453964</t>
  </si>
  <si>
    <t>WOS:001185083700054</t>
  </si>
  <si>
    <t>Mubarakali, A</t>
  </si>
  <si>
    <t>Long-term physical health consequences of COVID-19 remain a critical concern, especially among children and adults. Accurate prediction of post-COVID-19 health outcomes is essential for early intervention and personalized treatment. However, existing models primarily use unimodal or shallow learning techniques, which fail to capture the complex multimodal relationships and temporal patterns inherent in-patient data. To address these limitations, this study introduces CLT-Net, a novel AI-driven multimodal deep learning framework for postCOVID-19 physical health outcome prediction and clinical decision support. CLT-Net processes a comprehensive multimodal dataset comprising clinical records (COVID-19 diagnosis and clinical features), medical imaging (CT scans), and physiological signals (ECG). Specifically, CNN extracts spatial features from CT scans, LSTM captures temporal dynamics from ECG signals, and BERT improves contextual understanding from clinical notes. The attention-based fusion mechanism learned attention average modality contribution weights of approximately 0.45, 0.30, and 0.25 for CT, ECG, and clinical modalities, respectively, during training. Extensive experiments demonstrate that CLT-Net outperforms state-of-the-art models such as DeepCOVIDNet, MedFuseNet, MultiMod-COVID, HybridNet, and Fusion-CNN across all major evaluation metrics, achieving an Accuracy of 97.8%, Precision of 98.4%, Recall of 97.2%, F1-Score of 97.8%, and AUC-ROC of 99.1%. These results confirm the superior generalizability and clinical applicability of CLT-Net for post-COVID-19 health risk prediction. Future improvements include incorporating genomic data and wearable sensor information to further enhance predictive accuracy, positioning CLT-Net as a reliable AI-driven tool for multimodal health outcome prediction and real-time clinical decision-making.</t>
  </si>
  <si>
    <t>Mubarakali, Azath</t>
  </si>
  <si>
    <t>Mubarakali, A (corresponding author), King Khalid Univ, Coll Comp Sci, Dept Informat &amp; Comp Syst, Abha, Saudi Arabia.</t>
  </si>
  <si>
    <t>mailmeath@gmail.com</t>
  </si>
  <si>
    <t>Deanship of Research and Graduate Studies at King Khalid University [RGP2/105/47]</t>
  </si>
  <si>
    <t>Deanship of Research and Graduate Studies at King Khalid University</t>
  </si>
  <si>
    <t>The authors extend their appreciation to the Deanship of Research and Graduate Studies at King Khalid University for funding this work through Large Research Groups Program under grant number RGP2/105/47.</t>
  </si>
  <si>
    <t>[Mubarakali, Azath] King Khalid Univ, Coll Comp Sci, Dept Informat &amp; Comp Syst, Abha, Saudi Arabia</t>
  </si>
  <si>
    <t>King Khalid University</t>
  </si>
  <si>
    <t>Clinical learning transformer network: A multimodal deep learning framework for predicting post-COVID-19 physical health outcomes in adults and children</t>
  </si>
  <si>
    <t>ENGINEERING APPLICATIONS OF ARTIFICIAL INTELLIGENCE</t>
  </si>
  <si>
    <t>Artificial intelligence in healthcare; Post-COVID-19 health outcome prediction; Multimodal deep learning; Convolutional neural networks; Long short-term memory; BERT transformers; Clinical decision support system</t>
  </si>
  <si>
    <t>MUBARAKALI, AZATH/A-4543-2019</t>
  </si>
  <si>
    <t>0952-1976</t>
  </si>
  <si>
    <t>1873-6769</t>
  </si>
  <si>
    <t>ENG APPL ARTIF INTEL</t>
  </si>
  <si>
    <t>Eng. Appl. Artif. Intell.</t>
  </si>
  <si>
    <t>181</t>
  </si>
  <si>
    <t>115544</t>
  </si>
  <si>
    <t>10.1016/j.engappai.2026.115544</t>
  </si>
  <si>
    <t>http://dx.doi.org/10.1016/j.engappai.2026.115544</t>
  </si>
  <si>
    <t>Automation &amp; Control Systems; Computer Science, Artificial Intelligence; Engineering, Multidisciplinary; Engineering, Electrical &amp; Electronic</t>
  </si>
  <si>
    <t>Automation &amp; Control Systems; Computer Science; Engineering</t>
  </si>
  <si>
    <t>KS9ZJ</t>
  </si>
  <si>
    <t>WOS:001814882400001</t>
  </si>
  <si>
    <t>Hua, PY; Olofson, A; Farhadi, F; Hondelink, L; Tsongalis, G; Dragnev, K; Savellano, DH; Suriawinata, A; Tafe, L; Hassanpour, S</t>
  </si>
  <si>
    <t>Background: Resistance to tyrosine kinase inhibitors remains a major clinical challenge in the treatment of nonsmall cell lung cancer (NSCLC) with activating epidermal growth factor receptor (EGFR) mutations. Despite the efficacy of third-generation EGFR inhibitors, no standard tool currently exists to predict resistance using routinely available clinical data. In this study, we aim to develop a multimodal machine learning model to predict resistance in NSCLC patients using readily accessible clinical information. Methods: We conducted a multi-institutional retrospective study to develop and evaluate a multimodal machine learning model for predicting therapy resistance in late-stage NSCLC patients with EGFR mutations. The study included 42 patients treated with EGFR-targeted therapy from Dartmouth-Hitchcock Medical Center and Ochsner Health System, using data including histology whole-slide images, next-generation sequencing results, and demographic and clinical variables. The modeling framework fused image and non-image data through a threestage training process and was evaluated using 5-fold nested cross-validation. Model performance was assessed using the concordance index (C-index), Kaplan-Meier survival curves, and log-rank tests. Interpretability analyses were conducted using attention maps, feature importance coefficients, and cellular composition comparisons. Results: The multimodal model achieved a mean C-index of 0.82 across cross-validation folds, outperforming image-only and non-image models (C-index 0.75 and 0.77, respectively). Stratified analyses across institutions confirmed consistent performance gains with the multimodal approach. Kaplan-Meier analysis revealed that the multimodal model significantly stratified patients into distinct hazard groups (logrank P=0.04), which unimodal models failed to achieve. Key predictors included RB1 mutation and Hispanic ethnicity. Attention maps highlighted histologic regions with deformed nuclei, and cellular analysis revealed reduced inflammatory cell presence in high-risk patients. Conclusions: This study presents a robust multimodal machine learning model for predicting therapy resistance in EGFR-mutant NSCLC, leveraging routinely collected clinical data without manual feature engineering. The model demonstrated superior performance over unimodal models and effective hazard stratification, suggesting utility for personalized treatment decisions. These findings underscore the potential of multimodal artificial intelligence (AI) tools to advance precision oncology, particularly in resource-limited settings. Further validation in larger, diverse cohorts is warranted.</t>
  </si>
  <si>
    <t>Hua, Peiying; Olofson, Andrea; Farhadi, Faraz; Hondelink, Liesbeth; Tsongalis, Gregory; Dragnev, Konstantin; Savellano, Dagmar Hoegemann; Suriawinata, Arief; Tafe, Laura; Hassanpour, Saeed</t>
  </si>
  <si>
    <t>Hassanpour, S (corresponding author), Geisel Sch Med, Dept Biomed Data Sci, 1 Med Ctr Dr,HB 7261, Lebanon, NH 03756 USA.; Hassanpour, S (corresponding author), Geisel Sch Med, Dept Comp Sci, 1 Med Ctr Dr,HB 7261, Lebanon, NH 03756 USA.; Hassanpour, S (corresponding author), Geisel Sch Med, Dept Epidemiol, 1 Med Ctr Dr,HB 7261, Lebanon, NH 03756 USA.</t>
  </si>
  <si>
    <t>Saeed.Hassanpour@Dartmouth.edu</t>
  </si>
  <si>
    <t>US National Library of Medicine [R01LM012837, R01LM013833]; US National Cancer Institute [R01CA249758]</t>
  </si>
  <si>
    <t>US National Library of Medicine (United States Department of Health &amp; Human Services, National Institutes of Health (NIH) - USA, NIH National Library of Medicine (NLM)); US National Cancer Institute (United States Department of Health &amp; Human Services, National Institutes of Health (NIH) - USA, NIH National Cancer Institute (NCI))</t>
  </si>
  <si>
    <t>We thank John Higgins, MS, for his assistance with data collection for this study and Danielle Cohen, MD, PhD, for her valuable feedback on the manuscript. Funding : This research was supported in part by grants from the US National Library of Medicine (Nos. R01LM012837 and R01LM013833) and the US National Cancer Institute (No. R01CA249758) .</t>
  </si>
  <si>
    <t>[Hua, Peiying; Hassanpour, Saeed] Geisel Sch Med Dartmouth, Dept Biomed Data Sci, Hanover, NH USA; [Olofson, Andrea] Ochsner Hlth Syst, Dept Pathol, New Orleans, LA USA; [Farhadi, Faraz; Savellano, Dagmar Hoegemann] Dartmouth Hitchcock Med Ctr, Dept Radiol, Lebanon, NH USA; [Hondelink, Liesbeth] Leiden Univ, Med Ctr, Dept Pathol, Leiden, Netherlands; [Tsongalis, Gregory; Suriawinata, Arief; Tafe, Laura] Dartmouth Hitchcock Med Ctr, Dept Pathol &amp; Lab Med, Lebanon, NH USA; [Dragnev, Konstantin] Dartmouth Hitchcock Med Ctr, Dept Med Oncol, Lebanon, NH USA; [Hassanpour, Saeed] Geisel Sch Med Dartmouth, Dept Epidemiol, Hanover, NH USA; [Hassanpour, Saeed] Dartmouth Coll, Dept Comp Sci, Hanover, NH USA</t>
  </si>
  <si>
    <t>Dartmouth College; Ochsner Health System; Dartmouth College; Leiden University - Excl LUMC; Leiden University; Leiden University Medical Center (LUMC); Dartmouth College; Dartmouth College; Dartmouth College; Dartmouth College</t>
  </si>
  <si>
    <t>Predicting targeted therapy resistance in non-small cell lung cancer using multimodal machine learning</t>
  </si>
  <si>
    <t>Non-small cell lung cancer (NSCLC); therapy resistance prediction; multimodal machine learning; whole slide imaging; precision oncology</t>
  </si>
  <si>
    <t>OSIMERTINIB; SURVIVAL; DISTRESS</t>
  </si>
  <si>
    <t>8700</t>
  </si>
  <si>
    <t>8714</t>
  </si>
  <si>
    <t>10.21037/jtd-2025-1012</t>
  </si>
  <si>
    <t>http://dx.doi.org/10.21037/jtd-2025-1012</t>
  </si>
  <si>
    <t>9VI4Q</t>
  </si>
  <si>
    <t>41229771</t>
  </si>
  <si>
    <t>WOS:001615901300001</t>
  </si>
  <si>
    <t>Cao, YQ; Jin, XA; Zhao, YN; Zhang, GZ; Ge, WT; Zhou, JB; Liu, YP; Huang, PJ; Zhang, GX; Han, YH</t>
  </si>
  <si>
    <t>Background: Autoimmune gastritis (AIG), a chronic inflammatory disease associated with various comorbidities and complications, is often subject to missed or delayed diagnoses. Aims: The objective of this study was to develop an artificial intelligence (AI) system to assist in the diagnosis of AIG by integrating multimodal information, including endoscopic images, biopsy pathological reports, and laboratory test results. Methods: Multimodal data were collected from 590 patients diagnosed with AIG, H. pylori positive, and H. pylori negative chronic atrophic gastritis at three medical centers. A multimodal AI system was developed to diagnose AIG and other types of chronic gastritis. The performance of the AI system was evaluated using both internal and external datasets. Six endoscopists were invited to perform three-category classification for comparison. The SHapley Additive exPlanations (SHAP) framework and EigenCAM were used to improve the interpretability of the AI system. Results: The proposed multimodal AI system achieved a sensitivity of 0.931, specificity of 0.963, and accuracy of 0.954, significantly outperforming unimodal models (all P &lt; 0.001) and the best-performing invited expert endoscopist under controlled conditions. SHAP analysis indicated that the three modalities provided complementary and synergistic information. Conclusion: This multimodal AI system has the potential to enable practical AI-assisted diagnosis of AIG with exceptional accuracy.</t>
  </si>
  <si>
    <t>Cao, Yuqi; Jin, Xinao; Zhao, Yining; Zhang, Gangzhi; Ge, Weiting; Zhou, Jianbo; Liu, Yongpan; Huang, Pingjie; Zhang, Guangxin; Han, Yuehua</t>
  </si>
  <si>
    <t>Zhang, GX (corresponding author), Coll control Sci &amp; Engn, 38 Zheda Rd, Hangzhou, Zhejiang, Peoples R China.; Han, YH (corresponding author), Zhejiang Univ, Affiliated Hosp 2, Sch Med, 88 Jiefang Rd, Hangzhou, Zhejiang, Peoples R China.</t>
  </si>
  <si>
    <t>gxzhang@zju.edu.cn; hanyaohua@zju.edu.cn</t>
  </si>
  <si>
    <t>[Cao, Yuqi; Jin, Xinao; Zhao, Yining; Huang, Pingjie; Zhang, Guangxin] Zhejiang Univ, Coll Control Sci &amp; Engn, State Key Lab Ind Control Technol, Hangzhou 310027, Peoples R China; [Cao, Yuqi] Guilin Univ Aerosp Technol, Guangxi Key Lab Special Engn Equipment &amp; Control, Guilin 541004, Peoples R China; [Zhang, Gangzhi; Han, Yuehua] Zhejiang Univ, Affiliated Hosp 2, Dept Gastroenterol, Sch Med, Hangzhou 310000, Peoples R China; [Ge, Weiting] Zhejiang Univ, Affiliated Hosp 2, Ctr Basic &amp; Translat Res,China Natl Minist Educ, Key Lab Canc &amp; Intervent,Sch Med, Hangzhou 310000, Peoples R China; [Ge, Weiting] Minist Educ, Ctr Med Res &amp; Innovat Digest Syst Tumors, Hangzhou 310000, Peoples R China; [Zhou, Jianbo] Ningbo Univ, Affiliated Yangming Hosp, Ningbo 315400, Peoples R China; [Liu, Yongpan] Zhejiang Chinese Med Univ, Affiliated Hosp 2, Hangzhou 310005, Peoples R China</t>
  </si>
  <si>
    <t>Zhejiang University; Guilin University of Aerospace Technology; Zhejiang University; Zhejiang University; Ningbo University; Zhejiang Chinese Medical University</t>
  </si>
  <si>
    <t>A multimodal artificial intelligence method for accurate diagnosis of autoimmune gastritis</t>
  </si>
  <si>
    <t>DIGESTIVE AND LIVER DISEASE</t>
  </si>
  <si>
    <t>Autoimmune gastritis identification; Deep learning; Multimodal feature fusion; Model interpretability</t>
  </si>
  <si>
    <t>1590-8658</t>
  </si>
  <si>
    <t>1878-3562</t>
  </si>
  <si>
    <t>DIGEST LIVER DIS</t>
  </si>
  <si>
    <t>Dig. Liver Dis.</t>
  </si>
  <si>
    <t>1156</t>
  </si>
  <si>
    <t>1164</t>
  </si>
  <si>
    <t>10.1016/j.dld.2026.07.005</t>
  </si>
  <si>
    <t>http://dx.doi.org/10.1016/j.dld.2026.07.005</t>
  </si>
  <si>
    <t>MU9SF</t>
  </si>
  <si>
    <t>42527225</t>
  </si>
  <si>
    <t>WOS:001851497600001</t>
  </si>
  <si>
    <t>Zhai, Y; Tan, DH; Sun, DS; Zheng, TT</t>
  </si>
  <si>
    <t>This study aims to enhance breast ultrasound diagnosis by developing a multimodal artificial intelligence (AI) system that integrates lesion detection, diagnostic fusion, and human-computer interaction. We propose KIDNet, a deep learning model for detecting and scoring lesions. A Transformer-based network then fuses ultrasound images, AI-derived scores, and clinical data for final diagnosis. Our results demonstrate that the multimodal fusion approach achieves a diagnostic accuracy of 93.1%, significantly outperforming unimodal and simple fusion methods. Furthermore, we explore different interaction modes for image selection, finding that a human-computer collaborative approach yields the highest accuracy of 95.4%. This work establishes a framework for AI-assisted breast ultrasound that improves workflow efficiency and diagnostic performance through synergistic human-AI collaboration.</t>
  </si>
  <si>
    <t>Zhai, Yue; Tan, Dianhuan; Sun, Desheng; Zheng, Tingting</t>
  </si>
  <si>
    <t>Sun, DS; Zheng, TT (corresponding author), Hong Kong Univ Sci &amp; Technol, Shenzhen Peking Univ, Peking Univ,Dept Ultrasound,Med Ctr, Shenzhen Hosp,Inst Ultrason Med,Shenzhen Key Lab D, Shenzhen 518036, Guangdong, Peoples R China.</t>
  </si>
  <si>
    <t>kyzs_018@126.com; szdssun@pkuszh.com</t>
  </si>
  <si>
    <t>[Zhai, Yue; Tan, Dianhuan; Sun, Desheng; Zheng, Tingting] Hong Kong Univ Sci &amp; Technol, Shenzhen Peking Univ, Peking Univ,Dept Ultrasound,Med Ctr, Shenzhen Hosp,Inst Ultrason Med,Shenzhen Key Lab D, Shenzhen 518036, Guangdong, Peoples R China</t>
  </si>
  <si>
    <t>Hong Kong University of Science &amp; Technology; Peking University</t>
  </si>
  <si>
    <t>Multimodal artificial intelligence for human-computer interaction enhanced breast lesion diagnosis</t>
  </si>
  <si>
    <t>Breast ultrasound; Nodule diagnosis; AI-assisted; Image selection; Key region detection</t>
  </si>
  <si>
    <t>SHEAR-WAVE</t>
  </si>
  <si>
    <t>100730</t>
  </si>
  <si>
    <t>10.1016/j.array.2026.100730</t>
  </si>
  <si>
    <t>http://dx.doi.org/10.1016/j.array.2026.100730</t>
  </si>
  <si>
    <t>EY8DM</t>
  </si>
  <si>
    <t>WOS:001712972600001</t>
  </si>
  <si>
    <t>Küçükçiloglu, Y; Sekeroglu, B; Adali, T; Sentürk, N</t>
  </si>
  <si>
    <t>PURPOSE Osteoporosis is the systematic degeneration of the human skeleton, with consequences ranging from a reduced quality of life to mortality. Therefore, the prediction of osteoporosis reduces risks and supports patients in taking precautions. Deep -learning and specific models achieve highly accurate results using different imaging modalities. The primary purpose of this research was to develop unimodal and multimodal deep -learning -based diagnostic models to predict bone mineral loss of the lumbar vertebrae using magnetic resonance (MR) and computed tomography (CT) imaging. METHODS Patients who received both lumbar dual -energy X-ray absorptiometry (DEXA) and MRI (n = 120) or CT (n = 100) examinations were included in this study. Unimodal and multimodal convolutional neural networks (CNNs) with dual blocks were proposed to predict osteoporosis using lumbar vertebrae MR and CT examinations in separate and combined datasets. Bone mineral density values obtained by DEXA were used as reference data. The proposed models were compared with a CNN model and six benchmark pre -trained deep -learning models. RESULTS The proposed unimodal model obtained 96.54%, 98.84%, and 96.76% balanced accuracy for MRI, CT, and combined datasets, respectively, while the multimodal model achieved 98.90% balanced accuracy in 5 -fold cross -validation experiments. Furthermore, the models obtained 95.68%-97.91% accuracy with a hold -out validation dataset. In addition, comparative experiments demonstrated that the proposed models yielded superior results by providing more effective feature extraction in dual blocks to predict osteoporosis. CONCLUSION This study demonstrated that osteoporosis was accurately predicted by the proposed models using both MR and CT images, and a multimodal approach improved the prediction of osteoporosis. With further research involving prospective studies with a larger number of patients, there may be an opportunity to implement these technologies into clinical practice.</t>
  </si>
  <si>
    <t>Kucukciloglu, Yasemin; Sekeroglu, Boran; Adali, Terin; Senturk, Niyazi</t>
  </si>
  <si>
    <t>Sekeroglu, B (corresponding author), Near East Univ, Appl Artificial Intelligence Res Ctr, Nicosia, Cyprus.</t>
  </si>
  <si>
    <t>boran.sekeroglu@neu.edu.tr</t>
  </si>
  <si>
    <t>[Kucukciloglu, Yasemin] Near East Univ, Fac Med, Dept Radiol, Nicosia, Cyprus; [Kucukciloglu, Yasemin; Adali, Terin; Senturk, Niyazi] Near East Univ, Tissue Engn &amp; Biomat Res Ctr, Ctr Excellence, Nicosia, Cyprus; [Sekeroglu, Boran] Near East Univ, Appl Artificial Intelligence Res Ctr, Nicosia, Cyprus; [Adali, Terin; Senturk, Niyazi] Near East Univ, Fac Engn, Dept Biomed Engn, Nicosia, Cyprus; [Adali, Terin] Sabanci Univ, Nanotechnol Res &amp; Applicat Ctr, Istanbul, Turkiye</t>
  </si>
  <si>
    <t>Near East University; Near East University; Near East University; Near East University; Sabanci University</t>
  </si>
  <si>
    <t>Prediction of osteoporosis using MRI and CT scans with unimodal and multimodal deep-learning models</t>
  </si>
  <si>
    <t>DIAGNOSTIC AND INTERVENTIONAL RADIOLOGY</t>
  </si>
  <si>
    <t>Osteoporosis; dual -energy X-ray absorptiometry; lumbar vertebrae; deep learning; multimodal CNN</t>
  </si>
  <si>
    <t>Küçükçiloğlu, Yasemin/AAH-8575-2019; Sekeroglu, Boran/X-6510-2019; Adali, Terin/AAG-2381-2020</t>
  </si>
  <si>
    <t>Sekeroglu, Boran/0000-0001-7284-1173</t>
  </si>
  <si>
    <t>TURKISH SOC RADIOLOGY</t>
  </si>
  <si>
    <t>ANKARA</t>
  </si>
  <si>
    <t>Hosdere Caddesi, Guzelkent Sokak, Cankaya Evleri, F Blok, No:2 , Cankaya PK, ANKARA, TURKEY</t>
  </si>
  <si>
    <t>1305-3612</t>
  </si>
  <si>
    <t>DIAGN INTERV RADIOL</t>
  </si>
  <si>
    <t>Diagn. Interv. Radiol.</t>
  </si>
  <si>
    <t>10.4274/dir.2023.232116</t>
  </si>
  <si>
    <t>http://dx.doi.org/10.4274/dir.2023.232116</t>
  </si>
  <si>
    <t>JV1K5</t>
  </si>
  <si>
    <t>37309886</t>
  </si>
  <si>
    <t>WOS:001175843700010</t>
  </si>
  <si>
    <t>Teles, AS; de Moura, IR; Silva, F; Roberts, A; Stahl, D</t>
  </si>
  <si>
    <t>Electronic Health Records (EHRs) have transformed healthcare by digitally consolidating patient medical history, encompassing structured data (e.g., demographic data, lab results), and unstructured textual data (e.g., clinical notes). These data hold significant potential for predictive modelling, and recent studies have dedicated efforts to leverage the different modalities in a cohesive and effective manner to improve predictive accuracy. This Systematic Literature Review (SLR) addresses the application of Multimodal Deep Learning (MDL) methods in EHR-based prediction modelling, specifically through the fusion of structured and textual data. Following PRISMA guidelines, we conducted a comprehensive literature search across six article databases, using a carefully designed search string. After applying inclusion and exclusion criteria, we selected 77 primary studies. Data extraction was standardized using a structured form based on the CHARMS checklist. We categorized and analysed the fusion strategies employed across the studies. By combining structured and textual data at the input level, early fusion enabled models to learn joint feature representations from the beginning, whether in vectorized representations or data textualization. Intermediate fusion, which delays integration, was particularly useful for tasks where each modality provides unique insights that need to be processed independently before being combined. Late fusion enabled modularity by integrating outputs from unimodal models, which is suitable when EHR structured and textual data have varying quality or reliability. We also identified trends and open issues that need attention. This review contributes a comprehensive understanding of EHR data fusion practices using MDL, highlighting potential pathways for future research and development in health informatics.</t>
  </si>
  <si>
    <t>Teles, Ariel Soares; de Moura, Ivan Rodrigues; Silva, Francisco; Roberts, Angus; Stahl, Daniel</t>
  </si>
  <si>
    <t>Teles, AS (corresponding author), Fed Inst Maranhao, Sao Luis, Maranhao, Brazil.</t>
  </si>
  <si>
    <t>ariel.teles@ifma.edu.br</t>
  </si>
  <si>
    <t>National Council for Scientific and Technological Development-CNPq, Brazil [441817/2023-8]</t>
  </si>
  <si>
    <t>National Council for Scientific and Technological Development-CNPq, Brazil (Conselho Nacional de Desenvolvimento Cientifico e Tecnologico (CNPQ))</t>
  </si>
  <si>
    <t>This work was supported by the National Council for Scientific and Technological Development-CNPq, Brazil (grant 441817/2023-8) .</t>
  </si>
  <si>
    <t>[Teles, Ariel Soares; Roberts, Angus] Kings Coll London, Inst Psychiat Psychol &amp; Neurosci, Dept Biostat &amp; Hlth Informat, London, England; [Teles, Ariel Soares] Fed Inst Maranhao, Sao Luis, Maranhao, Brazil; [de Moura, Ivan Rodrigues] Fed Inst Piaui, Teresina, Piaui, Brazil; [Silva, Francisco] Univ Fed Maranhao, Maranhao, Maranhao, Brazil</t>
  </si>
  <si>
    <t>King's College London; University of London; King's College London; Instituto Federal do Maranhao; Instituto Federal do Piaui (IFPI); Universidade Federal do Maranhao</t>
  </si>
  <si>
    <t>EHR-based prediction modelling meets multimodal deep learning: A systematic review of structured and textual data fusion methods</t>
  </si>
  <si>
    <t>INFORMATION FUSION</t>
  </si>
  <si>
    <t>Multimodal; Deep learning; Electronic Health Records; Predictive modelling; Data fusion; Natural Language Processing; Medical AI</t>
  </si>
  <si>
    <t>ELECTRONIC HEALTH RECORDS; ARTIFICIAL-INTELLIGENCE; DISEASE PREDICTION; INFORMATION; AGREEMENT; FAIRNESS; KAPPA; RISK; BIAS</t>
  </si>
  <si>
    <t>Stahl, Daniel/B-9713-2011; Soares Teles, Ariel/AAA-7305-2022; /AAN-4918-2021; Da+Silva+E+Silva, Francisco/AGM-5640-2022</t>
  </si>
  <si>
    <t>Roberts, Angus/0000-0002-4570-9801; Stahl, Daniel/0000-0001-7987-6619; Soares Teles, Ariel/0000-0002-0840-3870</t>
  </si>
  <si>
    <t>183</t>
  </si>
  <si>
    <t>1566-2535</t>
  </si>
  <si>
    <t>1872-6305</t>
  </si>
  <si>
    <t>INFORM FUSION</t>
  </si>
  <si>
    <t>Inf. Fusion</t>
  </si>
  <si>
    <t>118</t>
  </si>
  <si>
    <t>102981</t>
  </si>
  <si>
    <t>10.1016/j.inffus.2025.102981</t>
  </si>
  <si>
    <t>http://dx.doi.org/10.1016/j.inffus.2025.102981</t>
  </si>
  <si>
    <t>X4B2K</t>
  </si>
  <si>
    <t>WOS:001424816800001</t>
  </si>
  <si>
    <t>Santos, A; Gonzalez, CI; Garcia, M</t>
  </si>
  <si>
    <t>This study explores multimodal deep learning models for diagnosing Alzheimer's disease (AD), integrating up to eight data modalities, including clinical, imaging, and genetic information, using the OASIS-3 dataset. Three fusion strategies (early, late, and intermediate) are implemented and compared to effectively combine heterogeneous data. Three case studies are considered: (1) binary classification using magnetic resonance imaging (MRI) and the Clinical Dementia Rating (CDR) scale to distinguish between cognitively normal individuals and those with AD dementia; (2) binary classification using eight modalities (MRI, CDR, CENTILOID, FAQ, NPI-Q, D1, C1, and B8), improving predictive accuracy and robustness; and (3) multiclass classification with the same eight modalities to predict cognitive normality, uncertain dementia, or other dementia subtypes. Experimental results show that multimodal models consistently outperform unimodal approaches, demonstrating superior classification performance and greater resilience to uncertainty. Despite challenges in model interpretability and dataset balancing, these findings underscore the potential of multimodal fusion strategies to improve computer-assisted diagnosis of Alzheimer's disease.</t>
  </si>
  <si>
    <t>Santos, Ayrton; Gonzalez, Claudia I.; Garcia, Mario</t>
  </si>
  <si>
    <t>Gonzalez, CI (corresponding author), TECNM, Tijuana Inst Technol, Mexico City, Mexico.</t>
  </si>
  <si>
    <t>ayrton.santos@tectijuana.edu.mx; mario@tectijuana.edu.mx; cgonzalez@tectijuana.mx</t>
  </si>
  <si>
    <t>Acknowledgments We thank the TECNM/Tijuana Institute of Technology and SECIHTI for financial support through grant CF-2023-I-555.</t>
  </si>
  <si>
    <t>[Santos, Ayrton; Gonzalez, Claudia I.; Garcia, Mario] TECNM, Tijuana Inst Technol, Mexico City, Mexico</t>
  </si>
  <si>
    <t>Multimodal Deep Learning Fusion Strategies for Alzheimer's Disease Classification</t>
  </si>
  <si>
    <t>COMPUTACION Y SISTEMAS</t>
  </si>
  <si>
    <t>Alzheimer's disease classification; multimodal deep neural networks; neurodegenerative diseases; multimodal CNN</t>
  </si>
  <si>
    <t>Inst Politecnico Nacional IPN, Centro Investigacion Computacion</t>
  </si>
  <si>
    <t>MEXICO CITY</t>
  </si>
  <si>
    <t>AV JUAN DIOS BATIZ, S N ESQ M OTHON MENDIZABAL, UP ADOLFO LOPEZ MATEOS ZACATENCO, MEXICO CITY, 07738, MEXICO</t>
  </si>
  <si>
    <t>1405-5546</t>
  </si>
  <si>
    <t>2007-9737</t>
  </si>
  <si>
    <t>COMPUT SIST</t>
  </si>
  <si>
    <t>Comput. Sist.</t>
  </si>
  <si>
    <t>237</t>
  </si>
  <si>
    <t>257</t>
  </si>
  <si>
    <t>10.13053/CyS-30-1-6316</t>
  </si>
  <si>
    <t>http://dx.doi.org/10.13053/CyS-30-1-6316</t>
  </si>
  <si>
    <t>Computer Science, Information Systems</t>
  </si>
  <si>
    <t>GD2QA</t>
  </si>
  <si>
    <t>WOS:001733635600015</t>
  </si>
  <si>
    <t>Lakshmi, V; Pushpa, B</t>
  </si>
  <si>
    <t>Polycystic Ovary Syndrome (PCOS) is still the most common endocrine disorder among reproductive-aged women, but its proper diagnosis is always disrupted by heterogeneous phenotypes and the uncoordinated application of diagnostic modalities in solitude. Traditional methods mainly depend on either clinical markers or ultrasound imaging, which often results in unstandardized outcomes and less reliability. To break these barriers, this paper proposes an explainable multimodal deep learning model that combines ultrasound images with structured clinical features through a cross-attention fusion mechanism. Ultrasound data are extracted by a ResNet50 backbone as discriminative spatial features, while 41 clinical factors are compressed into 20 important diagnostic factors and embedded by a Transformer Encoder, which can well capture inter-attribute relationships and boost contextual feature representations. The cross-attention module facilitates bidirectional interactions between modalities so that cues from ultrasound can refine clinical feature interpretation and clinical embeddings modulate image-derived features. The fused representation is then passed through a hierarchical classification head to predict the status of PCOS. Interpretability is guaranteed by Grad-CAM + + overlays localizing discriminative ovarian structures in ultrasound images and attention heatmaps quantifying relative importance of clinical attributes. Extensively conducted experiments on a matched dataset of clinical profiles and ultrasound scans show better performance regarding accuracy, AUC, sensitivity, and specificity than unimodal and traditional fusion baselines. The explainability results closely agree with well-known diagnostic markers, stressing the clinical reliability of the proposed paradigm. This generalizable, transparent, and scalable model has huge potential for PCOS classification and more general multimodal disease diagnosis in medical imaging.</t>
  </si>
  <si>
    <t>Lakshmi, V.; Pushpa, B.</t>
  </si>
  <si>
    <t>Lakshmi, V (corresponding author), Annamalai Univ, Dept Comp &amp; Informat Sci, Annamalainagar, Tamilnadu, India.</t>
  </si>
  <si>
    <t>lakshmiphdau@gmail.com; Pushpasidhu@gmail.com</t>
  </si>
  <si>
    <t>[Lakshmi, V.; Pushpa, B.] Annamalai Univ, Dept Comp &amp; Informat Sci, Annamalainagar, Tamilnadu, India</t>
  </si>
  <si>
    <t>Annamalai University</t>
  </si>
  <si>
    <t>Explainable multimodal deep learning using cross-attention fusion of ultrasound and clinical features for PCOS classification</t>
  </si>
  <si>
    <t>DISCOVER COMPUTING</t>
  </si>
  <si>
    <t>Polycystic ovary syndrome; Multimodal deep learning; Ultrasound imaging; Clinical feature embedding; Cross-Attention fusion; Grad-CAM plus plus Visualization</t>
  </si>
  <si>
    <t>2948-2984</t>
  </si>
  <si>
    <t>2948-2992</t>
  </si>
  <si>
    <t>DISCOV COMPUT</t>
  </si>
  <si>
    <t>Discov. Comput.</t>
  </si>
  <si>
    <t>JAN 6 2026</t>
  </si>
  <si>
    <t>10.1007/s10791-025-09901-x</t>
  </si>
  <si>
    <t>http://dx.doi.org/10.1007/s10791-025-09901-x</t>
  </si>
  <si>
    <t>AS2MT</t>
  </si>
  <si>
    <t>WOS:001655532200003</t>
  </si>
  <si>
    <t>Baharoon, M; Almatar, H; Alduhayan, R; Aldebasi, T; Alahmadi, B; Bokhari, Y; Alawad, M; Almazroa, A; Aljouie, A</t>
  </si>
  <si>
    <t>Study Objectives: This study aimed to develop a multimodal deep learning (MMDL) system called HyMNet, integrating fundus images and cardiometabolic factors (age and sex) to enhance hypertension (HTN) detection. Methods: HyMNet employed RETFound, a model pretrained on 1.6 million retinal images, for the fundus data, in conjunction with a fully connected neural network for age and sex. The two pathways were jointly trained by joining their feature vectors into a fusion network. The system was trained on 5016 retinal images from 1243 individuals provided by the Saudi Ministry of National Guard Health Affairs. The influence of diabetes on HTN detection was also assessed. Results: HyMNet surpassed the unimodal system, achieving an F1 score of 0.771 compared to 0.745 for the unimodal model. For diabetic patients, the F1 score was 0.796, while it was 0.466 for non-diabetic patients. Conclusions: HyMNet exhibited superior performance relative to unimodal approaches, with an F1 score of 0.771 for HyMNet compared to 0.752 for models trained on demographic data alone, underscoring the advantages of MMDL systems in HTN detection. The findings indicate that diabetes significantly impacts HTN prediction, enhancing detection accuracy among diabetic patients. Utilizing MMDL with diverse data sources could improve clinical applicability and generalization.</t>
  </si>
  <si>
    <t>Baharoon, Mohammed; Almatar, Hessa; Alduhayan, Reema; Aldebasi, Tariq; Alahmadi, Badr; Bokhari, Yahya; Alawad, Mohammed; Almazroa, Ahmed; Aljouie, Abdulrhman</t>
  </si>
  <si>
    <t>Almazroa, A; Aljouie, A (corresponding author), King Saud Bin Abdulaziz Univ Hlth Sci KSAU HS, King Abdullah Int Med Res Ctr, AI &amp; Bioinformat Dept, Riyadh 11481, Saudi Arabia.; Aljouie, A (corresponding author), King Saud Bin Abdulaziz Univ Hlth Sci KSAU HS, King Abdullah Int Med Res Ctr, Data Management Dept, Riyadh 11481, Saudi Arabia.; Aljouie, A (corresponding author), King Saud Bin Abdulaziz Univ Hlth Sci KSAU HS, Coll Publ Hlth &amp; Hlth Informat, Riyadh 14815, Saudi Arabia.</t>
  </si>
  <si>
    <t>mohammedsalimab@outlook.com; almatarh@kaimrc.edu.sa; alduhayanr@kaimrc.edu.sa; malawad@sdaia.gov.sa; almazroaa@kaimrc.edu.sa; aljouiea@kaimrc.edu.sa; bokhariy@kaimrc.edu.sa; debasit@ngha.med.sa; ba25dr@gmail.com</t>
  </si>
  <si>
    <t>King Abdullah International Medical Research Center</t>
  </si>
  <si>
    <t>King Abdullah International Medical Research Center (King Abdullah International Medical Research Center (KAIMRC))</t>
  </si>
  <si>
    <t>This work was supported by King Abdullah International Medical Research Center.</t>
  </si>
  <si>
    <t>[Baharoon, Mohammed; Almatar, Hessa; Alduhayan, Reema; Bokhari, Yahya; Almazroa, Ahmed; Aljouie, Abdulrhman] King Saud Bin Abdulaziz Univ Hlth Sci KSAU HS, King Abdullah Int Med Res Ctr, AI &amp; Bioinformat Dept, Riyadh 11481, Saudi Arabia; [Baharoon, Mohammed; Aljouie, Abdulrhman] King Saud Bin Abdulaziz Univ Hlth Sci KSAU HS, King Abdullah Int Med Res Ctr, Data Management Dept, Riyadh 11481, Saudi Arabia; [Aldebasi, Tariq] Minist Natl Guard Hlth Affairs, King Abdulaziz Med City, Ophthalmol Dept, Riyadh 14611, Saudi Arabia; [Alahmadi, Badr] Minist Natl Guard Hlth Affairs, Prince Mohammad Bin Abdulaziz Hosp, Ophthalmol Dept, Al Madinah 42324, Saudi Arabia; [Bokhari, Yahya; Aljouie, Abdulrhman] King Saud Bin Abdulaziz Univ Hlth Sci KSAU HS, Coll Publ Hlth &amp; Hlth Informat, Riyadh 14815, Saudi Arabia; [Alawad, Mohammed] Saudi Data &amp; Artificial Intelligence Author SDAIA, Natl Ctr Artificial Intelligence NCAI, Riyadh 12382, Saudi Arabia</t>
  </si>
  <si>
    <t>King Saud Bin Abdulaziz University for Health Sciences; King Saud Bin Abdulaziz University for Health Sciences; King Saud Bin Abdulaziz University for Health Sciences; Ministry of National Guard - Health Affairs; King Saud Bin Abdulaziz University for Health Sciences; Ministry of National Guard - Health Affairs; King Saud Bin Abdulaziz University for Health Sciences</t>
  </si>
  <si>
    <t>HyMNet: A Multimodal Deep Learning System for Hypertension Prediction Using Fundus Images and Cardiometabolic Risk Factors</t>
  </si>
  <si>
    <t>BIOENGINEERING-BASEL</t>
  </si>
  <si>
    <t>artificial intelligence; machine learning; computer vision; cardiovascular diseases; hypertension detection; fundus images; multimodal deep learning</t>
  </si>
  <si>
    <t>Aljouie, Abdulrhman/CAJ-5561-2022</t>
  </si>
  <si>
    <t>Alduhayan, Reema/0000-0001-6475-8660; Aljouie, Abdulrhman/0000-0002-5592-2462</t>
  </si>
  <si>
    <t>2306-5354</t>
  </si>
  <si>
    <t>Bioengineering-Basel</t>
  </si>
  <si>
    <t>NOV 2024</t>
  </si>
  <si>
    <t>1080</t>
  </si>
  <si>
    <t>10.3390/bioengineering11111080</t>
  </si>
  <si>
    <t>http://dx.doi.org/10.3390/bioengineering11111080</t>
  </si>
  <si>
    <t>Biotechnology &amp; Applied Microbiology; Engineering, Biomedical</t>
  </si>
  <si>
    <t>Biotechnology &amp; Applied Microbiology; Engineering</t>
  </si>
  <si>
    <t>N8N9D</t>
  </si>
  <si>
    <t>39593740</t>
  </si>
  <si>
    <t>WOS:001366845700001</t>
  </si>
  <si>
    <t>Kizilisik, S; Terzi, A; Candemir, S</t>
  </si>
  <si>
    <t>Timely prediction of Intensive Care Unit (ICU) admission at hospital arrival is critical for clinical decision-making, resource allocation, and patient management, particularly during large-scale health crises such as the COVID-19 pandemic. In this study, we propose an explainable multimodal deep learning framework that integrates chest X-ray images with clinical variables to estimate ICU admission risk at hospital presentation. The model uses a lightweight CNN-backbone for imaging, a multilayer perceptron for clinical data, and a mid-level fusion strategy to learn joint representations. To address class imbalance and data limitations, focal loss and modality-specific data augmentation are applied. Model explainability is ensured through Gradient-weighted Class Activation Mapping for imaging and SHapley Additive exPlanations for clinical variables. Experimental results demonstrate that the multimodal framework achieves strong discriminative performance (AUROC = 0.95) and consistent performance across clinically relevant subgroups. Key predictors identified by SHAP analysis include C-reactive protein, oxygen saturation, hypoxia indicators, and comorbid lung disease, which are consistent with established clinical findings. External validation on a multi-center dataset demonstrates generalization to heterogeneous clinical settings despite domain shift. Beyond discrimination, the model provides reliable probabilistic estimates, supported by improved calibration performance and lower Brier score compared to unimodal baselines. Decision curve analysis further indicates higher net benefit across a range of threshold probabilities, supporting its potential utility in clinical decision-making. The findings suggest that the proposed framework could provide a promising basis for early ICU admission prediction using routinely available data at hospital presentation.</t>
  </si>
  <si>
    <t>Kizilisik, Salih; Terzi, Aysegul; Candemir, Sema</t>
  </si>
  <si>
    <t>Candemir, S (corresponding author), Eskisehir Tech Univ, Comp Engn Dept, Artificial Intelligence Healthcare Lab, TR-26555 Eskisehir, Turkiye.</t>
  </si>
  <si>
    <t>semacandemir@eskisehir.edu.tr</t>
  </si>
  <si>
    <t>Scientific and Technological Research Council of Turkiye (TUBITAK) under the BIDEB 2232 International Fellowship Program [121C0185]</t>
  </si>
  <si>
    <t>Scientific and Technological Research Council of Turkiye (TUBITAK) under the BIDEB 2232 International Fellowship Program (Turkiye Bilimsel ve Teknolojik Arastirma Kurumu (TUBITAK))</t>
  </si>
  <si>
    <t>This work was supported by the Scientific and Technological Research Council of Turkiye (TUBITAK) under the BIDEB 2232 International Fellowship Program (Grant No. 121C0185).</t>
  </si>
  <si>
    <t>[Kizilisik, Salih; Terzi, Aysegul; Candemir, Sema] Eskisehir Tech Univ, Comp Engn Dept, Artificial Intelligence Healthcare Lab, TR-26555 Eskisehir, Turkiye; [Terzi, Aysegul] Istanbul Tech Univ, Dept Comp Engn, TR-34467 Istanbul, Turkiye</t>
  </si>
  <si>
    <t>Eskisehir Technical University; Istanbul Technical University</t>
  </si>
  <si>
    <t>Explainable Multimodal Machine Learning Model for Predicting ICU Admission at Hospital Arrival</t>
  </si>
  <si>
    <t>Feeds; Filtering; Filters; Radio frequency; Protocols; Communication systems; Digital images; Electronic mail; Receivers; Internetworking; ICU admission prediction; multimodal learning; explainable artificial intelligence; chest X-ray; clinical decision support</t>
  </si>
  <si>
    <t>CHEST RADIOGRAPHS; COVID-19; FEATURES</t>
  </si>
  <si>
    <t>Candemir, Sema/X-2002-2019</t>
  </si>
  <si>
    <t>64412</t>
  </si>
  <si>
    <t>64426</t>
  </si>
  <si>
    <t>10.1109/ACCESS.2026.3687397</t>
  </si>
  <si>
    <t>http://dx.doi.org/10.1109/ACCESS.2026.3687397</t>
  </si>
  <si>
    <t>HI5OS</t>
  </si>
  <si>
    <t>WOS:001754886700030</t>
  </si>
  <si>
    <t>Xiao, YM; Yang, SK; He, MJ; Chen, L; Wu, Y; Zhong, L</t>
  </si>
  <si>
    <t>Multimodal clinical data, including imaging, pathology, omics, and laboratory tests, are often fragmented in routine practice, leading to inconsistent decision-making in the management of urological cancers. We propose UroFusion-X, a unified multimodal framework for integrated diagnosis, molecular subtyping, and prognosis prediction of bladder, kidney, and prostate cancers, with inherent robustness to missing modalities. The system incorporates 3D imaging encoders, pathology multiple-instance learning, omics graph networks, and a TabTransformer for laboratory and clinical variables. A cross-modal co-attention mechanism combined with a gated product-of-experts fusion strategy enables effective representation alignment across heterogeneous inputs, while anatomy-pathology consistency constraints and patient-level contrastive learning further enhance interpretability and generalization. Prognostic modeling is achieved via DeepSurv and DeepHit survival heads. Evaluated on a multi-center real-world cohort with external validation and leave-one-center-out testing, UroFusion-X consistently outperformed strong unimodal and simple fusion baselines, maintained over 90% of its predictive performance under substantial modality dropout, and demonstrated higher net clinical benefit in decision curve analysis. These results indicate that the proposed framework can improve decision consistency and reduce unnecessary testing when deployed in real clinical workflows.</t>
  </si>
  <si>
    <t>Xiao, Yingming; Yang, Shengke; He, Mingjing; Chen, Li; Wu, Yi; Zhong, Lei</t>
  </si>
  <si>
    <t>Chen, L; Wu, Y; Zhong, L (corresponding author), Univ Elect Sci &amp; Technol China, Sichuan Clin Res Ctr Canc, Sichuan Canc Hosp &amp; Inst,Sichuan Canc Ctr, Dept Radiotherapy,Affiliated Canc Hosp, Chengdu 610041, Sichuan, Peoples R China.</t>
  </si>
  <si>
    <t>wuyi@scszlyy.org.cn; chenli@scszlyy.org.cn; zhonglei@scszlyy.org.cn</t>
  </si>
  <si>
    <t>[Xiao, Yingming; Yang, Shengke; He, Mingjing; Chen, Li; Wu, Yi; Zhong, Lei] Univ Elect Sci &amp; Technol China, Sichuan Clin Res Ctr Canc, Sichuan Canc Hosp &amp; Inst,Sichuan Canc Ctr, Dept Radiotherapy,Affiliated Canc Hosp, Chengdu 610041, Sichuan, Peoples R China</t>
  </si>
  <si>
    <t>University of Electronic Science &amp; Technology of China</t>
  </si>
  <si>
    <t>UroFusion-X: a unified multimodal deep learning framework for robust diagnosis, subtyping, and prognosis of urological cancers</t>
  </si>
  <si>
    <t>Yingming, Xiao/LKM-5061-2024</t>
  </si>
  <si>
    <t>JAN 19 2026</t>
  </si>
  <si>
    <t>10.1038/s41746-025-02295-6</t>
  </si>
  <si>
    <t>http://dx.doi.org/10.1038/s41746-025-02295-6</t>
  </si>
  <si>
    <t>DB3VC</t>
  </si>
  <si>
    <t>41554842</t>
  </si>
  <si>
    <t>WOS:001679395900001</t>
  </si>
  <si>
    <t>Qu, LH; Zhang, CS; Hou, YY; Tang, F; Sheng, WQ; Huang, D; Song, ZJ</t>
  </si>
  <si>
    <t>Accurate prognostic prediction for colorectal cancer is essential for optimizing personalized treatment strategies and improving patient outcomes. Current unimodal approaches encounter significant limitations in effectively leveraging multimodal data and confront challenges with the issue of missing modalities. A novel multimodal deep learning framework named FLARE, which integrates pathological images, radiological imaging, and clinical text reports, is introduced to provide accurate risk assessments for colorectal cancer survival and progression. FLARE employs foundation models to achieve efficient feature extraction, utilizes an attention-based multi-branch framework to enhance synergy and distinctiveness across modalities, and incorporates a diversity-promoting loss function. To address the issue of incomplete data, FLARE integrates modality and missing-aware prompts, pseudo embeddings, and a modality-level augmentation strategy, thereby effectively mitigating potential performance degradation. The performance of FLARE is retrospectively assessed using a dataset of 1679 colorectal cancer patients from four independent clinical centers. Its superior prognostic capability is demonstrated through Kaplan-Meier analysis and the concordance index. FLARE effectively stratified patients into high- and low-risk groups. It achieved the highest concordance index across all validation cohorts, significantly outperforming traditional clinical models and existing multimodal methods, thereby highlighting its robust generalizability. Interpretability was enhanced by the comprehensive analyses of clinical factors, immune infiltration patterns, and gene pathways, as well as visualizations of feature importance across multiple modalities. In summary, FLARE establishes a comprehensive and robust framework for multimodal deep learning in medical prognostics, providing an advanced Artificial intelligence, Multimodal Deep Learning, Prognosis prediction, colorectal cancer, foundation modeltool for precision cancer prognosis and intelligent diagnosis.</t>
  </si>
  <si>
    <t>Qu, Linhao; Zhang, Chengsheng; Hou, Yingyong; Tang, Feng; Sheng, Weiqi; Huang, Dan; Song, Zhijian</t>
  </si>
  <si>
    <t>Song, ZJ (corresponding author), Fudan Univ, Digital Med Res Ctr, Sch Basic Med Sci, Shanghai, Peoples R China.; Song, ZJ (corresponding author), Shanghai Key Lab Med Imaging Comp &amp; Comp Assisted, Shanghai, Peoples R China.; Huang, D (corresponding author), Fudan Univ, Dept Pathol, Shanghai Canc Ctr, Shanghai, Peoples R China.; Huang, D (corresponding author), Fudan Univ, Shanghai Med Coll, Dept Oncol, Shanghai, Peoples R China.; Song, ZJ (corresponding author), Fudan Univ, Zhongshan Hosp, Dept Rheumatol, Shanghai, Peoples R China.</t>
  </si>
  <si>
    <t>zjsong@fudan.edu.cn; Danhuang@shca.org.cn</t>
  </si>
  <si>
    <t>National Natural Science Foundation of China [82372097]</t>
  </si>
  <si>
    <t>L.H.Q. conceived the study and designed the experiments. D.H., Y.Y.H., F.T., W.Q.S., and L.H.Q. performed data collection and processing. L.H.Q. performed model development. L.H.Q., C.S.Z., and D.H. performed experimental analyses and interpreted the results. D.H. and Z.J.S. provided feedback on the analysis. L.H.Q. and C.S.Z. prepared the manuscript. L.H.Q., D.H., and Z.J.S. revised the manuscript. Z.J.S. supervised the research. This work was supported by the National Natural Science Foundation of China under Grant 82372097.</t>
  </si>
  <si>
    <t>[Qu, Linhao; Zhang, Chengsheng; Song, Zhijian] Fudan Univ, Digital Med Res Ctr, Sch Basic Med Sci, Shanghai, Peoples R China; [Qu, Linhao; Zhang, Chengsheng; Song, Zhijian] Shanghai Key Lab Med Imaging Comp &amp; Comp Assisted, Shanghai, Peoples R China; [Hou, Yingyong] Fudan Univ, Zhongshan Hosp, Dept Pathol, Shanghai, Peoples R China; [Tang, Feng] Fudan Univ, Huashan Hosp, Dept Pathol, Shanghai, Peoples R China; [Sheng, Weiqi; Huang, Dan] Fudan Univ, Dept Pathol, Shanghai Canc Ctr, Shanghai, Peoples R China; [Sheng, Weiqi; Huang, Dan] Fudan Univ, Shanghai Med Coll, Dept Oncol, Shanghai, Peoples R China; [Song, Zhijian] Fudan Univ, Zhongshan Hosp, Dept Rheumatol, Shanghai, Peoples R China</t>
  </si>
  <si>
    <t>Fudan University; Fudan University; Fudan University; Fudan University; Fudan University</t>
  </si>
  <si>
    <t>Foundation Model-Enabled Multimodal Deep Learning for Prognostic Prediction in Colorectal Cancer with Incomplete Modalities: A Multi-Institutional Retrospective Study</t>
  </si>
  <si>
    <t>artificial intelligence; colorectal cancer; foundation model; multimodal deep learning; prognosis prediction</t>
  </si>
  <si>
    <t>DATA INTEGRATION; EOSINOPHILS; SURVIVAL</t>
  </si>
  <si>
    <t>Sheng, Weiqi/GXF-1216-2022</t>
  </si>
  <si>
    <t>10.1002/advs.202510931</t>
  </si>
  <si>
    <t>http://dx.doi.org/10.1002/advs.202510931</t>
  </si>
  <si>
    <t>FK6AU</t>
  </si>
  <si>
    <t>41556415</t>
  </si>
  <si>
    <t>WOS:001664846200001</t>
  </si>
  <si>
    <t>Alipour, E; Gratzl, S; Algohary, A; Lin, H; Bapat, M; Do, D; Baker, C; Rodriguez, T; Cartwright, BMG; Hadlock, J; Tarczy-Hornoch, P; Oka, A; Stucky, N</t>
  </si>
  <si>
    <t>Background Body composition metrics such as visceral fat volume, subcutaneous fat volume, and skeletal muscle volume are important predictors of cardiovascular disease, diabetes, and cancer prognosis.Purpose We explore the use of deep learning to estimate body composition metrics from chest radiographs and a small set of easily obtainable clinical variables.Materials and Methods A retrospective cohort of patients with concurrent noncontrast abdominal CT's and frontal chest radiographs within 3 months of each other was selected. A multitask, multimodal, deep learning model using chest radiographs and clinical variables (age, sex at birth, height and weight extracted from electronic medical records) was trained to estimate the body composition metrics. Reference standard was body composition, including subcutaneous fat volume, measured on CT.Results Our final cohort consisted of 1118 patients (582 female and 538 male subjects) from 30 health systems across the United States with imaging performed from 2010 to 2024. The mean age at imaging was 67 years (SD: 17), mean height was 1.67 meters (SD: 0.2), and mean weight was 78 kg (SD: 20). Average values for visceral fat, subcutaneous fat, and skeletal muscle indices were 59.39 cm2/m2 (SD: 39.26), 88.13 cm2/m2 (SD: 58.52), and 44.81 cm2/m2 (SD: 15.49). The best-performing model achieved a Pearson correlation of 0.85 (95% CI: 0.81-0.88) for subcutaneous fat volume, 0.76 (0.65-0.80) for visceral fat volume, and 0.58 (0.49-0.67) for skeletal muscle volume with the multimodal model outperforming unimodal models (P = .0001 for subcutaneous fat volume). Mean absolute errors of the best performing models for subcutaneous and visceral fat volumes were 1054 cm3/m2 and 667 cm3/m2, respectively.Conclusion We introduced a multimodal deep learning model leveraging chest radiographs to estimate body composition. Our model can facilitate large-scale studies by estimating body composition using a chest radiograph and commonly available clinical variables.</t>
  </si>
  <si>
    <t>Alipour, Ehsan; Gratzl, Samuel; Algohary, Ahmad; Lin, Hao; Bapat, Manoj; Do, Duy; Baker, Charlotte; Rodriguez, Tricia; Cartwright, Brianna M. Goodwin; Hadlock, Jennifer; Tarczy-Hornoch, Peter; Oka, Anand; Stucky, Nicholas</t>
  </si>
  <si>
    <t>Stucky, N (corresponding author), Truveta Inc, Bellevue, WA 98004 USA.</t>
  </si>
  <si>
    <t>nicholass@truveta.com</t>
  </si>
  <si>
    <t>[Alipour, Ehsan; Gratzl, Samuel; Algohary, Ahmad; Lin, Hao; Bapat, Manoj; Do, Duy; Baker, Charlotte; Rodriguez, Tricia; Cartwright, Brianna M. Goodwin; Oka, Anand; Stucky, Nicholas] Truveta Inc, Bellevue, WA 98004 USA; [Alipour, Ehsan; Hadlock, Jennifer; Tarczy-Hornoch, Peter] Univ Washington, Dept Biomed &amp; Hlth Informat, Seattle, WA 98195 USA; [Hadlock, Jennifer] Inst Syst Biol, Seattle, WA 98109 USA</t>
  </si>
  <si>
    <t>University of Washington; University of Washington Seattle; Institute for Systems Biology (ISB)</t>
  </si>
  <si>
    <t>XComposition: multimodal deep learning model to measure body composition using chest radiographs and clinical data</t>
  </si>
  <si>
    <t>RADIOLOGY ADVANCES</t>
  </si>
  <si>
    <t>body composition; chest radiographs; multimodal data fusion; deep learning</t>
  </si>
  <si>
    <t>QUANTIFICATION</t>
  </si>
  <si>
    <t>Hadlock, Jennifer/LWJ-3084-2024</t>
  </si>
  <si>
    <t>Hadlock, Jennifer/0000-0001-6103-7606; Lin, Hao/0009-0008-0660-6106; Alipour, Ehsan/0000-0002-2270-0388</t>
  </si>
  <si>
    <t>2976-9337</t>
  </si>
  <si>
    <t>RADIOL ADV</t>
  </si>
  <si>
    <t>Radiol. Adv.</t>
  </si>
  <si>
    <t>umaf035</t>
  </si>
  <si>
    <t>10.1093/radadv/umaf035</t>
  </si>
  <si>
    <t>http://dx.doi.org/10.1093/radadv/umaf035</t>
  </si>
  <si>
    <t>9AA0R</t>
  </si>
  <si>
    <t>41164313</t>
  </si>
  <si>
    <t>WOS:001601387300001</t>
  </si>
  <si>
    <t>Maqsood, H; Khan, SUR</t>
  </si>
  <si>
    <t>Accurate prediction of recurrence in clear cell renal cell carcinoma (ccRCC) remains a major clinical challenge due to the disease complex molecular, pathological, and clinical heterogeneity. Traditional prognostic models, which rely on single data modalities such as radiology, histopathology, or genomics, often fail to capture the full spectrum of disease complexity, leading to suboptimal predictive accuracy. This study proposes a deep learning (DL) framework that integrates multimodal data, including CT, MRI, histopathology whole slide images (WSI), clinical data, and genomic profiles, to improve ccRCC recurrence prediction and enhance clinical decision making. The proposed framework utilizes a comprehensive dataset curated from multiple publicly available sources, including TCGA, TCIA, and CPTAC. Domain specific models are employed to process the diverse modalities: CLAM, a ResNet50-based model, is used for histopathology WSIs, while MedicalNet, a pre-trained 3D-ResNet18 model, processes CT and MRI images. For structured clinical and genomic data, a multi layer perceptron (MLP) is used. These models extract deep feature embeddings from each modality, which are then fused using early and late integration architectures. Experimental validation demonstrates that when all three modalities are available, the proposed MeD-3D model significantly outperforms unimodal baselines, achieving a balanced accuracy of 83.3%, F1 score of 0.983, precision of 0.967, and recall of 1.000, compared to unimodal approaches such as the EHR MLP baseline (81.6% balanced accuracy, 0.774 F1 score), CT/MRI MLP baseline (86.8% balanced accuracy, 0.848 F1 score), and WSI MLP baseline (70.2 % balanced accuracy, 0.740 F1 score). These results demonstrate that multimodal integration effectively captures complementary prognostic information across diverse data types clinical, radiological, and pathological leading to improved recurrence prediction performance. This study establishes the MeD-3D framework as a promising approach for enhancing risk stratification and supporting personalized treatment planning in ccRCC patients. The findings underscore the potential of DL based multimodal fusion in advancing precision oncology. Future work will focus on validating the framework robustness under scenarios with missing or incomplete modalities and extending validation to multi institutional datasets to assess generalizability and clinical deployment readiness.</t>
  </si>
  <si>
    <t>Maqsood, Hasaan; Khan, Saif Ur Rehman</t>
  </si>
  <si>
    <t>Khan, SUR (corresponding author), German Res Ctr Artificial Intelligence DFKI, Trippstadter Str 122, D-67663 Kaiserslautern, Germany.</t>
  </si>
  <si>
    <t>hasaan.maqsood@skoltech.ru; saif_ur_rehman.khan@dfki.de</t>
  </si>
  <si>
    <t>[Maqsood, Hasaan] Skolkovo Inst Sci &amp; Technol Skoltech, Bolshoy Blvd 30,Bld1, Moscow 121205, Russia; [Khan, Saif Ur Rehman] German Res Ctr Artificial Intelligence DFKI, Trippstadter Str 122, D-67663 Kaiserslautern, Germany</t>
  </si>
  <si>
    <t>Skolkovo Institute of Science &amp; Technology; German Research Center for Artificial Intelligence (DFKI)</t>
  </si>
  <si>
    <t>MeD-3D: A multimodal deep learning framework for precise recurrence prediction in clear cell renal cell carcinoma (ccRCC)</t>
  </si>
  <si>
    <t>Biomedical data; Multimodal; data fusion; Recurrence; Precision oncology</t>
  </si>
  <si>
    <t>Khan, Saif ur Rehman/JXM-3525-2024</t>
  </si>
  <si>
    <t>Maqsood, Hasaan/0009-0007-3624-1032; Khan, Saif ur Rehman/0000-0002-0768-5239</t>
  </si>
  <si>
    <t>299</t>
  </si>
  <si>
    <t>D</t>
  </si>
  <si>
    <t>130174</t>
  </si>
  <si>
    <t>10.1016/j.eswa.2025.130174</t>
  </si>
  <si>
    <t>http://dx.doi.org/10.1016/j.eswa.2025.130174</t>
  </si>
  <si>
    <t>9YJ9N</t>
  </si>
  <si>
    <t>WOS:001617982400017</t>
  </si>
  <si>
    <t>Choi, EY; Kim, D; Kim, J; Kim, E; Lee, H; Yeo, J; Yoo, TK; Kim, M</t>
  </si>
  <si>
    <t>Branch retinal vein occlusion (BRVO) is a leading cause of visual impairment in working-age individuals, though predicting its occurrence from retinal vascular features alone remains challenging. We developed a deep learning model to predict BRVO based on pre-onset, metadata-matched fundus hemisection images. This retrospective cohort study included patients diagnosed with unilateral BRVO from two Korean tertiary centers (2005-2023), using hemisection fundus images from 27 BRVO-affected eyes paired with 81 unaffected hemisections (27 counter and 54 contralateral) for training. A U-net model segmented retinal optic discs and blood vessels (BVs), dividing them into upper and lower halves labeled for BRVO occurrence. Both unimodal models (using either fundus or BV images) and a BV-enhanced multimodal model were constructed to predict future BRVO. The multimodal model outperformed the unimodal models achieving an area under the receiver operating characteristic curve of 0.76 (95% confidence interval [CI], 0.66-0.83) and accuracy of 68.5% (95% CI 58.9-77.1%), with predictions focusing on arteriovenous crossing regions in the retinal vascular arcade. These findings demonstrate the potential of the BV-enhanced multimodal approach for BRVO prediction and highlight the need for larger, multicenter datasets to improve its clinical utility and predictive accuracy.</t>
  </si>
  <si>
    <t>Choi, Eun Young; Kim, Dongyoung; Kim, Jinyeong; Kim, Eunjin; Lee, Hyunseo; Yeo, Jinyoung; Yoo, Tae Keun; Kim, Min</t>
  </si>
  <si>
    <t>Kim, M (corresponding author), Yonsei Univ, Gangnam Severance Hosp, Inst Vis Res, Coll Med,Dept Ophthalmol, 211,Eonjuro,Gangnam-gu, Seoul 06273, South Korea.; Yoo, TK (corresponding author), HanGil Eye Hosp, Dept Ophthalmol, 35 Bupyeong Daero, Incheon 21388, South Korea.</t>
  </si>
  <si>
    <t>minkim76@yuhs.ac; eyetaekeunyoo@gmail.com</t>
  </si>
  <si>
    <t>Faculty Research Grant Assistance Program of Yonsei University College of Medicine [6-2021-0222]; Yonsei University Graduate School; Institute of Information &amp; Communications Technology Planning &amp; Evaluation (IITP) - Korean government (MSIT) [RS-2020-II201361, RS-2022-II220077]</t>
  </si>
  <si>
    <t>Faculty Research Grant Assistance Program of Yonsei University College of Medicine; Yonsei University Graduate School; Institute of Information &amp; Communications Technology Planning &amp; Evaluation (IITP) - Korean government (MSIT) (Institute for Information &amp; Communication Technology Planning &amp; Evaluation (IITP), Republic of Korea)</t>
  </si>
  <si>
    <t>This work was supported by the Faculty Research Grant Assistance Program of Yonsei University College of Medicine (Grant No. 6-2021-0222), the 2021 Research Grant from Yonsei University Graduate School, and the Institute of Information &amp; Communications Technology Planning &amp; Evaluation (IITP) grants funded by the Korean government (MSIT) (No. RS-2020-II201361, Artificial Intelligence Graduate School Program, Yonsei University; No. RS-2022-II220077, AI Technology Development for Commonsense Extraction, Reasoning, and Inference from Heterogeneous Data).</t>
  </si>
  <si>
    <t>[Choi, Eun Young; Kim, Min] Yonsei Univ, Gangnam Severance Hosp, Inst Vis Res, Coll Med,Dept Ophthalmol, 211,Eonjuro,Gangnam-gu, Seoul 06273, South Korea; [Kim, Dongyoung] VISUWORKS, Seoul, South Korea; [Kim, Jinyeong] Yonsei Univ, Severance Eye Hosp, Inst Vis Res, Coll Med,Dept Ophthalmol, Seoul, South Korea; [Kim, Eunjin; Lee, Hyunseo] Yonsei Univ, Coll Med, Seoul, South Korea; [Yeo, Jinyoung] Yonsei Univ, Coll Comp, Dept Artificial Intelligence, Seoul, South Korea; [Yoo, Tae Keun] HanGil Eye Hosp, Dept Ophthalmol, 35 Bupyeong Daero, Incheon 21388, South Korea</t>
  </si>
  <si>
    <t>Yonsei University; Severance Hospital; Yonsei University Health System; Yonsei University; Yonsei University Health System; Yonsei University; Yonsei University Health System; Yonsei University</t>
  </si>
  <si>
    <t>Predicting branch retinal vein occlusion development using multimodal deep learning and pre-onset fundus hemisection images</t>
  </si>
  <si>
    <t>Branch retinal vein occlusion; Deep learning; Multimodal prediction model; Fundus hemisection images; Retinal vascular features</t>
  </si>
  <si>
    <t>RISK-FACTORS; POPULATION; PATTERNS; FEATURES; UPDATE</t>
  </si>
  <si>
    <t>Yoo, Tae Keun/Q-3620-2019; Choi, Eun Young/Y-5204-2018</t>
  </si>
  <si>
    <t>Yoo, Tae Keun/0000-0003-0890-8614; Kim, Dongyoung/0009-0003-4990-289X; Choi, Eun Young/0000-0002-1668-6452; Kim, Jin Yeong/0000-0001-9896-1851; Lee, Hyunseo/0009-0005-5211-1647; Kim, Min/0000-0003-1873-6959</t>
  </si>
  <si>
    <t>JAN 21 2025</t>
  </si>
  <si>
    <t>2729</t>
  </si>
  <si>
    <t>10.1038/s41598-025-85777-7</t>
  </si>
  <si>
    <t>http://dx.doi.org/10.1038/s41598-025-85777-7</t>
  </si>
  <si>
    <t>T2A1D</t>
  </si>
  <si>
    <t>39837962</t>
  </si>
  <si>
    <t>WOS:001403090300040</t>
  </si>
  <si>
    <t>Yang, L; Wan, YL; Pan, F</t>
  </si>
  <si>
    <t>The rapid advancements of deep learning technology have revolutionized medical imaging diagnosis. However, training these models is often challenged by label imbalance and the scarcity of certain diseases. Most models fail to recognize multiple coexisting diseases, which are common in real-world clinical scenarios. Moreover, most radiological models rely solely on image data, which contrasts with radiologists' comprehensive approach, incorporating both images and other clinical information such as clinical history and laboratory results. In this study, we introduce a Multimodal Chest X-ray Network (MCX-Net) that integrates chest X-ray images and clinical history texts for multi-label disease diagnosis. This integration is achieved by combining a pretrained text encoder, a pretrained image encoder, and a pretrained image-text cross-modal encoder, fine-tuned on the public MIMIC-CXR-JPG dataset, to diagnose 13 diverse lung diseases on chest X-rays. As a result, MCX-Net achieved the highest macro AUROC of 0.816 on the test set, significantly outperforming unimodal baselines such as ViT-base and ResNet152, which scored 0.747 and 0.749, respectively (p &lt; 0.001). This multimodal approach represents a substantial advancement over existing image-based deep-learning diagnostic systems for chest X-rays.</t>
  </si>
  <si>
    <t>Yang, Lian; Wan, Yiliang; Pan, Feng</t>
  </si>
  <si>
    <t>Pan, F (corresponding author), Huazhong Univ Sci &amp; Technol, Union Hosp, Tongji Med Coll, Dept Radiol, Jiefang Ave 1277, Wuhan 430022, Peoples R China.; Pan, F (corresponding author), Hubei Prov Key Lab Mol Imaging, Wuhan 430000, Peoples R China.</t>
  </si>
  <si>
    <t>uh_fengpan@hust.edu.cn; yanglian@hust.edu.cn; wan.yl@neusoftmedical.com</t>
  </si>
  <si>
    <t>National Natural Science Foundation of China [82272083, 82172034]; Key Project of Natural Science Foundation of Hubei, China [2023BCB014]</t>
  </si>
  <si>
    <t>National Natural Science Foundation of China (National Natural Science Foundation of China (NSFC)); Key Project of Natural Science Foundation of Hubei, China</t>
  </si>
  <si>
    <t>This work was supported by the National Natural Science Foundation of China (grant numbers: 82272083 and 82172034) and the Key Project of Natural Science Foundation of Hubei, China (grant number: 2023BCB014).</t>
  </si>
  <si>
    <t>[Yang, Lian; Pan, Feng] Huazhong Univ Sci &amp; Technol, Union Hosp, Tongji Med Coll, Dept Radiol, Jiefang Ave 1277, Wuhan 430022, Peoples R China; [Yang, Lian; Pan, Feng] Hubei Prov Key Lab Mol Imaging, Wuhan 430000, Peoples R China; [Wan, Yiliang] Neusoft Med Syst Co Ltd, Shenyang 110167, Peoples R China</t>
  </si>
  <si>
    <t>Huazhong University of Science &amp; Technology</t>
  </si>
  <si>
    <t>Enhancing Chest X-ray Diagnosis with a Multimodal Deep Learning Network by Integrating Clinical History to Refine Attention</t>
  </si>
  <si>
    <t>Chest X-ray; Lung diseases; Differential diagnoses; Artificial intelligence; Transformer</t>
  </si>
  <si>
    <t>RADIOGRAPHS</t>
  </si>
  <si>
    <t>yang, lian/AEE-1767-2022; Wan, Yiliang/LQK-1179-2024</t>
  </si>
  <si>
    <t>Pan, Feng/0000-0003-2820-768X</t>
  </si>
  <si>
    <t>3568</t>
  </si>
  <si>
    <t>3583</t>
  </si>
  <si>
    <t>10.1007/s10278-025-01446-1</t>
  </si>
  <si>
    <t>http://dx.doi.org/10.1007/s10278-025-01446-1</t>
  </si>
  <si>
    <t>DD1KT</t>
  </si>
  <si>
    <t>39971817</t>
  </si>
  <si>
    <t>WOS:001426198600001</t>
  </si>
  <si>
    <t>Gao, ZY; Liu, XL; Kang, Y; Hu, P; Zhang, X; Yan, W; Yan, MY; Yu, PM; Zhang, Q; Xiao, WD; Zhang, ZB</t>
  </si>
  <si>
    <t>Background: Clinical notes contain contextualized information beyond structured data related to patients' past and current health status. Objective: This study aimed to design a multimodal deep learning approach to improve the evaluation precision of hospital outcomes for heart failure (HF) using admission clinical notes and easily collected tabular data. Methods: Data for the development and validation of the multimodal model were retrospectively derived from 3 open -access US databases, including the Medical Information Mart for Intensive Care III v1.4 (MIMIC -III) and MIMIC -IV v1.0, collected from a teaching hospital from 2001 to 2019, and the eICU Collaborative Research Database v1.2, collected from 208 hospitals from 2014 to 2015. The study cohorts consisted of all patients with critical HF. The clinical notes, including chief complaint, history of present illness, physical examination, medical history, and admission medication, as well as clinical variables recorded in electronic health records, were analyzed. We developed a deep learning mortality prediction model for in -hospital patients, which underwent complete internal, prospective, and external evaluation. The Integrated Gradients and SHapley Additive exPlanations (SHAP) methods were used to analyze the importance of risk factors. Results: The study included 9989 (16.4%) patients in the development set, 2497 (14.1%) patients in the internal validation set, 1896 (18.3%) in the prospective validation set, and 7432 (15%) patients in the external validation set. The area under the receiver operating characteristic curve of the models was 0.838 (95% CI 0.827-0.851), 0.849 (95% CI 0.841-0.856), and 0.767 (95% CI 0.762-0.772), for the internal, prospective, and external validation sets, respectively. The area under the receiver operating characteristic curve of the multimodal model outperformed that of the unimodal models in all test sets, and tabular data contributed to higher discrimination. The medical history and physical examination were more useful than other factors in early assessments. Conclusions: The multimodal deep learning model for combining admission notes and clinical tabular data showed promising efficacy as a potentially novel method in evaluating the risk of mortality in patients with HF, providing more accurate and timely decision support.</t>
  </si>
  <si>
    <t>Gao, Zhenyue; Liu, Xiaoli; Kang, Yu; Hu, Pan; Zhang, Xiu; Yan, Wei; Yan, Muyang; Yu, Pengming; Zhang, Qing; Xiao, Wendong; Zhang, Zhengbo</t>
  </si>
  <si>
    <t>Zhang, ZB (corresponding author), Gen Hosp Peoples Liberat Army, Ctr Artificial Intelligence Med, 28 Fuxing Rd, Beijing 100853, Peoples R China.</t>
  </si>
  <si>
    <t>zhangzhengbo@301hospital.com.cn</t>
  </si>
  <si>
    <t>National Natural Science Foundations of China (NSFC) [62173032, 62171471]; Foshan Science and Technology Innovation Special Projects [BK22BF005]; Regional Joint Fund of the Guangdong Basic and Applied Basic Research Fund [2022A1515140109]</t>
  </si>
  <si>
    <t>National Natural Science Foundations of China (NSFC) (National Natural Science Foundation of China (NSFC)); Foshan Science and Technology Innovation Special Projects; Regional Joint Fund of the Guangdong Basic and Applied Basic Research Fund</t>
  </si>
  <si>
    <t>We gratefully acknowledge the guidance and assistance of Dr Max Shen from Beth Israel Deaconess Medical Center (BIDMC) . This work was supported in part by the National Natural Science Foundations of China (NSFC) under grants 62173032 and 62171471, the Foshan Science and Technology Innovation Special Projects (grant BK22BF005) , the Regional Joint Fund of the Guangdong Basic and Applied Basic Research Fund (grant 2022A1515140109) . Qing Zhang (qzhang2000cn@163.com ) , Wendong Xiao (wdxiao@ustb.edu.cn) , and Zhengbo Zhang (zhangzhengbo@301hospital.com .cn) are co -corresponding authors of this manuscript.</t>
  </si>
  <si>
    <t>[Gao, Zhenyue; Xiao, Wendong] Univ Sci &amp; Technol Beijing, Sch Automat &amp; Elect Engn, Beijing Engn Res Ctr Ind Spectrum Imaging, Beijing, Peoples R China; [Liu, Xiaoli; Hu, Pan; Yan, Wei; Yan, Muyang; Zhang, Zhengbo] Gen Hosp Peoples Liberat Army, Ctr Artificial Intelligence Med, 28 Fuxing Rd, Beijing 100853, Peoples R China; [Kang, Yu; Zhang, Xiu; Yu, Pengming; Zhang, Qing] Sichuan Univ, West China Hosp, Dept Cardiol, Chengdu, Peoples R China</t>
  </si>
  <si>
    <t>University of Science &amp; Technology Beijing; Sichuan University</t>
  </si>
  <si>
    <t>Improving the Prognostic Evaluation Precision of Hospital Outcomes for Heart Failure Using Admission Notes and Clinical Tabular Data: Multimodal Deep Learning Model</t>
  </si>
  <si>
    <t>JOURNAL OF MEDICAL INTERNET RESEARCH</t>
  </si>
  <si>
    <t>heart failure; multimodal deep learning; mortality prediction; admission notes; clinical tabular data; tabular; notes; deep learning; machine learning; cardiology; heart; cardiac; documentation; prognostic; prognosis; prognoses; predict; prediction; predictions; predictive</t>
  </si>
  <si>
    <t>Yan, Wei/ADK-3861-2022</t>
  </si>
  <si>
    <t>Zhang, Qing/0000-0002-5652-4036; , XIU/0000-0002-7451-8035; Liu, Xiaoli/0000-0001-9592-9020; zhenyue, Gao/0000-0003-2283-2820</t>
  </si>
  <si>
    <t>1438-8871</t>
  </si>
  <si>
    <t>J MED INTERNET RES</t>
  </si>
  <si>
    <t>J. Med. Internet Res.</t>
  </si>
  <si>
    <t>MAY 2 2024</t>
  </si>
  <si>
    <t>e54363</t>
  </si>
  <si>
    <t>10.2196/54363</t>
  </si>
  <si>
    <t>http://dx.doi.org/10.2196/54363</t>
  </si>
  <si>
    <t>RG7T2</t>
  </si>
  <si>
    <t>38696251</t>
  </si>
  <si>
    <t>WOS:001226586000002</t>
  </si>
  <si>
    <t>Moon, S; Lee, H</t>
  </si>
  <si>
    <t>Multimodal learning often outperforms its unimodal counterparts by exploiting unimodal contributions and cross-modal interactions. However, focusing only on integrating multimodal features into a unified comprehensive representation overlooks the unimodal characteristics. In real data, the contributions of modalities can vary from instance to instance, and they often reinforce or conflict with each other. In this study, we introduce a novel MultiModal loss paradigm for multimodal learning, which subgroups instances according to their unimodal contributions. MultiModal loss can prevent inefficient learning caused by overfitting and efficiently optimize multimodal models. On synthetic data, MultiModal loss demonstrates improved classification performance by subgrouping difficult instances within certain modalities. On four real multimodal datasets, our loss is empirically shown to improve the performance of recent models. Ablation studies verify the effectiveness of our loss. Additionally, we show that our loss generates a reliable prediction score for each modality, which is essential for subgrouping. Our MultiModal loss is a novel loss function to subgroup instances according to the contribution of modalities in multimodal learning and is applicable to a variety of multimodal models with unimodal decisions. Our code is available at https://github.com/DMCB-GIST/MultiModalLoss</t>
  </si>
  <si>
    <t>Moon, Sehwan; Lee, Hyunju</t>
  </si>
  <si>
    <t>Lee, H (corresponding author), Gwangju Inst Sci &amp; Technol, Elect Engn &amp; Comp Sci, Gwangju 61005, South Korea.; Lee, H (corresponding author), Gwangju Inst Sci &amp; Technol, Artificial Intelligence Grad Sch, Gwangju 61005, South Korea.</t>
  </si>
  <si>
    <t>sehwanmoon@gist.ac.kr; hyunjulee@gist.ac.kr</t>
  </si>
  <si>
    <t>Institute of Information &amp; Communications Technology Planning &amp; Evaluation (IITP) - Korean government (MSIT) [2019-0-00567, 2019-0-01842]</t>
  </si>
  <si>
    <t>Institute of Information &amp; Communications Technology Planning &amp; Evaluation (IITP) - Korean government (MSIT) (Institute for Information &amp; Communication Technology Planning &amp; Evaluation (IITP), Republic of Korea)</t>
  </si>
  <si>
    <t>This work was supported by an Institute of Information &amp; Communications Technology Planning &amp; Evaluation (IITP) grant funded by the Korean government (MSIT) (No. 2019-0-00567, Development of Intelligent SW Systems for Uncovering Genetic Variation and Developing Personalized Medicine for Cancer Patients with Unknown Molecular Genetic Mechanisms and No.2019-0-01842, Artificial Intelligence Graduate School Program (GIST)).</t>
  </si>
  <si>
    <t>[Moon, Sehwan; Lee, Hyunju] Gwangju Inst Sci &amp; Technol, Elect Engn &amp; Comp Sci, Gwangju 61005, South Korea; [Lee, Hyunju] Gwangju Inst Sci &amp; Technol, Artificial Intelligence Grad Sch, Gwangju 61005, South Korea</t>
  </si>
  <si>
    <t>Gwangju Institute of Science &amp; Technology (GIST); Gwangju Institute of Science &amp; Technology (GIST)</t>
  </si>
  <si>
    <t>Deep metric loss for multimodal learning</t>
  </si>
  <si>
    <t>MACHINE LEARNING</t>
  </si>
  <si>
    <t>Multimodal learning; Metric learning; Subgrouping; Loss function</t>
  </si>
  <si>
    <t>Lee, Hyunju/JPX-6538-2023; Moon, Sehwan/GQH-6604-2022</t>
  </si>
  <si>
    <t>Lee, Hyunju/0000-0003-2389-7183</t>
  </si>
  <si>
    <t>0885-6125</t>
  </si>
  <si>
    <t>1573-0565</t>
  </si>
  <si>
    <t>MACH LEARN</t>
  </si>
  <si>
    <t>Mach. Learn.</t>
  </si>
  <si>
    <t>10.1007/s10994-024-06709-6</t>
  </si>
  <si>
    <t>http://dx.doi.org/10.1007/s10994-024-06709-6</t>
  </si>
  <si>
    <t>S1A5Z</t>
  </si>
  <si>
    <t>WOS:001395642200002</t>
  </si>
  <si>
    <t>Xu, Y; Zhang, Y; Weng, FT; Ma, YT; Li, HY; Wang, JZ</t>
  </si>
  <si>
    <t>This study explores the application of multimodal data (online review text, search engine data, holiday calendars, weather, and historical arrivals) to forecast tourism demand across five destinations (Jiuzhaigou, Macau, and Mount Siguniang in China; Hawaii in the United States; and Singapore) during stable and turbulent periods. We develop three multimodal fusion strategies (early, intermediate, and late fusion) and compare their forecasting performance. Early fusion yields the best performance with higher accuracy, and it also achieves better performance compared with traditional unimodal feature extraction methods. Additionally, we extend the Mean Impact Value method to improve the interpretability of multimodal models. This interpretability allows us to understand how different types of information impact prediction results. Beyond providing model transparency, it also offers valuable references for tourism management regarding which types of information are more significant when the environment is uncertain.</t>
  </si>
  <si>
    <t>Xu, Yan; Zhang, Yan; Weng, Futian; Ma, Yuanting; Li, Hengyun; Wang, Jianzhou</t>
  </si>
  <si>
    <t>Li, HY (corresponding author), Hong Kong Polytech Univ, Sch Hotel &amp; Tourism Management, Hong Kong, Peoples R China.</t>
  </si>
  <si>
    <t>zhangyan3817@stu.ouc.edu.cn; xy8633@ouc.edu.cn; wjz@lzu.edu.cn; mayuanting@stu.ouc.edu.cn; wengfutian@stu.xmu.edu.cn; neilhengyun.li@polyu.edu.hk</t>
  </si>
  <si>
    <t>Humanities and Social Sciences of Ministry of Education Planning Fund [22YJA910004]</t>
  </si>
  <si>
    <t>Humanities and Social Sciences of Ministry of Education Planning Fund</t>
  </si>
  <si>
    <t>This study is supported by the Humanities and Social Sciences of Ministry of Education Planning Fund (NO: 22YJA910004) .</t>
  </si>
  <si>
    <t>[Xu, Yan] Ocean Univ China, Coll Marine Life Sci, MOE Key Lab Marine Genet &amp; Breeding, Qingdao 266003, Peoples R China; [Zhang, Yan] Ocean Univ China, Sch Math Sci, Qingdao 266100, Peoples R China; [Weng, Futian] Fuzhou Univ, Sch Econ &amp; Management, Fuzhou 350108, Peoples R China; [Ma, Yuanting] Ocean Univ China, Coll Marine Life Sci, Fang Zongxi Ctr, MOE Key Lab Marine Genet &amp; Breeding, Qingdao 266003, Peoples R China; [Li, Hengyun] Hong Kong Polytech Univ, Sch Hotel &amp; Tourism Management, Hong Kong, Peoples R China; [Wang, Jianzhou] Macau Univ Sci &amp; Technol, Inst Syst Engn, Macau 999078, Peoples R China</t>
  </si>
  <si>
    <t>Ocean University of China; Ocean University of China; Fuzhou University; Ocean University of China; Hong Kong Polytechnic University; Macau University of Science and Technology</t>
  </si>
  <si>
    <t>Multimodal deep learning for tourism demand forecasting</t>
  </si>
  <si>
    <t>TOURISM MANAGEMENT</t>
  </si>
  <si>
    <t>Multimodal deep learning; Tourism demand forecasting; Model interpretation</t>
  </si>
  <si>
    <t>Li, Hengyun/ABE-6467-2020</t>
  </si>
  <si>
    <t>0261-5177</t>
  </si>
  <si>
    <t>1879-3193</t>
  </si>
  <si>
    <t>TOURISM MANAGE</t>
  </si>
  <si>
    <t>Tourism Manage.</t>
  </si>
  <si>
    <t>DEC 2026</t>
  </si>
  <si>
    <t>105450</t>
  </si>
  <si>
    <t>10.1016/j.tourman.2026.105450</t>
  </si>
  <si>
    <t>http://dx.doi.org/10.1016/j.tourman.2026.105450</t>
  </si>
  <si>
    <t>Environmental Studies; Hospitality, Leisure, Sport &amp; Tourism; Management</t>
  </si>
  <si>
    <t>Environmental Sciences &amp; Ecology; Social Sciences - Other Topics; Business &amp; Economics</t>
  </si>
  <si>
    <t>HU7DG</t>
  </si>
  <si>
    <t>WOS:001763135000001</t>
  </si>
  <si>
    <t>Oulia, F; Charton, P; Kabir, M; Gardebien, F; Damour, C; Cadet, F</t>
  </si>
  <si>
    <t>Glioblastoma multiforme (GBM) is the most aggressive primary brain tumor in adults, with a median survival of 14.6 months under standard radiotherapy and temozolomide (TMZ) chemotherapy. The methylation status of the O-6-methylguanine-DNA methyltransferase (MGMT) promoter is a critical biomarker predicting TMZ response; however, its determination currently requires invasive tissue sampling. Non-invasive prediction of MGMT promoter methylation from multiparametric MRI (mpMRI) through deep learning represents a compelling alternative, yet its clinical feasibility remains unresolved. Using the BraTS 2021 dataset (582 patients, four MRI sequences: FLAIR, T1w, T1wCE, T2w), we conducted a systematic comparative study of unimodal and multimodal deep learning approaches based on VGG-16, exploring 1,380 experimental configurations (unimodal: 192; multimodal: 1,188) across three imaging planes, eight slice counts, and three multimodal fusion strategies (early, intermediate, and late fusion). In the unimodal setting, the best model trained on T2w coronal images (32 slices, no transfer learning) achieved an accuracy of 0.6458 and an AUC of 0.6422 on the validation set, but dropped to 0.5586 and 0.5533 on the independent test set, revealing substantial overfitting attributable to limited dataset size. Strikingly, multimodal fusion consistently failed to outperform the best unimodal model, with all three fusion strategies plateauing at similar to 0.64 accuracy and similar to 0.64 AUC on validation data. Transfer learning improved generalization across train/test distributions at the cost of peak performance. These findings suggest, for the tested framework in this study, that MGMT methylation status prediction from mpMRI remains fundamentally constrained by dataset heterogeneity and size, irrespective of modality combination strategy, and that T2w coronal acquisitions could be more interesting in future data collection efforts.</t>
  </si>
  <si>
    <t>Oulia, Freddy; Charton, Philippe; Kabir, Muhammad; Gardebien, Fabrice; Damour, Cedric; Cadet, Frederic</t>
  </si>
  <si>
    <t>Cadet, F (corresponding author), Univ Paris City, BIGR, Inserm, U1134, Paris, France.; Cadet, F (corresponding author), Univ Reun, Fac Sci &amp; Technol, DSIMB,U1134, BIGR,Inserm, St Denis, France.; Cadet, F (corresponding author), PEACCEL, AI Biol, Paris, France.</t>
  </si>
  <si>
    <t>cedric.damour@univ-reunion.fr</t>
  </si>
  <si>
    <t>Region Reunion and European Union (FEDER) under European Operational Program FEDER-FSE+ REUNION euro;" 2021/2027 [2021037, tiers 227180]</t>
  </si>
  <si>
    <t>Region Reunion and European Union (FEDER) under European Operational Program FEDER-FSE+ REUNION euro;" 2021/2027</t>
  </si>
  <si>
    <t>Freddy Oulia is supported by a PhD grant from the Region Reunion and European Union (FEDER) under European Operational Program FEDER-FSE+ REUNION -2021/2027 file number 2021037, tiers 227180. The funders had no role in study design, data collection and analysis, decision to publish, or preparation of the manuscript.</t>
  </si>
  <si>
    <t>[Oulia, Freddy; Charton, Philippe; Gardebien, Fabrice; Cadet, Frederic] Univ Paris City, BIGR, Inserm, U1134, Paris, France; [Oulia, Freddy; Charton, Philippe; Gardebien, Fabrice; Cadet, Frederic] Univ Reun, Fac Sci &amp; Technol, DSIMB,U1134, BIGR,Inserm, St Denis, France; [Kabir, Muhammad] Univ Management &amp; Technol, Dept Comp Sci, Lahore, Pakistan; [Damour, Cedric] Univ Reunion, Fac Sci &amp; Technol, ENERGYLab, St Denis, France; [Cadet, Frederic] PEACCEL, AI Biol, Paris, France</t>
  </si>
  <si>
    <t>Institut National de la Sante et de la Recherche Medicale (Inserm); Universite Paris Cite; Institut National de la Sante et de la Recherche Medicale (Inserm); Universite Paris Cite; University of Management &amp; Technology (UMT); University of La Reunion</t>
  </si>
  <si>
    <t>Unimodal vs. multimodal deep learning for non-invasive MGMT promoter methylation prediction in glioblastoma: A systematic evaluation on the BraTS 2021 dataset</t>
  </si>
  <si>
    <t>PLOS ONE</t>
  </si>
  <si>
    <t>MALIGNANT GLIOMAS; MRI; CLASSIFICATION; TEMOZOLOMIDE</t>
  </si>
  <si>
    <t>/D-8923-2013; Kabir, Muhammad/P-3384-2016</t>
  </si>
  <si>
    <t>OULIA, Freddy/0000-0003-2497-6983</t>
  </si>
  <si>
    <t>PUBLIC LIBRARY SCIENCE</t>
  </si>
  <si>
    <t>SAN FRANCISCO</t>
  </si>
  <si>
    <t>1160 BATTERY STREET, STE 100, SAN FRANCISCO, CA 94111 USA</t>
  </si>
  <si>
    <t>1932-6203</t>
  </si>
  <si>
    <t>PLoS One</t>
  </si>
  <si>
    <t>JUN 12 2026</t>
  </si>
  <si>
    <t>e0351405</t>
  </si>
  <si>
    <t>10.1371/journal.pone.0351405</t>
  </si>
  <si>
    <t>http://dx.doi.org/10.1371/journal.pone.0351405</t>
  </si>
  <si>
    <t>JM0ZK</t>
  </si>
  <si>
    <t>42284289</t>
  </si>
  <si>
    <t>WOS:001792566300026</t>
  </si>
  <si>
    <t>Arrowsmith, J; Susnjak, T; Jang-Jaccard, J</t>
  </si>
  <si>
    <t>This study investigates the integration of diverse data modalities within deep learning ensembles for Android malware classification. Android applications can be represented as binary images and function call graphs, each offering complementary perspectives on the executable. We synthesise these modalities by combining predictions from convolutional and graph neural networks with a multilayer perceptron. Empirical results demonstrate that multimodal models outperform their unimodal counterparts while remaining highly efficient. For instance, integrating a plain CNN with 83.1% accuracy and a GCN with 80.6% accuracy boosts overall accuracy to 88.3%. DenseNet-GIN achieves 90.6% accuracy, with no further improvement obtained by expanding this ensemble to four models. Based on our findings, we advocate for the flexible development of modalities to capture distinct aspects of applications and for the design of algorithms that effectively integrate this information.</t>
  </si>
  <si>
    <t>Arrowsmith, James; Susnjak, Teo; Jang-Jaccard, Julian</t>
  </si>
  <si>
    <t>Arrowsmith, J (corresponding author), Massey Univ, Sch Math &amp; Computat Sci, Auckland 0632, New Zealand.</t>
  </si>
  <si>
    <t>julian.jang-jaccard@ar.admin.ch; james.arrowsmith.1@uni.massey.ac.nz; t.susnjak@massey.ac.nz</t>
  </si>
  <si>
    <t>Cyber Security Research Programme, Artificial Intelligence for Automating Response to Threats from the Ministry of Business, Innovation, and Employment (MBIE) of New Zealand as a part of the Catalyst Strategy Funds; Cyber Security Research Programme, Artificial Intelligence for Automating Response; Ministry of Business, Innovation, and Employment (MBIE) of New Zealand [MAUX1912]; Catalyst Strategy Funds</t>
  </si>
  <si>
    <t>Cyber Security Research Programme, Artificial Intelligence for Automating Response to Threats from the Ministry of Business, Innovation, and Employment (MBIE) of New Zealand as a part of the Catalyst Strategy Funds (New Zealand Ministry of Business, Innovation and Employment (MBIE)); Cyber Security Research Programme, Artificial Intelligence for Automating Response; Ministry of Business, Innovation, and Employment (MBIE) of New Zealand (New Zealand Ministry of Business, Innovation and Employment (MBIE)); Catalyst Strategy Funds</t>
  </si>
  <si>
    <t>This work was supported by the Cyber Security Research Programme, Artificial Intelligence for Automating Response to Threats from the Ministry of Business, Innovation, and Employment (MBIE) of New Zealand as a part of the Catalyst Strategy Funds under the Grant Number MAUX1912.</t>
  </si>
  <si>
    <t>[Arrowsmith, James; Susnjak, Teo; Jang-Jaccard, Julian] Massey Univ, Sch Math &amp; Computat Sci, Auckland 0632, New Zealand</t>
  </si>
  <si>
    <t>Massey University</t>
  </si>
  <si>
    <t>Multimodal Deep Learning for Android Malware Classification</t>
  </si>
  <si>
    <t>MACHINE LEARNING AND KNOWLEDGE EXTRACTION</t>
  </si>
  <si>
    <t>multimodal deep learning for Android malware detection; enhanced malware analysis; graph neural networks; function call graphs (FCG); efficient multimodal late fusion; CNN GNN Ensemble; bytecode image analysis; Android APK analysis; data fusion</t>
  </si>
  <si>
    <t>Jang-Jaccard, Julian/C-5366-2011</t>
  </si>
  <si>
    <t>Jang-Jaccard, Julian/0000-0002-1002-057X; Susnjak, Teo/0000-0001-9416-1435; Arrowsmith, James/0009-0005-9857-0873</t>
  </si>
  <si>
    <t>2504-4990</t>
  </si>
  <si>
    <t>MACH LEARN KNOW EXTR</t>
  </si>
  <si>
    <t>Mach. Learn. Knowl. Extr.</t>
  </si>
  <si>
    <t>FEB 28 2025</t>
  </si>
  <si>
    <t>10.3390/make7010023</t>
  </si>
  <si>
    <t>http://dx.doi.org/10.3390/make7010023</t>
  </si>
  <si>
    <t>Computer Science, Artificial Intelligence; Computer Science, Interdisciplinary Applications; Engineering, Electrical &amp; Electronic</t>
  </si>
  <si>
    <t>0PG5Z</t>
  </si>
  <si>
    <t>WOS:001452766400001</t>
  </si>
  <si>
    <t>Zhu, KJ; Li, H; Zhang, H; Wang, B; Shen, B; Nie, Y</t>
  </si>
  <si>
    <t>Background: Deep vein thrombosis (DVT) following total knee arthroplasty (TKA) remains a major postoperative complication. Conventional risk assessment tools such as the Caprini score show limited predictive performance (AUC 0.65-0.72). We developed a multimodal deep learning framework that integrates early postoperative radiographs with clinical data to improve DVT risk stratification. Methods: This single-center retrospective cohort study analyzed 1200 patients undergoing primary unilateral TKA (DVT incidence: 18.0%) from January 2018 to June 2023. A dual-branch architecture was implemented: ViT-B/16 or ResNet50 processed standardized radiographs (metal artifact suppression; 512 &amp; times; 512 resolution), while Clinical-BERT encoded structured electronic medical record (EMR) representations. A dynamic attention fusion module generated sample-specific modality weights (alpha) for feature fusion (alpha &amp; centerdot;v_img + (1 - alpha)&amp; centerdot;v_txt). Performance was evaluated on a stratified test set (n = 180) against the Caprini score, unimodal models, and a nonattention concatenation fusion baseline. AUCs were compared using the DeLong test, and sensitivity/specificity differences were assessed using the McNemar test. Results: The multimodal model achieved an AUC of 0.89 (95% CI: 0.85-0.92; DeLong p &lt; 0.001 vs. all comparators), sensitivity 83% (76%-89%), specificity 88% (82%-93%), and F1-score 0.79. It identified 91.7% (11/12) of DVT cases labeled low-risk by Caprini. The learned attention coefficient alpha suggested modality reliance patterns associated with specific findings (e.g., higher alpha in cases with prosthesis-bone lucency &gt; 2 mm; higher text contribution in cases with D-dimer &gt; 1.0 mg/L), but these associations do not establish causality. Anatomical heatmaps consistently localized high-risk regions, particularly the popliteal vein projection area and tibial interface. Conclusion: This attention-based multimodal model integrates biomechanical (radiographic) and biochemical/clinical (EMR-derived) signals to improve early postoperative DVT risk prediction while providing interpretable anatomical cues.</t>
  </si>
  <si>
    <t>Zhu, Kejia; Li, Hang; Zhang, Hui; Wang, Biao; Shen, Bin; Nie, Yong</t>
  </si>
  <si>
    <t>Nie, Y (corresponding author), Sichuan Univ, Dept Orthoped Surg, West China Hosp, Chengdu, Peoples R China.; Nie, Y (corresponding author), Sichuan Univ, West China Hosp, Orthoped Res Inst, Chengdu, Peoples R China.</t>
  </si>
  <si>
    <t>nieyong1983@wchscu.cn</t>
  </si>
  <si>
    <t>1centerdot;3centerdot;5 Projects for Artificial Intelligence West China Hospital [ZYAI24038]; 1centerdot;3centerdot;5 Project for Disciplines of Excellence-Clinical Research Fund, West China Hospital [2023HXFH024]; Sichuan Provincial International Science and Technology Innovation Cooperation [2025YFHZ0110]; National Key Research and Development Program of China [2023YFB4606700]</t>
  </si>
  <si>
    <t>1centerdot;3centerdot;5 Projects for Artificial Intelligence West China Hospital; 1centerdot;3centerdot;5 Project for Disciplines of Excellence-Clinical Research Fund, West China Hospital; Sichuan Provincial International Science and Technology Innovation Cooperation; National Key Research and Development Program of China (National Key Research &amp; Development Program of China)</t>
  </si>
  <si>
    <t>The study was funded by the National Key Research and Development Program (2023YFB4606700); the Sichuan Provincial International Science and Technology Innovation Cooperation (2025YFHZ0110); 1 &amp; centerdot;3 &amp; centerdot;5 Projects for Artificial Intelligence West China Hospital (ZYAI24038); 1 &amp; centerdot;3 &amp; centerdot;5 Project for Disciplines of Excellence-Clinical Research Fund, West China Hospital (2023HXFH024).</t>
  </si>
  <si>
    <t>[Zhu, Kejia; Li, Hang; Shen, Bin; Nie, Yong] Sichuan Univ, Dept Orthoped Surg, West China Hosp, Chengdu, Peoples R China; [Zhu, Kejia; Li, Hang; Shen, Bin; Nie, Yong] Sichuan Univ, West China Hosp, Orthoped Res Inst, Chengdu, Peoples R China; [Zhang, Hui] Sichuan Univ, West China Hosp, Rehabil Med Ctr, Chengdu, Peoples R China; [Zhang, Hui] Sichuan Univ, West China Hosp, Inst Rehabil Med, Chengdu, Peoples R China; [Wang, Biao] Sichuan Univ, West China Hosp, West China Biomed Big Data Ctr, Chengdu, Peoples R China</t>
  </si>
  <si>
    <t>Sichuan University; Sichuan University; Sichuan University; Sichuan University; Sichuan University</t>
  </si>
  <si>
    <t>Multimodal Deep Learning for Predicting Deep Vein Thrombosis Risk After Total Knee Arthroplasty: A Clinical Study</t>
  </si>
  <si>
    <t>ORTHOPAEDIC SURGERY</t>
  </si>
  <si>
    <t>attention mechanism; deep vein thrombosis; multimodal deep learning; risk prediction; total knee arthroplasty</t>
  </si>
  <si>
    <t>1757-7853</t>
  </si>
  <si>
    <t>1757-7861</t>
  </si>
  <si>
    <t>ORTHOP SURG</t>
  </si>
  <si>
    <t>Orthop. Surg.</t>
  </si>
  <si>
    <t>1574</t>
  </si>
  <si>
    <t>1580</t>
  </si>
  <si>
    <t>10.1111/os.70335</t>
  </si>
  <si>
    <t>http://dx.doi.org/10.1111/os.70335</t>
  </si>
  <si>
    <t>MD1ZZ</t>
  </si>
  <si>
    <t>42304630</t>
  </si>
  <si>
    <t>WOS:001795371300001</t>
  </si>
  <si>
    <t>Rommerskirchen, L; Skunde, M; Bendszus, M; Herzog, W; Friederich, HC; Simon, JJ</t>
  </si>
  <si>
    <t>Introduction Binge-type eating disorders, including bulimia nervosa (BN) and binge eating disorder (BED), are associated with both shared and disorder-specific neurobiological mechanisms across brain, behavior, and physiology. A clearer distinction between shared mechanisms and disorder-specific alterations may advance our understanding of binge-type eating pathology.Methods We applied a comprehensive multimodal machine learning framework to 110 participants (BN, BED, and age &amp; weight matched controls), integrating task-based fMRI, intrinsic connectivity, voxel-based morphometry, neuropsychological assessments, and peripheral blood biomarkers. Both unimodal and multimodal machine learning models were trained to classify groups and to predict individual variation in symptom expression.Results Functional brain connectivity achieved the highest accuracy for diagnostic classification and symptom prediction (with a mean balanced classification accuracy (bACC) of 68.7%), whereas task-based fMRI with disorder-specific food stimuli and peripheral blood biomarkers best distinguished BN from BED (mean bACC of 87%). Multimodal models did not generally outperform the best unimodal approaches, except from modest gains in a limited set of regression targets.Conclusions These findings suggest that functional brain connectivity carries robust predictive information for transdiagnostic classification, whereas task-evoked activation patterns and peripheral biomarkers show stronger predictive utility for distinguishing BN from BED. Whether these modality-specific patterns reflect underlying neurobiological mechanisms remains to be established in future hypothesis-driven work. Identifying which modalities best represent shared vulnerability vs. symptom-type-dependent variation may help to provide a foundation for a more mechanistic understanding of these disorders.</t>
  </si>
  <si>
    <t>Rommerskirchen, Lena; Skunde, Mandy; Bendszus, Martin; Herzog, Wolfgang; Friederich, Hans-Christoph; Simon, Joe J.</t>
  </si>
  <si>
    <t>Simon, JJ (corresponding author), Univ Hosp Heidelberg, Ctr Psychosocial Med, Dept Gen Internal Med Psychosomat &amp; Psychotherapy, Heidelberg, Germany.; Simon, JJ (corresponding author), DZPG German Ctr Mental Hlth, Partner Site Heidelberg Mannheim Ulm, Heidelberg, Germany.</t>
  </si>
  <si>
    <t>joe.simon@med.uni-heidelberg.de</t>
  </si>
  <si>
    <t>Deutsche Forschungsgemeinschaft</t>
  </si>
  <si>
    <t>Deutsche Forschungsgemeinschaft (German Research Foundation (DFG))</t>
  </si>
  <si>
    <t>The author(s) declared that financial support was received for this work and/or its publication. This study was supported by a DFG grant (FR 2626/3-1). Computational resources were provided by the bwUniCluster, funded by the Ministry of Science, Research and the Arts of Baden-Wurttemberg, the universities of the state of Baden-Wurttemberg, and the German Research Foundation (DFG).</t>
  </si>
  <si>
    <t>[Rommerskirchen, Lena; Skunde, Mandy; Herzog, Wolfgang; Friederich, Hans-Christoph; Simon, Joe J.] Univ Hosp Heidelberg, Ctr Psychosocial Med, Dept Gen Internal Med Psychosomat &amp; Psychotherapy, Heidelberg, Germany; [Skunde, Mandy] Univ Hosp Heidelberg, Inst Pathol, Heidelberg, Germany; [Bendszus, Martin] Univ Hosp Heidelberg, Dept Neuroradiol, Heidelberg, Germany; [Friederich, Hans-Christoph; Simon, Joe J.] DZPG German Ctr Mental Hlth, Partner Site Heidelberg Mannheim Ulm, Heidelberg, Germany</t>
  </si>
  <si>
    <t>Ruprecht Karls University Heidelberg; Ruprecht Karls University Heidelberg</t>
  </si>
  <si>
    <t>Multimodal machine learning reveals neurobiological signatures of binge-type eating disorders</t>
  </si>
  <si>
    <t>FRONTIERS IN NEUROSCIENCE</t>
  </si>
  <si>
    <t>binge eating disorder (BED); bulimia nervosa (BN); fMRI; functional connectivity; machine learning (ML)</t>
  </si>
  <si>
    <t>NEURAL SIGNATURE; REWARD; OBESITY; FOOD; VALIDATION; NETWORKS</t>
  </si>
  <si>
    <t>Simon, Joe/ABA-6896-2021</t>
  </si>
  <si>
    <t>1662-453X</t>
  </si>
  <si>
    <t>FRONT NEUROSCI-SWITZ</t>
  </si>
  <si>
    <t>Front. Neurosci.</t>
  </si>
  <si>
    <t>APR 13 2026</t>
  </si>
  <si>
    <t>1803154</t>
  </si>
  <si>
    <t>10.3389/fnins.2026.1803154</t>
  </si>
  <si>
    <t>http://dx.doi.org/10.3389/fnins.2026.1803154</t>
  </si>
  <si>
    <t>GZ7JQ</t>
  </si>
  <si>
    <t>42051561</t>
  </si>
  <si>
    <t>WOS:001748905100001</t>
  </si>
  <si>
    <t>Yin, ZM; Shu, YJ; Shen, DC; Gao, HY; Zhang, YJ; Yang, ZY; Gong, W; Chen, T; Liu, YB</t>
  </si>
  <si>
    <t>ObjectiveGallbladder cancer (GBC) is a rare gastrointestinal malignancy with a global 5-year survival rate of less than 5%. Early diagnosis is challenging owing to the lack of specific clinical symptoms. Additionally, the high heterogeneity of gallbladder tumors limits the clinical utility of unimodal deep-learning methods for GBC diagnosis. This study aimed to develop a novel multimodal deep-learning model to facilitate the preoperative diagnosis of GBC in more patients.MethodsWe conducted a retrospective multicenter study using contrast-enhanced arterial phase computed tomography (CT) images and laboratory examination data from 300 patients (150 GBC cases and 150 non-GBC cases) extracted from electronic medical records of two Grade A tertiary hospitals in Shanghai between 2018 and 2020. A novel two-stage multimodal diagnostic model (GBC-DiagNet) was developed: the first stage achieved coarse segmentation of the gallbladder region using a position-constrained 3D Attention U-Net (improved by combined sampling) to avoid over-segmentation; the second stage realized GBC detection via an adaptive feature fusion strategy, which optimizes the weighted integration of handcrafted radiomic, deep radiomic and laboratory examination features to enhance diagnostic performance.ResultsOn the independent test set, the model achieved an accuracy of 0.933 (95% confidence interval [95% CI]: 0.927-0.94), specificity of 0.912 (95% CI: 0.904-0.922), sensitivity of 0.962 (95% CI: 0.937-0.986), precision of 0.893 (95% CI: 0.875-0.911), an F1-score of 0.926 (95% CI: 0.919-0.932) and AUC (area under the curve) of 0.9706 (95% CI: 0.961-0.981). Compared with the optimal unimodal model, our model improved accuracy, sensitivity, and F1-score by 14.28%, 16.76%, and 16.85%, respectively. Furthermore, compared to state-of-the-art deep-learning architectures (ResNet, DenseNet, MobileNet, ConvNeXt, ViT), our model exhibited absolute improvements of 7.68% in accuracy, 8.03% in F1-score, and 0.0059 in AUC.ConclusionThe proposed multimodal model integrating contrast-enhanced CT and laboratory data achieves stable and clinically meaningful diagnostic performance for gallbladder cancer, supporting its utility as an artificial intelligence-assisted tool for preoperative noninvasive diagnosis.</t>
  </si>
  <si>
    <t>Yin, Ziming; Shu, Yijun; Shen, Dacong; Gao, Hongyu; Zhang, Yijue; Yang, Ziyi; Gong, Wei; Chen, Tao; Liu, Yingbin</t>
  </si>
  <si>
    <t>Chen, T; Liu, YB (corresponding author), Shanghai Jiao Tong Univ, Renji Hosp, Sch Med, Dept Biliary &amp; Pancreat Surg, Shanghai 200127, Peoples R China.; Liu, YB (corresponding author), Shanghai Key Lab Syst Regulat &amp; Clin Translat Canc, Shanghai 200127, Peoples R China.; Liu, YB (corresponding author), Shanghai Canc Inst, State Key Lab Syst Med Canc, Shanghai 200127, Peoples R China.</t>
  </si>
  <si>
    <t>chentao@renji.com; laoniulyb@163.com</t>
  </si>
  <si>
    <t>National Natural Science Foundation of China [82173081]</t>
  </si>
  <si>
    <t>This study was supported by National Natural Science Foundation of China (No. 82173081).</t>
  </si>
  <si>
    <t>[Yin, Ziming; Shen, Dacong; Gao, Hongyu] Univ Shanghai Sci &amp; Technol, Sch Hlth Sci &amp; Engn, Shanghai 200093, Peoples R China; [Shu, Yijun; Yang, Ziyi; Gong, Wei] Shanghai Jiao Tong Univ, Xinhua Hosp, Sch Med, Dept Gen Surg, Shanghai 200092, Peoples R China; [Chen, Tao; Liu, Yingbin] Shanghai Jiao Tong Univ, Renji Hosp, Sch Med, Dept Biliary &amp; Pancreat Surg, Shanghai 200127, Peoples R China; [Liu, Yingbin] Shanghai Key Lab Syst Regulat &amp; Clin Translat Canc, Shanghai 200127, Peoples R China; [Liu, Yingbin] Shanghai Canc Inst, State Key Lab Syst Med Canc, Shanghai 200127, Peoples R China; [Zhang, Yijue] Shanghai Jiao Tong Univ, Renji Hosp, Sch Med, Dept Anesthesiol, Shanghai 200127, Peoples R China</t>
  </si>
  <si>
    <t>University of Shanghai for Science &amp; Technology; Shanghai Jiao Tong University; Shanghai Jiao Tong University; Shanghai Jiao Tong University; Shanghai Jiao Tong University</t>
  </si>
  <si>
    <t>Multimodal deep learning model integrating electronic medical records and CT images for gallbladder cancer diagnosis: a retrospective multicenter study in China</t>
  </si>
  <si>
    <t>BMC CANCER</t>
  </si>
  <si>
    <t>Gallbladder cancer; Adaptive weighting; Multimodality; Radiomics</t>
  </si>
  <si>
    <t>Zhang, yijue/AED-7989-2022</t>
  </si>
  <si>
    <t>1471-2407</t>
  </si>
  <si>
    <t>BMC Cancer</t>
  </si>
  <si>
    <t>MAY 11 2026</t>
  </si>
  <si>
    <t>807</t>
  </si>
  <si>
    <t>10.1186/s12885-026-16116-w</t>
  </si>
  <si>
    <t>http://dx.doi.org/10.1186/s12885-026-16116-w</t>
  </si>
  <si>
    <t>KN2ES</t>
  </si>
  <si>
    <t>42108444</t>
  </si>
  <si>
    <t>WOS:001810951600001</t>
  </si>
  <si>
    <t>Jung, HJ; Ju, DY; Kim, C; Hwang, SJ; Lee, C; Park, Y</t>
  </si>
  <si>
    <t>Early diagnosis of temporomandibular disorders is challenging. Particularly, intra-articular temporomandibular joint (TMJ) abnormalities can only be confirmed using magnetic resonance imaging (MRI). This study aimed to develop a comprehensive screening method for MRI-detectable TMJ pathologies. We developed an interpretable deep learning framework that leveraged paired open- and closed-mouth TMJ panoramic radiographs and structured clinical metadata. The architecture integrated anatomically guided attention, multimodal clinical features, and ensemble learning for enhanced diagnostic accuracy and interpretability. Across 1355 patients (2710 joints), the best-performing ensemble framework achieved an area under the curve of 0.86, with a balanced classification of MRI-negative and -positive cases. Gradient-weighted Class Activation Mapping visualizations confirmed a consistent focus on the condylar regions, and ablation studies demonstrated the added value of clinical metadata and spatial attention. In conclusion, our prototype workflow can be useful to triage TMJ patients for MRI referral, thus supporting early detection of TMJ abnormalities and timely interventions.</t>
  </si>
  <si>
    <t>Jung, Hyo-Jung; Ju, Dayun; Kim, Chanyoung; Hwang, Seong Jae; Lee, Chena; Park, Younjung</t>
  </si>
  <si>
    <t>Park, Y (corresponding author), Yonsei Univ, Coll Dent, Dept Orofacial Pain &amp; Oral Med, Seoul, South Korea.; Park, Y (corresponding author), Yonsei Univ, Inst Innovat Digital Healthcare, Seoul, South Korea.</t>
  </si>
  <si>
    <t>darkstar@yuhs.ac</t>
  </si>
  <si>
    <t>National Research Foundation of Korea [RS-2023-00241352]</t>
  </si>
  <si>
    <t>National Research Foundation of Korea (National Research Foundation of Korea)</t>
  </si>
  <si>
    <t>This research was supported by the Basic Science Research Program of the National Research Foundation (NRF) of Korea funded by the Ministry of Education (No. RS-2023-00241352) and by the Yonsei University College of Dentistry Fund (No. 6-2023-0062).</t>
  </si>
  <si>
    <t>[Jung, Hyo-Jung; Park, Younjung] Yonsei Univ, Coll Dent, Dept Orofacial Pain &amp; Oral Med, Seoul, South Korea; [Jung, Hyo-Jung; Lee, Chena] Yonsei Univ, Oral Sci Res Inst, Seoul, South Korea; [Ju, Dayun; Kim, Chanyoung; Hwang, Seong Jae] Yonsei Univ, Dept Artificial Intelligence, Coll Comp, Seoul, South Korea; [Lee, Chena] Yonsei Univ, Coll Dent, Dept Oral &amp; Maxillofacial Radiol, Seoul, South Korea; [Park, Younjung] Yonsei Univ, Inst Innovat Digital Healthcare, Seoul, South Korea</t>
  </si>
  <si>
    <t>Yonsei University; Yonsei University Health System; Yonsei University; Yonsei University; Yonsei University; Yonsei University Health System; Yonsei University</t>
  </si>
  <si>
    <t>Multimodal deep learning with anatomically constrained attention for screening MRI-detectable TMJ abnormalities from panoramic images</t>
  </si>
  <si>
    <t>TEMPOROMANDIBULAR-JOINT DISORDERS; DIAGNOSTIC-CRITERIA; RDC/TMD; RELIABILITY; SIGNS</t>
  </si>
  <si>
    <t>Park, Younjung/HDM-6468-2022; Jung, Hyojung/PLC-5726-2026</t>
  </si>
  <si>
    <t>Park, Younjung/0000-0002-9152-7849; Lee, Chena/0000-0002-8943-4192</t>
  </si>
  <si>
    <t>189</t>
  </si>
  <si>
    <t>10.1038/s41746-026-02378-y</t>
  </si>
  <si>
    <t>http://dx.doi.org/10.1038/s41746-026-02378-y</t>
  </si>
  <si>
    <t>ED1QN</t>
  </si>
  <si>
    <t>41577795</t>
  </si>
  <si>
    <t>WOS:001698260500001</t>
  </si>
  <si>
    <t>Martin, J; Afshar, M; Afshar, AS; Caskey, J; Dligach, D; Gao, YJ; Gao, JF; Chen, GH; Mayampurath, A; Churpek, MM</t>
  </si>
  <si>
    <t>Objective: Deep learning models have shown strong performance in predicting clinical events in critical care using structured electronic health record (EHR) data. While incorporating unstructured notes improves accuracy, multimodal fusion and explainability remain an open challenge, particularly for variable-length temporal data. This study develops an explainable temporal modeling framework for multimodal EHR data that accommodates variable-length intensive care unit (ICU) trajectories and supports diverse outcome prediction tasks. Methods: We introduced two multimodal recurrent neural networks (RNNs) with distinct fusion architectures (Pre-RNN and Post-RNN) that integrated structured EHR variables and unstructured clinical notes at every hourly timestep. Both architectures encoded temporal dynamics using Time2Vec and RNN layers with masking to handle variable-length sequences across patient stays. Models were benchmarked on four outcomes: 24-hour mortality, seven-day discharge, and four-hour ventilator or vasopressor onset in a publicly available EHR dataset. To enhance interpretability, integrated gradients was applied to estimate feature contributions from both modalities across timesteps, quantifying temporal and cross-modal importance. Results: Multimodal fusion models outperformed unimodal baselines across all tasks, with Pre-RNN fusion achieving the highest area under the precision-recall curve (AUPRC) in three of four outcomes. Performance gains were modest for short-horizon events (Delta AUPRC &lt;0.01) but larger for intermediate and long-horizon (&gt;= 24 h) tasks. Integrated gradients revealed distinct attribution patterns, linking physiologic features (e.g., oxygen saturation) and clinical concepts (e.g., "weaning," "extubation") to event risk. Conclusions: Our variable-length multimodal framework improves performance and provides timestep-level feature importance, enhancing explainability and clinical relevance of deep learning models in critical care.</t>
  </si>
  <si>
    <t>Martin, Jennifer; Afshar, Majid; Afshar, Askar Safipour; Caskey, John; Dligach, Dmitriy; Gao, Yanjun; Gao, Jifan; Chen, Guanhua; Mayampurath, Anoop; Churpek, Matthew M.</t>
  </si>
  <si>
    <t>Martin, J (corresponding author), Univ Wisconsin, Dept Med, 610 Walnut St, Madison, WI 53792 USA.</t>
  </si>
  <si>
    <t>jlmartin22@wisc.edu</t>
  </si>
  <si>
    <t>National Institutes of Health (NIH) National Heart, Lung, and Blood Institute (NHLBI) [R01HL157262]; NHLBI [R01HL173037]</t>
  </si>
  <si>
    <t>National Institutes of Health (NIH) National Heart, Lung, and Blood Institute (NHLBI) (United States Department of Health &amp; Human Services, National Institutes of Health (NIH) - USA, NIH National Heart Lung &amp; Blood Institute (NHLBI)); NHLBI (United States Department of Health &amp; Human Services, National Institutes of Health (NIH) - USA, NIH National Heart Lung &amp; Blood Institute (NHLBI))</t>
  </si>
  <si>
    <t>This work was supported by the National Institutes of Health (NIH) National Heart, Lung, and Blood Institute (NHLBI) grant number R01HL157262 (PI: M.M.C.) . Dr. Mayampurath is supported by an R01 from NHLBI (R01HL173037) . The authors wish to thank Madeline Oguss for her administrative support.</t>
  </si>
  <si>
    <t>[Martin, Jennifer; Afshar, Majid; Afshar, Askar Safipour; Caskey, John; Mayampurath, Anoop; Churpek, Matthew M.] Univ Wisconsin, Dept Med, 610 Walnut St, Madison, WI 53792 USA; [Afshar, Majid; Gao, Jifan; Chen, Guanhua; Mayampurath, Anoop; Churpek, Matthew M.] Univ Wisconsin Madison, Dept Biostat &amp; Med Informat, Madison, WI USA; [Dligach, Dmitriy] Loyola Univ Chicago, Dept Comp Sci, Chicago, IL USA; [Gao, Yanjun] Univ Colorado, Dept Biomed Informat, Anschutz Med Campus, Aurora, CO USA</t>
  </si>
  <si>
    <t>University of Wisconsin System; University of Wisconsin Madison; University of Wisconsin System; University of Wisconsin Madison; Loyola University Chicago; University of Colorado System; University of Colorado Anschutz</t>
  </si>
  <si>
    <t>Explainable multimodal deep learning models for variable-length sequences in critically ill patients</t>
  </si>
  <si>
    <t>Machine learning; Artificial intelligence; Critical care; Explainable artificial intelligence</t>
  </si>
  <si>
    <t>/AGD-8497-2022; Afshar, Majid/AAD-8365-2019</t>
  </si>
  <si>
    <t>177</t>
  </si>
  <si>
    <t>105001</t>
  </si>
  <si>
    <t>10.1016/j.jbi.2026.105001</t>
  </si>
  <si>
    <t>http://dx.doi.org/10.1016/j.jbi.2026.105001</t>
  </si>
  <si>
    <t>ER0VW</t>
  </si>
  <si>
    <t>41747919</t>
  </si>
  <si>
    <t>WOS:001707715400001</t>
  </si>
  <si>
    <t>Olatunji, I; Cui, F</t>
  </si>
  <si>
    <t>Metastasis of cancer is directly related to death in almost all cases, however a lot is yet to be understood about this process. Despite advancements in the available radiological investigation techniques, not all cases of Distant Metastasis (DM) are diagnosed at initial clinical presentation. Also, there are currently no standard biomarkers of metastasis. Early, accurate diagnosis of DM is however crucial for clinical decision making, and planning of appropriate management strategies. Previous works have achieved little success in attempts to predict DM from either clinical, genomic, radiology, or histopathology data. In this work we attempt a multimodal approach to predict the presence of DM in cancer patients by combining gene expression data, clinical data and histopathology images. We tested a novel combination of Random Forest (RF) algorithm with an optimization technique for gene selection, and investigated if gene expression pattern in the primary tissues of three cancer types (Bladder Carcinoma, Pancreatic Adenocarcinoma, and Head and Neck Squamous Carcinoma) with DM are similar or different. Gene expression biomarkers of DM identified by our proposed method outperformed Differentially Expressed Genes (DEGs) identified by the DESeq2 software package in the task of predicting presence or absence of DM. Genes involved in DM tend to be more cancer type specific rather than general across all cancers. Our results also indicate that multimodal data is more predictive of metastasis than either of the three unimodal data tested, and genomic data provides the highest contribution by a wide margin. The results re-emphasize the importance for availability of sufficient image data when a weakly supervised training technique is used. Code is made available at: https://github.com/rit-cui-lab/Multimodal-AI-for-Prediction-of-Distant-Metastasis-in-Carcinoma-Patients.</t>
  </si>
  <si>
    <t>Olatunji, Isaac; Cui, Feng</t>
  </si>
  <si>
    <t>Cui, F (corresponding author), Rochester Inst Technol, Thomas H Gosnell Sch Life Sci, Rochester, NY 14623 USA.</t>
  </si>
  <si>
    <t>fxcsbi@rit.edu</t>
  </si>
  <si>
    <t>We acknowledge the resources and assistance provided by RIT (Rochester Institute of Technology) Research Computing which has made this work possible.</t>
  </si>
  <si>
    <t>[Olatunji, Isaac; Cui, Feng] Rochester Inst Technol, Thomas H Gosnell Sch Life Sci, Rochester, NY 14623 USA</t>
  </si>
  <si>
    <t>Rochester Institute of Technology</t>
  </si>
  <si>
    <t>Multimodal AI for prediction of distant metastasis in carcinoma patients</t>
  </si>
  <si>
    <t>FRONTIERS IN BIOINFORMATICS</t>
  </si>
  <si>
    <t>metastasis; cancer; multimodal; gene expression; histopathology; deep learning; machine learning</t>
  </si>
  <si>
    <t>LYMPH-NODE METASTASIS; PANCREATIC-CANCER; HIGH EXPRESSION; PROGRESSION; PROGNOSIS; INVASION; MIGRATION; HISTOLOGY; RGS16; MODEL</t>
  </si>
  <si>
    <t>Olatunji, Isaac/HLG-8733-2023</t>
  </si>
  <si>
    <t>103</t>
  </si>
  <si>
    <t>2673-7647</t>
  </si>
  <si>
    <t>FRONT BIOINFORM</t>
  </si>
  <si>
    <t>Front. Bioinform.</t>
  </si>
  <si>
    <t>MAY 9 2023</t>
  </si>
  <si>
    <t>1131021</t>
  </si>
  <si>
    <t>10.3389/fbinf.2023.1131021</t>
  </si>
  <si>
    <t>http://dx.doi.org/10.3389/fbinf.2023.1131021</t>
  </si>
  <si>
    <t>Mathematical &amp; Computational Biology</t>
  </si>
  <si>
    <t>U7YE0</t>
  </si>
  <si>
    <t>37228671</t>
  </si>
  <si>
    <t>WOS:001086914600001</t>
  </si>
  <si>
    <t>Balal, S; Kandakji, L; Leucci, M; Keane, PA; Gore, D; Pontikos, N; Allan, BD</t>
  </si>
  <si>
    <t>Purpose: To develop and validate deep learning models for predicting keratoconus progression risk using multimodal imaging and clinical data, enabling risk-stratified patient monitoring. Design: A retrospective cohort study with external validation. Participants: We analyzed 7396 eyes of 3893 patients (internal dataset) and 963 eyes of 519 patients (external validation dataset) with keratoconus who underwent MS-39 (CSO Italia) anterior-segment OCT (AS-OCT) and Placido topography between October 2020 and June 2024. Methods: Progression was defined using the global consensus criteria requiring changes in multiple parameters above device-specific precision limits. We compared conventional machine learning, unimodal deep learning, and multimodal fusion architectures to predict 2-year progression risk from baseline data. We developed recurrent neural networks to incorporate data from sequential clinic visits. We assessed clinical utility through simulated risk-stratified triage pathways in an external validation cohort. Main Outcome Measures: The area under the receiver operating characteristic curve (AUROC), sensitivity, specificity, and predictive values for keratoconus progression within 2 years were measured. Results: The multimodal model of AS-OCT, Placido, and tabular data yielded the best single-visit prediction (AUROC 0.84, 95% confidence interval [CI]: 0.83-0.85); adding sequential visits via long short-term memory boosted this to 0.93 (95% CI: 0.91-0.96). Fifty-eight percent of patients could be classified as low risk (90% chance of correctly predicting no progression in 2 years) after their baseline clinic visit, rising to 83% with inclusion of data from a second Conclusions: Artificial intelligence models can be used to develop risk-stratified pathways for monitoring keratoconus, reducing unnecessary follow-up for patients at low risk of progression while ensuring optimal resource allocation and timely intervention for those at high risk. Financial Disclosure(s): Proprietary or commercial disclosure may be found in the Footnotes and Disclosures at the end of this article. Ophthalmology Science 2026;6:101208 (c) 2026 The Authors. Published by Elsevier Inc. on behalf of American Academy of Ophthalmology, Inc. This is an open access article under the CC BY license (http://</t>
  </si>
  <si>
    <t>Balal, Shafi; Kandakji, Lynn; Leucci, Marcello; Keane, Pearse A.; Gore, Daniel; Pontikos, Nikolas; Allan, Bruce D.</t>
  </si>
  <si>
    <t>Balal, S (corresponding author), Moorfields Eye Hosp, 162 City Rd, London EC1V 2PD, England.</t>
  </si>
  <si>
    <t>shafi.balal@nhs.net</t>
  </si>
  <si>
    <t>NIHR BRC in Ophthalmology at Moorfields Eye Hospital; UK Research &amp; Innovation Future Leaders Fellowship [MR/T019050/1]; Moorfields Eye Charity with The Rubin Foundation Charitable Trust [GR001753]; Alcon Research Institute Senior Investigator Award</t>
  </si>
  <si>
    <t>NIHR BRC in Ophthalmology at Moorfields Eye Hospital; UK Research &amp; Innovation Future Leaders Fellowship (UK Research &amp; Innovation (UKRI)); Moorfields Eye Charity with The Rubin Foundation Charitable Trust; Alcon Research Institute Senior Investigator Award</t>
  </si>
  <si>
    <t>This study is supported by the European Society of Cataract and Refractive Surgeons Digital Research Award (ref: OCT-KC) , Frost Trust Charity (ref: Balal) , University College London Research Scholarship award (ref: 592328) , Moorfields Eye Charity and National Institute for Health Research AI award (ref: AI_AWARD02488) , and Doctoral Fellowship (ref: NIHR305630) . B.D.A. receives partial salary support for research from the NIHR BRC in Ophthalmology at Moorfields Eye Hospital and the University College London Institute of Ophthalmology (ref: Bruce Allan) . P.A.K. is supported by a UK Research &amp; Innovation Future Leaders Fellowship (MR/T019050/1) , Moorfields Eye Charity with The Rubin Foundation Charitable Trust (GR001753) , and an Alcon Research Institute Senior Investigator Award.r from the NIHR BRC in Ophthalmology at Moorfields Eye Hospital and the University College London Institute of Ophthalmology (ref: Bruce Allan) . P.A.K. is supported by a UK Research &amp; Innovation Future Leaders Fellowship (MR/T019050/1) , Moorfields Eye Charity with The Rubin Foundation Charitable Trust (GR001753) , and an Alcon Research Institute Senior Investigator Award.</t>
  </si>
  <si>
    <t>[Balal, Shafi; Leucci, Marcello; Gore, Daniel; Pontikos, Nikolas; Allan, Bruce D.] Moorfields Eye Hosp NHS Trust, London, England; [Balal, Shafi; Kandakji, Lynn; Keane, Pearse A.; Gore, Daniel; Pontikos, Nikolas; Allan, Bruce D.] UCL, Inst Ophthalmol, London, England; [Keane, Pearse A.; Gore, Daniel; Allan, Bruce D.] Moorfields Eye Hosp NHS Fdn Trust, NIHR Biomed Res Ctr, London, England; [Balal, Shafi] Moorfields Eye Hosp, 162 City Rd, London EC1V 2PD, England</t>
  </si>
  <si>
    <t>University of London; University College London; Moorfields Eye Hospital NHS Foundation Trust; University College London; University of London; University College London; University of London; University College London; Moorfields Eye Hospital NHS Foundation Trust; University of London; University College London; Moorfields Eye Hospital NHS Foundation Trust</t>
  </si>
  <si>
    <t>Automated Triage for New Keratoconus Referrals Using Multimodal Deep Learning</t>
  </si>
  <si>
    <t>Artificial intelligence; Automation; Keratoconus; Triage</t>
  </si>
  <si>
    <t>COLLAGEN CROSS-LINKING; PROGRESSIVE KERATOCONUS; GLOBAL CONSENSUS; IONTOPHORESIS</t>
  </si>
  <si>
    <t>Balal, Shafi/AAT-7690-2020; /AAB-7744-2020; Pontikos, Nikolas/U-3642-2018; Keane, Pearse/AAE-5709-2019</t>
  </si>
  <si>
    <t>101208</t>
  </si>
  <si>
    <t>10.1016/j.xops.2026.101208</t>
  </si>
  <si>
    <t>http://dx.doi.org/10.1016/j.xops.2026.101208</t>
  </si>
  <si>
    <t>IZ5TJ</t>
  </si>
  <si>
    <t>42256004</t>
  </si>
  <si>
    <t>WOS:001784072300001</t>
  </si>
  <si>
    <t>Oyebode, K; Esenogho, E; Cameron, M</t>
  </si>
  <si>
    <t>a respiratory illness that mostly attacks the human lungs, emerged in 2019 and quickly became a global health crisis. Its fast transmission has necessitated the creation of effective tools that could aid in its classification. In this paper, we present an artificial intelligence multimodal deep learning model that leverages X-ray, Computed Tomography (CT) scan, and cough signals to classify COVID-19 accurately. The paper's objective is to meticulously compare the effectiveness of non-pre-trained and pre-trained versions of VGG-19, MobileNetV2, and ResNet across various multimodal and some unimodal models using cough sound, X-ray, and CT scan datasets. This is important because it provides a pointer as to which combinations of datasets could improve COVID-19 prediction. Findings show that while the pre-trained unimodal systems for cough and X-ray outperform their non-pre-trained counterparts, the non-pre-trained CT scan model performs exceptionally well. This suggests that features learned from the VGG-19 model fail to generalize effectively. Remarkably, the non-pre-trained multimodal model accomplishes an F1-Score of 0.9804, slightly outperforming its pre-trained counterpart at 0.98. While this research advances our understanding of transfer learning, it also emphasizes the prospects of determining, from a range of options, which of the considered datasets (individual or combination) could give an acceptable level of COVID-19 classification in a resource-constrained scenario.</t>
  </si>
  <si>
    <t>Oyebode, Kazeem; Esenogho, Ebenezer; Cameron, Modisane</t>
  </si>
  <si>
    <t>Esenogho, E (corresponding author), Univ South Africa, Coll Accounting Sci, Ctr Artificial Intelligence &amp; Multidisciplinary In, Dept Auditing, Pretoria, South Africa.</t>
  </si>
  <si>
    <t>kazeemkz@gmail.com; esenoe@unisa.ac.za; modistc@unisa.ac.za</t>
  </si>
  <si>
    <t>Centre for Artificial Intelligence and Multidisciplinary Innovation Studies, College of Accounting Science, University of South Africa under the office of the Executive Deputy Dean</t>
  </si>
  <si>
    <t>This work is partly funded by the Centre for Artificial Intelligence and Multidisciplinary Innovation Studies, College of Accounting Science, University of South Africa under the office of the Executive Deputy Dean.</t>
  </si>
  <si>
    <t>[Oyebode, Kazeem] Pan Atlantic Univ, Sch Sci &amp; Technol, Dept Comp, Lagos, Nigeria; [Oyebode, Kazeem; Esenogho, Ebenezer; Cameron, Modisane] Univ South Africa, Coll Accounting Sci, Ctr Artificial Intelligence &amp; Multidisciplinary In, Dept Auditing, Pretoria, South Africa</t>
  </si>
  <si>
    <t>University of South Africa</t>
  </si>
  <si>
    <t>Exploring Multimodal Deep Learning: Comparing Pre-trained and Custom Models for COVID-19 Classification</t>
  </si>
  <si>
    <t>JOURNAL OF ADVANCES IN INFORMATION TECHNOLOGY</t>
  </si>
  <si>
    <t>machine learning; audio signal processing; deep learning; image classification; multimodal systems; transfer learning; unimodal systems</t>
  </si>
  <si>
    <t>ESENOGHO, EBENEZER/AAY-4040-2021</t>
  </si>
  <si>
    <t>ESENOGHO, EBENEZER/0000-0002-5328-1497</t>
  </si>
  <si>
    <t>ENGINEERING &amp; TECHNOLOGY PUBLISHING</t>
  </si>
  <si>
    <t>ROWLAND HEIGHTS</t>
  </si>
  <si>
    <t>2448 DESIRE AVE, ROWLAND HEIGHTS, CA 91748 USA</t>
  </si>
  <si>
    <t>1798-2340</t>
  </si>
  <si>
    <t>J ADV INFORM TECHNOL</t>
  </si>
  <si>
    <t>J. Adv. Inf. Technol.</t>
  </si>
  <si>
    <t>1459</t>
  </si>
  <si>
    <t>1469</t>
  </si>
  <si>
    <t>10.12720/jait.16.10.1459-1469</t>
  </si>
  <si>
    <t>http://dx.doi.org/10.12720/jait.16.10.1459-1469</t>
  </si>
  <si>
    <t>Computer Science, Information Systems; Computer Science, Interdisciplinary Applications</t>
  </si>
  <si>
    <t>9CU2K</t>
  </si>
  <si>
    <t>WOS:001603269600010</t>
  </si>
  <si>
    <t>Zhong, SL; Mei, ZY; Li, Z; Jiang, N; Wang, ML; Ivanov, K</t>
  </si>
  <si>
    <t>Accurate recognition of abnormal gait patterns, such as hemiplegic gait, plays a crucial role in supporting the diagnosis and rehabilitation assessment of neurological, muscular, or skeletal disorders. Existing recognition methods relying on unimodal data often struggle to capture the complex characteristics of motor dysfunction, resulting in limited accuracy and robustness. To address this issue, we propose a multimodal fusion framework for hemiplegic gait recognition that employs attention-based feature enhancement and a gated fusion strategy to fuse skeletal data from depth cameras together with insole-based inertial and plantar pressure data. In addition, a center loss is incorporated to facilitate feature learning. Experimental results show that the proposed method achieves an accuracy of 92.58% and an F1-score of 93.86%, outperforming our unimodal baselines by over 5 points in accuracy and yielding additional gains beyond dual-modality combinations. The results also demonstrate that skeleton data captured from the frontal view provides the best performance among multiple viewpoints. Further interpretability analysis reveals that the model focuses on features of sensor data from the ankles and feet. In summary, this study demonstrates the effectiveness of multimodal sensing and data fusion in hemiplegic gait recognition, offering a novel perspective on sensor configuration and modeling approaches for automated clinical gait assessment. The source code is available at https: //github.com/pumpkin-zsl/hemiplegia-gait.</t>
  </si>
  <si>
    <t>Zhong, Shenglan; Mei, Zhanyong; Li, Zhi; Jiang, Nan; Wang, Meiling; Ivanov, Kamen</t>
  </si>
  <si>
    <t>Mei, ZY (corresponding author), Chengdu Univ Technol, Coll Comp Sci &amp; Cyber Secur, Chengdu 610059, Peoples R China.</t>
  </si>
  <si>
    <t>meizhanyong2014@cdut.edu.cn</t>
  </si>
  <si>
    <t>Key Project of the Science and Technology Department of Sichuan Province [2023YFG0271]; AI Research Fund of Chengdu University of Technology [2025AI017]; Second round of the 2024 Clinical Scientific Research Fund of Chengdu Medical College [24LHBBYY1-07]; Bulgarian National Science Fund [KP-06-N77/13-14.12.2023]</t>
  </si>
  <si>
    <t>Key Project of the Science and Technology Department of Sichuan Province; AI Research Fund of Chengdu University of Technology; Second round of the 2024 Clinical Scientific Research Fund of Chengdu Medical College; Bulgarian National Science Fund (National Science Fund of Bulgaria)</t>
  </si>
  <si>
    <t>This work was supported by the Key Project of the Science and Technology Department of Sichuan Province (Grant No. 2023YFG0271); the AI Research Fund of Chengdu University of Technology (Grant No. 2025AI017); the Second round of the 2024 Clinical Scientific Research Fund of Chengdu Medical College (Grant No. 24LHBBYY1-07) and the Bulgarian National Science Fund (Grant No. KP-06-N77/13-14.12.2023).</t>
  </si>
  <si>
    <t>[Zhong, Shenglan; Mei, Zhanyong; Wang, Meiling] Chengdu Univ Technol, Coll Comp Sci &amp; Cyber Secur, Chengdu 610059, Peoples R China; [Li, Zhi; Jiang, Nan] Chengdu Med Coll, Affiliated Hosp 2, Nucl Ind Hosp 416, Dept Rehabil Med, Chengdu 610050, Peoples R China; [Ivanov, Kamen] Bulgarian Acad Sci, Inst Elect, 72 Tzarigradsko Chaussee Blvd, Sofia 1784, Bulgaria</t>
  </si>
  <si>
    <t>Chengdu University of Technology; Chengdu Medical College; Bulgarian Academy of Sciences</t>
  </si>
  <si>
    <t>A multimodal deep learning framework for hemiplegic gait recognition using skeleton and wearable sensor data</t>
  </si>
  <si>
    <t>Multimodal fusion; Deep learning; Hemiplegic gait; Skeleton; Wearable sensors</t>
  </si>
  <si>
    <t>MOTION CAPTURE; CLASSIFICATION; KINECT; REHABILITATION</t>
  </si>
  <si>
    <t>Ivanov, Kamen/A-6498-2019</t>
  </si>
  <si>
    <t>109885</t>
  </si>
  <si>
    <t>10.1016/j.bspc.2026.109885</t>
  </si>
  <si>
    <t>http://dx.doi.org/10.1016/j.bspc.2026.109885</t>
  </si>
  <si>
    <t>EC9ZE</t>
  </si>
  <si>
    <t>WOS:001698147000001</t>
  </si>
  <si>
    <t>Luan, YL; Zong, YC; Chen, Y; Yang, F</t>
  </si>
  <si>
    <t>Objective: This study aimed to develop a multimodal, machine learning-based predictive model for individualized risk assessment of postoperative deep vein thrombosis (DVT) in patients undergoing total knee arthroplasty (TKA), integrating clinical data, handcrafted radiomic features, and deep learning-derived imaging biomarkers. Materials and methods: We retrospectively analyzed a multicenter cohort of 1874 TKA patients for model training and internal validation, and an external cohort of 741 patients for independent validation. Doppler ultrasound images were preprocessed and analyzed to extract handcrafted radiomic features and deep learning-derived image biomarkers. Handcrafted radiomic features (m = 215) were extracted per IBSI standards, while deep features (m = 128) were derived via a convolutional autoencoder. To ensure consistency across centers, we applied statistical harmonization techniques to reduce scanner-related variability. Feature selection was performed using regularization methods, and five machine learning classifiers were trained and compared. Results: The fused feature model using XGBoost achieved superior performance (external AUC = 93.8 %, accuracy = 92.6 %, sensitivity = 92.1 %), significantly outperforming clinical-only and unimodal models. Radiomic and deep features alone also demonstrated strong predictive value (AUCs &gt;89 %). Decision curve analysis confirmed higher net clinical benefit across clinically relevant thresholds. The derived nomogram enabled individualized bedside DVT risk stratification with high predictive fidelity. Conclusions: The proposed multimodal model provides an accurate and clinically interpretable tool for individualized DVT risk prediction after TKA. By integrating imaging and clinical data into a machine learning nomogram, this approach enables more precise prophylaxis and postoperative management.</t>
  </si>
  <si>
    <t>Luan, Yongle; Zong, Yuchen; Chen, Yao; Yang, Fan</t>
  </si>
  <si>
    <t>Yang, F (corresponding author), Shanghai Changzheng Hosp, Joint Surg, Shanghai 200000, Peoples R China.</t>
  </si>
  <si>
    <t>yang359959138@163.com</t>
  </si>
  <si>
    <t>[Luan, Yongle; Zong, Yuchen; Yang, Fan] Shanghai Changzheng Hosp, Joint Surg, Shanghai 200000, Peoples R China; [Chen, Yao] Shanghai Changhai Hosp, Spine Surg, Shanghai 200433, Peoples R China</t>
  </si>
  <si>
    <t>Naval Medical University; Naval Medical University</t>
  </si>
  <si>
    <t>Ultrasound-based multimodal machine learning nomogram for predicting deep vein thrombosis after total knee arthroplasty</t>
  </si>
  <si>
    <t>JOURNAL OF RADIATION RESEARCH AND APPLIED SCIENCES</t>
  </si>
  <si>
    <t>Doppler ultrasound; Machine learning; Total knee arthroplasty; Deep vein thrombosis prediction; Nomogram</t>
  </si>
  <si>
    <t>1687-8507</t>
  </si>
  <si>
    <t>J RADIAT RES APPL SC</t>
  </si>
  <si>
    <t>J. Radiat. Res. Appl. Sci.</t>
  </si>
  <si>
    <t>101943</t>
  </si>
  <si>
    <t>10.1016/j.jrras.2025.101943</t>
  </si>
  <si>
    <t>http://dx.doi.org/10.1016/j.jrras.2025.101943</t>
  </si>
  <si>
    <t>Multidisciplinary Sciences; Radiology, Nuclear Medicine &amp; Medical Imaging</t>
  </si>
  <si>
    <t>Science &amp; Technology - Other Topics; Radiology, Nuclear Medicine &amp; Medical Imaging</t>
  </si>
  <si>
    <t>7TA5R</t>
  </si>
  <si>
    <t>WOS:001578971500001</t>
  </si>
  <si>
    <t>Li, WJ; Rao, QR; Dong, SY; Zhu, MY; Yang, Z; Huang, XG; Liu, GC</t>
  </si>
  <si>
    <t>Background: Parkinson's disease (PD), the second most common neurodegenerative disease in the world, is usually not diagnosed until the later stages of the disease, when patients might have already missed the best treatment period. Therefore, more effective prediction methods based on artificial intelligence (AI) are needed to assist physicians in timely diagnosis. New methods: An explainable deep learning-based early Parkinson's disease diagnostic model, Parkinson's Integrative Diagnostic Gated Network (PIDGN), was designed by fusing Single Nucleotide Polymorphism (SNP) and brain sMRI data. Firstly, unimodal internal information was extracted using EmsembleTree dimensionality reduction method, Transformer encoder and 3D ResNet. Secondly, gated attention fusion technique was utilized to explore the inter-modal interactions. Finally, the classification results were output through the fully connected layer. SHapley additive interpretation (SHAP) values and Gradient-weighted Class Activation Mapping (Grad- CAM) techniques were used to help explain the importance of SNPs and brain regions for PD. Results: The results showed that the PIDGN model achieved the best results with the accuracy of 0.858 and AUROC of 0.897. Top 20 SNPs and the brain regions near the midbrain potentially related to PD were identified using two explainable techniques via SHAP values and Grad-CAM respectively. Comparison with existing methods and conclusion: The PIDGN model trained by fusing genetic and imaging data outperforms 13 other commonly used unimodal or bimodal models. Explainable PIDGN model helps deepen understanding of several SNPs and sMRI key factors that may affect PD. This study provides a potentially effective solution for automated early diagnosis of PD using AI.</t>
  </si>
  <si>
    <t>Li, Wenjia; Rao, Quanrui; Dong, Shuying; Zhu, Mengyuan; Yang, Zhen; Huang, Xianggeng; Liu, Guangchen</t>
  </si>
  <si>
    <t>Liu, GC (corresponding author), Ludong Univ, Sch Math &amp; Stat, Yantai 264025, Peoples R China.</t>
  </si>
  <si>
    <t>liuguangchen@ldu.edu.cn</t>
  </si>
  <si>
    <t>[Li, Wenjia; Dong, Shuying; Zhu, Mengyuan; Yang, Zhen; Huang, Xianggeng; Liu, Guangchen] Ludong Univ, Sch Math &amp; Stat, Yantai 264025, Peoples R China; [Rao, Quanrui] Ludong Univ, Sch Informat &amp; Elect Engn, Yantai 264025, Peoples R China</t>
  </si>
  <si>
    <t>Ludong University; Ludong University</t>
  </si>
  <si>
    <t>PIDGN: An explainable multimodal deep learning framework for early prediction of Parkinson's disease</t>
  </si>
  <si>
    <t>JOURNAL OF NEUROSCIENCE METHODS</t>
  </si>
  <si>
    <t>Parkinson's disease; Multimodal learning; Transformer; Explainable deep learning; Imaging genomics</t>
  </si>
  <si>
    <t>DIAGNOSIS; EXPRESSION; MRI</t>
  </si>
  <si>
    <t>LIU, GC/AEQ-6714-2022; Rao, Quanrui/GWU-7255-2022</t>
  </si>
  <si>
    <t>0165-0270</t>
  </si>
  <si>
    <t>1872-678X</t>
  </si>
  <si>
    <t>J NEUROSCI METH</t>
  </si>
  <si>
    <t>J. Neurosci. Methods</t>
  </si>
  <si>
    <t>415</t>
  </si>
  <si>
    <t>110363</t>
  </si>
  <si>
    <t>10.1016/j.jneumeth.2025.110363</t>
  </si>
  <si>
    <t>http://dx.doi.org/10.1016/j.jneumeth.2025.110363</t>
  </si>
  <si>
    <t>Biochemical Research Methods; Neurosciences</t>
  </si>
  <si>
    <t>Biochemistry &amp; Molecular Biology; Neurosciences &amp; Neurology</t>
  </si>
  <si>
    <t>T8F6U</t>
  </si>
  <si>
    <t>39832626</t>
  </si>
  <si>
    <t>WOS:001407301100001</t>
  </si>
  <si>
    <t>Marini, N; Liang, ZH; Rajaraman, S; Xue, ZY; Antani, S</t>
  </si>
  <si>
    <t>Objective: Despite recent advancements in the development of foundation models and multimodal (MM) architectures in dermatology, their translation to clinical practice remains limited by the scarcity of large-scale multimodal (MM) datasets, as most publicly available resources are small, unimodal, and lack expressive clinical text. This paper investigates strategies to synthesize and exploit clinical notes paired with dermatological images to effectively train a MM architecture, focusing on solutions to limit the inherently hallucinated contents introduced by Large Language Models (LLMs) and to identify conditions under which synthetic clinical notes can be reliably leveraged. Methods: The paper proposes a MM architecture trained on real dermatological images paired with LLMsynthesized clinical notes. We systematically evaluate different note generation strategies, including metadataguided prompting, alignment of image representations with specific keywords, sentence-level filtering of clinical notes, network architectural designs. Experiments involve 16,000 image-note couples collected from six public datasets for model training and over 37,000 images from fifteen public datasets as external data for generalization assessment. Performance is assessed on cross-modal retrieval and zero-shot learning tasks to quantify robustness and generalization. Results: Results show that metadata inclusion into the prompts reduces the hallucinations within LLM outputs, providing more reliable notes. The resulting MM model trained with these notes show superior performance on multiple downstream tasks. Conclusion: Synthesized clinical notes can be paired with real dermatology images under specific conditions, providing a valuable resource to develop foundation models that can help reduce the dermatologists' workload.</t>
  </si>
  <si>
    <t>Marini, Niccolo; Liang, Zhaohui; Rajaraman, Sivaramakrishnan; Xue, Zhiyun; Antani, Sameer</t>
  </si>
  <si>
    <t>Marini, N; Antani, S (corresponding author), NIH, Div Intramural Res, Natl Lib Med, Bethesda, MD 20894 USA.</t>
  </si>
  <si>
    <t>sameer.antani@nih.gov</t>
  </si>
  <si>
    <t>Division of Intramural Research (DIR) of the National Library of Medicine (NLM) , National Institutes of Health (NIH)</t>
  </si>
  <si>
    <t>This research was supported by the Division of Intramural Research (DIR) of the National Library of Medicine (NLM), National Institutes of Health (NIH). The contributions of the NIH authors are considered Works of the United States Government. The findings and conclusions presented in this paper are those of the authors and do not necessarily reflect the views of the NIH or the U.S. Department of Health and Human Services.</t>
  </si>
  <si>
    <t>[Marini, Niccolo; Liang, Zhaohui; Rajaraman, Sivaramakrishnan; Xue, Zhiyun; Antani, Sameer] NIH, Div Intramural Res, Natl Lib Med, Bethesda, MD 20894 USA</t>
  </si>
  <si>
    <t>National Institutes of Health (NIH) - USA; NIH National Library of Medicine (NLM); Division of Intramural Research (DIR)</t>
  </si>
  <si>
    <t>Mitigating hallucinations in synthesized clinical texts to improve multimodal deep learning for dermatology</t>
  </si>
  <si>
    <t>Multimodal Learning; dermatology; Synthesized clinical notes; Cross-modality alignment</t>
  </si>
  <si>
    <t>GLOBAL BURDEN; SKIN-DISEASE</t>
  </si>
  <si>
    <t>Liang, Zhaohui/Q-8443-2019; Antani, Sameer/GVS-8371-2022; Rajaraman, Sivaramakrishnan/D-3727-2017</t>
  </si>
  <si>
    <t>180</t>
  </si>
  <si>
    <t>105055</t>
  </si>
  <si>
    <t>10.1016/j.jbi.2026.105055</t>
  </si>
  <si>
    <t>http://dx.doi.org/10.1016/j.jbi.2026.105055</t>
  </si>
  <si>
    <t>IS9OX</t>
  </si>
  <si>
    <t>42140329</t>
  </si>
  <si>
    <t>WOS:001779576900001</t>
  </si>
  <si>
    <t>Cho, H; Joo, MK; Cho, PG; Kim, SH; Noh, SH</t>
  </si>
  <si>
    <t>Purpose: Osteoporosis increases the probability of osteoporotic vertebral compression fractures (OVCF), and the resultant pain severely limits physical activity and increases mortality and morbidity. This study aimed to develop a high-precision multimodal prediction model to forecast the risk of a second OVCF. Materials and Methods: This retrospective study included 178 patients from a single institution with a first OVCF between January 1, 2000, and December 31, 2019. The study dataset included 18 preoperative clinical variables, including demographics, medications, comorbidities, bone mineral density (BMD), body mass index, trunk fat/muscle ratio from dual-energy X-ray absorptiometry (DEXA), and imaging data. We employed an intermediate-fusion multimodal approach using deep neural networks, principal component analysis (PCA), and traditional classifiers. Results: The final PCA-fusion+random forest model achieved strong internal cross-validation performance [accuracy 0.979, F1score 0.969, area under the receiver operating characteristic curve (AUROC) 0.998; mean across folds]. External validation in an independent cohort demonstrated preserved discriminative ability (accuracy 0.904, F1-score 0.902, AUROC 0.923), albeit lower than internal estimates, suggesting dataset shift and possible overfitting. In a sensitivity analysis, a clinical/DEXA-only model also showed good discrimination, but the multimodal fusion model achieved higher recall, F1-score, and AUROC/area under the precision-recall curve, supporting the added value of imaging features. Feature importance and Shapley Additive Explanations highlighted DEXA body-composition measures (e.g., gynoid/android/trunk fat and tissue) and image-derived components as influential. Conclusion: We developed a high-performing multimodal machine learning model for predicting a second OVCF in patients with prior fractures. By integrating clinical and imaging data, the model demonstrated strong predictive accuracy and interpretability, supported by feature importance analysis and visualization.</t>
  </si>
  <si>
    <t>Cho, Hoyeon; Joo, Min Kyoon; Cho, Pyung Goo; Kim, Sang Hyun; Noh, Sung Hyeon</t>
  </si>
  <si>
    <t>Noh, SH (corresponding author), Ajou Univ, Dept Neurosurg, Coll Med, 164 World Cup, Suwon 16499, South Korea.</t>
  </si>
  <si>
    <t>ulove07@ajou.ac.kr</t>
  </si>
  <si>
    <t>[Cho, Hoyeon; Cho, Pyung Goo; Kim, Sang Hyun; Noh, Sung Hyeon] Ajou Univ, Coll Med, Suwon, South Korea; [Joo, Min Kyoon] Korea Univ, Coll Med, Seoul, South Korea; [Cho, Pyung Goo; Kim, Sang Hyun; Noh, Sung Hyeon] Ajou Univ, Dept Neurosurg, Coll Med, 164 World Cup, Suwon 16499, South Korea</t>
  </si>
  <si>
    <t>Development of a Multimodal Machine Learning Model for Predicting Second Osteoporotic Vertebral Compression Fractures</t>
  </si>
  <si>
    <t>YONSEI MEDICAL JOURNAL</t>
  </si>
  <si>
    <t>OVCF; prediction; machine learning; clinical study</t>
  </si>
  <si>
    <t>QUALITY-OF-LIFE; BONE-DENSITY; DATA FUSION; EPIDEMIOLOGY</t>
  </si>
  <si>
    <t>YONSEI UNIV COLL MEDICINE</t>
  </si>
  <si>
    <t>SEOUL</t>
  </si>
  <si>
    <t>50-1 YONSEI-RO, SEODAEMUN-GU, SEOUL 120-752, SOUTH KOREA</t>
  </si>
  <si>
    <t>0513-5796</t>
  </si>
  <si>
    <t>1976-2437</t>
  </si>
  <si>
    <t>YONSEI MED J</t>
  </si>
  <si>
    <t>Yonsei Med. J.</t>
  </si>
  <si>
    <t>686</t>
  </si>
  <si>
    <t>697</t>
  </si>
  <si>
    <t>10.3349/ymj.2025.0370</t>
  </si>
  <si>
    <t>http://dx.doi.org/10.3349/ymj.2025.0370</t>
  </si>
  <si>
    <t>MW1HL</t>
  </si>
  <si>
    <t>WOS:001852291100005</t>
  </si>
  <si>
    <t>Lau, S; Flores, A; Ledbetter, E; Nitturi, V; Hamre, T; Morgan, T; O'Donnell, T; Balaji, S; Ozden, N; Gopinath, S</t>
  </si>
  <si>
    <t>Objective: With the need for efficient triaging methods in spine clinic increasing, machine learning and natural language processing (NLP) transformer models have demonstrated effectiveness in predicting surgical recommendations, offering a potential approach for patient stratification. We evaluated an integrated fusion model, trained on radiology reports, clinical notes, and clinical variables, to predict spine surgery recommendations in an all-comer population. Methods: A single-institution cohort of spine clinic patients with over 50 ICD-coded spine pathologies was analyzed. From initial clinic visits, we collected radiology reports, clinic notes, structured clinical variables, and surgery recommendation status within one year. Separate unimodal models were developed for each data modality: radiology impressions, clinic notes, and structured clinical variables. Outputs from component models were subsequently integrated using logistic regression to create late-fusion models. We developed seven late-fusion models incorporating different NLP transformer backbones (e.g., BERT and GatorTRON). Performance was assessed using 5-fold cross-validation with area under the receiver operating characteristic curve (AUROC), sensitivity, and specificity with 95% confidence intervals. Results: Within one year of initial clinic visit, 35% of 972 patients were offered spine surgery. Late-fusion models exhibited varying performances in predicting spine surgical recommendation (AUROC range: 0.69-0.81). The GatorTRON late-fusion model was the best performer (AUROC 0.81; 95% CI 0.78-0.83). Furthermore, among the three component modalities, the radiology-only model provided the largest contribution to late-fusion model performance. Conclusions: Our investigation revealed that an integrated machine learning model can robustly predict spine surgical recommendation from multimodal data available at initial spine clinic visits.</t>
  </si>
  <si>
    <t>Lau, Sean; Flores, Alex; Ledbetter, Elizabeth; Nitturi, Vijay; Hamre, Thomas; Morgan, Tristan; O'Donnell, Thomas; Balaji, Shragvi; Ozden, Nedim; Gopinath, Shankar</t>
  </si>
  <si>
    <t>Lau, S (corresponding author), Baylor Coll Med, 1 Baylor Plz, Houston, TX 77030 USA.</t>
  </si>
  <si>
    <t>sean.lau@bcm.edu</t>
  </si>
  <si>
    <t>[Lau, Sean; Ledbetter, Elizabeth; Nitturi, Vijay; Hamre, Thomas; Morgan, Tristan; O'Donnell, Thomas; Balaji, Shragvi; Ozden, Nedim] Baylor Coll Med, 1 Baylor Plz, Houston, TX 77030 USA; [Flores, Alex; Gopinath, Shankar] Baylor Coll Med, Dept Neurosurg, Houston, TX USA</t>
  </si>
  <si>
    <t>Baylor College of Medicine</t>
  </si>
  <si>
    <t>Multimodal machine learning for predicting spine surgery recommendation using radiology reports, clinical notes, and structured clinical data</t>
  </si>
  <si>
    <t>WORLD NEUROSURGERY-X</t>
  </si>
  <si>
    <t>Spine surgery; Machine learning; Natural language processing; Surgical candidacy; Radiology reports; Clinic triage</t>
  </si>
  <si>
    <t>CANDIDACY; TRENDS</t>
  </si>
  <si>
    <t>2590-1397</t>
  </si>
  <si>
    <t>WORLD NEUROSURG-X</t>
  </si>
  <si>
    <t>World Neurosurg.-X</t>
  </si>
  <si>
    <t>100616</t>
  </si>
  <si>
    <t>10.1016/j.wnsx.2026.100616</t>
  </si>
  <si>
    <t>http://dx.doi.org/10.1016/j.wnsx.2026.100616</t>
  </si>
  <si>
    <t>Clinical Neurology; Surgery</t>
  </si>
  <si>
    <t>Neurosciences &amp; Neurology; Surgery</t>
  </si>
  <si>
    <t>KU0QK</t>
  </si>
  <si>
    <t>WOS:001815604400001</t>
  </si>
  <si>
    <t>Zang, XY; Xia, YJ; Xiao, HB; Luo, HL; Si, MG; Hou, NQ; Haoni, A; Chen, TY; Liu, ZY; Pu, XY; Zi, XY; Xu, LJ; Zhu, J; Xu, ZP; Wang, JN; Wang, ZY; Xia, J; Cao, DF; Yin, Y; Wang, JY; Wu, XR; Kong, W; Huang, JW; Zhang, J; Chen, YH; Huang, YR; Leung, DKW; Teoh, JYC; Wang, KL; Liang, CZ; Zheng, JH; Yu, ZS; Zhai, W</t>
  </si>
  <si>
    <t>Patients with clear cell renal cell carcinoma (ccRCC) face a high risk of recurrence after surgery, but existing clinical tools based on clinicopathological factors or costly molecular profiling often lack precision and clinical feasibility. We developed the multimodal predictive recurrence score (MPRS), a multimodal prognostic model using clinical features, CT images, and histopathological whole-slide images (WSIs) from 1648 patients across six centers and the TCGA database. MPRS outperformed unimodal models and clinical tools (Leibovich and UISS scores, KEYNOTE-564 risk classification), achieving C-index values of 0.886 and 0.838 in the internal and external validation cohorts, respectively. Importantly, MPRS correctly reclassified 83.3% (50/60) of KEYNOTE-564-defined low-risk recurrence patients as high-risk, avoiding inadequate adjuvant therapy, while reclassifying 57.7% (15/26) of KEYNOTE-564-defined intermediate/high-risk non-recurrence patients as low-risk, preventing excessive adjuvant therapy. By leveraging routinely available data, MPRS provides a cost-effective and accurate approach for recurrence risk stratification, optimizing personalized ccRCC management and therapeutic decision-making.</t>
  </si>
  <si>
    <t>Zang, Xinyi; Xia, Yujia; Xiao, Haibing; Luo, Haolun; Si, Minggui; Hou, Naiqiao; Haoni, Axide; Chen, Tianyi; Liu, Ziyi; Pu, Xinyuan; Zi, Xiangyu; Xu, Lijun; Zhu, Jin; Xu, Zhipeng; Wang, Jianning; Wang, Zaoyu; Xia, Jun; Cao, Dengfeng; Yin, Yu; Wang, Jieying; Wu, Xiaorong; Kong, Wen; Huang, Jiwei; Zhang, Jin; Chen, Yonghui; Huang, Yiran; Leung, David Ka-Wai; Teoh, Jeremy Yuen-Chun; Wang, Keliang; Liang, Chaozhao; Zheng, Junhua; Yu, Zhangsheng; Zhai, Wei</t>
  </si>
  <si>
    <t>Zheng, JH; Zhai, W (corresponding author), Shanghai Jiao Tong Univ, Renji Hosp, Dept Urol, Sch Med, Shanghai, Peoples R China.; Yu, ZS (corresponding author), Shanghai Jiao Tong Univ, Sch Life Sci &amp; Biotechnol, Dept Bioinformat &amp; Biostat, Shanghai, Peoples R China.; Yu, ZS (corresponding author), Shanghai Jiao Tong Univ, SJTU Yale Joint Ctr Biostat &amp; Data Sci, Sch Life Sci &amp; Biotechnol, Shanghai, Peoples R China.; Liang, CZ (corresponding author), Anhui Med Univ, Affiliated Hosp 1, Dept Urol, Hefei, Anhui, Peoples R China.; Wang, KL (corresponding author), Harbin Med Univ, Affiliated Hosp 4, Dept Urol, Heilongjiang Key Lab Sci Res Urol, Harbin, Peoples R China.; Yu, ZS (corresponding author), Shanghai Jiao Tong Univ, Sch Med, Clin Res Inst, Shanghai, Peoples R China.; Zhai, W (corresponding author), Shanghai Jiao Tong Univ, Renji Hosp, Shanghai Immune Therapy Inst State, Sch Med,Key Lab Oncogenes &amp; Related Genes, Shanghai, Peoples R China.</t>
  </si>
  <si>
    <t>wangkeliang@hrbmu.edu.cn; zhengjh0471@sina.com; liang_chaozhao@ahmu.edu.cn; yuzhangsheng@sjtu.edu.cn; jacky_zw2002@hotmail.com</t>
  </si>
  <si>
    <t>Shanghai Municipal Education Commission's Artificial Intelligence-Powered Research Paradigm Reform and Discipline Advancement Program [BJ1-9000-25-8010]; Shanghai Key Program of Computational Biology [23JS1400800]; National Major Science and Technology Infrastructure for Translational Medicine (Shanghai) 2024 "Open Research Program" Key Projects [TMSK-2024-119]; Renji Hospital Clinical Research Incubation Fund [RJPY-DZX-004]; Basic-Clinical Collaborative Innovation Project from Shanghai Immune Therapy Institute; Excellent Project of Shanghai Municipal Health Commission [20244Z0004]; National Natural Science Foundation of China [82473386]; Shanghai Science and Technology Commission Medical Innovation Clinical Research Special Project [23Y21900400]; Simulation RCT Study of Shanghai Shenkang Three Year Action Plan [Simulation RCT Study of Shanghai Shenkang Three Year Action Plan]; Shanghai Jiao Tong University Medical Engineering Interdisciplinary Research Fund - Key Project [YG2024ZD07]; Shanghai 2023 "Science and Technology Innovation Action Plan" Key Project on Computational Biology [23JS1400803]; Innovative Research Team of High-level Local Universities in Shanghai [SHSMUZLCX20212601]; National Key Research and Development Program of China [2022YFC2505305]</t>
  </si>
  <si>
    <t>Shanghai Municipal Education Commission's Artificial Intelligence-Powered Research Paradigm Reform and Discipline Advancement Program; Shanghai Key Program of Computational Biology; National Major Science and Technology Infrastructure for Translational Medicine (Shanghai) 2024 "Open Research Program" Key Projects; Renji Hospital Clinical Research Incubation Fund; Basic-Clinical Collaborative Innovation Project from Shanghai Immune Therapy Institute; Excellent Project of Shanghai Municipal Health Commission; National Natural Science Foundation of China (National Natural Science Foundation of China (NSFC)); Shanghai Science and Technology Commission Medical Innovation Clinical Research Special Project; Simulation RCT Study of Shanghai Shenkang Three Year Action Plan; Shanghai Jiao Tong University Medical Engineering Interdisciplinary Research Fund - Key Project; Shanghai 2023 "Science and Technology Innovation Action Plan" Key Project on Computational Biology; Innovative Research Team of High-level Local Universities in Shanghai; National Key Research and Development Program of China (National Key Research &amp; Development Program of China)</t>
  </si>
  <si>
    <t>This study was supported by National Natural Science Foundation of China (82173214, 82473386); National Key Research and Development Program of China (2022YFC2505305); National Major Science and Technology Infrastructure for Translational Medicine (Shanghai) 2024 "Open Research Program" Key Projects (TMSK-2024-119); Shanghai Municipal Education Commission's Artificial Intelligence-Powered Research Paradigm Reform and Discipline Advancement Program (BJ1-9000-25-8010); Shanghai 2023 "Science and Technology Innovation Action Plan" Key Project on Computational Biology (23JS1400803); Basic-Clinical Collaborative Innovation Project from Shanghai Immune Therapy Institute; Shanghai Science and Technology Commission Medical Innovation Clinical Research Special Project (23Y21900400); Excellent Project of Shanghai Municipal Health Commission (20244Z0004); Shanghai Key Program of Computational Biology (23JS1400800); Innovative Research Team of High-level Local Universities in Shanghai (SHSMUZLCX20212601); Simulation RCT Study of Shanghai Shenkang Three Year Action Plan (SHDC2024CRI042); Shanghai Jiao Tong University Medical Engineering Interdisciplinary Research Fund - Key Project (YG2024ZD07); Renji Hospital Clinical Research Incubation Fund (RJPY-DZX-004). We acknowledge the TCGA database for providing the data. Workflow of the study (Figure 1) was created with Figdraw.</t>
  </si>
  <si>
    <t>[Zang, Xinyi; Hou, Naiqiao; Haoni, Axide; Chen, Tianyi; Liu, Ziyi; Pu, Xinyuan; Zi, Xiangyu; Wu, Xiaorong; Kong, Wen; Huang, Jiwei; Zhang, Jin; Chen, Yonghui; Huang, Yiran; Zheng, Junhua; Zhai, Wei] Shanghai Jiao Tong Univ, Renji Hosp, Dept Urol, Sch Med, Shanghai, Peoples R China; [Xia, Yujia; Yu, Zhangsheng] Shanghai Jiao Tong Univ, Sch Life Sci &amp; Biotechnol, Dept Bioinformat &amp; Biostat, Shanghai, Peoples R China; [Xia, Yujia; Yu, Zhangsheng] Shanghai Jiao Tong Univ, SJTU Yale Joint Ctr Biostat &amp; Data Sci, Sch Life Sci &amp; Biotechnol, Shanghai, Peoples R China; [Xiao, Haibing; Liang, Chaozhao] Anhui Med Univ, Affiliated Hosp 1, Dept Urol, Hefei, Anhui, Peoples R China; [Luo, Haolun] Kaohsiung Chang Gung Mem Hosp, Dept Urol, Kaohsiung, Taiwan; [Luo, Haolun] Chang Gung Univ, Coll Med, Kaohsiung, Taiwan; [Si, Minggui; Wang, Keliang] Harbin Med Univ, Affiliated Hosp 4, Dept Urol, Heilongjiang Key Lab Sci Res Urol, Harbin, Peoples R China; [Xu, Lijun; Zhu, Jin] Soochow Univ, Dept Neurol, Affiliated Hosp 2, Suzhou, Jiangsu, Peoples R China; [Xu, Zhipeng; Wang, Jianning] Shandong First Med Univ, Affiliated Hosp 1, Dept Urol, Jinan, Peoples R China; [Wang, Zaoyu; Xia, Jun; Cao, Dengfeng] Shanghai Jiao Tong Univ, Renji Hosp, Dept Pathol, Sch Med, Shanghai, Peoples R China; [Yin, Yu] Anhui Med Univ, Affiliated Hosp 1, Dept Pathol, Hefei, Anhui, Peoples R China; [Wang, Jieying] Shanghai Jiao Tong Univ, Ren Ji Hosp, Clin Res Ctr, Sch Med, Shanghai, Peoples R China; [Leung, David Ka-Wai; Teoh, Jeremy Yuen-Chun] Chinese Univ Hong Kong, Fac Med, SH Ho Urol Ctr, Dept Surg, Hong Kong, Peoples R China; [Yu, Zhangsheng] Shanghai Jiao Tong Univ, Sch Med, Clin Res Inst, Shanghai, Peoples R China; [Zhai, Wei] Shanghai Jiao Tong Univ, Renji Hosp, Shanghai Immune Therapy Inst State, Sch Med,Key Lab Oncogenes &amp; Related Genes, Shanghai, Peoples R China</t>
  </si>
  <si>
    <t>Shanghai Jiao Tong University; Shanghai Jiao Tong University; Shanghai Jiao Tong University; Anhui Medical University; Chang Gung Memorial Hospital; Chang Gung University; Harbin Medical University; Soochow University - China; Shandong First Medical University &amp; Shandong Academy of Medical Sciences; Shanghai Jiao Tong University; Anhui Medical University; Shanghai Jiao Tong University; Chinese University of Hong Kong; Shanghai Jiao Tong University; Shanghai Jiao Tong University</t>
  </si>
  <si>
    <t>A multimodal AI model for precision prognosis in clear cell renal cell carcinoma: A multicenter study</t>
  </si>
  <si>
    <t>ADJUVANT PEMBROLIZUMAB; KIDNEY CANCER; PREDICTION; STRATIFICATION; NEPHRECTOMY; RECURRENCE; SURGERY</t>
  </si>
  <si>
    <t>/AFI-6110-2022; xu, zhipeng/QIT-3338-2026; Liu, Ziyi/OKS-5060-2025; Cao, Dengfeng/PIH-4616-2026; Teoh, Jeremy/H-5184-2016</t>
  </si>
  <si>
    <t>Chen, Tianyi/0009-0008-2266-0970</t>
  </si>
  <si>
    <t>NOV 17 2025</t>
  </si>
  <si>
    <t>668</t>
  </si>
  <si>
    <t>10.1038/s41746-025-02034-x</t>
  </si>
  <si>
    <t>http://dx.doi.org/10.1038/s41746-025-02034-x</t>
  </si>
  <si>
    <t>9YS8P</t>
  </si>
  <si>
    <t>41249481</t>
  </si>
  <si>
    <t>WOS:001618214900001</t>
  </si>
  <si>
    <t>Schuurmans, M; Saha, A; Alves, N; Vendittelli, P; Yakar, D; Sabroso-Lasa, S; Xue, NN; Malats, N; Huisman, H; Hermans, J; Litjens, G</t>
  </si>
  <si>
    <t>Objectives Pancreatic cancer treatment plans involving surgery and/or chemotherapy are highly dependent on disease stage. However, current staging systems are ineffective and poorly correlated with survival outcomes. We investigate how artificial intelligence (AI) can enhance prognostic accuracy in pancreatic cancer by integrating multiple data sources. Materials and methods Patients with histopathology and/or radiology/follow-up confirmed pancreatic ductal adenocarcinoma (PDAC) from a Dutch center (2004-2023) were included in the development cohort. Two additional PDAC cohorts from a Dutch and Spanish center were used for external validation. Prognostic models including clinical variables, contrast-enhanced CT images, and a combination of both were developed to predict high-risk short-term survival. All models were trained using five-fold cross-validation and assessed by the area under the time-dependent receiver operating characteristic curve (AUC). Results The models were developed on 401 patients (203 females, 198 males, median survival (OS) = 347 days, IQR: 171-585), with 98 (24.4%) short-term survivors (OS &lt; 230 days) and 303 (75.6%) long-term survivors. The external validation cohorts included 361 patients (165 females, 138 males, median OS = 404 days, IQR: 173-736), with 110 (30.5%) short-term survivors and 251 (69.5%) longer survivors. The best AUC for predicting short vs. long-term survival was achieved with the multi-modal model (AUC = 0.637 (95% CI: 0.500-0.774)) in the internal validation set. External validation showed AUCs of 0.571 (95% CI: 0.453-0.689) and 0.675 (95% CI: 0.593-0.757). Conclusion Multimodal AI can predict long vs. short-term survival in PDAC patients, showing potential as a prognostic tool in clinical decision-making. Key Points Question Prognostic tools for pancreatic ductal adenocarcinoma (PDAC) remain limited, with TNM staging offering suboptimal accuracy in predicting patient survival outcomes. Findings The multimodal AI model demonstrated improved prognostic performance over TNM and unimodal models for predicting short- and long-term survival in PDAC patients. Clinical relevance Multimodal AI provides enhanced prognostic accuracy compared to current staging systems, potentially improving clinical decision-making and personalized management strategies for PDAC patients.</t>
  </si>
  <si>
    <t>Schuurmans, Megan; Saha, Anindo; Alves, Natalia; Vendittelli, Pierpaolo; Yakar, Derya; Sabroso-Lasa, Sergio; Xue, Nannan; Malats, Nuria; Huisman, Henkjan; Hermans, John; Litjens, Geert</t>
  </si>
  <si>
    <t>Schuurmans, M (corresponding author), Radboud Univ Nijmegen, Diagnost Image Anal Grp, Med Ctr, Nijmegen, Netherlands.; Schuurmans, M (corresponding author), Univ Med Ctr Groningen, Dept Med Imaging, Groningen, Netherlands.</t>
  </si>
  <si>
    <t>megan.schuurmans@radboudumc.nl</t>
  </si>
  <si>
    <t>European Union [101016851]</t>
  </si>
  <si>
    <t>European Union (European Union (EU))</t>
  </si>
  <si>
    <t>This study has received funding from the European Union's Horizon 2020research and innovation program under grant agreement No. 101016851,project PANCAIM.</t>
  </si>
  <si>
    <t>[Schuurmans, Megan; Saha, Anindo; Alves, Natalia; Vendittelli, Pierpaolo; Huisman, Henkjan; Litjens, Geert] Radboud Univ Nijmegen, Diagnost Image Anal Grp, Med Ctr, Nijmegen, Netherlands; [Schuurmans, Megan; Alves, Natalia; Yakar, Derya] Univ Med Ctr Groningen, Dept Med Imaging, Groningen, Netherlands; [Sabroso-Lasa, Sergio; Xue, Nannan; Malats, Nuria] Spanish Natl Canc Res Ctr, Genet &amp; Mol Epidemiol Grp, Madrid, Spain; [Hermans, John] Radboud Univ Nijmegen, Med Ctr, Dept Med Imaging, Nijmegen, Netherlands</t>
  </si>
  <si>
    <t>Radboud University Nijmegen; University of Groningen; Centro Nacional de Investigaciones Oncologicas (CNIO); Radboud University Nijmegen</t>
  </si>
  <si>
    <t>End-to-end prognostication in pancreatic cancer by multimodal deep learning: a retrospective, multicenter study</t>
  </si>
  <si>
    <t>Pancreas; Pancreatic ductal carcinoma; Radiology; Artificial intelligence; Prognosis</t>
  </si>
  <si>
    <t>ARTIFICIAL-INTELLIGENCE; DISEASE</t>
  </si>
  <si>
    <t>Huisman, Henkjan/A-6775-2012; Malats, Nuria/H-7041-2015; Litjens, Geert/A-2319-2016; Yakar, Derya/AER-2388-2022</t>
  </si>
  <si>
    <t>Schuurmans, Megan/0000-0002-4939-6187; Xue, Nannan/0000-0001-8958-816X; Yakar, Derya/0000-0002-4920-9441</t>
  </si>
  <si>
    <t>7537</t>
  </si>
  <si>
    <t>7548</t>
  </si>
  <si>
    <t>10.1007/s00330-025-11694-y</t>
  </si>
  <si>
    <t>http://dx.doi.org/10.1007/s00330-025-11694-y</t>
  </si>
  <si>
    <t>A5024</t>
  </si>
  <si>
    <t>40410330</t>
  </si>
  <si>
    <t>WOS:001494290500001</t>
  </si>
  <si>
    <t>hybrid; Green Submitted; Green Published</t>
  </si>
  <si>
    <t>Zhao, F; Li, Y; Li, CY; Xu, HJ; Zhou, EH; Huang, WJ; Zhu, HM; Guan, J; Yi, HL; Zou, JY; Chen, NT</t>
  </si>
  <si>
    <t>Machine learning provides a powerful tool to capture complex, nonlinear patterns in biomedical data and enhance precision risk stratification. In this study, we applied a multilayer perceptron (MLP) framework to classify Framingham Risk Score-based cardiovascular risk categories in patients with obstructive sleep apnea (OSA). By integrating polysomnographic, clinical, and haematological data, the model demonstrated robust discriminative performance (AUROC = 0.822). The findings suggest that OSA-related phenotypes may provide additional information relevant to cardiovascular risk stratification beyond conventional risk factors, highlighting the added value of incorporating sleep-specific markers into cardiovascular risk assessment. This work illustrates the potential of machine learning to deliver more comprehensive cardiovascular risk stratification in OSA populations. Future studies with larger, multi-center cohorts, expanded biomarker panels, and explainable artificial intelligence approaches are needed to further refine predictive performance, improve interpretability, and support future validation and clinical application.</t>
  </si>
  <si>
    <t>Zhao, Feng; Li, Yin; Li, Chenyang; Xu, Huajun; Zhou, Enhui; Huang, Weijun; Zhu, Huaming; Guan, Jian; Yi, Hongliang; Zou, Jianyin; Chen, Nutan</t>
  </si>
  <si>
    <t>Yi, HL; Zou, JY (corresponding author), Shanghai Jiao Tong Univ, Shanghai Peoples Hosp 6, Shanghai Key Lab Sleep Disordered Breathing, Sch Med,Dept Otolaryngol Head &amp; Neck Surg, Shanghai, Peoples R China.; Yi, HL; Zou, JY (corresponding author), Shanghai Jiao Tong Univ, Otolaryngol Inst, Shanghai, Peoples R China.</t>
  </si>
  <si>
    <t>cary2005@126.com; yihongl@126.com</t>
  </si>
  <si>
    <t>Seed Program for Research and Translational Application of Novel Medical Technologies of Shanghai Municipal Health Commission [2025ZZ2072]; National Natural Science Foundation of China [82571295, 82371131]; Fujian Provincial Science and Technology Innovation Joint Fund Program [2025Y9527]</t>
  </si>
  <si>
    <t>Seed Program for Research and Translational Application of Novel Medical Technologies of Shanghai Municipal Health Commission; National Natural Science Foundation of China (National Natural Science Foundation of China (NSFC)); Fujian Provincial Science and Technology Innovation Joint Fund Program</t>
  </si>
  <si>
    <t>This work was supported by the National Natural Science Foundation of China, 82571295, 82371131, Seed Program for Research and Translational Application of Novel Medical Technologies of Shanghai Municipal Health Commission, 2025ZZ2072, Fujian Provincial Science and Technology Innovation Joint Fund Program, 2025Y9527.</t>
  </si>
  <si>
    <t>[Zhao, Feng; Li, Chenyang; Xu, Huajun; Zhou, Enhui; Huang, Weijun; Zhu, Huaming; Guan, Jian; Yi, Hongliang; Zou, Jianyin] Shanghai Jiao Tong Univ, Shanghai Peoples Hosp 6, Shanghai Key Lab Sleep Disordered Breathing, Sch Med,Dept Otolaryngol Head &amp; Neck Surg, Shanghai, Peoples R China; [Zhao, Feng; Li, Chenyang; Xu, Huajun; Zhou, Enhui; Huang, Weijun; Zhu, Huaming; Guan, Jian; Yi, Hongliang; Zou, Jianyin] Shanghai Jiao Tong Univ, Otolaryngol Inst, Shanghai, Peoples R China; [Li, Yin] First Peoples Hosp Foshan, Dept Otorhinolaryngol, Foshan, Peoples R China; [Chen, Nutan] LS Wiiri Robot Innovat Ctr, Wuxi, Jiangsu, Peoples R China</t>
  </si>
  <si>
    <t>Shanghai Jiao Tong University; Shanghai Jiao Tong University</t>
  </si>
  <si>
    <t>A Multimodal Machine Learning Model for Framingham Risk Score-Based Cardiovascular Risk Stratification in Patients With Obstructive Sleep Apnea</t>
  </si>
  <si>
    <t>JOURNAL OF SLEEP RESEARCH</t>
  </si>
  <si>
    <t>cardiovascular risk; framingham risk score; machine learning; multilayer perceptron; obstructive sleep apnea; polysomnography</t>
  </si>
  <si>
    <t>DISEASE; UPDATE</t>
  </si>
  <si>
    <t>xu, huajun/KQT-9241-2024</t>
  </si>
  <si>
    <t>0962-1105</t>
  </si>
  <si>
    <t>1365-2869</t>
  </si>
  <si>
    <t>J SLEEP RES</t>
  </si>
  <si>
    <t>J. Sleep Res.</t>
  </si>
  <si>
    <t>10.1111/jsr.70413</t>
  </si>
  <si>
    <t>http://dx.doi.org/10.1111/jsr.70413</t>
  </si>
  <si>
    <t>LU1ZP</t>
  </si>
  <si>
    <t>42521345</t>
  </si>
  <si>
    <t>WOS:001833324600001</t>
  </si>
  <si>
    <t>Fathallah, W; Abid, M; Mars, M; Sakli, H</t>
  </si>
  <si>
    <t>The rising incidence of skin cancer necessitates scalable and accurate diagnostic tools. While dermoscopy-based systems have achieved expert-level performance, clinical smartphone images pose challenges due to variability in lighting, resolution, and artifacts. Recent advances in multimodal deep learning have shown promise, yet most approaches rely on simple feature concatenation or single-model classifiers, limiting their ability to capture complex cross-modal interactions. This study aims to bridge the diagnostic gap in resource-limited settings by developing a robust multimodal framework that synergizes clinical smartphone images with structured patient metadata for automated skin cancer classification. We propose a novel hybrid architecture integrating a Swin Transformer V2 (SwinV2-Tiny) for hierarchical visual feature extraction and a Denoising Autoencoder (DAE) with PCA for robust metadata embedding. These heterogeneous modalities are fused via a Gated Attention Mechanism that dynamically weighs feature importance across streams. Classification is performed by a Heterogeneous Meta-Stack Ensemble comprising CatBoost, LightGBM, XGBoost, and Logistic Regression, designed to maximize calibration and generalization across imbalanced classes. Evaluated on the PAD-UFES-20 dataset (2298 clinical smartphone images, six diagnostic classes), the proposed framework achieves state-of-the-art performance with a macro-averaged F1-score of 0.977, accuracy of 0.978, and an AUC of 0.990. It significantly outperforms unimodal baselines and existing multimodal methods, demonstrating superior sensitivity (0.974) and precision (0.981), particularly for underrepresented malignant classes like Melanoma (F1: 0.995) and Squamous Cell Carcinoma (F1: 0.960). The integration of clinical metadata with advanced visual embeddings via gated attention significantly enhances diagnostic reliability. Comprehensive ablation studies confirm the contribution of each architectural component. This framework offers a viable pathway for deploying high-precision, AI-driven dermatological screening tools on standard smartphone devices.</t>
  </si>
  <si>
    <t>Fathallah, Wyssem; Abid, M'hamed; Mars, Mourad; Sakli, Hedi</t>
  </si>
  <si>
    <t>Sakli, H (corresponding author), Univ Tunis El Manar, Natl Engn Sch Tunis ENIT, LR SysCom, Belvedere Campus, Tunis 1002, Tunisia.</t>
  </si>
  <si>
    <t>msmars@uqu.edu.sa; fathallahwyssem@gmail.com; saklihedi12@gmail.com; mhamedabid123@gmail.com</t>
  </si>
  <si>
    <t>Umm al-Qura University [26UQU4350491GSSR03]</t>
  </si>
  <si>
    <t>Umm al-Qura University (Umm Al-Qura University)</t>
  </si>
  <si>
    <t>This research work was funded by Umm Al-Qura University, Saudi Arabia under grant number: 26UQU4350491GSSR03.</t>
  </si>
  <si>
    <t>[Fathallah, Wyssem; Abid, M'hamed; Sakli, Hedi] Univ Tunis El Manar, Natl Engn Sch Tunis ENIT, LR SysCom, Belvedere Campus, Tunis 1002, Tunisia; [Mars, Mourad] Umm Al Qura Univ, Coll Comp, Dept Comp Sci &amp; Artificial Intelligence, Mecca 24382, Saudi Arabia</t>
  </si>
  <si>
    <t>Universite de Tunis-El-Manar; Ecole Nationale d'Ingenieurs de Tunis (ENIT); Umm Al-Qura University</t>
  </si>
  <si>
    <t>Ensemble-Based Multimodal Deep Learning for Precise Skin Cancer Diagnosis: Integrating Clinical Imagery with Patient Metadata</t>
  </si>
  <si>
    <t>skin cancer; multimodal learning; Swin Transformer; gated attention; ensemble learning; PAD-UFES-20; meta-stack</t>
  </si>
  <si>
    <t>Sakli, Hèdi/AAD-3638-2020; Mars, Mourad/HSG-8139-2023</t>
  </si>
  <si>
    <t>MAY 2 2026</t>
  </si>
  <si>
    <t>10.3390/technologies14050277</t>
  </si>
  <si>
    <t>http://dx.doi.org/10.3390/technologies14050277</t>
  </si>
  <si>
    <t>IL2EA</t>
  </si>
  <si>
    <t>WOS:001774323600001</t>
  </si>
  <si>
    <t>Baur, S; Ruhwedel, T; Böke, E; Kobus, Z; Lishkova, G; Wetz, C; Amthauer, H; Roderburg, C; Tacke, F; Rogasch, JM; Samek, W; Jann, H; Ma, JC; Eschrich, J</t>
  </si>
  <si>
    <t>Background/Objectives: Peptide receptor radionuclide therapy (PRRT) is an established treatment for metastatic neuroendocrine tumors (NETs), yet long-term disease control occurs only in a subset of patients. Predicting progression-free survival (PFS) could support individualized treatment planning. This study evaluates laboratory, imaging, and multimodal deep learning models for PFS prediction in PRRT-treated patients. Methods: In this retrospective, single-center study 116 patients with metastatic NETs undergoing [177Lu]Lu-DOTATOC were included. Clinical characteristics, laboratory values, and pretherapeutic somatostatin receptor positron emission tomography/computed tomographies (SR-PET/CTs) were collected. Seven models were trained to classify low- vs. high-PFS groups, including unimodal (laboratory, SR-PET, or CT) and multimodal fusion approaches. Performance was assessed via repeated 3-fold cross-validation with area under the receiver operating characteristic curve (AUROC) and area under the precision-recall curve (AUPRC). Explainability was evaluated by feature importance analysis and gradient based saliency maps. Results: Forty-two patients (36%) displayed short PFS (&lt;= 1 year) and 74 patients displayed long PFS (&gt;1 year). Groups were similar in most characteristics, except for higher baseline chromogranin A (p = 0.003), elevated gamma-GT (p = 0.002), and fewer PRRT cycles (p &lt; 0.001) in short-PFS patients. The Random Forest model trained only on laboratory biomarkers reached an AUROC of 0.59 +/- 0.02. Unimodal three-dimensional convolutional neural networks using SR-PET or CT performed worse (AUROC 0.42 +/- 0.03 and 0.54 +/- 0.01, respectively). A multimodal fusion model integrating laboratory values, SR-PET, and CT-augmented with a pretrained CT branch-achieved the best results (AUROC 0.72 +/- 0.01, AUPRC 0.80 +/- 0.01). Explainability analyses provided insights into model predictions, with explainability patterns in the fusion model appearing physiologically plausible and predominantly tumor-focused. Conclusions: Multimodal deep learning combining SR-PET, CT, and laboratory biomarkers outperformed unimodal approaches for PFS prediction after PRRT. Upon external validation, such models may support risk-adapted follow-up strategies.</t>
  </si>
  <si>
    <t>Baur, Simon; Ruhwedel, Tristan; Boke, Ekin; Kobus, Zuzanna; Lishkova, Gergana; Wetz, Christoph; Amthauer, Holger; Roderburg, Christoph; Tacke, Frank; Rogasch, Julian M.; Samek, Wojciech; Jann, Henning; Ma, Jackie; Eschrich, Johannes</t>
  </si>
  <si>
    <t>Baur, S (corresponding author), Fraunhofer Heinrich Hertz Inst, Dept Artificial Intelligence, D-10587 Berlin, Germany.</t>
  </si>
  <si>
    <t>wojciech.samek@hhi.fraunhofer.de; ekin.boeke@hhi.fraunhofer.de; gergana.lishkova@charite.de; h.jann@drk-kliniken-berlin.de; jackie.ma@hhi.fraunhofer.de; frank.tacke@charite.de; zuzanna.kobus@charite.de; christoph.wetz@hgzn.de; christoph.roderburg@med.uni-duesseldorf.de; holger.amthauer@charite.de; simon.baur@hhi.fraunhofer.de; julian.rogasch@charite.de; johannes.eschrich@charite.de; tristan.ruhwedel@charite.de</t>
  </si>
  <si>
    <t>Charit-Universittsmedizin Berlin; Senate of Berlin and the European Commission's Digital Europe Programme (DIGITAL) [101100700]; Berlin Institute of Health at Charit</t>
  </si>
  <si>
    <t>Charit-Universittsmedizin Berlin; Senate of Berlin and the European Commission's Digital Europe Programme (DIGITAL); Berlin Institute of Health at Charit</t>
  </si>
  <si>
    <t>This work was supported by the Senate of Berlin and the European Commission's Digital Europe Programme (DIGITAL), grant TEF-Health (101100700). Johannes Eschrich is a participant in the BIH Charite Junior Digital Clinician Scientist Program funded by Charite-Universitatsmedizin Berlin and the Berlin Institute of Health at Charite.</t>
  </si>
  <si>
    <t>[Baur, Simon; Boke, Ekin; Samek, Wojciech; Ma, Jackie] Fraunhofer Heinrich Hertz Inst, Dept Artificial Intelligence, D-10587 Berlin, Germany; [Ruhwedel, Tristan; Wetz, Christoph; Amthauer, Holger; Rogasch, Julian M.] Charite Univ Med Berlin, Dept Nucl Med, D-13353 Berlin, Germany; [Kobus, Zuzanna; Tacke, Frank; Jann, Henning; Eschrich, Johannes] Charite Univ Med Berlin, Dept Hepatol &amp; Gastroenterol, D-13353 Berlin, Germany; [Kobus, Zuzanna] Mem Sloan Kettering Canc Ctr, Dept Radiol, Div Intervent Radiol, New York, NY 10065 USA; [Lishkova, Gergana] Charite Univ Med Berlin, Dept Endocrinol &amp; Metab, D-13353 Berlin, Germany; [Roderburg, Christoph] Heinrich Heine Univ Dusseldorf, Univ Hosp Dusseldorf, Clin Gastroenterol Hepatol &amp; Infect Dis, Med Fac, D-40225 Dusseldorf, Germany; [Samek, Wojciech] BIFOLD Berlin Inst Fdn Learning &amp; Data, D-10587 Berlin, Germany; [Samek, Wojciech] Tech Univ Berlin, Dept Elect Engn &amp; Comp Sci, D-10623 Berlin, Germany; [Eschrich, Johannes] Charite Univ Med Berlin, Berlin Inst Hlth, BIH Biomed Innovat Acad, BIH Charite Digital Clinician Scientist Program, Charitepl 1, D-10117 Berlin, Germany</t>
  </si>
  <si>
    <t>Fraunhofer Gesellschaft; Free University of Berlin; Charite Universitatsmedizin Berlin; Humboldt University of Berlin; Charite Universitatsmedizin Berlin; Free University of Berlin; Charite Universitatsmedizin Berlin; Humboldt University of Berlin; Charite Universitatsmedizin Berlin; Memorial Sloan Kettering Cancer Center; Free University of Berlin; Charite Universitatsmedizin Berlin; Humboldt University of Berlin; Charite Universitatsmedizin Berlin; Heinrich Heine University Dusseldorf; Heinrich Heine University Dusseldorf Hospital; Technical University of Berlin; Free University of Berlin; Charite Universitatsmedizin Berlin; Berlin Institute of Health; Humboldt University of Berlin; Charite Universitatsmedizin Berlin</t>
  </si>
  <si>
    <t>Multimodal Deep Learning for Prediction of Progression-Free Survival in Patients with Neuroendocrine Tumors Undergoing 177Lu-Based Peptide Receptor Radionuclide Therapy</t>
  </si>
  <si>
    <t>CANCERS</t>
  </si>
  <si>
    <t>neuroendocrine tumors; peptide receptor radionuclide therapy; [Lu-177]Lu-DOTATOC; progression-free survival; somatostatin receptor PET/CT; multimodal deep learning; radiomics; predictive modeling; treatment outcome</t>
  </si>
  <si>
    <t>Rogasch, Julian/AAC-8223-2019; Samek, Wojciech/AAZ-2156-2021; Roderburg, Christoph/AHC-8101-2022; Tacke, Frank/ABF-2212-2020</t>
  </si>
  <si>
    <t>Jann, Henning/0000-0003-4095-336X</t>
  </si>
  <si>
    <t>2072-6694</t>
  </si>
  <si>
    <t>Cancers</t>
  </si>
  <si>
    <t>APR 8 2026</t>
  </si>
  <si>
    <t>1194</t>
  </si>
  <si>
    <t>10.3390/cancers18081194</t>
  </si>
  <si>
    <t>http://dx.doi.org/10.3390/cancers18081194</t>
  </si>
  <si>
    <t>HC6QD</t>
  </si>
  <si>
    <t>42073521</t>
  </si>
  <si>
    <t>WOS:001750885400001</t>
  </si>
  <si>
    <t>Chakravarthi, BA; Shivakanth, G</t>
  </si>
  <si>
    <t>A progressive neurological disorder, Alzheimer's disease has a significant social and economic impact and has become more problematic for world health. Early and precise diagnosis is critical to enable timely intervention to improve patient outcomes. This study introduces a new multimodal AI framework integrating advanced MRI preprocessing techniques and speech analysis for the enhancement of the detection of AD. A strong preprocessing pipeline, including noise reduction, normalization, skull stripping, and segmentation, is utilized to prepare the MRI data. Cognitive and acoustic biomarkers are extracted through spectrograms and pre-trained linguistic models to create speech features. The architecture involves the application of Vision Transformers for spatial analysis and a hybrid CNN- RNN architecture to derive contextual insights, making the framework applicable to multimodal fusion for holistic diagnosis. The framework achieved an accuracy of 94.2% with precision, recall, and F1-scores higher than 92% in the experimental evaluation on a diverse dataset. Comparative analysis with several recent studies further emphasizes that the framework provides better diagnostic performance on key metrics. This work advances early AD detection by incorporating complementary data modalities, addressing existing gaps in unimodal approaches, and providing a scalable, interpretable solution for clinical application.</t>
  </si>
  <si>
    <t>Chakravarthi, Bandaru A.; Shivakanth, Gandla</t>
  </si>
  <si>
    <t>Shivakanth, G (corresponding author), Koneru Lakshmaiah Educ Fdn, Dept Comp Sci &amp; Engn, Hyderabad 500075, Telangana, India.</t>
  </si>
  <si>
    <t>shivakanth@klh.edu.in</t>
  </si>
  <si>
    <t>[Chakravarthi, Bandaru A.; Shivakanth, Gandla] Koneru Lakshmaiah Educ Fdn, Dept Comp Sci &amp; Engn, Hyderabad 500075, Telangana, India</t>
  </si>
  <si>
    <t>Koneru Lakshmaiah Education Foundation (K L Deemed to be University)</t>
  </si>
  <si>
    <t>Integrating Multimodal AI Techniques and MRI Preprocessing for Enhanced Diagnosis of Alzheimer's Disease: Clinical Applications and Research Horizons</t>
  </si>
  <si>
    <t>Magnetic resonance imaging; Alzheimer's disease; Artificial intelligence; Diseases; Feature extraction; Accuracy; Biological system modeling; Biomarkers; Neuroimaging; Training; Alzheimer's disease (AD); CNN- RNN architecture; diagnostic accuracy; early diagnosis; machine learning in healthcare; MRI preprocessing; multimodal AI; neuroimaging; speech biomarkers; vision transformers (ViT)</t>
  </si>
  <si>
    <t>kanth, Shiva/HRD-0638-2023</t>
  </si>
  <si>
    <t>, Bandaru A Chakravarthi/0009-0004-1980-1788; shivakanth, Gandla/0000-0001-6787-6929</t>
  </si>
  <si>
    <t>63519</t>
  </si>
  <si>
    <t>63531</t>
  </si>
  <si>
    <t>10.1109/ACCESS.2025.3557533</t>
  </si>
  <si>
    <t>http://dx.doi.org/10.1109/ACCESS.2025.3557533</t>
  </si>
  <si>
    <t>1NE8F</t>
  </si>
  <si>
    <t>WOS:001469012900016</t>
  </si>
  <si>
    <t>Wang, Z; Tai, MN; Hu, H; Yuan, H; Wang, C; Fu, HY; Zhang, JL</t>
  </si>
  <si>
    <t>Accurate diagnosis of skin lesions remains challenging due to their morphological variability and the limitations of conventional diagnostic methods. In this study, we developed an explainable artificial intelligence (AI) framework that integrates three-dimensional total body photography (3D TBP) images with structured clinical data to classify and assess the risk of six common skin-lesion types. Using the ISIC 2024 dataset comprising 1,075 patients, 41 clinical and lesion-specific features were extracted and analyzed. A multinomial logistic-regression model was implemented for decision support, and model interpretability was assessed using Shapley Additive Explanations (SHAP) and Class Activation Maps (CAM). The clinical-only XGBoost model achieved moderate accuracy (basal cell carcinoma 78.6%, nevus 72.6%), while CNNs trained on 3D TBP images achieved 87.1% accuracy for nevus. The multimodal fusion model substantially outperformed unimodal approaches, achieving recall and F1 scores above 95% and Area Under the Curve (AUC) values exceeding 0.95 (0.98 for nevus and actinic keratosis), and ranked among the top-performing entries in the ISIC 2024 challenge (partial false-positive rate = 0.1734). The integrated scoring system, visualized through nomograms, identified key predictors such as visual_classifier and tbp_lv_symm_2axis. This interpretable multimodal AI framework enhances diagnostic accuracy and risk stratification, offering a transparent and clinically actionable tool for precision dermatology and early detection of skin cancer.</t>
  </si>
  <si>
    <t>Wang, Zheng; Tai, Mengnan; Hu, Hui; Yuan, Hao; Wang, Chong; Fu, Hongyang; Zhang, Jianglin</t>
  </si>
  <si>
    <t>Fu, HY; Zhang, JL (corresponding author), Jinan Univ, Southern Univ Sci &amp; Technol, Dept Dermatol, Clin Med Coll 2,Affiliated Hosp 1,Shenzhen Peoples, Shenzhen 518020, Guangdong, Peoples R China.; Fu, HY (corresponding author), Shenzhen Baoan Womens &amp; Childrens Hosp, Dept Dermatol, Shenzhen 518000, Guangdong, Peoples R China.; Zhang, JL (corresponding author), Natl Clin Res Ctr Skin les, Candidate Branch, Shenzhen 518020, Guangdong, Peoples R China.; Zhang, JL (corresponding author), Jinan Univ, Southern Univ Sci &amp; Technol, Clin Med Coll 2, Dept Geriatr,Affiliated Hosp 1,Shenzhen Peoples Ho, Shenzhen 518020, Guangdong, Peoples R China.</t>
  </si>
  <si>
    <t>fuhongyang2024@outlook.com; zhang.jianglin@szhospital.com</t>
  </si>
  <si>
    <t>Scientific Research Fund of the Hunan Provincial Education Department [23A0643, 23C0430, and 24A0080]</t>
  </si>
  <si>
    <t>Scientific Research Fund of the Hunan Provincial Education Department (Hunan Provincial Education Department)</t>
  </si>
  <si>
    <t>We gratefully acknowledge the support of the Laboratory of 3D Scene Visualization and Intelligent Education in Hunan Province (Grant No. 2023TP1038) and the Research Center for Innovative Development of Teacher Education in the New Era.</t>
  </si>
  <si>
    <t>[Wang, Zheng; Tai, Mengnan; Hu, Hui; Yuan, Hao] Hunan First Normal Univ, Sch Comp Sci, Changsha 410205, Peoples R China; [Wang, Zheng; Tai, Mengnan; Wang, Chong; Fu, Hongyang; Zhang, Jianglin] Jinan Univ, Southern Univ Sci &amp; Technol, Dept Dermatol, Clin Med Coll 2,Affiliated Hosp 1,Shenzhen Peoples, Shenzhen 518020, Guangdong, Peoples R China; [Fu, Hongyang] Shenzhen Baoan Womens &amp; Childrens Hosp, Dept Dermatol, Shenzhen 518000, Guangdong, Peoples R China; [Zhang, Jianglin] Natl Clin Res Ctr Skin les, Candidate Branch, Shenzhen 518020, Guangdong, Peoples R China; [Zhang, Jianglin] Jinan Univ, Southern Univ Sci &amp; Technol, Clin Med Coll 2, Dept Geriatr,Affiliated Hosp 1,Shenzhen Peoples Ho, Shenzhen 518020, Guangdong, Peoples R China</t>
  </si>
  <si>
    <t>Hunan First Normal University; Jinan University; Southern University of Science &amp; Technology; Southern University of Science &amp; Technology; Jinan University</t>
  </si>
  <si>
    <t>Explainable multimodal AI for skin lesion risk prediction via 3D imaging and clinical data</t>
  </si>
  <si>
    <t>Skin lesion risk prediction; 3D total body photography; Multimodal fusion; Explainable AI; Deep learning</t>
  </si>
  <si>
    <t>PREVALENCE; DISEASE; BURDEN</t>
  </si>
  <si>
    <t>Tai, Mengnan/0009-0004-5487-8959; Yuan, Hao/0009-0007-2859-6159</t>
  </si>
  <si>
    <t>DEC 22 2025</t>
  </si>
  <si>
    <t>45139</t>
  </si>
  <si>
    <t>10.1038/s41598-025-33536-z</t>
  </si>
  <si>
    <t>http://dx.doi.org/10.1038/s41598-025-33536-z</t>
  </si>
  <si>
    <t>AL8YZ</t>
  </si>
  <si>
    <t>41430366</t>
  </si>
  <si>
    <t>WOS:001651220100001</t>
  </si>
  <si>
    <t>Liu, JX; Zhu, XR; Shi, ZZ; An, DH; Zu, LH; Cheng, KL; Guo, XP</t>
  </si>
  <si>
    <t>Background: In the domain of recent lumbar magnetic resonance imaging (MRI) analysis, the limitations of unimodal deep learning (DL) methods for medical imaging have gradually been revealed in that they remain insufficient to model the latent relationships within the textual semantics of category terms. These terms are used to define the research targets in medical imaging analysis tasks. Effective modeling of these relationships requires textual representations. Therefore, we proposed a text-guided multimodal DL method for segmenting 19 spinal structures and identifying 5 lumbar abnormalities on T1-weighted imaging (T1WI) and T2-weighted imaging (T2WI) MRI scans. Methods: We employed ConvNeXt V2 as the image encoder (pretrained on 1,975 unlabeled lumbar MRI scans) and the Contrastive Language-Image Pretraining (CLIP)-based text encoder (pretrained on 515 clinical reports), with the datasets for each modality independently supporting self-supervised pretraining of its respective encoder. We completed segmentation annotations for vertebral and intervertebral disc structures in a partially labeled dataset originally containing only lumbar abnormalities, forming 201 cases of fully annotated T1WI and T2WI MRI samples for model development. We developed a text-guided DL method, which integrated the text encoder and the image encoder, achieving precise segmentation of spinal structures and identification of lumbar abnormalities. Results: The proposed method achieved a mean Intersection over Union (mIoU) of 0.823 +/- 0.053 for segmentation of 19 spinal structures. No statistically significant differences were observed between upper-Dice (0.859 +/- 0.040) and lower-Dice (0.858 +/- 0.038) metrics across all regions of interest (ROIs) (P=0.744, Cohen's d =0.01). Our method outperformed nnU-Net (mIoU: 0.823 vs. 0.806, P&lt;0.01), the MT-U-Net (mIoU: 0.766 +/- 0.073, P&lt;0.01), and the visual-only variant (Ours-VisualOnly, mIoU: 0.791, P&lt;0.01). For lumbar abnormality identification, our method achieved the highest recall (0.867 +/- 0.027), lowest false-positive rate (FPR) (0.079 +/- 0.015), and highest precision (0.893 +/- 0.028), outperforming comparative models (all P&lt;0.01 for recall, P&lt;0.05 for FPR and precision). Conclusions: This study proposed a text-guided DL method for segmenting spinal structures and identifying lumbar abnormalities in multi-sequence MRI scans. By integrating cross-modal features, our method improved segmentation accuracy and optimized identification performance, demonstrating clinical potential to assist diagnosis through automated workflows that reduce radiologist workload.</t>
  </si>
  <si>
    <t>Liu, Jingxin; Zhu, Xinran; Shi, Zhangzhen; An, Donghong; Zu, Lihui; Cheng, Kailiang; Guo, Xiaopeng</t>
  </si>
  <si>
    <t>Liu, JX (corresponding author), Jilin Univ, Dept Radiol, China Japan Union Hosp, 126 Xiantai Blvd, Changchun 130033, Peoples R China.; Liu, JX; Guo, XP (corresponding author), Jilin Univ, China Japan Union Hosp, Med Examinat Ctr, Changchun, Jilin, Peoples R China.</t>
  </si>
  <si>
    <t>jingxin@jlu.edu.cn; guoxiaopeng279@163.com</t>
  </si>
  <si>
    <t>National Key R&amp;D Program of China [2018YFC1315604]; Jilin Provincial Department of Science and Technology [20210303003SF]</t>
  </si>
  <si>
    <t>National Key R&amp;D Program of China (National Key Research &amp; Development Program of China); Jilin Provincial Department of Science and Technology</t>
  </si>
  <si>
    <t>Funding: This work was supported by the National Key R&amp;D Program of China (No. 2018YFC1315604) ; and the Jilin Provincial Department of Science and Technology (No. 20210303003SF) .</t>
  </si>
  <si>
    <t>[Liu, Jingxin; Zhu, Xinran; An, Donghong; Zu, Lihui; Cheng, Kailiang] Jilin Univ, Dept Radiol, China Japan Union Hosp, 126 Xiantai Blvd, Changchun 130033, Peoples R China; [Liu, Jingxin; Zhu, Xinran; Guo, Xiaopeng] Jilin Univ, China Japan Union Hosp, Med Examinat Ctr, Changchun, Jilin, Peoples R China; [Shi, Zhangzhen] Jilin Univ, Dept Med Oncol Ward 1, China Japan Union Hosp, Changchun, Peoples R China</t>
  </si>
  <si>
    <t>Jilin University; Jilin University; Jilin University</t>
  </si>
  <si>
    <t>Text-guided multimodal deep learning in magnetic resonance imaging for spinal structures segmentation and lumbar abnormalities identification</t>
  </si>
  <si>
    <t>QUANTITATIVE IMAGING IN MEDICINE AND SURGERY</t>
  </si>
  <si>
    <t>Deep learning (DL); image segmentation; lumbar abnormality; self-supervised learning</t>
  </si>
  <si>
    <t>2223-4292</t>
  </si>
  <si>
    <t>2223-4306</t>
  </si>
  <si>
    <t>QUANT IMAG MED SURG</t>
  </si>
  <si>
    <t>Quant. Imaging Med. Surg.</t>
  </si>
  <si>
    <t>9710</t>
  </si>
  <si>
    <t>9728</t>
  </si>
  <si>
    <t>10.21037/qims-2025-635</t>
  </si>
  <si>
    <t>http://dx.doi.org/10.21037/qims-2025-635</t>
  </si>
  <si>
    <t>8NU7Z</t>
  </si>
  <si>
    <t>41081178</t>
  </si>
  <si>
    <t>WOS:001593086700009</t>
  </si>
  <si>
    <t>Hezil, N; Bouridane, A; Hamoudi, R; Al-maadeed, S; Akbari, Y; Abdullakutty, F</t>
  </si>
  <si>
    <t>Accurate classification of breast cancer subtypes is critical for personalized treatment planning and prognostic assessment. While histopathology and RNA-seq data each provide complementary insights into tumor biology, their integration remains challenging due to heterogeneity in data modalities. This study proposes a robust multimodal framework that combines histology-based features extracted using the CTransPath vision transformer with transcriptomic profiles to improve breast cancer subtype classification and interpretability. We developed an end-to-end pipeline incorporating three learning paradigms: RNA-Only, whole-slide image (WSI)-Only, and multimodal fusion. Histological features were extracted using a pretrained CTransPath encoder at 20 &amp; times; magnification (0.5 &amp; micro;m pixel-1) with non-overlapping 256 &amp; times; 256 pixel patches, while RNA-seq features were standardized and projected into a shared latent space. We evaluated multiple fusion techniques including gated attention, cross-attention, and concatenation. To enhance transparency, attention rollout was applied to visualize feature importance across WSIs. An uncertainty-aware smart routing mechanism was introduced to selectively use RNA-Only predictions for high-confidence cases or defer to multimodal inference for ambiguous samples, optimizing computational efficiency. Evaluated on the TCGA-BRCA dataset comprising 924 patients with PAM50 molecular subtypes, our routing-based multimodal model achieved 94.93% accuracy, outperforming both unimodal baselines and fixed fusion strategies. The routing mechanism required multimodal inference for only 38.2% of samples, achieving a 3.12 &amp; times; computational speedup while maintaining superior accuracy. Confusion matrices revealed significant improvements in distinguishing closely related subtypes such as Luminal A and Luminal B. Attention rollout provided interpretable heatmaps localizing discriminative histological regions associated with each subtype, aligning with established pathological criteria. This study demonstrates that integrating CTransPath-derived histology features with transcriptomic profiles through confidence-aware routing offers a practical, explainable, and computationally efficient approach for breast cancer subtype classification suitable for clinical decision support systems.</t>
  </si>
  <si>
    <t>Hezil, Nabil; Bouridane, Ahmed; Hamoudi, Rifat; Al-maadeed, Somaya; Akbari, Younes; Abdullakutty, Faseela</t>
  </si>
  <si>
    <t>Hezil, N (corresponding author), Univ Sharjah, Dept Comp Engn, Sharjah, U Arab Emirates.; Hezil, N (corresponding author), CRSTDLA, Dept Computat Linguist, Algiers, Algeria.</t>
  </si>
  <si>
    <t>nhezil@sharjah.ac.ae</t>
  </si>
  <si>
    <t>[Hezil, Nabil; Bouridane, Ahmed] Univ Sharjah, Dept Comp Engn, Sharjah, U Arab Emirates; [Hamoudi, Rifat] Univ Sharjah, Coll Med, Sharjah, U Arab Emirates; [Al-maadeed, Somaya; Akbari, Younes; Abdullakutty, Faseela] Qatar Univ, Dept Comp Sci &amp; Engn, Doha, Qatar; [Hezil, Nabil] CRSTDLA, Dept Computat Linguist, Algiers, Algeria</t>
  </si>
  <si>
    <t>University of Sharjah; University of Sharjah; Qatar University; Centre for Scientific &amp; Technical Research on Arid Regions (CRSTRA)</t>
  </si>
  <si>
    <t>Selective multimodal deep learning for reliable breast cancer subtype classification from histopathology and genomic data</t>
  </si>
  <si>
    <t>MEDICAL ENGINEERING &amp; PHYSICS</t>
  </si>
  <si>
    <t>breast cancer; multimodal learning; RNA-seq; CTransPath; subtype classification; deep learning; smart routing</t>
  </si>
  <si>
    <t>hezil, nabil/P-7151-2016</t>
  </si>
  <si>
    <t>1350-4533</t>
  </si>
  <si>
    <t>1873-4030</t>
  </si>
  <si>
    <t>MED ENG PHYS</t>
  </si>
  <si>
    <t>Med. Eng. Phys.</t>
  </si>
  <si>
    <t>MAR 2 2026</t>
  </si>
  <si>
    <t>147</t>
  </si>
  <si>
    <t>035006</t>
  </si>
  <si>
    <t>10.1088/1873-4030/ae449b</t>
  </si>
  <si>
    <t>http://dx.doi.org/10.1088/1873-4030/ae449b</t>
  </si>
  <si>
    <t>HD4FO</t>
  </si>
  <si>
    <t>41671586</t>
  </si>
  <si>
    <t>WOS:001751399300001</t>
  </si>
  <si>
    <t>Mohsen, F; Safa, A; Shah, ZB</t>
  </si>
  <si>
    <t>Type 2 Diabetes Mellitus (T2DM) remains a significant global health challenge, underscoring the need for early and accurate risk prediction tools to enable timely interventions. This study introduces ECG-DiaNet, a multimodal deep learning model that integrates electrocardiogram (ECG) features with established clinical risk factors (CRFs) to improve the prediction of T2DM onset. Using data from the Qatar Biobank (QBB), we compared ECG-DiaNet against unimodal models based solely on ECG or CRFs. A development cohort (n = 2043) was utilized for model training and internal validation, while a separate longitudinal cohort (n = 395) with a median five-year follow-up served as the test set. ECG-DiaNet demonstrated superior predictive performance, achieving a higher area under the receiver operating characteristic curve (AUROC) compared to the CRF-only model (0.845vs.0.8217), which was statistically significant based on the DeLong test (p &lt; 0.001), thus highlighting the added predictive value of incorporating ECG signals. Reclassification metrics reinforced these improvements, with a significant Net Reclassification Improvement (NRI = 0.0153,p &lt; 0.001) and Integrated Discrimination Improvement (IDI = 0.0482,p = 0.0099), confirming the enhanced risk stratification. Furthermore, stratifying participants into Low-, Medium-, and High-risk categories revealed that ECG-DiaNet achieved a higher positive predictive value (PPV) in the high-risk group compared to CRF-only models. These findings, together with the non-invasive nature and wide accessibility of ECG technology, suggest the potential of ECG-DiaNet for clinical implementation. However, further validation using larger and more diverse datasets is needed to improve generalizability.</t>
  </si>
  <si>
    <t>Mohsen, Farida; Safa, Ali; Shah, Zubair</t>
  </si>
  <si>
    <t>Shah, ZB (corresponding author), Hamad Bin Khalifa Univ, Coll Sci &amp; Engn, Doha, Qatar.</t>
  </si>
  <si>
    <t>zshah@hbku.edu.qa</t>
  </si>
  <si>
    <t>Qatar National Library (Qatar National Research Fund (QNRF))</t>
  </si>
  <si>
    <t>Open Access funding provided by Qatar National Library.</t>
  </si>
  <si>
    <t>[Mohsen, Farida; Safa, Ali; Shah, Zubair] Hamad Bin Khalifa Univ, Coll Sci &amp; Engn, Doha, Qatar</t>
  </si>
  <si>
    <t>Qatar Foundation (QF); Hamad Bin Khalifa University-Qatar</t>
  </si>
  <si>
    <t>ECG features improve multimodal deep learning prediction of incident T2DM in a Middle Eastern cohort</t>
  </si>
  <si>
    <t>DIABETES-MELLITUS; RISK; POPULATION; INTERVAL; ADULTS; SCORE</t>
  </si>
  <si>
    <t>JUL 25 2025</t>
  </si>
  <si>
    <t>27164</t>
  </si>
  <si>
    <t>10.1038/s41598-025-12633-z</t>
  </si>
  <si>
    <t>http://dx.doi.org/10.1038/s41598-025-12633-z</t>
  </si>
  <si>
    <t>5JX3G</t>
  </si>
  <si>
    <t>40715481</t>
  </si>
  <si>
    <t>WOS:001537442500012</t>
  </si>
  <si>
    <t>Park, S; Li, XZ; Li, QL; Kim, J</t>
  </si>
  <si>
    <t>Multimodal review helpfulness prediction (MRHP) aims to identify the most helpful reviews by leveraging both textual and visual information. However, prior studies have primarily focused on modeling interactions between these modalities, often overlooking the consistency between review content and ratings, which is a key indicator of review credibility. To address this limitation, we propose CRCNet (Content-Rating Consistency Network), a novel MRHP model that jointly captures the semantic consistency between review content and ratings while modeling the complementary characteristics of text and image modalities. CRCNet employs RoBERTa and VGG-16 to extract semantic and visual features, respectively. A co-attention mechanism is applied to capture the consistency between content and rating, and a Gated Multimodal Unit (GMU) is adopted to integrate consistency-aware representations. Experimental results on two large-scale Amazon review datasets demonstrate that CRCNet outperforms both unimodal and multimodal baselines in terms of MAE, MSE, RMSE, and MAPE. Further analysis confirms the effectiveness of content-rating consistency modeling and the superiority of the proposed fusion strategy. These findings suggest that incorporating semantic consistency into multimodal architectures can substantially improve the accuracy and trustworthiness of review helpfulness prediction.</t>
  </si>
  <si>
    <t>Park, Seonu; Li, Xinzhe; Li, Qinglong; Kim, Jaekyeong</t>
  </si>
  <si>
    <t>Kim, J (corresponding author), Kyung Hee Univ, Dept Big Data Analyt, Seoul 02447, South Korea.; Li, QL (corresponding author), Hansung Univ, Div Comp Engn, Seoul 02876, South Korea.; Kim, J (corresponding author), Kyung Hee Univ, Sch Management, Seoul 02447, South Korea.</t>
  </si>
  <si>
    <t>lixz@khu.ac.kr; sunu0087@khu.ac.kr; leecy@hansung.ac.kr; jaek@khu.ac.kr</t>
  </si>
  <si>
    <t>Hansung University</t>
  </si>
  <si>
    <t>This research was financially supported by Hansung University.</t>
  </si>
  <si>
    <t>[Park, Seonu; Li, Xinzhe; Kim, Jaekyeong] Kyung Hee Univ, Dept Big Data Analyt, Seoul 02447, South Korea; [Li, Qinglong] Hansung Univ, Div Comp Engn, Seoul 02876, South Korea; [Kim, Jaekyeong] Kyung Hee Univ, Sch Management, Seoul 02447, South Korea</t>
  </si>
  <si>
    <t>Kyung Hee University; Hansung University; Kyung Hee University</t>
  </si>
  <si>
    <t>A Multimodal Deep Learning Framework for Consistency-Aware Review Helpfulness Prediction</t>
  </si>
  <si>
    <t>review helpfulness prediction; multimodal; consistency; co-attention mechanism; gated multimodal unit</t>
  </si>
  <si>
    <t>ONLINE</t>
  </si>
  <si>
    <t>Li, Xinzhe/ISA-0876-2023</t>
  </si>
  <si>
    <t>Li, Qinglong/0000-0002-6720-7765; park, seonu/0009-0004-9598-6083; Li, Xinzhe/0000-0001-8709-6751</t>
  </si>
  <si>
    <t>AUG 1 2025</t>
  </si>
  <si>
    <t>3089</t>
  </si>
  <si>
    <t>10.3390/electronics14153089</t>
  </si>
  <si>
    <t>http://dx.doi.org/10.3390/electronics14153089</t>
  </si>
  <si>
    <t>6AL8S</t>
  </si>
  <si>
    <t>WOS:001548704200001</t>
  </si>
  <si>
    <t>Roest, C; Yakar, D; Sitar, DIR; Bosma, JS; Rouw, DB; Fransen, SJ; Huisman, H; Kwee, TC</t>
  </si>
  <si>
    <t>Objectives: Deep learning (DL) studies for the detection of clinically significant prostate cancer (csPCa) on magnetic resonance imaging (MRI) often overlook potentially relevant clinical parameters such as prostate-specific antigen, prostate volume, and age. This study explored the integration of clinical parameters and MRI-based DL to enhance diagnostic accuracy for csPCa on MRI. Materials and Methods: We retrospectively analyzed 932 biparametric prostate MRI examinations performed for suspected csPCa (ISUP &gt;= 2) at 2 institutions. Each MRI scan was automatically analyzed by a previously developed DL model to detect and segment csPCa lesions. Three sets of features were extracted: DL lesion suspicion levels, clinical parameters (prostate-specific antigen, prostate volume, age), and MRI-based lesion volumes for all DL-detected lesions. Six multimodal artificial intelligence (AI) classifiers were trained for each combination of feature sets, employing both early (feature-level) and late (decision-level) information fusion methods. The diagnostic performance of each model was tested internally on 20% of center 1 data and externally on center 2 data (n = 529). Receiver operating characteristic comparisons determined the optimal feature combination and information fusion method and assessed the benefit of multimodal versus unimodal analysis. The optimal model performance was compared with a radiologist using PI-RADS. Results: Internally, the multimodal AI integrating DL suspicion levels with clinical features via early fusion achieved the highest performance. Externally, it surpassed baselines using clinical parameters (0.77 vs 0.67 area under the curve [AUC], P &lt; 0.001) and DL suspicion levels alone (AUC: 0.77 vs 0.70, P = 0.006). Early fusion outperformed late fusion in external data (0.77 vs 0.73 AUC, P = 0.005). No significant performance gaps were observed between multimodal AI and radiologist assessments (internal: 0.87 vs 0.88 AUC; external: 0.77 vs 0.75 AUC, both P &gt; 0.05). Conclusions: Multimodal AI (combining DL suspicion levels and clinical parameters) outperforms clinical and MRI-only AI for csPCa detection. Early information fusion enhanced AI robustness in our multicenter setting. Incorporating lesion volumes did not enhance diagnostic efficacy.</t>
  </si>
  <si>
    <t>Roest, Christian; Yakar, Derya; Sitar, Dorjan Ivan Rener; Bosma, Joeran S.; Rouw, Dennis B.; Fransen, Stefan Johannes; Huisman, Henkjan; Kwee, Thomas C.</t>
  </si>
  <si>
    <t>Roest, C (corresponding author), Univ Med Ctr Groningen, Med Imaging Ctr, Dept Radiol, Hanzepl 1, NL-9713 GZ Groningen, Netherlands.</t>
  </si>
  <si>
    <t>d.b.rouw@mzh.nl; d.yakar@umcg.nl; d.i.rener.sitar@umcg.nl; t.c.kwee@umcg.nl; joeran.bosma@radboudumc.nl; henkjan.huisman@radboudumc.nl; c.roest@umcg.nl; s.j.fransen@umcg.nl</t>
  </si>
  <si>
    <t>[Roest, Christian; Yakar, Derya; Sitar, Dorjan Ivan Rener; Fransen, Stefan Johannes; Kwee, Thomas C.] Univ Med Ctr Groningen, Med Imaging Ctr, Dept Radiol, Hanzepl 1, NL-9713 GZ Groningen, Netherlands; [Yakar, Derya] Netherlands Canc Ctr Antoni van Leeuwenhoek, Dept Radiol, Amsterdam, Netherlands; [Bosma, Joeran S.; Huisman, Henkjan] Radboud Univ Nijmegen Med Ctr, Dept Radiol, Nijmegen, Netherlands; [Rouw, Dennis B.] Martini Ziekenhuis Groningen, Dept Radiol, Groningen, Netherlands</t>
  </si>
  <si>
    <t>University of Groningen; Radboud University Nijmegen; Martini Hospital</t>
  </si>
  <si>
    <t>Multimodal AI Combining Clinical and Imaging Inputs Improves Prostate Cancer Detection</t>
  </si>
  <si>
    <t>INVESTIGATIVE RADIOLOGY</t>
  </si>
  <si>
    <t>artificial intelligence; magnetic resonance imaging; prostate cancer</t>
  </si>
  <si>
    <t>INTERNATIONAL SOCIETY</t>
  </si>
  <si>
    <t>Fransen, Stefan J/JHU-2962-2023; Roest, Christian/PRQ-7877-2026; Yakar, Derya/AER-2388-2022; Bosma, Joeran S/KHW-0489-2024; Huisman, Henkjan/A-6775-2012</t>
  </si>
  <si>
    <t>Fransen, Stefan J/0000-0002-5454-5052; Roest, Christian/0000-0002-3575-4465; Yakar, Derya/0000-0002-4920-9441; Bosma, Joeran S/0000-0002-6315-124X; Huisman, Henkjan/0000-0001-6753-3221</t>
  </si>
  <si>
    <t>0020-9996</t>
  </si>
  <si>
    <t>1536-0210</t>
  </si>
  <si>
    <t>INVEST RADIOL</t>
  </si>
  <si>
    <t>Invest. Radiol.</t>
  </si>
  <si>
    <t>DEC 2024</t>
  </si>
  <si>
    <t>854</t>
  </si>
  <si>
    <t>860</t>
  </si>
  <si>
    <t>10.1097/RLI.0000000000001102</t>
  </si>
  <si>
    <t>http://dx.doi.org/10.1097/RLI.0000000000001102</t>
  </si>
  <si>
    <t>L5F2L</t>
  </si>
  <si>
    <t>39074400</t>
  </si>
  <si>
    <t>WOS:001350965200001</t>
  </si>
  <si>
    <t>Wu, N; Wong, KY; Yu, X; Zhao, JW; Zhang, XY; Wang, JH; Yang, T</t>
  </si>
  <si>
    <t>Extracellular vesicle (EV) molecular phenotyping offers enormous opportunities for cancer diagnostics. However, the majority of the associated studies adopted biomarker-based unimodal analysis to achieve cancer diagnosis, which has high false positives and low precision. Herein, we report a multimodal platform for the high-precision diagnosis of bladder cancer (BCa) through a multispectral 3D DNA machine in combination with a multimodal machine learning (ML) algorithm. The DNA machine was constructed using magnetic microparticles (MNPs) functionalized with aptamers that specifically identify the target of interest, i.e., five protein markers on bladder-cancer-derived urinary EVs (uEVs). The aptamers were hybridized with DNA-stabilized silver nanoclusters (DNA/AgNCs) and a G-quadruplex/hemin complex to form a sensing module. Such a DNA machine ensured multispectral detection of protein markers by fluorescence (FL), inductively coupled plasma mass spectrometry (ICP-MS), and UV-vis absorption (Abs). The obtained data sets then underwent uni- or multimodal ML for BCa diagnosis to compare the analytical performance. In this study, urine samples were obtained from our prospective cohort (n = 45). Our analytical results showed that the 3D DNA machine provided a detection limit of 9.2 x 10(3) particles mL(-1) with a linear range of 4 x 10(4) to 5 x 10(7) particles mL(-1) for uEVs. Moreover, the multimodal data fusion model exhibited an accuracy of 95.0%, a precision of 93.1%, and a recall rate of 93.2% on average, while those of the three types of unimodal models were no more than 91%. The elevated diagnosis precision by using the present fusion platform offers a perspective approach to diminishing the rate of misdiagnosis and overtreatment of BCa.</t>
  </si>
  <si>
    <t>Wu, Na; Wong, Ka-Ying; Yu, Xin; Zhao, Jia-Wei; Zhang, Xin-Yu; Wang, Jian-Hua; Yang, Ting</t>
  </si>
  <si>
    <t>Yang, T (corresponding author), Northeastern Univ, Coll Sci, Res Ctr Analyt Sci, Dept Chem, Shenyang 110819, Peoples R China.</t>
  </si>
  <si>
    <t>yangting@mail.neu.edu.cn</t>
  </si>
  <si>
    <t>National Natural Science Foundation of China [22174011, 22374014, 22334003, 22074011]; Natural Science Foundation of China [N2305018]; Fundamental Research Funds for the Central Universities [XLYC2007102]; Liaoning Revitalization Talents Program [202106080033]; China Scholarship Council (CSC)</t>
  </si>
  <si>
    <t>National Natural Science Foundation of China (National Natural Science Foundation of China (NSFC)); Natural Science Foundation of China (National Natural Science Foundation of China (NSFC)); Fundamental Research Funds for the Central Universities (Fundamental Research Funds for the Central Universities); Liaoning Revitalization Talents Program (Liaoning Revitalization Talents Program); China Scholarship Council (CSC) (China Scholarship Council)</t>
  </si>
  <si>
    <t>Financial support from the Natural Science Foundation of China (22174011, 22374014, 22334003, 22074011), the Fundamental Research Funds for the Central Universities (N2305018), and the Liaoning Revitalization Talents Program (XLYC2007102) is highly appreciated. N.W. was supported by a China Scholarship Council (CSC) (202106080033) to visit the University of Waterloo. Special thanks are due to the instrumental analysis from the Analytical and Testing Center, Northeastern University.</t>
  </si>
  <si>
    <t>[Wu, Na; Yu, Xin; Zhao, Jia-Wei; Wang, Jian-Hua; Yang, Ting] Northeastern Univ, Coll Sci, Res Ctr Analyt Sci, Dept Chem, Shenyang 110819, Peoples R China; [Wu, Na] Fujian Med Univ, Inst Precis Med, Fuzhou 350122, Peoples R China; [Wong, Ka-Ying] Univ Waterloo, Waterloo Inst Nanotechnol, Dept Chem, Waterloo, ON N2L3G1, Canada; [Zhang, Xin-Yu] Gen Hosp Northern Theater Command, Shenyang 110015, Liaoning, Peoples R China</t>
  </si>
  <si>
    <t>Northeastern University - China; Fujian Medical University; University of Waterloo</t>
  </si>
  <si>
    <t>Multispectral 3D DNA Machine Combined with Multimodal Machine Learning for Noninvasive Precise Diagnosis of Bladder Cancer</t>
  </si>
  <si>
    <t>ANALYTICAL CHEMISTRY</t>
  </si>
  <si>
    <t>Wu, Na/KIE-8415-2024; Yang, Ting/IYS-5392-2023; jianhua, wang/JAX-9911-2023</t>
  </si>
  <si>
    <t>Wu, Na/0000-0003-0082-4969; Yang, Ting/0000-0001-5517-5658</t>
  </si>
  <si>
    <t>0003-2700</t>
  </si>
  <si>
    <t>1520-6882</t>
  </si>
  <si>
    <t>ANAL CHEM</t>
  </si>
  <si>
    <t>Anal. Chem.</t>
  </si>
  <si>
    <t>JUN 7 2024</t>
  </si>
  <si>
    <t>10046</t>
  </si>
  <si>
    <t>10055</t>
  </si>
  <si>
    <t>10.1021/acs.analchem.4c01749</t>
  </si>
  <si>
    <t>http://dx.doi.org/10.1021/acs.analchem.4c01749</t>
  </si>
  <si>
    <t>Chemistry, Analytical</t>
  </si>
  <si>
    <t>Chemistry</t>
  </si>
  <si>
    <t>UQ3Y3</t>
  </si>
  <si>
    <t>38845359</t>
  </si>
  <si>
    <t>WOS:001242672800001</t>
  </si>
  <si>
    <t>Zhang, YF; Deng, YJ; Zhou, ZX; Zhang, XF; Jiao, PF; Zhao, ZD</t>
  </si>
  <si>
    <t>Cardiotocography (CTG) monitoring is an important medical diagnostic tool for fetal well-being evaluation in late pregnancy. In this regard, intelligent CTG classification based on Fetal Heart Rate (FHR) signals is a challenging research area that can assist obstetricians in making clinical decisions, thereby improving the efficiency and accuracy of pregnancy management. Most existing methods focus on one specific modality, that is, they only detect one type of modality and inevitably have limitations such as incomplete or redundant source domain feature extraction, and poor repeatability. This study focuses on modeling multimodal learning for Fetal Distress Diagnosis (FDD); however, exists three major challenges: unaligned multimodalities; failure to learn and fuse the causality and inclusion between multimodal biomedical data; modality sensitivity, that is, difficulty in implementing a task in the absence of modalities. To address these three issues, we propose a Multimodal Medical Information Fusion framework named MMIF, where the Category Constrained-Parallel ViT model (CCPViT) was first proposed to explore multimodal learning tasks and address the misalignment between multimodalities. Based on CCPViT, a cross-attention-based image-text joint component is introduced to establish a Multimodal Representation Alignment Network model (MRAN), explore the deep-level interactive representation between cross-modal data, and assist multimodal learning. Furthermore, we designed a simple-structured FDD test model based on the highly modal alignment MMIF, realizing task delegation from multimodal model training (image and text) to unimodal pathological diagnosis (image). Extensive experiments, including model parameter sensitivity analysis, cross-modal alignment assessment, and pathological diagnostic accuracy evaluation, were conducted to show our models' superior performance and effectiveness.</t>
  </si>
  <si>
    <t>Zhang, Yefei; Deng, Yanjun; Zhou, Zhixin; Zhang, Xianfei; Jiao, Pengfei; Zhao, Zhidong</t>
  </si>
  <si>
    <t>Zhao, ZD (corresponding author), Hangzhou Dianzi Univ, Sch Cyberspace, Hangzhou, Peoples R China.</t>
  </si>
  <si>
    <t>zhaozd@hdu.edu.cn</t>
  </si>
  <si>
    <t>Funding This work was supported in part by the National Natural Science Foundation of China (Grant No.62071162).</t>
  </si>
  <si>
    <t>[Zhang, Yefei; Deng, Yanjun; Zhou, Zhixin; Zhang, Xianfei] Hangzhou Dianzi Univ, Coll Elect &amp; Informat Engn, Hangzhou, Peoples R China; [Jiao, Pengfei; Zhao, Zhidong] Hangzhou Dianzi Univ, Sch Cyberspace, Hangzhou, Peoples R China</t>
  </si>
  <si>
    <t>Hangzhou Dianzi University; Hangzhou Dianzi University</t>
  </si>
  <si>
    <t>Multimodal learning for fetal distress diagnosis using a multimodal medical information fusion framework</t>
  </si>
  <si>
    <t>fetal heart rate; intelligent cardiotocography classification; fetal distress diagnosis; multimodal learning; vit; transformer</t>
  </si>
  <si>
    <t>FIGO; ANTEPARTUM; DICTIONARY</t>
  </si>
  <si>
    <t>Zhou, Zhixin/AAK-6744-2020; Jiao, Pengfei/QSP-7005-2026; Zhang, Yefei/JGV-1801-2023</t>
  </si>
  <si>
    <t>NOV 7 2022</t>
  </si>
  <si>
    <t>1021400</t>
  </si>
  <si>
    <t>10.3389/fphys.2022.1021400</t>
  </si>
  <si>
    <t>http://dx.doi.org/10.3389/fphys.2022.1021400</t>
  </si>
  <si>
    <t>6N0ZS</t>
  </si>
  <si>
    <t>36419838</t>
  </si>
  <si>
    <t>WOS:000889291400001</t>
  </si>
  <si>
    <t>Sepulveda, RS; Boman, M</t>
  </si>
  <si>
    <t>Background Mexico has one of the highest global incidences of paediatric overweight and obesity. Public health interventions have shown only moderate success, possibly from relying on knowledge extracted using limited types of statistical data analysis methods.Purpose To explore if multimodal machine learning can enhance identifying predictive features from obesogenic environments and investigating complex disease or social patterns, using the Mexican National Health and Nutrition Survey.Methods We grouped features into five data modalities corresponding to paediatric population exogenous factors, in two multimodal machine learning pipelines, against a unimodal early fusion baseline. The supervised pipeline employed four methods: Linear classifier with Elastic Net regularisation, k-Nearest Neighbour, Decision Tree, and Random Forest. The unsupervised pipeline used traditional methods with k-Means and hierarchical clustering, with the optimal number of clusters calculated to be k = 2.Results The decision tree classifier in the supervised early fusion approach produced the best quantitative results. The top five most important features for classifying child or adolescent health were measures of an adult in the household, selected at random: BMI, obesity diagnosis, being single, seeking care at private healthcare, and having paid TV in the home. Unsupervised learning approaches varied in the optimal number of clusters but agreed on the importance of home environment features when analysing inter-cluster patterns. Main findings from this study differed from previous studies using only traditional statistical methods on the same database. Notably, the BMI of a randomised adult within the household emerged as the most important feature, rather than maternal BMI, as reported in previous literature where unwanted cultural bias went undetected.Conclusion Our general conclusion is that multimodal machine learning is a promising approach for comprehensively analysing obesogenic environments. The modalities allowed for a multimodal approach designed to critically analyse data signal strength and reveal sources of unwanted bias. In particular, it may aid in developing more effective public health policies to address the ongoing paediatric obesity epidemic in Mexico.</t>
  </si>
  <si>
    <t>Sepulveda, Rosario Silva; Boman, Magnus</t>
  </si>
  <si>
    <t>Boman, M (corresponding author), Karolinska Inst, Dept Med Solna, Div Clin Epidemiol, Stockholm, Sweden.; Boman, M (corresponding author), Karolinska Univ Hosp, MedTechLabs, BioClinicum, Stockholm, Sweden.</t>
  </si>
  <si>
    <t>magnus.boman@ki.se</t>
  </si>
  <si>
    <t>[Sepulveda, Rosario Silva; Boman, Magnus] Karolinska Inst, Dept Med Solna, Div Clin Epidemiol, Stockholm, Sweden; [Boman, Magnus] Karolinska Univ Hosp, MedTechLabs, BioClinicum, Stockholm, Sweden</t>
  </si>
  <si>
    <t>Karolinska Institutet; Karolinska Institutet; Karolinska University Hospital</t>
  </si>
  <si>
    <t>Multimodal machine learning for analysing multifactorial causes of disease-The case of childhood overweight and obesity in Mexico</t>
  </si>
  <si>
    <t>supervised machine learning; unsupervised machine learning; multimodal machine learning; bias; paediatric obesity; obesogenic environment; Mexico</t>
  </si>
  <si>
    <t>SCHOOL-AGE-CHILDREN; RISK</t>
  </si>
  <si>
    <t>JAN 7 2025</t>
  </si>
  <si>
    <t>1369041</t>
  </si>
  <si>
    <t>10.3389/fpubh.2024.1369041</t>
  </si>
  <si>
    <t>http://dx.doi.org/10.3389/fpubh.2024.1369041</t>
  </si>
  <si>
    <t>S8G3M</t>
  </si>
  <si>
    <t>39845684</t>
  </si>
  <si>
    <t>WOS:001400536200001</t>
  </si>
  <si>
    <t>Vanderbecq, Q; Xia, WF; Chouzenoux, E; Smaily, D; Pesquet, JC; Zins, M; Wagner, M</t>
  </si>
  <si>
    <t>This study aims to develop and externally validate a multimodal AI model for detecting ischemia complicating small-bowel obstruction (SBO). We combined 3D CT data with routine laboratory markers (C-reactive protein, neutrophil count) and, optionally, radiology report indication/history text. From two centers, 1350 CT examinations were curated; 771 confirmed SBO scans were used for model development with patient-level splits. Ischemia labels were defined by surgical confirmation within 24 h of imaging. Models (MViT, ResNet-101, DaViT) were trained as unimodal and multimodal variants. External testing was used for 66 independent cases from a third center. Four radiologists (two residents and two experts) read the test set with and without AI assistance. Performance was assessed using AUC, sensitivity, specificity, and 95% bootstrap confidence intervals; predictions included a confidence score. The image-plus-laboratory model performed best on external testing (AUC 0.69 [0.59-0.79], sensitivity 0.89 [0.76-1.00], and specificity 0.44 [0.35-0.54]). Adding report text improved internal validation but did not generalize externally; image + text and full multimodal variants did not exceed image + laboratory performance. Across readers, baseline AUC ranged from 0.496 [0.361-0.640] to 0.745 [0.589-0.875] and increased with reader experience. With AI assistance, AUC ranged from 0.565 [0.419-0.717] to 0.845 [0.714-0.952] and from 0.519 [0.373-0.669] to 0.845 [0.708-0.954] when confidence scores were displayed, showing consistent but non-significant changes whatever the experience level. A multimodal model combining CT and lab data surpassed unimodal approaches for 24-h ischemia detection; as a triage-support tool, it showed a consistent but non-significant improvement in radiologist performance.</t>
  </si>
  <si>
    <t>Vanderbecq, Quentin; Xia, Wen Fan; Chouzenoux, Emilie; Smaily, Dima; Pesquet, Jean-Christophe; Zins, Marc; Wagner, Mathilde</t>
  </si>
  <si>
    <t>Vanderbecq, Q (corresponding author), St Antoine Hosp, AP HP Sorbonne, Dept Radiol, 184 Rue Faubourg St Antoine, F-75012 Paris, France.; Vanderbecq, Q (corresponding author), Univ Sorbonne, CNRS, INSERM,U114615, LLIB,UMR 7371, Rue Ecole Med, F-75006 Paris, France.</t>
  </si>
  <si>
    <t>q.vanderbecq@gmail.com</t>
  </si>
  <si>
    <t>Sorbonne Center for Artificial Intelligence (SCAI) of Sorbonne University under the IDEX SUPER program [11-IDEX-0004]</t>
  </si>
  <si>
    <t>Sorbonne Center for Artificial Intelligence (SCAI) of Sorbonne University under the IDEX SUPER program</t>
  </si>
  <si>
    <t>This work was supported by the Sorbonne Center for Artificial Intelligence (SCAI) of Sorbonne University under the IDEX SUPER program (11-IDEX-0004).</t>
  </si>
  <si>
    <t>[Vanderbecq, Quentin; Xia, Wen Fan; Smaily, Dima; Wagner, Mathilde] St Antoine Hosp, AP HP Sorbonne, Dept Radiol, 184 Rue Faubourg St Antoine, F-75012 Paris, France; [Vanderbecq, Quentin; Wagner, Mathilde] Univ Sorbonne, CNRS, INSERM,U114615, LLIB,UMR 7371, Rue Ecole Med, F-75006 Paris, France; [Chouzenoux, Emilie; Pesquet, Jean-Christophe] Univ Paris Saclay, INRIA Paris Saclay, CentraleSupelec, CVN, Gif Sur Yvette, France; [Zins, Marc] St Joseph Hosp, Dept Med Imaging, 185 Rue Raymond Losserand, F-75014 Paris, France</t>
  </si>
  <si>
    <t>Sorbonne Universite; Assistance Publique Hopitaux Paris (APHP); Hopital Universitaire Saint-Antoine - APHP; Institut National de la Sante et de la Recherche Medicale (Inserm); Sorbonne Universite; Centre National de la Recherche Scientifique (CNRS); Universite Paris Saclay; Universite Paris Cite; Hopital Paris Saint-Joseph</t>
  </si>
  <si>
    <t>Radiologist-AI Collaboration for Ischemia Diagnosis in Small-Bowel Obstruction: Multicentric Development and External Validation of a Multimodal Deep Learning Model</t>
  </si>
  <si>
    <t>Artificial intelligence; Deep learning; Computed tomography; Abdomen; Intestinal obstruction</t>
  </si>
  <si>
    <t>CT; MANAGEMENT; NEED</t>
  </si>
  <si>
    <t>10.1007/s10278-026-01980-6</t>
  </si>
  <si>
    <t>http://dx.doi.org/10.1007/s10278-026-01980-6</t>
  </si>
  <si>
    <t>HF7CR</t>
  </si>
  <si>
    <t>42056618</t>
  </si>
  <si>
    <t>WOS:001752952700001</t>
  </si>
  <si>
    <t>Green Accepted; Green Submitted</t>
  </si>
  <si>
    <t>Zhou, YC; Khasentino, J; Yun, TD; Biradar, MI; Shreibati, J; Lai, DB; Schwantes-An, TH; Luben, R; Mccaw, ZR; Engmann, J; Providencia, R; Schmidt, AF; Munroe, PB; Yang, HW; Carroll, A; Khawaja, AP; Mclean, CY; Behsaz, B; Hormozdiari, F</t>
  </si>
  <si>
    <t>Electronic health records, biobanks, and wearable biosensors enable the collection of multiple health modalities from many individuals. Access to multimodal health data provides a unique opportunity for genetic studies of complex traits because different modalities relevant to a single physiological system (e.g., circulatory system) encode complementary and overlapping information. We propose a multimodal deep learning method, multimodal representation learning for genetic discovery on low-dimensional embeddings (M-RE-GLE), for discovering genetic associations from a joint representation of complementary electrophysiological waveform modalities. M-REGLE jointly learns a lower representation (i.e., latent factors) of multimodal physiological waveforms using a convolutional variational autoencoder, performs genome-wide association studies (GWASs) on each latent factor, then combines the results to study the genetics of the underlying system. To validate the advantages of M-REGLE and multimodal learning, we apply it to common cardiovascular modalities (photoplethysmogram [PPG] and electrocardiogram [ECG]) and compare its results to unimodal learning methods in which representations are learned from each data modality separately but are statistically combined for downstream genetic comparison. M-REGLE identifies 19.3% more loci on the 12-lead ECG dataset, 13.0% more loci on the ECG lead I + PPG dataset, and its genetic risk score significantly outperforms the unimodal risk score at predicting cardiac phenotypes, such as atrial fibrillation (Afib), in multiple biobanks.</t>
  </si>
  <si>
    <t>Zhou, Yuchen; Khasentino, Justin; Yun, Taedong; Biradar, Mahantesh I.; Shreibati, Jacqueline; Lai, Dongbing; Schwantes-An, Tae-Hwi; Luben, Robert; Mccaw, Zachary R.; Engmann, Jorgen; Providencia, Rui; Schmidt, Amand Floriaan; Munroe, Patricia B.; Yang, Howard; Carroll, Andrew; Khawaja, Anthony P.; Mclean, Cory Y.; Behsaz, Babak; Hormozdiari, Farhad</t>
  </si>
  <si>
    <t>Behsaz, B; Hormozdiari, F (corresponding author), Google Res, Cambridge, MA 02142 USA.</t>
  </si>
  <si>
    <t>fhormoz@google.com; babak.behsaz@gmail.com</t>
  </si>
  <si>
    <t>Medical Research Council [MR/N003284/1 MC-UU_12015/1, MC_UU_00006/1, MC_PC_13048]; Cancer Research UK [C864/A14136]; National Institute for Health and Care Research Barts Biomedical Research Centre [NIHR203330]; UK Research and Innovation Future Leaders Fellowship, an Alcon Research Institute Young Investigator Award; Lister Institute of Preventive Medicine Award; NIHR Biomedical Research Centre at Moorfields Eye Hospital; BHF [PG/18/5033837, PG/22/10989]; UCL Institute of Ophthalmology; UCL BHF Research Accelerator [AA/18/6/34223]; UK Research and Innovation (UKRI) [EP/Z000211/1]; National Institute for Health Research University College London Hospitals Biomedical Research Centre; Rosetrees Trust</t>
  </si>
  <si>
    <t>Medical Research Council (UK Research &amp; Innovation (UKRI), Medical Research Council UK (MRC)); Cancer Research UK (Cancer Research UK); National Institute for Health and Care Research Barts Biomedical Research Centre; UK Research and Innovation Future Leaders Fellowship, an Alcon Research Institute Young Investigator Award; Lister Institute of Preventive Medicine Award; NIHR Biomedical Research Centre at Moorfields Eye Hospital; BHF (British Heart Foundation); UCL Institute of Ophthalmology; UCL BHF Research Accelerator; UK Research and Innovation (UKRI) (UK Research &amp; Innovation (UKRI)); National Institute for Health Research University College London Hospitals Biomedical Research Centre; Rosetrees Trust (Rosetrees Trust)</t>
  </si>
  <si>
    <t>We thank all participants, dataset creators, and maintainers of UK Biobank, BWHHS, EPIC-Norfolk, and Indiana Biobank. This research has been conducted using the UK Biobank Resource under application number 65275. The EPIC-Norfolk study (https://doi.org/10.22025/2019.10.105.00004) has received funding from the Medical Research Council (MR/N003284/1 MC-UU_12015/1 and MC_UU_00006/1) and Cancer Research UK (C864/A14136) . The genetics work in the EPIC-Norfolk study was funded by the Medical Research Council (MC_PC_13048) . P.B.M. acknowledges the support of the National Institute for Health and Care Research Barts Biomedical Research Centre (NIHR203330) . A.P.K. is supported by a UK Research and Innovation Future Leaders Fellowship, an Alcon Research Institute Young Investigator Award, and a Lister Institute of Preventive Medicine Award. This research was supported by the NIHR Biomedical Research Centre at Moorfields Eye Hospital and the UCL Institute of Ophthalmology. A.F.S. is supported by BHF grants PG/18/5033837, PG/22/10989, the UCL BHF Research Accelerator AA/18/6/34223 and by the UK Research and Innovation (UKRI) under the UK government's Horizon Europe funding guarantee EP/Z000211/1. A.F.S. received additional support from the National Institute for Health Research University College London Hospitals Biomedical Research Centre and the Rosetrees Trust (supplemental note) .</t>
  </si>
  <si>
    <t>[Zhou, Yuchen; Yun, Taedong; Behsaz, Babak; Hormozdiari, Farhad] Google Res, Cambridge, MA 02142 USA; [Khasentino, Justin; Yang, Howard; Carroll, Andrew] Google Res, San Francisco, CA 94105 USA; [Biradar, Mahantesh I.; Luben, Robert; Khawaja, Anthony P.] Moorfields Eye Hosp, NIHR Biomed Res Ctr, London EC1V 9EL, England; [Biradar, Mahantesh I.; Khawaja, Anthony P.] UCL Inst Ophthalmol, London EC1V 9EL, England; [Shreibati, Jacqueline; Luben, Robert; Khawaja, Anthony P.] Univ Cambridge, MRC Epidemiol Unit, Cambridge CB2 0SL, England; [Shreibati, Jacqueline] Google, Mountain View, CA 94043 USA; [Lai, Dongbing; Schwantes-An, Tae-Hwi] Indiana Univ Sch Med, Dept Med &amp; Mol Genet, Indianapolis, IN 46202 USA; Univ North Carolina, Dept Biostat, Chapel Hill, NC 27599 USA; [Engmann, Jorgen] UCL, Inst Cardiovasc Sci, Ctr Translat Genom Populat Sci &amp; Expt Med, London, England; [Providencia, Rui] UCL, Inst Hlth Informat Res, London, England; [Providencia, Rui] St Bartholomews Hosp, Barts Heart Ctr, Electrophysiol Dept, London, England; [Schmidt, Amand Floriaan] UCL, Inst Cardiovasc Sci, London, England; [Schmidt, Amand Floriaan] Univ Med Ctr Utrecht, Div Heart &amp; Lungs, Utrecht, Netherlands; [Munroe, Patricia B.] Queen Mary Univ London, William Harvey Res Inst, Barts &amp; London Fac Med &amp; Dent, London, England</t>
  </si>
  <si>
    <t>Alphabet Inc.; Google Incorporated; Alphabet Inc.; Google Incorporated; University of London; University College London; Moorfields Eye Hospital NHS Foundation Trust; University of London; University College London; University of Cambridge; Alphabet Inc.; Google Incorporated; Indiana University System; Indiana University Bloomington; University of North Carolina; University of North Carolina Chapel Hill; University of London; University College London; University of London; University College London; University of London; Queen Mary University London; University of London; University College London; Utrecht University; Utrecht University Medical Center; University of London; Queen Mary University London</t>
  </si>
  <si>
    <t>Applying multimodal AI to physiological waveforms improves genetic prediction of cardiovascular traits</t>
  </si>
  <si>
    <t>AMERICAN JOURNAL OF HUMAN GENETICS</t>
  </si>
  <si>
    <t>GENOME-WIDE ASSOCIATION; DURATION; INTERVAL; ATRIAL; HEART; RISK; ARCHITECTURE; PHENOTYPES; MORTALITY; PROTEINS</t>
  </si>
  <si>
    <t>Biradar, Mahantesh/K-8770-2012; Schmidt, Amand Floriaan/G-6602-2017; McCaw, Zachary/GPW-8723-2022; Luben, Robert/KIC-1257-2024; Munroe, Patricia/HJP-3565-2023; Providencia, Rui/HTN-7692-2023</t>
  </si>
  <si>
    <t>Yun, Taedong/0000-0002-6242-5536; Schmidt, Amand Floriaan/0000-0003-1327-0424</t>
  </si>
  <si>
    <t>0002-9297</t>
  </si>
  <si>
    <t>1537-6605</t>
  </si>
  <si>
    <t>AM J HUM GENET</t>
  </si>
  <si>
    <t>Am. J. Hum. Genet.</t>
  </si>
  <si>
    <t>JUL 3 2025</t>
  </si>
  <si>
    <t>1562</t>
  </si>
  <si>
    <t>1579</t>
  </si>
  <si>
    <t>10.1016/j.ajhg.2025.05.015</t>
  </si>
  <si>
    <t>http://dx.doi.org/10.1016/j.ajhg.2025.05.015</t>
  </si>
  <si>
    <t>Genetics &amp; Heredity</t>
  </si>
  <si>
    <t>5LU7X</t>
  </si>
  <si>
    <t>40543505</t>
  </si>
  <si>
    <t>WOS:001538733500006</t>
  </si>
  <si>
    <t>Chen, BJ</t>
  </si>
  <si>
    <t>English is now the language used in the world, but cultural differences, accents and non-verbal language can pose a major obstacle. Communication systems in use tend to be unimodal, requiring only plain text or voice. To build a scalable cross-cultural communication model for English in IoT scenarios for dealing with multimodal data streams. A Scalable Nut Cracker Search-Tuned Seq2Seq LSTM (SNC-S2S Net) is introduced. The proposed SNCS2S Net is designed to perform robust and adaptive multimodal communication-quality classification by integrating CNN-driven multimodal feature extraction, attention-guided multimodal fusion, Seq2Seq LSTM sequence modeling, and Nut Cracker Search optimization. The model predicts communication-quality levels from synchronized text, speech, and facial-expression inputs, enabling scalable, accurate, and culturally adaptive communication-quality assessment across diverse multimodal IoT environments. Publicly available multimodal datasets containing English text, speech audio, and facial expression images are utilized to simulate cross-cultural interaction scenarios. Noise reduction techniques such as Gaussian filter and stop-word removal, tokenization, and Z-score normalization ensure high-quality, synchronized multimodal input. CNN-based hierarchical representation learning is applied across text embeddings, speech spectrograms, and facial images. SNC-S2S Net encodes multimodal sequences, applies optimization-driven tuning, and classifies multimodal communication quality to cultural variations. Implementation is carried out in Python using Tensorflow and PyTorch frameworks with IoT-based data integration. SNC-S2S Net achieves improved scalability, faster convergence, and prediction accuracy (0.988) for multimodal response quality prediction, precision (0.983), recall (0.977), and F1-score (0.968). The macro-p (0.983), macro-R (0.977), macro-f1 (0.968) and A (0.988) were superior to traditional approaches. The framework establishes a novel pathway for intelligent, and culturally adaptive English communication within IoT ecosystems.</t>
  </si>
  <si>
    <t>Chen, Bojuan</t>
  </si>
  <si>
    <t>Chen, BJ (corresponding author), Changsha Social Work Coll, Sch Foreign Languages, Changsha 410004, Hunan, Peoples R China.</t>
  </si>
  <si>
    <t>chenbojuan-333@outlook.com</t>
  </si>
  <si>
    <t>Research Agreement on "Studying the Enhancement of Students'Core Competencies in Cross-border commerce through the Multilingual Version of DayouDan APP System"; Changsha Social Work College; Hunan Dijia Technology Co., Ltd. [HX2025460]</t>
  </si>
  <si>
    <t>Research Agreement on "Studying the Enhancement of Students'Core Competencies in Cross-border commerce through the Multilingual Version of DayouDan APP System"; Changsha Social Work College; Hunan Dijia Technology Co., Ltd.</t>
  </si>
  <si>
    <t>This research was supported by Research Agreement on "Studying the Enhancement of Students'Core Competencies in Cross-border commerce through the Multilingual Version of DayouDan APP System", Project from Changsha Social Work College and Hunan Dijia Technology Co., Ltd. (No.HX2025460) .</t>
  </si>
  <si>
    <t>[Chen, Bojuan] Changsha Social Work Coll, Sch Foreign Languages, Changsha 410004, Hunan, Peoples R China</t>
  </si>
  <si>
    <t>Changsha Social Work College</t>
  </si>
  <si>
    <t>Multimodal machine learning and IoT assisted english cross-cultural communication system</t>
  </si>
  <si>
    <t>SYSTEMS AND SOFT COMPUTING</t>
  </si>
  <si>
    <t>English communication; Multimodal machine learning; Seq2seq lstm; Nut cracker optimization; Iot; Cross-cultural adaptation; CNN</t>
  </si>
  <si>
    <t>2772-9419</t>
  </si>
  <si>
    <t>SYST SOFT COMPUT</t>
  </si>
  <si>
    <t>Syst. Soft Comput.</t>
  </si>
  <si>
    <t>200583</t>
  </si>
  <si>
    <t>10.1016/j.sasc.2026.200583</t>
  </si>
  <si>
    <t>http://dx.doi.org/10.1016/j.sasc.2026.200583</t>
  </si>
  <si>
    <t>Computer Science, Artificial Intelligence; Computer Science, Interdisciplinary Applications</t>
  </si>
  <si>
    <t>MM6SI</t>
  </si>
  <si>
    <t>WOS:001845870300001</t>
  </si>
  <si>
    <t>Tang, J; Yin, X; Lai, JY; Luo, KY; Wu, DD</t>
  </si>
  <si>
    <t>Background: Osteoporosis is a bone disease characterized by reduced bone mineral density and mass, which increase the risk of fragility fractures in patients. Artificial intelligence can mine imaging features specific to different bone densities, shapes, and structures and fuse other multimodal features for synergistic diagnosis to improve prediction accuracy. Objective: This study aims to develop a multimodal model that fuses chest X-rays and clinical parameters for opportunistic screening of osteoporosis and to compare and analyze the experimental results with existing methods. Methods: We used multimodal data, including chest X-ray images and clinical data, from a total of 1780 patients at Chongqing Daping Hospital from January 2019 to August 2024. We adopted a probability fusion strategy to construct a multimodal model. In our model, we used a convolutional neural network as the backbone network for image processing and fine-tuned it using a transfer learning technique to suit the specific task of this study. In addition, we introduced a gradient-based wavelet feature extraction method. We combined it with an attention mechanism to assist in feature fusion, which enhanced the model's focus on key regions of the image and further improved its ability to extract image features. Results: The multimodal model proposed in this paper outperforms the traditional methods in the 4 evaluation metrics of area under the curve value, accuracy, sensitivity, and specificity. Compared with using only the X-ray image model, the multimodal model improved the area under the curve value significantly from 0.951 to 0.975 (P=.004), the accuracy from 89.32% to 92.36% (P=.045), the sensitivity from 89.82% to 91.23% (P=.03), and the specificity from 88.64% to 93.92% (P=.008). Conclusions: While the multimodal model that fuses chest X-ray images and clinical data demonstrated superior performance compared to unimodal models and traditional methods, this study has several limitations. The dataset size may not be sufficient to capture the full diversity of the population. The retrospective nature of the study may introduce selection bias, and the lack of external validation limits the generalizability of the findings. Future studies should address these limitations by incorporating larger, more diverse datasets and conducting rigorous external validation to further establish the model's clinical use.</t>
  </si>
  <si>
    <t>Tang, Jun; Yin, Xiang; Lai, Jiangyuan; Luo, Keyu; Wu, Dongdong</t>
  </si>
  <si>
    <t>Wu, DD (corresponding author), Army Med Univ, Daping Hosp, Dept Informat, 10 Daping Changjiang Branch Rd, Chongqing, Peoples R China.</t>
  </si>
  <si>
    <t>604269346@qq.com</t>
  </si>
  <si>
    <t>National Natural Science Foundation of China [72374206]; Artificial Intelligence Medical Research Project of Daping Hospital in Chongqing, China [ZXAIYB015]; Basic Research Project of Daping Hospital in Chongqing, China [ZXJCYJ202414]</t>
  </si>
  <si>
    <t>National Natural Science Foundation of China (National Natural Science Foundation of China (NSFC)); Artificial Intelligence Medical Research Project of Daping Hospital in Chongqing, China; Basic Research Project of Daping Hospital in Chongqing, China</t>
  </si>
  <si>
    <t>This work was supported by the National Natural Science Foundation of China (72374206) ; the Artificial Intelligence Medical Research Project of Daping Hospital in Chongqing, China (ZXAIYB015) ; and the Basic Research Project of Daping Hospital in Chongqing, China (ZXJCYJ202414) .</t>
  </si>
  <si>
    <t>[Tang, Jun; Wu, Dongdong] Army Med Univ, Daping Hosp, Dept Informat, 10 Daping Changjiang Branch Rd, Chongqing, Peoples R China; [Yin, Xiang; Luo, Keyu] Army Med Univ, Daping Hosp, Dept Orthoped, Chongqing, Peoples R China; [Lai, Jiangyuan] Army Med Univ, Sch Basic Med, Dept Traumat Surg, Chongqing, Peoples R China</t>
  </si>
  <si>
    <t>Army Medical University; Army Medical University; Army Medical University</t>
  </si>
  <si>
    <t>Fusion of X-Ray Images and Clinical Data for a Multimodal Deep Learning Prediction Model of Osteoporosis: Algorithm Development and Validation Study</t>
  </si>
  <si>
    <t>osteoporosis; chest X-ray; convolutional neural network; multimodal; attention mechanism; wavelet transform; soft attention</t>
  </si>
  <si>
    <t>Wu, Dongdong/QOA-9280-2026</t>
  </si>
  <si>
    <t>lai, jiangyuan/0009-0009-0157-7657; Wu, Dongdong/0000-0001-7826-5963</t>
  </si>
  <si>
    <t>e70738</t>
  </si>
  <si>
    <t>10.2196/70738</t>
  </si>
  <si>
    <t>http://dx.doi.org/10.2196/70738</t>
  </si>
  <si>
    <t>7TA0V</t>
  </si>
  <si>
    <t>40966528</t>
  </si>
  <si>
    <t>WOS:001578958700001</t>
  </si>
  <si>
    <t>Jang, M; Kim, D; Yoon, S; Lee, H</t>
  </si>
  <si>
    <t>Introduction: Firefighters constitute a high-risk occupational cohort for alcohol use disorder (AUD) due to chronic trauma exposure, yet traditional screening methodologies relying on self-report instruments remain compromised by systematic underreporting attributable to occupational stigma and career preservation concerns. This cross-sectional investigation developed and validated a multimodal deep learning framework integrating T1-weighted structural magnetic resonance imaging with standardized neuropsychological assessments to enable objective AUD risk stratification without necessitating computationally intensive functional neuroimaging protocols. Methods: Analysis of 689 active-duty firefighters (mean age 43.3 +/- 8.8 years; 93% male) from a nationwide occupational cohort incorporated high-resolution three-dimensional T1-weighted structural MRI acquisition alongside comprehensive neuropsychological evaluation utilizing the Grooved Pegboard Test for visual-motor coordination assessment and Trail Making Test for executive function quantification. The novel computational architecture synergistically combined ResNet-50 convolutional neural networks for hierarchical morphological feature extraction, Vision Transformer modules for global neuroanatomical pattern recognition, and multilayer perceptron integration of clinical variables, with model interpretability assessed through Gradient-weighted Class Activation Mapping and SHapley Additive exPlanations methodologies. Performance evaluation employed stratified three-fold cross-validation with DeLong's test for statistical comparison of receiver operating characteristic curves. Results: The multimodal framework achieved 79.88% classification accuracy with area under the receiver operating characteristic curve of 79.65%, representing statistically significant performance enhancement relative to clinical-only (62.53%; p&lt;0.001) and neuroimaging-only (61.53%; p&lt;0.001) models, demonstrating a 17.35 percentage-point improvement attributable to synergistic cross-modal integration rather than simple feature concatenation. Interpretability analyses revealed stochastic activation patterns in unimodal neuroimaging models lacking neuroanatomically coherent feature localization, while clinical feature importance hierarchically prioritized biological sex and motor coordination metrics as primary predictive indicators. The framework maintained robust calibration across probability thresholds, supporting operational feasibility for clinical deployment. Discussion: This investigation establishes that structural neuroimaging combined with targeted neuropsychological assessment achieves classification performance comparable to complex multimodal protocols while substantially reducing acquisition time and computational requirements, offering a pragmatic pathway for implementing objective AUD screening in high-risk occupational populations with broader implications for psychiatric risk stratification in trauma-exposed professions.</t>
  </si>
  <si>
    <t>Jang, MyeongGyun; Kim, DongOk; Yoon, Sujung; Lee, Hwamin</t>
  </si>
  <si>
    <t>Lee, H (corresponding author), Korea Univ, Coll Med, Dept Biomed Informat, Seoul, South Korea.; Yoon, S (corresponding author), Ewha Womans Univ, Ewha Brain Inst, Seoul, South Korea.; Yoon, S (corresponding author), Ewha Womans Univ, Dept Brain &amp; Cognit Sci, Seoul, South Korea.</t>
  </si>
  <si>
    <t>hwamin@korea.ac.kr; sujungjyoon@ewha.ac.kr</t>
  </si>
  <si>
    <t>National Research Foundation of Korea [RS-2024-00457381, RS-2024-00440371]</t>
  </si>
  <si>
    <t>The author(s) declare financial support was received for the research and/or publication of this article. This work was supported by the National Research Foundation of Korea (NRF) grant funded by the Korea government (MSIT)(RS-2024-00457381 and RS-2024-00440371).</t>
  </si>
  <si>
    <t>[Jang, MyeongGyun; Kim, DongOk; Lee, Hwamin] Korea Univ, Coll Med, Dept Biomed Informat, Seoul, South Korea; [Yoon, Sujung] Ewha Womans Univ, Ewha Brain Inst, Seoul, South Korea; [Yoon, Sujung] Ewha Womans Univ, Dept Brain &amp; Cognit Sci, Seoul, South Korea</t>
  </si>
  <si>
    <t>Korea University; Korea University Medicine (KU Medicine); Ewha Womans University; Ewha Womans University</t>
  </si>
  <si>
    <t>Predicting alcohol use disorder risk in firefighters using a multimodal deep learning model: a cross-sectional study</t>
  </si>
  <si>
    <t>alcohol use disorder; firefighters; multimodal deep learning; structural MRI; occupational psychiatry; neuroimaging biomarkers</t>
  </si>
  <si>
    <t>FUSION; HEALTH</t>
  </si>
  <si>
    <t>Jang, MyeongGyun/0009-0003-8812-4509</t>
  </si>
  <si>
    <t>NOV 3 2025</t>
  </si>
  <si>
    <t>1643552</t>
  </si>
  <si>
    <t>10.3389/fpsyt.2025.1643552</t>
  </si>
  <si>
    <t>http://dx.doi.org/10.3389/fpsyt.2025.1643552</t>
  </si>
  <si>
    <t>9WR3Y</t>
  </si>
  <si>
    <t>41256950</t>
  </si>
  <si>
    <t>WOS:001616818500001</t>
  </si>
  <si>
    <t>Haleem, MS; Katsarou, D; Georga, EI; Dafoulas, GE; Bargiota, A; Lopez-Perez, L; Rujas, M; Fico, G; Pecchia, L; Fotiadis, D; Gatekeeper Consortium</t>
  </si>
  <si>
    <t>The accurate prediction of blood glucose is critical for the effective management of diabetes. Modern continuous glucose monitoring (CGM) technology enables real-time acquisition of interstitial glucose concentrations, which can be calibrated against blood glucose measurements. However, a key challenge in the effective management of type 2 diabetes lies in forecasting critical events driven by glucose variability. While recent advances in deep learning enable modeling of temporal patterns in glucose fluctuations, most of the existing methods rely on unimodal inputs and fail to account for individual physiological differences that influence interstitial glucose dynamics. These limitations highlight the need for multimodal approaches that integrate additional personalized physiological information. One of the primary reasons for multimodal approaches not being widely studied in this field is the bottleneck associated with the availability of subjects' health records. In this paper, we propose a multimodal approach trained on sequences of CGM values and enriched with physiological context derived from health records of 40 individuals with type 2 diabetes. The CGM time series were processed using a stacked Convolutional Neural Network (CNN) and a Bidirectional Long Short-Term Memory (BiLSTM) network followed by an attention mechanism. The BiLSTM learned long-term temporal dependencies, while the CNN captured local sequential features. Physiological heterogeneity was incorporated through a separate pipeline of neural networks that processed baseline health records and was later fused with the CGM modeling stream. To validate our model, we utilized CGM values of 30 min sampled with a moving window of 5 min to predict the CGM values with a prediction horizon of (a) 15 min, (b) 30 min, and (c) 60 min. We achieved the multimodal architecture prediction results with Mean Absolute Point Error (MAPE) between 14 and 24 mg/dL, 19-22 mg/dL, 25-26 mg/dL in case of Menarini sensor and 6-11 mg/dL, 9-14 mg/dL, 12-18 mg/dL in case of Abbot sensor for 15, 30 and 60 min prediction horizon respectively. The results suggested that the proposed multimodal model achieved higher prediction accuracy compared to unimodal approaches; with upto 96.7% prediction accuracy; supporting its potential as a generalizable solution for interstitial glucose prediction and personalized management in the type 2 diabetes population.</t>
  </si>
  <si>
    <t>Haleem, Muhammad Salman; Katsarou, Daphne; Georga, Eleni I.; Dafoulas, George E.; Bargiota, Alexandra; Lopez-Perez, Laura; Rujas, Miguel; Fico, Giuseppe; Pecchia, Leandro; Fotiadis, Dimitrios; Gatekeeper Consortium, Claudio</t>
  </si>
  <si>
    <t>Haleem, MS (corresponding author), Univ Warwick, Sch Engn, Coventry CV4 7AL, England.; Haleem, MS (corresponding author), Queen Mary Univ London, Sch Elect Engn &amp; Comp Sci, London E1 4NS, England.</t>
  </si>
  <si>
    <t>salman.haleem@warwick.ac.uk</t>
  </si>
  <si>
    <t>GATEKEEPER EU Horizon 2020 [857223]; European Union's Horizon 2020 research and innovation program; European Regional Development Fund (ERDF)</t>
  </si>
  <si>
    <t>GATEKEEPER EU Horizon 2020; European Union's Horizon 2020 research and innovation program (Horizon 2020); European Regional Development Fund (ERDF) (European Union (EU))</t>
  </si>
  <si>
    <t>The authors would like to express their sincerest gratitude to all the partners and participants of the GATEKEEPER project. This project has received funding from the European Union's Horizon 2020 research and innovation program (under grant 857223), cofounded by the European Regional Development Fund (ERDF), "A way to make Europe." The funder played no role in study design, data collection, analysis and interpretation of data, or the writing of this manuscript.</t>
  </si>
  <si>
    <t>[Haleem, Muhammad Salman] Univ Warwick, Sch Engn, Coventry CV4 7AL, England; [Haleem, Muhammad Salman] Queen Mary Univ London, Sch Elect Engn &amp; Comp Sci, London E1 4NS, England; [Katsarou, Daphne; Georga, Eleni I.; Fotiadis, Dimitrios] Univ Ioannina, Dept Mat Sci &amp; Engn, Ioannina, Greece; [Dafoulas, George E.] Univ Thessaly, Fac Med, Volos, Greece; [Bargiota, Alexandra] Univ Hosp Larisa, Dept Endocrinol &amp; Metab Dis, Larisa, Greece; [Lopez-Perez, Laura; Rujas, Miguel; Fico, Giuseppe] Univ Politecn Madrid, ETSIT, Life Supporting Technol Res Grp, Madrid, Spain; [Pecchia, Leandro] Univ Campus Bio Med, Via Alvaro Portillo 21, I-00128 Rome, Italy</t>
  </si>
  <si>
    <t>University of Warwick; University of London; Queen Mary University London; University of Ioannina; University of Thessaly; General University Hospital of Larissa; Universidad Politecnica de Madrid; University Campus Bio-Medico - Rome Italy</t>
  </si>
  <si>
    <t>A multimodal deep learning architecture for predicting interstitial glucose for effective type 2 diabetes management</t>
  </si>
  <si>
    <t>Multimodal AI; Deep learning; Interstitial glucose prediction</t>
  </si>
  <si>
    <t>Rujas, Miguel/KHD-9161-2024; Pecchia, Leandro/AAF-7325-2019; Fico, Giuseppe/K-3640-2017; Haleem, Salman/AAM-7146-2020; /AAP-1358-2020</t>
  </si>
  <si>
    <t>Rujas, Miguel/0009-0005-8198-3356</t>
  </si>
  <si>
    <t>JUL 29 2025</t>
  </si>
  <si>
    <t>27625</t>
  </si>
  <si>
    <t>10.1038/s41598-025-07272-3</t>
  </si>
  <si>
    <t>http://dx.doi.org/10.1038/s41598-025-07272-3</t>
  </si>
  <si>
    <t>5NO7Z</t>
  </si>
  <si>
    <t>40730832</t>
  </si>
  <si>
    <t>WOS:001539934000016</t>
  </si>
  <si>
    <t>Yu, HP; Xu, HZ; Wang, J; Li, H</t>
  </si>
  <si>
    <t>Inspired by human multisensory synergy, multimodal emotion recognition (MER) has advanced human-computer interaction by integrating complementary information from multiple sources. However, multimodal models often suffer from modality imbalance, limits their performance. Existing methods rarely achieve both sufficient unimodal learning and balanced multimodal learning. Even when modality balance is addressed, optimization trajectories among modalities can still impair individual learning. To tackle these issues, we propose Dynamic Reassembly-Fusion (DRFusion), comprises: (1) adaptive fine-grained reassembly to strengthen weak modalities and align gradient directions, and (2) uncertainty-aware fusion for robust multimodal integration. DRFusion both unimodal sufficiency and multimodal balance by selecting weak modalities and performing batch-level reassembly. By explicitly modeling each modality's predictive uncertainty,effectively handles scenarios with both modality imbalance and insufficiency. Extensive experiments on benchmark datasets show that DRFusion outperforms state-of-the-art multimodal learning methods.</t>
  </si>
  <si>
    <t>Yu, Haipeng; Xu, Hengzhou; Wang, Jian; Li, Hua</t>
  </si>
  <si>
    <t>Yu, HP (corresponding author), Henan Univ Engn, Zhengzhou 451191, Henan, Peoples R China.</t>
  </si>
  <si>
    <t>yuhp@haue.edu.cn; xhz05228@126.com; wangjian840821@126.com; 13181972@qq.com</t>
  </si>
  <si>
    <t>Henan Province Science and Technology Research Plan Project [252102210236]</t>
  </si>
  <si>
    <t>Henan Province Science and Technology Research Plan Project</t>
  </si>
  <si>
    <t>This work was supported by the Henan Province Science and Technology Research Plan Project (252102210236) .</t>
  </si>
  <si>
    <t>[Yu, Haipeng; Xu, Hengzhou; Wang, Jian; Li, Hua] Henan Univ Engn, Zhengzhou 451191, Henan, Peoples R China</t>
  </si>
  <si>
    <t>Henan University of Engineering</t>
  </si>
  <si>
    <t>DRFusion: Enhancing balanced and sufficient multimodal learning for human emotion recognition</t>
  </si>
  <si>
    <t>ALEXANDRIA ENGINEERING JOURNAL</t>
  </si>
  <si>
    <t>Emotion recognition; Heterogeneity; Multimodal learning; Affective computing; Human-computer interaction</t>
  </si>
  <si>
    <t>1110-0168</t>
  </si>
  <si>
    <t>2090-2670</t>
  </si>
  <si>
    <t>ALEX ENG J</t>
  </si>
  <si>
    <t>Alex. Eng. J.</t>
  </si>
  <si>
    <t>139</t>
  </si>
  <si>
    <t>10.1016/j.aej.2026.01.050</t>
  </si>
  <si>
    <t>http://dx.doi.org/10.1016/j.aej.2026.01.050</t>
  </si>
  <si>
    <t>DZ0IW</t>
  </si>
  <si>
    <t>WOS:001695454700001</t>
  </si>
  <si>
    <t>Sun, DY; Li, YB; Liu, Z; Jia, SX; Noman, K</t>
  </si>
  <si>
    <t>Multimodality is a universal characteristic of multi-source monitoring data for rotating machinery. The correlation fusion of multimodal information is a general law to strengthen the cognition of fault features, and an effective way to improve the reliability and robustness of fault diagnosis methods. However, the physical connotation gaps between multimodal information hinder the construction of correlations, preventing mainstream machine learning (ML) based intelligent diagnosis methods from reliably and effectively taking advantage of multimodal fusion. To address these issues, a physics-inspired multimodal fusion convolutional neural network (PMFN) is proposed in this paper. It is the first attempt to integrate physical knowledge into ML models to bridge physical connotation gaps between multimodal fault information. Specifically, the characterization patterns of rotating machinery fault in multimodal information are embedded in the attention mechanism to focus on representative fault features with physical properties, and generate the universal representation of multimodal information. Furthermore, the cross -modal correlation fusion module is introduced to adaptively construct the correlations of multimodal information, thereby highlighting the unique feature of unimodal information and the shared representation of multimodal information. Finally, the superiority of the proposed fusion method is verified by two cases of industrial gearbox and bearing-rotor system.</t>
  </si>
  <si>
    <t>Sun, Dingyi; Li, Yongbo; Liu, Zheng; Jia, Sixiang; Noman, Khandaker</t>
  </si>
  <si>
    <t>Li, YB (corresponding author), Northwestern Polytech Univ, Sch Aeronaut, Xian 710072, Shaanxi, Peoples R China.</t>
  </si>
  <si>
    <t>yongbo@nwpu.edu.cn</t>
  </si>
  <si>
    <t>National Natural Science Founda-tion of China [12172290, 52250410345]</t>
  </si>
  <si>
    <t>National Natural Science Founda-tion of China (National Natural Science Foundation of China (NSFC))</t>
  </si>
  <si>
    <t>The research is supported by the National Natural Science Founda-tion of China under Grant 12172290 and 52250410345.</t>
  </si>
  <si>
    <t>[Sun, Dingyi; Li, Yongbo; Jia, Sixiang] Northwestern Polytech Univ, Sch Aeronaut, Xian 710072, Shaanxi, Peoples R China; [Liu, Zheng] Univ British Columbia, Sch Engn, Kelowna, BC V1V 1V7, Canada; [Noman, Khandaker] Northwestern Polytech Univ, Sch Civil Aviat, Xian 710072, Shaanxi, Peoples R China</t>
  </si>
  <si>
    <t>Northwestern Polytechnical University; University of British Columbia; Northwestern Polytechnical University</t>
  </si>
  <si>
    <t>Physics-inspired multimodal machine learning for adaptive correlation fusion based rotating machinery fault diagnosis</t>
  </si>
  <si>
    <t>Information fusion; Multimodal machine learning; Physical knowledge; Correlations; Fault diagnosis</t>
  </si>
  <si>
    <t>Li, Yongbo/ABE-2120-2020; Liu, Zheng/D-8678-2016; Jia, Sixiang/MAH-6459-2025; Noman, Khandaker/OKH-7617-2025</t>
  </si>
  <si>
    <t>孙, 丁一/0009-0005-5116-2506</t>
  </si>
  <si>
    <t>356</t>
  </si>
  <si>
    <t>108</t>
  </si>
  <si>
    <t>102394</t>
  </si>
  <si>
    <t>10.1016/j.inffus.2024.102394</t>
  </si>
  <si>
    <t>http://dx.doi.org/10.1016/j.inffus.2024.102394</t>
  </si>
  <si>
    <t>QZ2Y6</t>
  </si>
  <si>
    <t>WOS:001224638200001</t>
  </si>
  <si>
    <t>Chen, CJ; Soltanieh, S; Rajapaksa, S; Khalvati, F; Yeh, EA</t>
  </si>
  <si>
    <t>Background and objectives Identifying multiple sclerosis (MS) in children early is critical, as early therapeutic intervention can improve outcomes. The anterior visual pathway has been demonstrated to be of central importance in diagnostic considerations for MS and has recently been identified as a fifth topography in the McDonald Diagnostic Criteria for MS. Optical coherence tomography (OCT) provides high-resolution retinal imaging and reflects the structural integrity of the retinal nerve fiber and ganglion cell inner plexiform layers. Whether multimodal deep learning models can use OCT alone to diagnose pediatric onset MS (POMS) is unknown.Methods We analyzed 3D OCT scans collected prospectively through the Neuroinflammatory Registry of the Hospital for Sick Children (REB#1000005356). Raw macular and optic nerve head images, and 52 automatically segmented features were included. We evaluated three classification approaches: (1) deep learning models (e.g., ResNet, DenseNet) for representation learning followed by classical ML classifiers, (2) ML models trained on OCT-derived features, and (3) multimodal models combining both via early and late fusion.Results Scans from individuals with POMS (onset 16.0 +/- 3.1 years, 51.0% female; 211 scans) and 29 children with non-inflammatory neurological conditions (13.1 +/- 4.0 years, 69.0% female, 52 scans) were included. The early fusion model achieved the highest performance (AUC: 0.90, weighted F1: 0.87, macro F1: 0.77, accuracy: 87%), outperforming both unimodal and late fusion models. The best unimodal feature-based model (SVC) yielded an AUC of 0.84, weighted F1 of 0.85, macro F1 of 0.73, and accuracy of 85%, while the best image-based model (ResNet101 with SVC) achieved an AUC of 0.79, weighted F1 of 0.84, macro F1 of 0.70, and accuracy of 87%. Late fusion underperformed, reaching 82% accuracy but failing in the minority class.Discussion Multimodal learning with early fusion significantly enhances diagnostic performance by combining spatial retinal information with clinically relevant structural features. This approach captures complementary patterns associated with MS pathology and shows promise as an AI-driven tool to support pediatric neuroinflammatory diagnosis.</t>
  </si>
  <si>
    <t>Chen, Chaojun; Soltanieh, Sahar; Rajapaksa, Sajith; Khalvati, Farzad; Yeh, E. Ann</t>
  </si>
  <si>
    <t>Yeh, EA (corresponding author), Hosp Sick Children, SickKids Res Inst, Program Neurosci &amp; Mental Hlth, Toronto, ON, Canada.; Yeh, EA (corresponding author), Univ Toronto, Hosp Sick Children, Dept Pediat, Div Neurol, Toronto, ON, Canada.</t>
  </si>
  <si>
    <t>ann.yeh@sickkids.ca</t>
  </si>
  <si>
    <t>Ontario Institute for Regenerative Medicine (OIRM), Stem Cell Network; SickKids Foundation</t>
  </si>
  <si>
    <t>The author(s) declared that financial support was received for this work and/or its publication. This work was supported by the Ontario Institute for Regenerative Medicine (OIRM), Stem Cell Network, the Garry Hurvitz Chair in Neurology, and the Chair in Medical Imaging and Artificial Intelligence, a joint Hospital-University Chair between the University of Toronto, The Hospital for Sick Children, and the SickKids Foundation.</t>
  </si>
  <si>
    <t>[Chen, Chaojun; Soltanieh, Sahar; Rajapaksa, Sajith; Khalvati, Farzad; Yeh, E. Ann] Hosp Sick Children, SickKids Res Inst, Program Neurosci &amp; Mental Hlth, Toronto, ON, Canada; [Khalvati, Farzad] Univ Toronto, Dept Med Imaging, Toronto, ON, Canada; [Yeh, E. Ann] Univ Toronto, Hosp Sick Children, Dept Pediat, Div Neurol, Toronto, ON, Canada</t>
  </si>
  <si>
    <t>Hospital for Sick Children (SickKids); University of Toronto; Hospital for Sick Children (SickKids); University of Toronto; Hospital for Sick Children (SickKids); University of Toronto; Hospital for Sick Children (SickKids)</t>
  </si>
  <si>
    <t>Multimodal machine learning for distinguishing pediatric multiple sclerosis from non-inflammatory conditions using optical coherence tomography</t>
  </si>
  <si>
    <t>demyelinating disorders; multimodal machine learning; neuroimaging diagnostics; optical coherence tomography; pediatric multiple sclerosis</t>
  </si>
  <si>
    <t>AUTOMATED DETECTION; THICKNESS; NEURITIS; RISK</t>
  </si>
  <si>
    <t>APR 21 2026</t>
  </si>
  <si>
    <t>1791696</t>
  </si>
  <si>
    <t>10.3389/fneur.2026.1791696</t>
  </si>
  <si>
    <t>http://dx.doi.org/10.3389/fneur.2026.1791696</t>
  </si>
  <si>
    <t>HJ5BJ</t>
  </si>
  <si>
    <t>42093931</t>
  </si>
  <si>
    <t>WOS:001755531300001</t>
  </si>
  <si>
    <t>Zhou, YJ; Gao, SS; Wang, T; Dai, W; Ye, KC; Ma, BW; Zhou, Y; Fan, SY; Gui, YY; Ma, WH; Chen, ZJ; Xing, SL; Su, JZ; Qu, J; Yuan, J; Yao, YH</t>
  </si>
  <si>
    <t>High myopia (HM) is a complex condition influenced by both genetic and environmental factors, yet its early prediction and clinical intervention remain challenging due to heterogeneous progression patterns. To support early identification of individuals at risk for HM, we developed MIRAGE, a deep learning framework combining exome-wide genotypes with fundus images for personalized prediction. The model combines DeepExGRS for genetic risk modeling and a convolutional network for imaging, fused via a gating attention mechanism. Applied to a cohort of 1991 individuals, MIRAGE achieved high predictive accuracy (AUC = 0.963), outperforming unimodal models. Interpretation using Integrated Gradients and Shapley values identified key genes (e.g. GJD2, FGF1) and image regions (optic disc, macula) contributing to predictions. Further, deep learning-based genetic risk models (DeepcvGRS and DeeprvGRS) outperformed traditional polygenic risk scores, capturing nonlinear interactions and improving HM prediction. Interaction analysis using Shapley interaction scores revealed 314 significant gene-gene interactions, including biologically relevant pairs such as PRSS56-GLI3 and SEMA4D-FRY. Overall, MIRAGE offers a scalable, interpretable, and accurate approach for HM risk stratification, paving the way to early intervention guided by both genetics and retinal imaging.</t>
  </si>
  <si>
    <t>Zhou, Yijun; Gao, Shuaishuai; Wang, Tao; Dai, Wei; Ye, Kaicheng; Ma, Bowei; Zhou, Yao; Fan, Shuyan; Gui, Yuanyuan; Ma, Wenhao; Chen, Zhen Ji; Xing, Shilai; Su, Jianzhong; Qu, Jia; Yuan, Jian; Yao, Yinghao</t>
  </si>
  <si>
    <t>Su, JZ; Qu, J; Yuan, J; Yao, YH (corresponding author), Wenzhou Med Univ, Eye Hosp, State Key Lab Eye Hlth, 270 West Xueyuan Rd, Wenzhou 325027, Zhejiang, Peoples R China.</t>
  </si>
  <si>
    <t>sujz@wmu.edu.cn; qujia@eye.ac.cn; jianyuan@wmu.edu.cn; yaoyh91@wmu.edu.cn</t>
  </si>
  <si>
    <t>The 'Pioneer' and 'Leading Goose' R&amp;D Program of Zhejiang [2025C02153]; National Natural Science Foundation of China [T2525030, 32400549]; Technology Breakthrough Program of Ningbo Sci-Tech Innovation YONGJIANG 2035 [2024Z221, 2025Z160]</t>
  </si>
  <si>
    <t>The 'Pioneer' and 'Leading Goose' R&amp;D Program of Zhejiang; National Natural Science Foundation of China (National Natural Science Foundation of China (NSFC)); Technology Breakthrough Program of Ningbo Sci-Tech Innovation YONGJIANG 2035</t>
  </si>
  <si>
    <t>This work was supported by the 'Pioneer' and 'Leading Goose' R&amp;D Program of Zhejiang (2025C02153) to J. Su, the National Natural Science Foundation of China (T2525030) to J. Su, the National Natural Science Foundation of China (32400549) to J. Yuan, and the Key Technology Breakthrough Program of Ningbo Sci-Tech Innovation YONGJIANG 2035 (No. 2024Z221, 2025Z160).</t>
  </si>
  <si>
    <t>[Zhou, Yijun; Qu, Jia] Hainan Univ, Sch Biomed Engn, 58 Renmin Rd, Haikou 570228, Hainan, Peoples R China; [Zhou, Yijun; Qu, Jia] Hainan Inst Real World Data, 32 Kangxiang Rd, Qionghai 571437, Hainan, Peoples R China; [Gao, Shuaishuai; Dai, Wei; Ye, Kaicheng; Ma, Bowei; Zhou, Yao; Fan, Shuyan; Gui, Yuanyuan; Ma, Wenhao; Chen, Zhen Ji; Su, Jianzhong; Qu, Jia; Yuan, Jian; Yao, Yinghao] Wenzhou Med Univ, Eye Hosp, State Key Lab Eye Hlth, 270 West Xueyuan Rd, Wenzhou 325027, Zhejiang, Peoples R China; [Gao, Shuaishuai; Dai, Wei; Su, Jianzhong; Qu, Jia] Zhejiang Lab Regenerat Med Vis &amp; Brain Hlth, Oujiang Lab, 999 Jinshi Rd, Wenzhou 325000, Zhejiang, Peoples R China; [Wang, Tao] Wenzhou Med Univ, Inst Genom Med, Key Lab Lab Med, Minist Educ, 1 Zhongxin Rd, Wenzhou 325035, Zhejiang, Peoples R China; [Xing, Shilai] Inst PSI Genom, Res Ctr, 100 Luodong Rd, Wenzhou 325000, Zhejiang, Peoples R China</t>
  </si>
  <si>
    <t>Wenzhou Medical University; Oujiang Laboratory</t>
  </si>
  <si>
    <t>MIRAGE: a multimodal deep learning framework for interpretable risk assessment of high myopia from genetic and retinal imaging data</t>
  </si>
  <si>
    <t>HUMAN MOLECULAR GENETICS</t>
  </si>
  <si>
    <t>high myopia; multimodal; genetics; fundus image; risk prediction</t>
  </si>
  <si>
    <t>GENOME-WIDE ASSOCIATION; MACULAR DEGENERATION; REFRACTIVE ERRORS</t>
  </si>
  <si>
    <t>, Yao/GMW-7462-2022</t>
  </si>
  <si>
    <t>0964-6906</t>
  </si>
  <si>
    <t>1460-2083</t>
  </si>
  <si>
    <t>HUM MOL GENET</t>
  </si>
  <si>
    <t>Hum. Mol. Genet.</t>
  </si>
  <si>
    <t>ddag040</t>
  </si>
  <si>
    <t>10.1093/hmg/ddag040</t>
  </si>
  <si>
    <t>http://dx.doi.org/10.1093/hmg/ddag040</t>
  </si>
  <si>
    <t>Biochemistry &amp; Molecular Biology; Genetics &amp; Heredity</t>
  </si>
  <si>
    <t>JF3KM</t>
  </si>
  <si>
    <t>42262223</t>
  </si>
  <si>
    <t>WOS:001787981200002</t>
  </si>
  <si>
    <t>Tortora, M; Cordelli, E; Sicilia, R; Nibid, L; Ippolito, E; Perrone, G; Ramella, S; Soda, P</t>
  </si>
  <si>
    <t>Current practice in cancer treatment collects multimodal data, such as radiology images, histopathology slides, genomics and clinical data. The importance of these data sources taken individually has fostered the recent rise of radiomics and pathomics, i.e., the extraction of quantitative features from radiology and histopathology images collected to predict clinical outcomes or guide clinical decisions using artificial intelligence algorithms. Nevertheless, how to combine them into a single multimodal framework is still an open issue. In this work, we develop a multimodal late fusion approach that combines hand-crafted features computed from radiomics, pathomics and clinical data to predict radiotherapy treatment outcomes for non-small-cell lung cancer patients. Within this context, we investigate eight different late fusion rules and two patient-wise aggregation rules leveraging the richness of information given by CT images, whole-slide scans and clinical data. The experiments in leave-one-patient-out cross-validation on an in-house cohort of 33 patients show that the proposed fusion-based multimodal paradigm, with an AUC equal to 90.9%, outperforms each unimodal approach, suggesting that data integration can advance precision medicine. The results also show that late fusion favourably compares against early fusion, another commonly used multimodal approach. As a further contribution, we explore the chance to use a deep learning framework against hand-crafted features. In our scenario characterised by different modalities and a limited amount of data, as it may happen in different areas of cancer research, the results show that the latter is still a viable and effective option for extracting relevant information with respect to the former.</t>
  </si>
  <si>
    <t>Tortora, Matteo; Cordelli, Ermanno; Sicilia, Rosa; Nibid, Lorenzo; Ippolito, Edy; Perrone, Giuseppe; Ramella, Sara; Soda, Paolo</t>
  </si>
  <si>
    <t>Tortora, M (corresponding author), Univ Rome, Dept Engn, Unit Comp Syst &amp; Bioinformat, Campus Biomed, I-00128 Rome, Italy.</t>
  </si>
  <si>
    <t>m.tortora@unicampus.it</t>
  </si>
  <si>
    <t>University Campus Bio-Medico di Roma; Programma Operativo Nazionale (PON); Regione Lazio; Piano Nazionale di Ripresa e Resilienza (Recovery and Resilience Plan) of the Ministry of University and Research [PE0000013-FAIR]; Fondo per la Crescita Sostenibile (FCS) Bando Accordo Innovazione [CUP B89J23000580005]</t>
  </si>
  <si>
    <t>University Campus Bio-Medico di Roma; Programma Operativo Nazionale (PON) (Ministry of Education, Universities and Research (MIUR)); Regione Lazio (Regione Lazio); Piano Nazionale di Ripresa e Resilienza (Recovery and Resilience Plan) of the Ministry of University and Research; Fondo per la Crescita Sostenibile (FCS) Bando Accordo Innovazione</t>
  </si>
  <si>
    <t>This work was supported in part by University Campus Bio-Medico di Roma under the program University Strategic Projects,'' within theproject A CoLlAborative multi-sources Radiopathomics approach for personalized Oncology in non-small cell lung cancer (CLARO)''; in part by Programma Operativo Nazionale (PON) Ricerca e Innovazione 2014-2020, Azioni IV.4-Dottorati e Contratti di Ricerca suTematiche dell'Innovazione''; in part by Regione Lazio under the program PO FSE 2014-2020 Azione Cardine 21''; in part by the project PE0000013-FAIR supported by Piano Nazionale di Ripresa e Resilienza (Recovery and Resilience Plan) of the Ministry of University and Research; and in part by Fondo per la Crescita Sostenibile (FCS) Bando Accordo Innovazione DM 24/5/2017 (Ministerodelle Imprese e del Made in Italy), under the project Piattaforma per la Medicina di Precisione, Intelligenza Artificiale e DiagnosticaClinica Integrata'' (CUP B89J23000580005).</t>
  </si>
  <si>
    <t>[Tortora, Matteo; Cordelli, Ermanno; Sicilia, Rosa; Soda, Paolo] Univ Rome, Dept Engn, Unit Comp Syst &amp; Bioinformat, Campus Biomed, I-00128 Rome, Italy; [Nibid, Lorenzo; Perrone, Giuseppe] Univ Rome, Dept Med, Unit Anat Pathol, Campus Biomed, I-00128 Rome, Italy; [Ippolito, Edy; Ramella, Sara] Univ Rome, Dept Med, Unit Radiat Oncol, Campus Biomed, I-00128 Rome, Italy; [Soda, Paolo] Umea Univ, Dept Radiat Sci Radiat Phys Biomed Engn, S-90187 Umea, Sweden</t>
  </si>
  <si>
    <t>Sapienza University Rome; University Campus Bio-Medico - Rome Italy; University Campus Bio-Medico - Rome Italy; Sapienza University Rome; University Campus Bio-Medico - Rome Italy; Sapienza University Rome; Umea University</t>
  </si>
  <si>
    <t>RadioPathomics: Multimodal Learning in Non-Small Cell Lung Cancer for Adaptive Radiotherapy</t>
  </si>
  <si>
    <t>Feature extraction; Radiomics; Lung cancer; Bioinformatics; Genomics; Data mining; Radiation therapy; Late fusion; machine learning; multimodal learning; non-small-cell lung cancer; radiomics; pathomics</t>
  </si>
  <si>
    <t>CLASSIFICATION; RADIOMICS; INFORMATION</t>
  </si>
  <si>
    <t>RAMELLA, SARA/AAC-6523-2022; Nibid, Lorenzo/JQI-0890-2023; Sicilia, Rosa/AAC-6012-2022</t>
  </si>
  <si>
    <t>Nibid, Lorenzo/0000-0001-8583-0596; Sicilia, Rosa/0000-0002-2513-0827; Tortora, Matteo/0000-0002-3932-7380</t>
  </si>
  <si>
    <t>47563</t>
  </si>
  <si>
    <t>47578</t>
  </si>
  <si>
    <t>10.1109/ACCESS.2023.3275126</t>
  </si>
  <si>
    <t>http://dx.doi.org/10.1109/ACCESS.2023.3275126</t>
  </si>
  <si>
    <t>J5PF0</t>
  </si>
  <si>
    <t>WOS:001010128600001</t>
  </si>
  <si>
    <t>Miyazawa, K; Kyuragi, Y; Nagai, T</t>
  </si>
  <si>
    <t>Transformer-based models have garnered attention because of their success in natural language processing, and in several other fields, such as image and automatic speech recognition. In addition to them being trained on unimodal information, many transformer-based models have been proposed for multimodal information. In multimodal learning, a common problem encountered is the insufficiency of multimodal training data. In this study, to address this problem, a simple and effective method is proposed by using 1) unimodal pre-trained transformer models as encoders for each modal input and 2) a set of transformer layers to fuse their output representations. Further, the proposed method is evaluated by conducting several experiments on two common benchmarks: CMU multimodal opinion sentiment intensity dataset and multimodal internet movie database. The proposed model exhibits state-of-the-art performances on both benchmarks and is robust against the reduction in the amount of training data.</t>
  </si>
  <si>
    <t>Miyazawa, Kazuki; Kyuragi, Yuta; Nagai, Takayuki</t>
  </si>
  <si>
    <t>Nagai, T (corresponding author), Osaka Univ, Grad Sch Engn Sci, Osaka 5650871, Japan.; Nagai, T (corresponding author), Univ Electrocommun, Artificial Intelligence Explorat Res Ctr, Tokyo 1828585, Japan.</t>
  </si>
  <si>
    <t>nagai@sys.es.osaka-u.ac.jp</t>
  </si>
  <si>
    <t>Japan Society for the Promotion of Science (JSPS) KAKENHI [JP19J23364, 20H05565]; Grants-in-Aid for Scientific Research [20H05565] Funding Source: KAKEN</t>
  </si>
  <si>
    <t>Japan Society for the Promotion of Science (JSPS) KAKENHI (Ministry of Education, Culture, Sports, Science and Technology, Japan (MEXT), Japan Society for the Promotion of Science, Grants-in-Aid for Scientific Research (KAKENHI)); Grants-in-Aid for Scientific Research (Ministry of Education, Culture, Sports, Science and Technology, Japan (MEXT), Japan Society for the Promotion of Science, Grants-in-Aid for Scientific Research (KAKENHI))</t>
  </si>
  <si>
    <t>This work was supported in part by the Japan Society for the Promotion of Science (JSPS) KAKENHI under Grant JP19J23364, and in part by the Grant-in-Aid for Scienti~c Research on Innovative Areas under Grant 20H05565.</t>
  </si>
  <si>
    <t>[Miyazawa, Kazuki; Kyuragi, Yuta; Nagai, Takayuki] Osaka Univ, Grad Sch Engn Sci, Osaka 5650871, Japan; [Nagai, Takayuki] Univ Electrocommun, Artificial Intelligence Explorat Res Ctr, Tokyo 1828585, Japan</t>
  </si>
  <si>
    <t>University of Osaka; University of Electro-Communications - Japan</t>
  </si>
  <si>
    <t>Simple and Effective Multimodal Learning Based on Pre-Trained Transformer Models</t>
  </si>
  <si>
    <t>Transformers; Data models; Task analysis; Training data; Training; Bit error rate; Predictive models; Multimodal machine learning; transformers; pre-trained models; emotion recognition</t>
  </si>
  <si>
    <t>Kyuragi, Yuta/0000-0002-6078-384X; Miyazawa, Kazuki/0000-0002-0276-6048</t>
  </si>
  <si>
    <t>29821</t>
  </si>
  <si>
    <t>29833</t>
  </si>
  <si>
    <t>10.1109/ACCESS.2022.3159346</t>
  </si>
  <si>
    <t>http://dx.doi.org/10.1109/ACCESS.2022.3159346</t>
  </si>
  <si>
    <t>ZY1ZV</t>
  </si>
  <si>
    <t>WOS:000772389200001</t>
  </si>
  <si>
    <t>Wang, WN; Lu, JD; Zhu, LK; Dai, SG; Song, SY</t>
  </si>
  <si>
    <t>Tropical Cyclones (TC), also known as typhoons or hurricanes, rank among the most devastating meteorological events worldwide, necessitating precise forecasts to mitigate their impact on life and property. Traditional TC track forecasting methods often depend on limited data sources, resulting in significant challenges in accuracy for long-term predictions. To address these challenges, we introduce a novel forecasting framework named HuCL (Hurricane technology with CNN and LSTM), which harnesses the power of advanced computing and deep learning technologies. This paper details the development and application of the HuCL framework, which integrates Convolutional Neural Networks (CNNs) and Long Short-Term Memory networks (LSTMs) within an encoder-decoder architecture to process and analyze multimodal data, including trajectory data and atmospheric reanalysis maps. This integration enables the HuCL model to capture and utilize complex, implicit relationships within the data, significantly enhancing forecast precision over traditional unimodal methods. Our empirical results demonstrate that HuCL achieves substantial improvements in forecasting accuracy for TC tracks in the Pacific Northwest from 2014 and 2018, underscoring its potential to transform TC prediction methodologies. By leveraging multiple data modalities, the HuCL framework sets a new standard in the predictive accuracy and operational utility of TC forecasting systems, presenting a significant advancement in the field.</t>
  </si>
  <si>
    <t>Wang, Wennan; Lu, Jiadong; Zhu, Linkai; Dai, Shugeng; Song, Shiyang</t>
  </si>
  <si>
    <t>Zhu, LK (corresponding author), Hebei Univ Econ &amp; Business, Informat Technol Sch, Shijiazhuang, Peoples R China.</t>
  </si>
  <si>
    <t>linkai@hueb.edu.cn</t>
  </si>
  <si>
    <t>[Wang, Wennan; Dai, Shugeng] Xiamen Univ, Sch Econ, Dept Finance, Xiamen, Peoples R China; [Lu, Jiadong; Song, Shiyang] Zhuhai Coll Sci &amp; Technol, Sch Big Data, Zhuhai, Peoples R China; [Zhu, Linkai] Hebei Univ Econ &amp; Business, Informat Technol Sch, Shijiazhuang, Peoples R China</t>
  </si>
  <si>
    <t>Xiamen University; Zhuhai College of Science &amp; Technology; Hebei University of Economics &amp; Business</t>
  </si>
  <si>
    <t>A multimodal deep learning approach for hurricane tack forecast based on encoder-decoder framework</t>
  </si>
  <si>
    <t>PATTERN ANALYSIS AND APPLICATIONS</t>
  </si>
  <si>
    <t>Tropical cyclone; Deep learning; Track forecast; Multimodal data fusion</t>
  </si>
  <si>
    <t>NEURAL-NETWORK; PREDICTION; MODEL</t>
  </si>
  <si>
    <t>wang, wennan/PXY-9104-2026</t>
  </si>
  <si>
    <t>wang, wennan/0009-0005-0947-0433</t>
  </si>
  <si>
    <t>1433-7541</t>
  </si>
  <si>
    <t>1433-755X</t>
  </si>
  <si>
    <t>PATTERN ANAL APPL</t>
  </si>
  <si>
    <t>Pattern Anal. Appl.</t>
  </si>
  <si>
    <t>122</t>
  </si>
  <si>
    <t>10.1007/s10044-024-01344-2</t>
  </si>
  <si>
    <t>http://dx.doi.org/10.1007/s10044-024-01344-2</t>
  </si>
  <si>
    <t>G9A6D</t>
  </si>
  <si>
    <t>WOS:001319483900004</t>
  </si>
  <si>
    <t>Chandra, G; Gandhi, TK; Singh, B</t>
  </si>
  <si>
    <t>Parkinson's disease (PD) is a long-term degenerative disorder that affects the nervous system over time predominantly marked by motor dysfunction, with hand tremors being among the earliest and most diagnostically significant symptoms. Conventional PD diagnosis relies heavily on subjective clinical evaluations, which often lack precision and consistency. This article proposes a novel advanced fusion-based deep learning framework that integrates multimodal hand tremor data specifically, kinematic signals from accelerometers and gyroscopes, spiral drawing images, and video-based hand-motion recordings to enhance robust and generalizable PD diagnosis with significant potential for early stage detection. Specialized neural subnetworks are employed to analyze each modality: stacked long short-term memory (LSTM) layers for temporal sensor data, 2-D convolutional neural networks (CNNs) for spatial characteristics from spiral drawings, and 3-D CNNs for spatiotemporal video evaluation. The extracted feature representations are unified in a cohesive architecture and trained end-to-end using a hybrid gated recurrent unit (GRU)-longand short-term time-series network (LSTNet) model enhanced with a bottleneck attention module (BAM). Experimental results demonstrate that the proposed model significantly outperforms both unimodal deep learning approaches and traditional machine learning benchmarks, accomplishing an accuracy of 94.0%, precision of 93.8%, recall of 94.2%, and F1-score of 94.0%. This work highlights the potency of integrating multiple data modalities for accurately identifying complex motor dysfunction patterns attributed with PD, providing a scalable and highly accurate diagnostic solution.</t>
  </si>
  <si>
    <t>Chandra, Gauri; Gandhi, Tapan Kumar; Singh, Bhim</t>
  </si>
  <si>
    <t>Chandra, G (corresponding author), Indian Inst Technol Delhi, Dept Elect Engn, New Delhi 110016, India.</t>
  </si>
  <si>
    <t>chandragauri11@gmail.com; tkgandhi@ee.iitd.ac.in; bhimsinghiitd63@gmail.com</t>
  </si>
  <si>
    <t>[Chandra, Gauri; Gandhi, Tapan Kumar; Singh, Bhim] Indian Inst Technol Delhi, Dept Elect Engn, New Delhi 110016, India</t>
  </si>
  <si>
    <t>Indian Institute of Technology System (IIT System); Indian Institute of Technology (IIT) - Delhi</t>
  </si>
  <si>
    <t>A Hybrid Multimodal Deep Learning Framework for Robust Diagnosis of Parkinson's Disease Using Hand Tremor Analysis</t>
  </si>
  <si>
    <t>IEEE SENSORS JOURNAL</t>
  </si>
  <si>
    <t>Sensors; Spirals; Videos; Motors; Three-dimensional displays; Hands; Diseases; Feature extraction; Accuracy; Long short term memory; 3-D convolutional neural network (CNN); deep learning; hand tremors; long short-term memory (LSTM); Parkinson's disease (PD); spiral drawing analysis; video motion analysis</t>
  </si>
  <si>
    <t>1530-437X</t>
  </si>
  <si>
    <t>1558-1748</t>
  </si>
  <si>
    <t>IEEE SENS J</t>
  </si>
  <si>
    <t>IEEE Sens. J.</t>
  </si>
  <si>
    <t>FEB 1 2026</t>
  </si>
  <si>
    <t>4730</t>
  </si>
  <si>
    <t>10.1109/JSEN.2025.3641648</t>
  </si>
  <si>
    <t>http://dx.doi.org/10.1109/JSEN.2025.3641648</t>
  </si>
  <si>
    <t>Engineering, Electrical &amp; Electronic; Instruments &amp; Instrumentation; Physics, Applied</t>
  </si>
  <si>
    <t>Engineering; Instruments &amp; Instrumentation; Physics</t>
  </si>
  <si>
    <t>CW7WV</t>
  </si>
  <si>
    <t>WOS:001676278100007</t>
  </si>
  <si>
    <t>Alowidi, N</t>
  </si>
  <si>
    <t>Effective website usability assessment is crucial for improving user experience, driving customer satisfaction, and ensuring business success, particularly in the competitive e-commerce sector. Traditional methods, such as expert reviews and user testing, are resource-intensive and often fail to fully capture the complex interplay between a site's aesthetic design and its technical performance. This paper introduces an end-to-end multimodal deep learning framework that automates the usability assessment of fashion e-commerce websites. The framework fuses structured numerical indicators (e.g., load time, mobile compatibility) with high-level visual features extracted from full-page screenshots. The proposed framework employs a comprehensive set of visual backbones-including modern architectures such as ConvNeXt and Vision Transformers (ViT, Swin) alongside established CNNs-and systematically evaluates three fusion strategies: early fusion, late fusion, and a state-of-the-art cross-modal fusion strategy that enables deep, bidirectional interactions between modalities. Extensive experiments demonstrate that the cross-modal fusion approach, particularly when paired with a ConvNeXt backbone, achieves superior performance with a 0.92 accuracy and 0.89 F1-score, outperforming both unimodal and simpler fusion baselines. Model interpretability is provided through SHAP and LIME, confirming that the predictions align with established usability principles and generate actionable insights. Although validated on fashion e-commerce sites, the framework is highly adaptable to other domains-such as e-learning and e-government-via domain-specific data and light fine-tuning. It provides a robust, explainable benchmark for data-driven, multimodal website usability assessment and paves the way for more intelligent, automated user-experience optimization.</t>
  </si>
  <si>
    <t>Alowidi, Nahed</t>
  </si>
  <si>
    <t>Alowidi, N (corresponding author), King Abdulaziz Univ, Fac Comp &amp; Informat Technol, Dept Comp Sci, Jeddah 21589, Saudi Arabia.</t>
  </si>
  <si>
    <t>nalowidi@kau.edu.sa</t>
  </si>
  <si>
    <t>Deanship of Scientific Research (DSR) at King Abdulaziz University, Jeddah, Saudi Arabia [IPP: 1129-612-2025]</t>
  </si>
  <si>
    <t>Deanship of Scientific Research (DSR) at King Abdulaziz University, Jeddah, Saudi Arabia (King Abdulaziz University)</t>
  </si>
  <si>
    <t>This work was funded by the Deanship of Scientific Research (DSR) at King Abdulaziz University, Jeddah, Saudi Arabia, under grant no. (IPP: 1129-612-2025). The author, therefore, acknowledges with thanks DSR for its technical and financial support.</t>
  </si>
  <si>
    <t>[Alowidi, Nahed] King Abdulaziz Univ, Fac Comp &amp; Informat Technol, Dept Comp Sci, Jeddah 21589, Saudi Arabia</t>
  </si>
  <si>
    <t>King Abdulaziz University</t>
  </si>
  <si>
    <t>Multimodal Deep Learning Framework for Automated Usability Evaluation of Fashion E-Commerce Sites</t>
  </si>
  <si>
    <t>JOURNAL OF THEORETICAL AND APPLIED ELECTRONIC COMMERCE RESEARCH</t>
  </si>
  <si>
    <t>automated assessment; website usability evaluation; fashion e-commerce; multimodal transformer; cross-modal fusion</t>
  </si>
  <si>
    <t>Alowidi, Nahed/ACC-0377-2022</t>
  </si>
  <si>
    <t>Alowidi, Nahed/0000-0002-4683-3716</t>
  </si>
  <si>
    <t>0718-1876</t>
  </si>
  <si>
    <t>J THEOR APPL EL COMM</t>
  </si>
  <si>
    <t>J. Theor. Appl. Electron. Commer. Res.</t>
  </si>
  <si>
    <t>DEC 3 2025</t>
  </si>
  <si>
    <t>10.3390/jtaer20040343</t>
  </si>
  <si>
    <t>http://dx.doi.org/10.3390/jtaer20040343</t>
  </si>
  <si>
    <t>AF4CB</t>
  </si>
  <si>
    <t>WOS:001646834100001</t>
  </si>
  <si>
    <t>Song, BY; Miller, S; Ahmed, F</t>
  </si>
  <si>
    <t>Conceptual design evaluation is an indispensable component of innovation in the early stage of engineering design. Properly assessing the effectiveness of conceptual design requires a rigorous evaluation of the outputs. Traditional methods to evaluate conceptual designs are slow, expensive, and difficult to scale because they rely on human expert input. An alternative approach is to use computational methods to evaluate design concepts. However, most existing methods have limited utility because they are constrained to unimodal design representations (e.g., texts or sketches). To overcome these limitations, we propose an attention-enhanced multimodal learning (AEMML)-based machine learning (ML) model to predict five design metrics: drawing quality, uniqueness, elegance, usefulness, and creativity. The proposed model utilizes knowledge from large external datasets through transfer learning (TL), simultaneously processes text and sketch data from early-phase concepts, and effectively fuses the multimodal information through a mutual cross-attention mechanism. To study the efficacy of multimodal learning (MML) and attention-based information fusion, we compare (1) a baseline MML model and the unimodal models and (2) the attention-enhanced models with baseline models in terms of their explanatory power for the variability of the design metrics. The results show that MML improves the model explanatory power by 0.05-0.12 and the mutual cross-attention mechanism further increases the explanatory power of the approach by 0.05-0.09, leading to the highest explanatory power of 0.44 for drawing quality, 0.60 for uniqueness, 0.45 for elegance, 0.43 for usefulness, and 0.32 for creativity. Our findings highlight the benefit of using multimodal representations for design metric assessment.</t>
  </si>
  <si>
    <t>Song, Binyang; Miller, Scarlett; Ahmed, Faez</t>
  </si>
  <si>
    <t>Song, BY (corresponding author), MIT, Dept Mech Engn, Cambridge, MA 02139 USA.</t>
  </si>
  <si>
    <t>shm13@psu.edu; binyangs@mit.edu; faez@mit.edu</t>
  </si>
  <si>
    <t>[Song, Binyang; Ahmed, Faez] MIT, Dept Mech Engn, Cambridge, MA 02139 USA; [Miller, Scarlett] Penn State Univ, Sch Engn Design &amp; Innovat, State Coll, PA 16802 USA</t>
  </si>
  <si>
    <t>Massachusetts Institute of Technology (MIT); Pennsylvania Commonwealth System of Higher Education (PCSHE); Pennsylvania State University; Pennsylvania State University - University Park</t>
  </si>
  <si>
    <t>Attention-Enhanced Multimodal Learning for Conceptual Design Evaluations</t>
  </si>
  <si>
    <t>JOURNAL OF MECHANICAL DESIGN</t>
  </si>
  <si>
    <t>conceptual design; creativity and concept generation; design evaluation; machine learning; multimodal learning</t>
  </si>
  <si>
    <t>CREATIVITY; NOVELTY</t>
  </si>
  <si>
    <t>Ahmed, Faez/AAP-2924-2021; Song, Binyang/AAI-5088-2021</t>
  </si>
  <si>
    <t>ASME</t>
  </si>
  <si>
    <t>TWO PARK AVE, NEW YORK, NY 10016-5990 USA</t>
  </si>
  <si>
    <t>1050-0472</t>
  </si>
  <si>
    <t>1528-9001</t>
  </si>
  <si>
    <t>J MECH DESIGN</t>
  </si>
  <si>
    <t>J. Mech. Des.</t>
  </si>
  <si>
    <t>APR 1 2023</t>
  </si>
  <si>
    <t>041410</t>
  </si>
  <si>
    <t>10.1115/1.4056669</t>
  </si>
  <si>
    <t>http://dx.doi.org/10.1115/1.4056669</t>
  </si>
  <si>
    <t>Engineering, Mechanical</t>
  </si>
  <si>
    <t>9X8EF</t>
  </si>
  <si>
    <t>WOS:000949997800001</t>
  </si>
  <si>
    <t>Ma, X; Thela, SR; Zhao, FD; Yao, B; Wen, ZX; Jin, P; Zhao, JY; Chen, L</t>
  </si>
  <si>
    <t>Motivation 5-Hydroxymethylcytosine (5hmC), a crucial epigenetic mark with a significant role in regulating tissue-specific gene expression, is essential for understanding the dynamic functions of the human genome. Despite its importance, predicting 5hmC modification across the genome remains a challenging task, especially when considering the complex interplay between DNA sequences and various epigenetic factors such as histone modifications and chromatin accessibility.Results Using tissue-specific 5hmC sequencing data, we introduce Deep5hmC, a multimodal deep learning framework that integrates both the DNA sequence and epigenetic features such as histone modification and chromatin accessibility to predict genome-wide 5hmC modification. The multimodal design of Deep5hmC demonstrates remarkable improvement in predicting both qualitative and quantitative 5hmC modification compared to unimodal versions of Deep5hmC and state-of-the-art machine learning methods. This improvement is demonstrated through benchmarking on a comprehensive set of 5hmC sequencing data collected at four developmental stages during forebrain organoid development and across 17 human tissues. Compared to DeepSEA and random forest, Deep5hmC achieves close to 4% and 17% improvement of Area Under the Receiver Operating Characteristic (AUROC) across four forebrain developmental stages, and 6% and 27% across 17 human tissues for predicting binary 5hmC modification sites; and 8% and 22% improvement of Spearman correlation coefficient across four forebrain developmental stages, and 17% and 30% across 17 human tissues for predicting continuous 5hmC modification. Notably, Deep5hmC showcases its practical utility by accurately predicting gene expression and identifying differentially hydroxymethylated regions (DhMRs) in a case-control study of Alzheimer's disease (AD). Deep5hmC significantly improves our understanding of tissue-specific gene regulation and facilitates the development of new biomarkers for complex diseases.Availability and implementation Deep5hmC is available via https://github.com/lichen-lab/Deep5hmC</t>
  </si>
  <si>
    <t>Ma, Xin; Thela, Sai Ritesh; Zhao, Fengdi; Yao, Bing; Wen, Zhexing; Jin, Peng; Zhao, Jinying; Chen, Li</t>
  </si>
  <si>
    <t>Chen, L (corresponding author), Univ Florida, Dept Biostat, CTRB 3124, Gainesville, FL 32603 USA.</t>
  </si>
  <si>
    <t>li.chen1@ufl.edu</t>
  </si>
  <si>
    <t>National Institutes of Health [R35GM142701]</t>
  </si>
  <si>
    <t>National Institutes of Health (United States Department of Health &amp; Human Services, National Institutes of Health (NIH) - USA)</t>
  </si>
  <si>
    <t>This work was supported by the National Institutes of Health [R35GM142701 to L.C.].</t>
  </si>
  <si>
    <t>[Ma, Xin; Thela, Sai Ritesh; Zhao, Fengdi; Chen, Li] Univ Florida, Dept Biostat, CTRB 3124, Gainesville, FL 32603 USA; [Yao, Bing; Jin, Peng] Emory Univ, Sch Med, Dept Human Genet, Atlanta, GA 30322 USA; [Wen, Zhexing] Emory Univ, Sch Med, Dept Psychiat &amp; Behav Sci, Atlanta, GA 30322 USA; [Zhao, Jinying] Univ Florida, Dept Epidemiol, Gainesville, FL 32603 USA</t>
  </si>
  <si>
    <t>State University System of Florida; University of Florida; Emory University; Emory University; State University System of Florida; University of Florida</t>
  </si>
  <si>
    <t>Deep5hmC: predicting genome-wide 5-hydroxymethylcytosine landscape via a multimodal deep learning model</t>
  </si>
  <si>
    <t>CELL-FREE DNA; METHYLATION; SIGNATURES; VARIANTS</t>
  </si>
  <si>
    <t>Zhao, Fengdi/LSJ-6825-2024</t>
  </si>
  <si>
    <t>Zhao, Fengdi/0009-0007-8754-7955; Chen, Li/0000-0001-9372-5606; Ma, Xin/0009-0009-3347-4257; Jin, Peng/0000-0001-6137-6659</t>
  </si>
  <si>
    <t>btae528</t>
  </si>
  <si>
    <t>10.1093/bioinformatics/btae528</t>
  </si>
  <si>
    <t>http://dx.doi.org/10.1093/bioinformatics/btae528</t>
  </si>
  <si>
    <t>F2E5C</t>
  </si>
  <si>
    <t>39196755</t>
  </si>
  <si>
    <t>WOS:001308002400003</t>
  </si>
  <si>
    <t>Tasyürek, EY; Altun, SM; Uncu, AE; Tunca, S; Omurca, SI; Pehlivanoglu, MK; Alagöz, AN; Kalkan, O</t>
  </si>
  <si>
    <t>Parkinson's disease (PD) is a progressive neurodegenerative disorder marked by motor symptoms, but early diagnosis is challenging due to symptom overlap with other conditions and a lack of definitive biomarkers (clinical assessments). In this study, we propose a novel multimodal artificial intelligence (AI)-based decision support system aimed at the early diagnosis of idiopathic PD. To the best of our knowledge, this is the first framework to enable the synchronous analysis of four distinct modalities: walking, facial expression, voice, and posture, whereas prior studies have typically focused on unimodal or partially multimodal approaches. We also constructed a new dataset by establishing a controlled clinical testing environment equipped with an L-shaped walking track and an integrated audiovisual recording system to capture natural walking, turning, facial, vocal, and postural characteristics. For each modality, specialized AI models were developed and evaluated. For the walking modality, the proposed Bidirectional GRU model achieved the best performance in terms of both F1 score (92.74%) and area under the curve (AUC) (97.86%), demonstrating superior gait-based classification performance. Similarly, in the face modality, the ensemble model integrating eXtreme Gradient Boosting (XGBoost), Random Forest (RF), and Categorical Boosting (CatBoost) yielded the highest F1 score (92.31%) while also achieving the best AUC (97.96%). For the voice and posture modalities, although the highest F1 scores were not obtained, the RF-based models achieved the highest AUC values (99.85% and 97.56%, respectively) within their respective modality comparisons in the literature, reflecting strong class separability and discriminative capability.</t>
  </si>
  <si>
    <t>Tasyurek, Efe Yilmaz; Altun, Saban Murat; Uncu, Ata Emir; Tunca, Sefa; Omurca, Sevinc Ilhan; Pehlivanoglu, Meltem Kurt; Alagoz, Aybala Neslihan; Kalkan, Ogulcan</t>
  </si>
  <si>
    <t>Pehlivanoglu, MK (corresponding author), Kocaeli Univ, Dept Comp Engn, Kocaeli, Turkiye.</t>
  </si>
  <si>
    <t>meltem.kurt@kocaeli.edu.tr</t>
  </si>
  <si>
    <t>University of Kocaeli</t>
  </si>
  <si>
    <t>University of Kocaeli (Kocaeli University)</t>
  </si>
  <si>
    <t>Open access funding provided by the Scientific and Technological Research Council of Turkiye (TUB &amp; Idot;TAK).</t>
  </si>
  <si>
    <t>[Tasyurek, Efe Yilmaz; Altun, Saban Murat; Uncu, Ata Emir; Tunca, Sefa; Omurca, Sevinc Ilhan; Pehlivanoglu, Meltem Kurt] Kocaeli Univ, Dept Comp Engn, Kocaeli, Turkiye; [Alagoz, Aybala Neslihan; Kalkan, Ogulcan] Kocaeli Univ, Dept Neurol, Training &amp; Res Hosp, Kocaeli, Turkiye</t>
  </si>
  <si>
    <t>Kocaeli University; Kocaeli University</t>
  </si>
  <si>
    <t>A novel multimodal AI framework for early diagnosis of idiopathic Parkinson's disease</t>
  </si>
  <si>
    <t>MEDICAL &amp; BIOLOGICAL ENGINEERING &amp; COMPUTING</t>
  </si>
  <si>
    <t>Parkinson's disease; Early diagnosis; Multimodal classification; Decision support system; Artificial intelligence; Neurodegenerative disorder detection</t>
  </si>
  <si>
    <t>Omurca, Sevinç/F-7594-2018; KURT PEHLİVANOĞLU, MELTEM/F-5572-2018</t>
  </si>
  <si>
    <t>KALKAN, Oğulcan/0009-0009-5102-7063</t>
  </si>
  <si>
    <t>0140-0118</t>
  </si>
  <si>
    <t>1741-0444</t>
  </si>
  <si>
    <t>MED BIOL ENG COMPUT</t>
  </si>
  <si>
    <t>Med. Biol. Eng. Comput.</t>
  </si>
  <si>
    <t>64</t>
  </si>
  <si>
    <t>1689</t>
  </si>
  <si>
    <t>1711</t>
  </si>
  <si>
    <t>10.1007/s11517-026-03547-7</t>
  </si>
  <si>
    <t>http://dx.doi.org/10.1007/s11517-026-03547-7</t>
  </si>
  <si>
    <t>Computer Science, Interdisciplinary Applications; Engineering, Biomedical; Mathematical &amp; Computational Biology; Medical Informatics</t>
  </si>
  <si>
    <t>Computer Science; Engineering; Mathematical &amp; Computational Biology; Medical Informatics</t>
  </si>
  <si>
    <t>HH3AZ</t>
  </si>
  <si>
    <t>41824227</t>
  </si>
  <si>
    <t>WOS:001714679600001</t>
  </si>
  <si>
    <t>Guo, HC; Polak, P</t>
  </si>
  <si>
    <t>In the age of data-driven finance, the proliferation of multimodal information-ranging from news articles to technical charts-has challenged the adequacy of traditional unimodal predictive models. This study introduces a novel multimodal AI framework that integrates textual and visual signals to forecast financial market movements. Grounded in behavioral finance theory, the model combines transformer-based language encoders and CNN-based image processors through attention-guided fusion, allowing it to simulate how investors cognitively process and react to complex information environments. A case study of the 2023 Silicon Valley Bank collapse demonstrates the model's superior predictive performance and its ability to identify predictive patterns that are behaviorally interpretable and consistent with established cognitive bias theories, such as loss-aversion-type asymmetry and herding-like clustering. The paper also critically examines the ethical and regulatory implications of deploying such systems, emphasizing the need for explainability, behavioral neutrality, and inclusive oversight. By bridging algorithmic forecasting with social cognition, this research rethinks the role of AI in shaping financial knowledge and behavior.</t>
  </si>
  <si>
    <t>Guo, Haochen; Polak, Petr</t>
  </si>
  <si>
    <t>Polak, P (corresponding author), Mendel Univ Brno, Fac Business &amp; Econ, Brno, Czech Republic.</t>
  </si>
  <si>
    <t>petr.polak.68@gmail.com</t>
  </si>
  <si>
    <t>National Social Science Fund of China [25CJY063]; Fund for Open Access Publishing at the Mendel University</t>
  </si>
  <si>
    <t>National Social Science Fund of China (National Social Science Fund of China (NSSFC)); Fund for Open Access Publishing at the Mendel University</t>
  </si>
  <si>
    <t>This work was supported by the National Social Science Fund of China (No. 25CJY063) . This work was also supported by the Fund for Open Access Publishing at the Mendel University. The authors gratefully acknowledge this support.</t>
  </si>
  <si>
    <t>[Guo, Haochen] Southeast Univ, Sch Econ &amp; Management, Nanjing, Peoples R China; [Guo, Haochen] Southeast Univ, Lab Philosophy &amp; Social Sci Univ Jiangsu Prov, Fintech &amp; Big Data Lab, Nanjing, Peoples R China; [Polak, Petr] Mendel Univ Brno, Fac Business &amp; Econ, Brno, Czech Republic</t>
  </si>
  <si>
    <t>Southeast University - China; Southeast University - China; Mendel University in Brno</t>
  </si>
  <si>
    <t>FROM NEWS TO CHARTS: RETHINKING MARKET PREDICTION WITH MULTIMODAL AI</t>
  </si>
  <si>
    <t>MANAGEMENT-JOURNAL OF CONTEMPORARY MANAGEMENT ISSUES</t>
  </si>
  <si>
    <t>Multimodal AI; Financial forecasting; Behavioral finance; Sentiment analysis; Technical charts; Explainable AI; Cognitive bias; Algorithmic governance</t>
  </si>
  <si>
    <t>Polak, Petr/AAC-8835-2019</t>
  </si>
  <si>
    <t>UNIV SPLIT, FAC ECONOMICS</t>
  </si>
  <si>
    <t>SPLIT</t>
  </si>
  <si>
    <t>MATICE HRVATSKE 31, SPLIT, 21000, CROATIA</t>
  </si>
  <si>
    <t>1331-0194</t>
  </si>
  <si>
    <t>1846-3363</t>
  </si>
  <si>
    <t>MANAG-J CONTEMP MANA</t>
  </si>
  <si>
    <t>Manag.-J. Contemp. Manag. Issues</t>
  </si>
  <si>
    <t>10.30924/mjcmi.31.1.6</t>
  </si>
  <si>
    <t>http://dx.doi.org/10.30924/mjcmi.31.1.6</t>
  </si>
  <si>
    <t>Management</t>
  </si>
  <si>
    <t>LE7YT</t>
  </si>
  <si>
    <t>WOS:001822880600004</t>
  </si>
  <si>
    <t>Che, JS; Sun, MM; Wang, YH; Xu, ZD</t>
  </si>
  <si>
    <t>Introduction The integration of multimodal data has become a crucial aspect of biomedical time series prediction, offering improved accuracy and robustness in clinical decision-making. Traditional approaches often rely on unimodal learning paradigms, which fail to fully exploit the complementary information across heterogeneous data sources such as physiological signals, imaging, and electronic health records. These methods suffer from modality misalignment, suboptimal feature fusion, and lack of adaptive learning mechanisms, leading to performance degradation in complex biomedical scenarios.Methods To address these challenges, we propose a novel multimodal Deep Learning framework that dynamically captures inter-modal dependencies and optimizes cross-modal interactions for time series prediction. Our approach introduces an Adaptive Multimodal Fusion Network (AMFN), which leverages attention-based alignment, graph-based representation learning, and a modality-adaptive fusion mechanism to enhance information integration. Furthermore, we develop a Dynamic Cross-Modal Learning Strategy (DCMLS) that optimally selects relevant features, mitigates modality-specific noise, and incorporates uncertainty-aware learning to improve model generalization.Results Experimental evaluations on biomedical datasets demonstrate that our method outperforms state-of-the-art techniques in predictive accuracy, robustness, and interpretability.Discussion By effectively bridging the gap between heterogeneous biomedical data sources, our framework offers a promising direction for AI-driven disease diagnosis and treatment planning.</t>
  </si>
  <si>
    <t>Che, Jinshan; Sun, Mingming; Wang, Yuhong; Xu, Zhendan</t>
  </si>
  <si>
    <t>Che, JS (corresponding author), Xinxiang Cent Hosp, Xinxiang Med Coll 4, Dept Anesthesiol &amp; Perioperat Med, Clin Coll, Xinxiang, Peoples R China.</t>
  </si>
  <si>
    <t>13569800207@163.com</t>
  </si>
  <si>
    <t>[Che, Jinshan; Sun, Mingming; Wang, Yuhong] Xinxiang Cent Hosp, Xinxiang Med Coll 4, Dept Anesthesiol &amp; Perioperat Med, Clin Coll, Xinxiang, Peoples R China; [Xu, Zhendan] Key Lab Rheumatol, Immunol Dis &amp; Chron Dis Management Xinxiang, Xinxiang, Peoples R China</t>
  </si>
  <si>
    <t>Fusion-driven multimodal learning for biomedical time series in surgical care</t>
  </si>
  <si>
    <t>multimodal learning; deep learning; biomedical time series; adaptive fusion; uncertainty-aware learning</t>
  </si>
  <si>
    <t>SEP 17 2025</t>
  </si>
  <si>
    <t>1605406</t>
  </si>
  <si>
    <t>10.3389/fphys.2025.1605406</t>
  </si>
  <si>
    <t>http://dx.doi.org/10.3389/fphys.2025.1605406</t>
  </si>
  <si>
    <t>8BJ8U</t>
  </si>
  <si>
    <t>41041272</t>
  </si>
  <si>
    <t>WOS:001584638200001</t>
  </si>
  <si>
    <t>Haleem, MS; Aidonis, V; Georga, EI; Krini, M; Matsangidou, M; Kassianos, AP; Pattichis, CS; Rujas, M; Lopez-Perez, L; Fico, G; Pecchia, L; Fotiadis, DI; Consortium, G</t>
  </si>
  <si>
    <t>Monitoring of advanced cancer patients' health, treatment, and supportive care is essential for improving cancer survival outcomes. Traditionally, oncology has relied on clinical metrics such as survival rates, time to disease progression, and clinician-assessed toxicities. In recent years, patient-reported outcome measures (PROMs) have provided a complementary perspective, offering insights into patients' health-related quality of life (HRQoL). However, collecting PROMs consistently requires frequent clinical assessments, creating important logistical challenges. Wearable devices combined with artificial intelligence (AI) present an innovative solution for continuous, real-time HRQoL monitoring. While deep learning models effectively capture temporal patterns in physiological data, most existing approaches are unimodal, limiting their ability to address patient heterogeneity and complexity. This study introduces a multimodal deep learning approach to estimate HRQoL in advanced cancer patients. Physiological data, such as heart rate and sleep quality collected via wearable devices, are analyzed using a hybrid model combining convolutional neural networks (CNNs) and bidirectional long short-term memory (BiLSTM) networks with an attention mechanism. The BiLSTM extracts temporal dynamics, while the attention mechanism highlights key features, and CNNs detect localized patterns. PROMs, including the Hospital Anxiety and Depression Scale (HADS) and the Integrated Palliative Care Outcome Scale (IPOS), are processed through a parallel neural network before being integrated into the physiological data pipeline. The proposed model was validated with data from 204 patients over 42 days, achieving a mean absolute percentage error (MAPE) of 0.24 in HRQoL prediction. These results demonstrate the potential of combining wearable data and PROMs to improve advanced cancer care.</t>
  </si>
  <si>
    <t>Haleem, Muhammad Salman; Aidonis, Vasilis; Georga, Eleni I.; Krini, Maria; Matsangidou, Maria; Kassianos, Angelos P.; Pattichis, Constantinos S.; Rujas, Miguel; Lopez-Perez, Laura; Fico, Giuseppe; Pecchia, Leandro; Fotiadis, Dimitrios I.; Consortium, Gatekeeper</t>
  </si>
  <si>
    <t>Haleem, MS (corresponding author), Univ Warwick, Sch Engn, Coventry CV4 7AL, England.</t>
  </si>
  <si>
    <t>egeorga@uoi.gr; angelos.kassianos@cut.ac.cy; mariakr@pasykaf.org; gfico@lst.tfo.upm.es; m.haleem@qmul.ac.uk; pattichi@ucy.ac.cy; leandro.pecchia@unicampus.it; gatekeeper@warwick.ac.uk; aidonisbusiness@gmail.com; mrujas@lst.tfo.upm.es; fotiadis@uoi.gr; m.matsangidou@cyens.org.cy; llopez@lst.tfo.upm.es</t>
  </si>
  <si>
    <t>European Union [857223]; European Regional Development Fund (ERDF), A Way to Make Europe</t>
  </si>
  <si>
    <t>European Union (European Union (EU)); European Regional Development Fund (ERDF), A Way to Make Europe (European Union (EU), Marie Curie Actions)</t>
  </si>
  <si>
    <t>This work was supported in part by European Union's Horizon 2020 GATEKEEPER Project under Grant 857223 and in part by the European Regional Development Fund (ERDF), A Way to Make Europe.</t>
  </si>
  <si>
    <t>[Haleem, Muhammad Salman] Univ Warwick, Sch Engn, Coventry CV4 7AL, England; [Haleem, Muhammad Salman] Queen Mary Univ London, Sch Elect Engn &amp; Comp Sci, London E1 4NS, England; [Aidonis, Vasilis; Georga, Eleni I.; Fotiadis, Dimitrios I.; Consortium, Gatekeeper] Univ Ioannina, Dept Mat Sci &amp; Engn, Ioannina 45110, Greece; [Krini, Maria] Cyprus Assoc Canc Patients &amp; Friends PASYKAF, CY-1045 Nicosia, Cyprus; [Matsangidou, Maria] Cyens Ctr Excellence, CY-1016 Nicosia, Cyprus; [Kassianos, Angelos P.] Cyprus Univ Technol, Sch Hlth Sci, CY-3036 Limassol, Cyprus; [Pattichis, Constantinos S.] Univ Cyprus, Dept Comp Sci, CY-1678 Aglantzia, Cyprus; [Rujas, Miguel; Lopez-Perez, Laura; Fico, Giuseppe] Univ Politecn Madrid, Life Supporting Technol Res Grp, ETSIT, Madrid 28040, Spain; [Pecchia, Leandro] Univ Campus Biomed, I-00128 Rome, Italy</t>
  </si>
  <si>
    <t>University of Warwick; University of London; Queen Mary University London; University of Ioannina; Cyprus University of Technology; University of Cyprus; Universidad Politecnica de Madrid; University Campus Bio-Medico - Rome Italy</t>
  </si>
  <si>
    <t>A Multimodal Deep Learning Architecture for Estimating Quality of Life for Advanced Cancer Patients Based on Wearable Devices and Patient-Reported Outcome Measures</t>
  </si>
  <si>
    <t>Cancer; PROM; Data models; Heart rate; Human factors; Biomedical monitoring; Monitoring; Trajectory; Predictive models; Oncology; Multimodal AI; deep learning; cancer survival progression; quality of life; patient-reported outcome measures; wearable sensors</t>
  </si>
  <si>
    <t>COMORBIDITY; PREVALENCE; CARE</t>
  </si>
  <si>
    <t>Kassianos, Angelos/AAN-5911-2021; Pattichis, Constantinos/J-5116-2012; Pecchia, Leandro/AAF-7325-2019; Fico, Giuseppe/K-3640-2017; Rujas, Miguel/KHD-9161-2024; Haleem, Muhammad Salman/AAM-7146-2020</t>
  </si>
  <si>
    <t>Haleem, Muhammad Salman/0000-0001-5946-6567</t>
  </si>
  <si>
    <t>1166</t>
  </si>
  <si>
    <t>1177</t>
  </si>
  <si>
    <t>10.1109/JBHI.2025.3597054</t>
  </si>
  <si>
    <t>http://dx.doi.org/10.1109/JBHI.2025.3597054</t>
  </si>
  <si>
    <t>DJ5NC</t>
  </si>
  <si>
    <t>40788808</t>
  </si>
  <si>
    <t>WOS:001684934200003</t>
  </si>
  <si>
    <t>He, JL; Zhang, YX; Chen, JW; Jiang, Q; Liu, YW; Bi, GJ; Zhang, YN</t>
  </si>
  <si>
    <t>Direct photodisappearance rate constant (k d) is a key parameter determining the persistence of chemical pollutants in surface waters. High-throughput in silico models are preferable to tedious and expensive experimental tests for obtaining k d values of multitudinous chemicals. Previous models mainly relied on molecular descriptors as predictor variables for k d prediction, neglecting environmental conditions that have great impacts on direct photodisappearance kinetics, resulting in models with limited applicability. This study collected and curated a comprehensive data set consisting of 1281 records of k d values for 304 chemicals. Multimodal machine learning models that simultaneously consider molecular structures and environmental conditions, such as light source, pH, temperature, dissolved oxygen level, and initial concentration of chemicals, were constructed accordingly. Results indicate that the multimodal models significantly improved the coefficient of determination on the validation set (from 0.369 to 0.756) over the unimodal models. An innovative applicability domain (AD) characterization based on feature-response landscape analysis was proposed to define the ADs of the models. The models, coupled with the AD characterization, serve as an effective tool for assessing the environmental photochemical persistence of chemicals, supporting sound chemical management.</t>
  </si>
  <si>
    <t>He, Jiale; Zhang, Yuxuan; Chen, Jingwen; Jiang, Qi; Liu, Yuwei; Bi, Guijia; Zhang, Ya-nan</t>
  </si>
  <si>
    <t>Chen, JW (corresponding author), Dalian Univ Technol, Sch Environm Sci &amp; Technol, Dalian Key Lab Chem Risk Control &amp; Pollut Prevent, Key Lab Ind Ecol &amp; Environm Engn,Minist Educ, Dalian 116024, Peoples R China.</t>
  </si>
  <si>
    <t>jwchen@dlut.edu.cn</t>
  </si>
  <si>
    <t>National Natural Science Foundation of China (NSFC) [22136001]; National Key Research and Development Program of China [2022YFC3902100]</t>
  </si>
  <si>
    <t>National Natural Science Foundation of China (NSFC) (National Natural Science Foundation of China (NSFC)); National Key Research and Development Program of China</t>
  </si>
  <si>
    <t>This study was supported by the National Natural Science Foundation of China (22136001) and the National Key Research and Development Program of China (2022YFC3902100).</t>
  </si>
  <si>
    <t>[He, Jiale; Zhang, Yuxuan; Chen, Jingwen; Jiang, Qi; Liu, Yuwei; Bi, Guijia] Dalian Univ Technol, Sch Environm Sci &amp; Technol, Dalian Key Lab Chem Risk Control &amp; Pollut Prevent, Key Lab Ind Ecol &amp; Environm Engn,Minist Educ, Dalian 116024, Peoples R China; [Zhang, Ya-nan] Northeast Normal Univ, Sch Environm, Changchun 130117, Peoples R China</t>
  </si>
  <si>
    <t>Dalian University of Technology; Northeast Normal University - China</t>
  </si>
  <si>
    <t>Multimodal Machine Learning Models on Aqueous Direct Photodisappearance Rate Constants of Chemicals Exhibit Previously Unattainable Performance</t>
  </si>
  <si>
    <t>chemicals; environmental photochemistry; directphotodisappearance rate constants; multimodal model; applicability domain</t>
  </si>
  <si>
    <t>DISSOLVED ORGANIC-MATTER; DIRECT PHOTOLYSIS; AQUATIC PHOTOCHEMISTRY; QUANTUM YIELDS; WATER; PHOTODEGRADATION; KINETICS; PH; MECHANISMS; PHARMACEUTICALS</t>
  </si>
  <si>
    <t>Zhang, Ya-nan/GLQ-6886-2022; He, Jiale/LCL-2883-2024</t>
  </si>
  <si>
    <t>Bi, Guijia/0009-0008-9268-1144; He, Jiale/0009-0004-8180-9211</t>
  </si>
  <si>
    <t>100</t>
  </si>
  <si>
    <t>JUN 30 2026</t>
  </si>
  <si>
    <t>17900</t>
  </si>
  <si>
    <t>17913</t>
  </si>
  <si>
    <t>10.1021/acs.est.6c05993</t>
  </si>
  <si>
    <t>http://dx.doi.org/10.1021/acs.est.6c05993</t>
  </si>
  <si>
    <t>KI6FW</t>
  </si>
  <si>
    <t>42281375</t>
  </si>
  <si>
    <t>WOS:001792676300001</t>
  </si>
  <si>
    <t>Zhang, SS; Shu, CQ; Xiang, GJ; Zhang, JC; Tao, XW; Zhu, XL; Gu, QH; Hua, LK; Xue, S; Yao, ZJ</t>
  </si>
  <si>
    <t>Physically interpretable prediction of flow behavior is critical for designing robust hot-working processes of 42CrMo steel, where dynamic recrystallization (DRX) governs softening and microstructural renewal. In this work, we establish a cellular-automaton (CA)-simulation-informed multimodal deep learning framework that unites macroscopic thermomechanical parameters with mesoscopic microstructural evolution. A twodimensional CA model incorporating dislocation storage and recovery, nucleation, and grain boundary migration was employed to generate strain-resolved DRX microstructures aligned with hot-compression experiments. These mechanism-constrained images, fused with temperature and strain rate in a Transformer-based attention model, enable full sequence-to-sequence prediction of stress-strain curves. The proposed model consistently outperforms both numerical machine-learning baselines (random forest, RF; Gaussian process regression, GPR; unimodal Transformer) and a strain-compensated Arrhenius constitutive equation, with its advantage most pronounced under DRX-active conditions. Interpretability analyses demonstrate physics-consistent reasoning: SHapley Additive exPlanations (SHAP) highlight the dominance of strain rate and temperature, gradientweighted class activation mapping (Grad-CAM) saliency tracks the progression from unrecrystallized interiors to recrystallized regions, and mutual information together with ablation experiments confirm the complementary contributions of image and parameter branches. This integration of CA-simulated microstructures with multimodal Transformers provides a scalable pathway toward accurate, robust, and mechanistically interpretable constitutive surrogates.</t>
  </si>
  <si>
    <t>Zhang, Shasha; Shu, Changqing; Xiang, Guojin; Zhang, Jicong; Tao, Xuewei; Zhu, Xiaolin; Gu, Qiuhao; Hua, Liukai; Xue, Song; Yao, Zhengjun</t>
  </si>
  <si>
    <t>Zhang, SS; Shu, CQ (corresponding author), Nanjing Univ Aeronaut &amp; Astronaut, Coll Mat Sci &amp; Technol, Nanjing 210016, Peoples R China.</t>
  </si>
  <si>
    <t>s.zhang@nuaa.edu.cn; shuchangqing1998@nuaa.edu.cn</t>
  </si>
  <si>
    <t>National Key Research and Development Program of China [2023YFB3710103]; Science Technology Program of State Administration for Market Regulation of China [2024MK035]; Science and Technology Program of Jiangsu Provincial Administration for Market Regulation [KJ2025004]</t>
  </si>
  <si>
    <t>National Key Research and Development Program of China (National Key Research &amp; Development Program of China); Science Technology Program of State Administration for Market Regulation of China; Science and Technology Program of Jiangsu Provincial Administration for Market Regulation</t>
  </si>
  <si>
    <t>This research was financially supported by the National Key Research and Development Program of China (Grand No. 2023YFB3710103) , the Science Technology Program of State Administration for Market Regulation of China (2024MK035) , Science and Technology Program of Jiangsu Provincial Administration for Market Regulation (KJ2025004) .</t>
  </si>
  <si>
    <t>[Zhang, Shasha; Shu, Changqing; Xiang, Guojin; Zhang, Jicong; Yao, Zhengjun] Nanjing Univ Aeronaut &amp; Astronaut, Coll Mat Sci &amp; Technol, Nanjing 210016, Peoples R China; [Zhang, Shasha; Shu, Changqing; Xiang, Guojin; Zhang, Jicong; Yao, Zhengjun] Minist Ind &amp; Informat Technol, Key Lab Mat Preparat &amp; Protect Harsh Environm, Nanjing 210016, Peoples R China; [Tao, Xuewei] Nanjing Inst Technol, Sch Mat Sci &amp; Engn, Nanjing 211167, Peoples R China; [Zhu, Xiaolin] Jiangsu Prod Qual Testing &amp; Inspection Inst, Nanjing 210007, Peoples R China; [Gu, Qiuhao; Hua, Liukai] Jiangyin Xingcheng Special Steel Works Co Ltd, Jiangyin 214429, Peoples R China; [Xue, Song] Jiangyin Nangong Forging Co Ltd, Jiangyin 214400, Peoples R China</t>
  </si>
  <si>
    <t>Nanjing University of Aeronautics &amp; Astronautics; Nanjing Institute of Technology</t>
  </si>
  <si>
    <t>Physically interpretable flow behavior prediction of 42CrMo steel via CA-simulation-informed multimodal deep learning</t>
  </si>
  <si>
    <t>MATERIALS SCIENCE AND ENGINEERING A-STRUCTURAL MATERIALS PROPERTIES MICROSTRUCTURE AND PROCESSING</t>
  </si>
  <si>
    <t>Multimodal deep learning; Constitutive modeling; Dynamic recrystallization; Transformer architecture; 42CrMo steel</t>
  </si>
  <si>
    <t>HOT DEFORMATION-BEHAVIOR; DUPLEX STAINLESS-STEEL; DYNAMIC RECRYSTALLIZATION; CONSTITUTIVE ANALYSIS; CRYSTAL PLASTICITY; LOW-ALLOY; MODEL; STRESS; PRECIPITATION; KINETICS</t>
  </si>
  <si>
    <t>Yao, Zhengjun/OVY-2837-2025; /AAS-3331-2021</t>
  </si>
  <si>
    <t>Changqing, Shu/0000-0003-3864-6934</t>
  </si>
  <si>
    <t>0921-5093</t>
  </si>
  <si>
    <t>1873-4936</t>
  </si>
  <si>
    <t>MAT SCI ENG A-STRUCT</t>
  </si>
  <si>
    <t>Mater. Sci. Eng. A-Struct. Mater. Prop. Microstruct. Process.</t>
  </si>
  <si>
    <t>950</t>
  </si>
  <si>
    <t>149468</t>
  </si>
  <si>
    <t>10.1016/j.msea.2025.149468</t>
  </si>
  <si>
    <t>http://dx.doi.org/10.1016/j.msea.2025.149468</t>
  </si>
  <si>
    <t>Nanoscience &amp; Nanotechnology; Materials Science, Multidisciplinary; Metallurgy &amp; Metallurgical Engineering</t>
  </si>
  <si>
    <t>Science &amp; Technology - Other Topics; Materials Science; Metallurgy &amp; Metallurgical Engineering</t>
  </si>
  <si>
    <t>M0540</t>
  </si>
  <si>
    <t>WOS:001630183200004</t>
  </si>
  <si>
    <t>Aksu, F; Gelardi, F; Chiti, A; Soda, P</t>
  </si>
  <si>
    <t>Accurate classification of histological subtypes of non-small cell lung cancer (NSCLC) is essential in the era of precision medicine, yet current invasive techniques are not always feasible and may lead to clinical complications. This study presents MINT, a Multi-stage INTermediate fusion approach to classify NSCLC subtypes from CT and PET images. Our method integrates the two modalities at different stages of feature extraction, using voxel-wise fusion to exploit complementary information across varying abstraction levels while preserving spatial correlations. We compare our method against unimodal approaches using only CT or PET images to demonstrate the benefits of modality fusion, and further benchmark it against early and late fusion techniques to highlight the advantages of intermediate fusion during feature extraction. Additionally, we compare our model with the only existing intermediate fusion method for histological subtype classification using PET/CT images. Our results demonstrate that the proposed method outperforms all alternatives across key metrics, with an accuracy and AUC equal to 0.724 and 0.681, respectively. This non-invasive approach has the potential to significantly improve diagnostic accuracy, facilitate more informed treatment decisions, and advance personalized care in lung cancer management.</t>
  </si>
  <si>
    <t>Aksu, Fatih; Gelardi, Fabrizia; Chiti, Arturo; Soda, Paolo</t>
  </si>
  <si>
    <t>Soda, P (corresponding author), Umea Univ, Dept Diag &amp; Intervent, Radiat Phys, Umea, Sweden.</t>
  </si>
  <si>
    <t>fatih.aksu@st.hunimed.eu; gelardi.fabrizia@hsr.it; chiti.arturo@hsr.it; paolo.soda@umu.se</t>
  </si>
  <si>
    <t>PNRR MUR project [PE0000013-FAIR]; PRIN 2022 MUR [20228MZFAA-AIDA, CUP C53D23003620008]; PRIN PNRR 2022 MUR [P2022P3CXJ-PICTURE, CUP C53D23009280001]; Swedish Research Council [2022-06725, 2018-05973]</t>
  </si>
  <si>
    <t>PNRR MUR project; PRIN 2022 MUR (Ministry of Education, Universities and Research (MIUR), Research Projects of National Relevance (PRIN)); PRIN PNRR 2022 MUR (Ministry of Education, Universities and Research (MIUR), Research Projects of National Relevance (PRIN)); Swedish Research Council (Swedish Research Council)</t>
  </si>
  <si>
    <t>Fatih Aksu is a Ph.D. student enrolled in the National PhD in Artificial Intelligence, XXXVII cycle, course on Health and life sciences, organized by University Campus Bio-Medico di Roma. This work was partially supported by : (i) PNRR MUR project PE0000013-FAIR, (ii) PRIN 2022 MUR 20228MZFAA-AIDA (CUP C53D23003620008) , (iii) PRIN PNRR 2022 MUR P2022P3CXJ-PICTURE (CUP C53D23009280001) , (iv) PNRR-MCNT2-2023-12377755. Resources are provided by the Swedish National Academic Infrastructure for Supercomputing and by National Infrastructure for Computing (SNIC) at Alvis @ C3SE, funded by the Swedish Research Council through grant agreements no. 2022-06725 and no. 2018-05973.</t>
  </si>
  <si>
    <t>[Aksu, Fatih] Humanitas Univ, Dept Biomed Sci, Milan, Italy; [Gelardi, Fabrizia; Chiti, Arturo] Univ Vita Salute San Raffaele, Milan, Italy; [Gelardi, Fabrizia; Chiti, Arturo] IRCCS Osped San Raffaele, Milan, Italy; [Soda, Paolo] Univ Campus Biomed Roma, Dept Engn, Unit Comp Syst &amp; Bioinformat, Rome, Italy; [Soda, Paolo] Umea Univ, Dept Diag &amp; Intervent, Radiat Phys, Umea, Sweden</t>
  </si>
  <si>
    <t>Humanitas University; Vita-Salute San Raffaele University; Vita-Salute San Raffaele University; IRCCS Ospedale San Raffaele; University Campus Bio-Medico - Rome Italy; Umea University</t>
  </si>
  <si>
    <t>Multi-stage intermediate fusion for multimodal learning to classify non-small cell lung cancer subtypes from CT and PET</t>
  </si>
  <si>
    <t>PATTERN RECOGNITION LETTERS</t>
  </si>
  <si>
    <t>Medical image analysis; Multimodal deep learning; Intermediate fusion; Multi-stage fusion; Histological subtype classification</t>
  </si>
  <si>
    <t>CLASSIFICATION; IMPACT; STAGE</t>
  </si>
  <si>
    <t>gelardi, fabrizia/AAB-7339-2022; Chiti, Arturo/K-6524-2016</t>
  </si>
  <si>
    <t>Aksu, Fatih/0000-0001-5677-2024; gelardi, fabrizia/0000-0001-7120-333X; Chiti, Arturo/0000-0002-5806-1856</t>
  </si>
  <si>
    <t>0167-8655</t>
  </si>
  <si>
    <t>1872-7344</t>
  </si>
  <si>
    <t>PATTERN RECOGN LETT</t>
  </si>
  <si>
    <t>Pattern Recognit. Lett.</t>
  </si>
  <si>
    <t>93</t>
  </si>
  <si>
    <t>10.1016/j.patrec.2025.04.001</t>
  </si>
  <si>
    <t>http://dx.doi.org/10.1016/j.patrec.2025.04.001</t>
  </si>
  <si>
    <t>2HA8G</t>
  </si>
  <si>
    <t>WOS:001482467000001</t>
  </si>
  <si>
    <t>Dang, TM; Zhou, QF; Guo, YZ; Ma, HH; Na, SY; Dang, TB; Gao, J; Huang, JZ</t>
  </si>
  <si>
    <t>Whole slide images (WSIs) play a vital role in cancer diagnosis and prognosis. However, their gigapixel resolution, lack of pixel-level annotations, and reliance on unimodal visual data present challenges for accurate and efficient computational analysis. Existing methods typically divide WSIs into thousands of patches, which increases computational demands and makes it challenging to effectively focus on diagnostically relevant regions. Furthermore, these methods frequently rely on feature extractors pretrained on natural images, which are not optimized for pathology tasks, and overlook multimodal data sources such as cellular and textual information that can provide critical insights. To address these limitations, we propose the Abnormality-Aware MultiModal (AAMM) learning framework, which integrates abnormality detection and multimodal feature learning for WSI classification. AAMM incorporates a Gaussian Mixture Variational Autoencoder (GMVAE) to identify and select the most informative patches, reducing computational complexity while retaining critical diagnostic information. It further integrates multimodal features from pathology-specific foundation models, combining patch-level, cell-level, and text-level representations through cross-attention mechanisms. This approach enhances the ability to comprehensively analyze WSIs for cancer diagnosis and subtyping. Extensive experiments on normal-tumor classification and cancer subtyping demonstrate that AAMM achieves superior performance compared to state-of-the-art methods. By combining abnormal detection with multimodal feature integration, our framework offers an efficient and scalable solution for advancing computational pathology.</t>
  </si>
  <si>
    <t>Dang, Thao M.; Zhou, Qifeng; Guo, Yuzhi; Ma, Hehuan; Na, Saiyang; Dang, Thao Bich; Gao, Jean; Huang, Junzhou</t>
  </si>
  <si>
    <t>Huang, JZ (corresponding author), Univ Texas Arlington, Dept Comp Sci &amp; Engn, Arlington, TX 76019 USA.</t>
  </si>
  <si>
    <t>jzhuang@uta.edu</t>
  </si>
  <si>
    <t>US National Science Foundation [IIS-2412195, CCF-2400785]; Cancer Prevention and Research Institute of Texas (CPRIT) award [RP230363]</t>
  </si>
  <si>
    <t>US National Science Foundation (National Science Foundation (NSF)); Cancer Prevention and Research Institute of Texas (CPRIT) award (Cancer Prevention &amp; Research Institute of Texas)</t>
  </si>
  <si>
    <t>The author(s) declare financial support was received for the research, authorship, and/or publication of this article. This work was partially supported by US National Science Foundation IIS-2412195, CCF-2400785 and the Cancer Prevention and Research Institute of Texas (CPRIT) award (RP230363).</t>
  </si>
  <si>
    <t>[Dang, Thao M.; Zhou, Qifeng; Guo, Yuzhi; Ma, Hehuan; Na, Saiyang; Gao, Jean; Huang, Junzhou] Univ Texas Arlington, Dept Comp Sci &amp; Engn, Arlington, TX 76019 USA; [Dang, Thao Bich] Univ Arizona, Dept Pulm &amp; Crit Care, Phoenix, AZ USA</t>
  </si>
  <si>
    <t>University of Texas System; University of Texas Arlington; University of Arizona</t>
  </si>
  <si>
    <t>Abnormality-aware multimodal learning for WSI classification</t>
  </si>
  <si>
    <t>WSI analysis; multimodal fusion; abnormal detection; foundation model; Gaussian Mixture Variational Autoencoder</t>
  </si>
  <si>
    <t>FOUNDATION MODEL</t>
  </si>
  <si>
    <t>Ma, Hehuan/JEO-2486-2023; Zhou, Qifeng/D-5516-2019; Gao, Jean/JEF-2605-2023; Guo, Yuzhi/JFT-1128-2023; , Nasy/HMD-8915-2023</t>
  </si>
  <si>
    <t>Huang, Junzhou/0000-0002-9548-1227; Guo, Yuzhi/0000-0002-8993-1818</t>
  </si>
  <si>
    <t>FEB 25 2025</t>
  </si>
  <si>
    <t>1546452</t>
  </si>
  <si>
    <t>10.3389/fmed.2025.1546452</t>
  </si>
  <si>
    <t>http://dx.doi.org/10.3389/fmed.2025.1546452</t>
  </si>
  <si>
    <t>Z7Y1D</t>
  </si>
  <si>
    <t>40070646</t>
  </si>
  <si>
    <t>WOS:001441005100001</t>
  </si>
  <si>
    <t>Lázaro, R; Vergara, M; Morales, A; Mollineda, RA</t>
  </si>
  <si>
    <t>Grasping objects, from simple tasks to complex fine motor skills, is a key component of our daily activities. Our approach to facilitate the development of advanced prosthetics, robotic hands and human-machine interaction systems consists of collecting and combining surface electromyography (EMG) signals and contextual data of individuals performing manipulation tasks. In this context, the identification of patterns and prediction of hand grasp types is crucial, with cylindrical grasp being one of the most common and functional. Traditional approaches to grasp prediction often rely on unimodal data sources, limiting their ability to capture the complexity of real-world scenarios. In this work, grasp prediction models that integrate both EMG signals and contextual (task- and product-related) information have been explored to improve the prediction of cylindrical grasps during reaching movements. Three model architectures are presented: an EMG processing model based on convolutions that analyzes forearm surface EMG data, a fully connected model for processing contextual information, and a hybrid architecture combining both inputs resulting in a multimodal model. The results show that context has great predictive power. Variables such as object size and weight (product-related) were found to have a greater impact on model performance than task height (task-related). Combining EMG and product context yielded better results than using each data mode separately, confirming the importance of product context in improving EMG-based models of grasping.</t>
  </si>
  <si>
    <t>Lazaro, Raquel; Vergara, Margarita; Morales, Antonio; Mollineda, Ramon A.</t>
  </si>
  <si>
    <t>Vergara, M (corresponding author), Univ Jaume 1, Dept Mech Engn &amp; Construct, Castellon de La Plana 12071, Spain.</t>
  </si>
  <si>
    <t>raquel.lazaro@uji.es; vergara@uji.es; mollined@uji.es; morales@uji.es</t>
  </si>
  <si>
    <t>Valencian Graduate School and Research Network of Artificial Intelligence (ValgrAI); Generalitat Valenciana; Ministry of Education [23CO1/006588]; FPU fellowship from the spanish Ministry of Science, Innovation and Universities [FPU23/03540]</t>
  </si>
  <si>
    <t>Valencian Graduate School and Research Network of Artificial Intelligence (ValgrAI); Generalitat Valenciana (Center for Forestry Research &amp; Experimentation (CIEF)); Ministry of Education; FPU fellowship from the spanish Ministry of Science, Innovation and Universities</t>
  </si>
  <si>
    <t>This research was funded by the Valencian Graduate School and Research Network of Artificial Intelligence (ValgrAI) and the Generalitat Valenciana. It was partially developed during collaboration grant from the Ministry of Education grant number 23CO1/006588 and, at present, by a FPU fellowship from the spanish Ministry of Science, Innovation and Universities, grant number FPU23/03540.</t>
  </si>
  <si>
    <t>[Lazaro, Raquel; Vergara, Margarita] Univ Jaume 1, Dept Mech Engn &amp; Construct, Castellon de La Plana 12071, Spain; [Morales, Antonio] Univ Jaume 1, Dept Comp Sci &amp; Engn, Castellon de La Plana 12071, Spain; [Mollineda, Ramon A.] Univ Jaume 1, Inst New Imaging Technol, Castellon de La Plana 12071, Spain</t>
  </si>
  <si>
    <t>Universitat Jaume I; Universitat Jaume I; Universitat Jaume I</t>
  </si>
  <si>
    <t>Multimodal Deep Learning Model for Cylindrical Grasp Prediction Using Surface Electromyography and Contextual Data During Reaching</t>
  </si>
  <si>
    <t>BIOMIMETICS</t>
  </si>
  <si>
    <t>EMG; hand grasp prediction; machine learning; multimodal data fusion</t>
  </si>
  <si>
    <t>HUMAN-MACHINE INTERACTION; RECOGNITION; VISION; SYSTEM; HAND</t>
  </si>
  <si>
    <t>Lazaro, Raquel/OJV-3081-2025; Mollineda, Ramón A/G-1260-2016; Vergara, Margarita/K-4998-2014; Morales, Antonio/C-4793-2012</t>
  </si>
  <si>
    <t>Mollineda, Ramón A/0000-0001-5765-2905; Vergara, Margarita/0000-0001-9158-247X; Morales, Antonio/0000-0002-8478-0854; Lázaro Belenguer, Raquel/0009-0001-6923-7263</t>
  </si>
  <si>
    <t>2313-7673</t>
  </si>
  <si>
    <t>BIOMIMETICS-BASEL</t>
  </si>
  <si>
    <t>Biomimetics</t>
  </si>
  <si>
    <t>FEB 27 2025</t>
  </si>
  <si>
    <t>10.3390/biomimetics10030145</t>
  </si>
  <si>
    <t>http://dx.doi.org/10.3390/biomimetics10030145</t>
  </si>
  <si>
    <t>Engineering, Multidisciplinary; Materials Science, Biomaterials</t>
  </si>
  <si>
    <t>0PR5X</t>
  </si>
  <si>
    <t>40136799</t>
  </si>
  <si>
    <t>WOS:001453053100001</t>
  </si>
  <si>
    <t>Zheng, Z; Chen, X; Lin, BH; Jin, Z; Jin, X; Yu, JX</t>
  </si>
  <si>
    <t>Rapidly and accurately determining whether a seismic event is small or large is crucial for seismic hazard analysis and earthquake early warning systems (EEWSs) to predict potential damage in target areas. However, the lack of prior information about the earthquake source and the class imbalance due to the limited availability of large earthquake waveforms pose significant challenges for this task. To address this issue, we applied a random sliding window technique to extent the waveform data of large earthquakes. Meanwhile, we developed a multimodal deep learning framework (MDLFrame) to distinguish between small (M &lt; 5.5) and large (M &gt;= 5.5) earthquakes using data sets from Japan and China. The MDLFrame is capable of extracting useful temporal features and spatial features from the input three-component waveforms and ground-motion parameters. The test results demonstrated that the MDLFrame outperformed traditional empirical methods and unimodal deep learning models in both timeliness and accuracy of magnitude classification. Specifically, the MDLFrame achieved an accuracy of 96.11%. To further confirm the robustness of the MDLFrame for magnitude classification, we analyzed its performance on 220 independent seismic events. The results indicated that within 3 s after the P-wave arrival, the MDLFrame achieved an accuracy of 98.68% for small earthquakes and 93.21% for large ones. Our study demonstrates that multimodal deep learning has significant potential for extensive applications in EEW and seismology.</t>
  </si>
  <si>
    <t>Zheng, Zhou; Chen, Xin; Lin, Binhua; Jin, Zhen; Jin, Xing; Yu, Jiexin</t>
  </si>
  <si>
    <t>Jin, Z (corresponding author), Fujian Earthquake Agcy, Fuzhou, Peoples R China.; Jin, Z (corresponding author), China Earthquake Adm, Xiamen Inst Marine Seismol, Xiamen, Peoples R China.</t>
  </si>
  <si>
    <t>jinzhen198507@gmail.com</t>
  </si>
  <si>
    <t>National Key Research and Development Program of China [2024YFC3012804]; Key Science and Technology Plan of Emergency Management Department [2024EMST040401]; National Natural Science Foundation of China [421040662]; Science for Earthquake Resilience Project, China Earthquake Administration [XH24022B]</t>
  </si>
  <si>
    <t>National Key Research and Development Program of China (National Key Research &amp; Development Program of China); Key Science and Technology Plan of Emergency Management Department; National Natural Science Foundation of China (National Natural Science Foundation of China (NSFC)); Science for Earthquake Resilience Project, China Earthquake Administration</t>
  </si>
  <si>
    <t>acceleration waveforms. The authors thank the drawing software Generic Mapping Tool (GMT) and the programming software TensorFlow and Python for free open source to the public, which we use to train the model and plot the figure. This research is financially supported by the National Key Research and Development Program of China (2024YFC3012804) , the Key Science and Technology Plan of Emergency Management Department (2024EMST040401) , the National Natural Science Foundation of China (421040662) , the Science for Earthquake Resilience Project, China Earthquake Administration (XH24022B) .</t>
  </si>
  <si>
    <t>[Zheng, Zhou; Jin, Xing] China Earthquake Adm, Inst Engn Mech, Key Lab Earthquake Engn &amp; Engn Vibrat, Beijing, Peoples R China; [Chen, Xin; Yu, Jiexin] Fujian Jiangxia Univ, Fuzhou, Peoples R China; [Lin, Binhua; Jin, Zhen] Fujian Earthquake Agcy, Fuzhou, Peoples R China; [Jin, Zhen] China Earthquake Adm, Xiamen Inst Marine Seismol, Xiamen, Peoples R China</t>
  </si>
  <si>
    <t>China Earthquake Administration; Fujian Jiangxia University; China Earthquake Administration; Fujian Earthquake Agency, CEA; China Earthquake Administration</t>
  </si>
  <si>
    <t>A Multimodal Deep Learning Framework for Rapid Real-Time Earthquake Magnitude Classification: Applications to Earthquake Early Warning</t>
  </si>
  <si>
    <t>BULLETIN OF THE SEISMOLOGICAL SOCIETY OF AMERICA</t>
  </si>
  <si>
    <t>WAVE</t>
  </si>
  <si>
    <t>chen, xin/PWG-1947-2026</t>
  </si>
  <si>
    <t>SEISMOLOGICAL SOC AMER</t>
  </si>
  <si>
    <t>400 EVELYN AVE, SUITE 201, ALBANY, CA 94706-1375 USA</t>
  </si>
  <si>
    <t>0037-1106</t>
  </si>
  <si>
    <t>1943-3573</t>
  </si>
  <si>
    <t>B SEISMOL SOC AM</t>
  </si>
  <si>
    <t>Bull. Seismol. Soc. Amer.</t>
  </si>
  <si>
    <t>115</t>
  </si>
  <si>
    <t>2202</t>
  </si>
  <si>
    <t>2218</t>
  </si>
  <si>
    <t>10.1785/0120240255</t>
  </si>
  <si>
    <t>http://dx.doi.org/10.1785/0120240255</t>
  </si>
  <si>
    <t>Geochemistry &amp; Geophysics</t>
  </si>
  <si>
    <t>9GL1M</t>
  </si>
  <si>
    <t>WOS:001605755500001</t>
  </si>
  <si>
    <t>Wang, SQ; Cheng, N; Hu, Y</t>
  </si>
  <si>
    <t>Addressing the challenges of limited accuracy in anomaly detection within comprehensive environmental monitoring of industrial and mining enterprises, and the constraints posed by singular data modalities, this study proposes an integration of a multimodal Long Short-Term Memory (LSTM) model with the Contrastive Language-Image Pretraining (CLIP) model. The initial phase employs ResNet within the CLIP model for extracting image features, and a Transformer for encoding text features. Subsequently, feature vectors obtained from monitoring images and text are fused using a rudimentary concatenation method to generate a joint embedding representation. Principal Component Analysis (PCA) is then applied to diminish the dimensionality of the amalgamated features derived from environmental monitoring images, descriptive texts, and sensor data collected by industrial and mining enterprises. Finally, a multimodal LSTM model is leveraged to detect anomalies in the monitoring data by capturing long-term dependencies within time series information. The model was trained and evaluated using real-time data from a coal mining enterprise's environmental monitoring system spanning March to September 2023. Results reveal that the multimodal LSTM-CLIP model achieved an anomaly detection accuracy of 0.98 in environmental monitoring, marking a 0.10 improvement over the unimodal LSTM model, with a response time of merely 110.25 milliseconds. These findings underscore the efficacy of the multimodal LSTM-CLIP model in integrating multimodal information, thereby significantly enhancing the accuracy of anomaly detection and the speed of environmental anomaly warnings, ultimately ensuring the safety of industrial and mining enterprises.</t>
  </si>
  <si>
    <t>Wang, Shuqin; Cheng, Na; Hu, Yan</t>
  </si>
  <si>
    <t>Hu, Y (corresponding author), Anhui Wenda Univ Informat Engn, Sch Comp Engn, Hefei 231200, Peoples R China.</t>
  </si>
  <si>
    <t>huyan@mail.wenda.edu.cn</t>
  </si>
  <si>
    <t>Key Natural Science Foundation of Anhui Province: Research on Multimodal Intelligent Terminals and Systems for Environmental Monitoring in Industrial and Mining Enterprises [2024AH050592]</t>
  </si>
  <si>
    <t>Key Natural Science Foundation of Anhui Province: Research on Multimodal Intelligent Terminals and Systems for Environmental Monitoring in Industrial and Mining Enterprises</t>
  </si>
  <si>
    <t>This work was supported by the Key Natural Science Foundation of Anhui Province: Research on Multimodal Intelligent Terminals and Systems for Environmental Monitoring in Industrial and Mining Enterprises under Grant 2024AH050592.</t>
  </si>
  <si>
    <t>[Wang, Shuqin; Cheng, Na; Hu, Yan] Anhui Wenda Univ Informat Engn, Sch Comp Engn, Hefei 231200, Peoples R China</t>
  </si>
  <si>
    <t>Anhui Wenda University of Information Engineering</t>
  </si>
  <si>
    <t>Comprehensive Environmental Monitoring System for Industrial and Mining Enterprises Using Multimodal Deep Learning and CLIP Model</t>
  </si>
  <si>
    <t>Feature extraction; Environmental monitoring; Data models; Accuracy; Vectors; Long short term memory; Predictive models; Biological system modeling; Visualization; Transformers; Industrial and mining enterprises; integrated environmental monitoring system; multimodal LSTM model; CLIP model; anomaly detection accuracy</t>
  </si>
  <si>
    <t>Wang, Shuqin/JTU-1344-2023</t>
  </si>
  <si>
    <t>19964</t>
  </si>
  <si>
    <t>19978</t>
  </si>
  <si>
    <t>10.1109/ACCESS.2025.3533537</t>
  </si>
  <si>
    <t>http://dx.doi.org/10.1109/ACCESS.2025.3533537</t>
  </si>
  <si>
    <t>U5D4V</t>
  </si>
  <si>
    <t>WOS:001411998400032</t>
  </si>
  <si>
    <t>Ahmed, AH; Mohsen, O</t>
  </si>
  <si>
    <t>The architecture, engineering, and construction (AEC) industry generates diverse data streams across design, construction, and operations, yet most artificial intelligence systems remain unimodal, limiting their potential. Multimodal machine learning (MMML) offers a framework for integrating heterogeneous inputs, such as images, BIM models, sensor logs, and textual records, to enable richer representations and context-aware decision support. This review delivers a lifecycle-aligned synthesis of MMML in AEC, based on a systematic screening of 71 peer-reviewed studies (2018-2025) coded by modality, fusion strategy, architecture, task, and application domain. Findings show that images, text, and numerical data dominate existing pipelines, whereas audio, physiological, and higher-order modality combinations are rare. Intermediate fusion, primarily through CNNbased architectures, remains the prevailing approach, with limited use of transformers, diffusion models, or graph neural networks. Applications cluster in construction-phase safety monitoring and operations-phase inspection, with predictive maintenance gaining momentum post-2021. Generative design and decision support remain underrepresented, often relying on simulation-driven methods. Key barriers include weak alignment mechanisms, limited robustness to missing modalities, insufficient external validation, and the absence of standardized benchmarks. Advancing MMML in AEC requires lifecycle-spanning benchmarks, adoption of nextgeneration architectures, and embedding robustness and validation as standard practice. Emerging platforms, such as BIM integration, digital twins, and federated MMML, offer promising testbeds for scalable deployment. This review provides a comprehensive overview of current progress, challenges, and future directions for multimodal ML in the built environment.</t>
  </si>
  <si>
    <t>Ahmed, Abdulkadir Hassan; Mohsen, Osama</t>
  </si>
  <si>
    <t>Mohsen, O (corresponding author), King Fahd Univ Petr &amp; Minerals, Dept Architectural Engn &amp; Construction Management, Dhahran 31261, Saudi Arabia.</t>
  </si>
  <si>
    <t>osama.mohsen@kfupm.edu.sa</t>
  </si>
  <si>
    <t>King Fahd University of Petroleum and Minerals (KFUPM)</t>
  </si>
  <si>
    <t>King Fahd University of Petroleum and Minerals (KFUPM) (King Fahd University of Petroleum &amp; Minerals)</t>
  </si>
  <si>
    <t>The authors acknowledge the support provided by King Fahd University of Petroleum and Minerals (KFUPM) for this work.</t>
  </si>
  <si>
    <t>[Ahmed, Abdulkadir Hassan; Mohsen, Osama] King Fahd Univ Petr &amp; Minerals, Dept Architectural Engn &amp; Construction Management, Dhahran 31261, Saudi Arabia; [Mohsen, Osama] King Fahd Univ Petr &amp; Minerals, Interdisciplinary Res Ctr Construction &amp; Bldg Mat, Dhahran 31261, Saudi Arabia</t>
  </si>
  <si>
    <t>King Fahd University of Petroleum &amp; Minerals; King Fahd University of Petroleum &amp; Minerals</t>
  </si>
  <si>
    <t>Multimodal machine learning in the AEC industry: a lifecycle-aligned review of strategies, challenges, and informatics frameworks</t>
  </si>
  <si>
    <t>ADVANCED ENGINEERING INFORMATICS</t>
  </si>
  <si>
    <t>Multimodal machine learning; Data fusion; BIM integration; Digital twins; Built environment; Lifecycle analytics</t>
  </si>
  <si>
    <t>Mohsen, Osama/LOR-9887-2024</t>
  </si>
  <si>
    <t>1474-0346</t>
  </si>
  <si>
    <t>1873-5320</t>
  </si>
  <si>
    <t>ADV ENG INFORM</t>
  </si>
  <si>
    <t>Adv. Eng. Inform.</t>
  </si>
  <si>
    <t>OCT 2026</t>
  </si>
  <si>
    <t>75</t>
  </si>
  <si>
    <t>104863</t>
  </si>
  <si>
    <t>10.1016/j.aei.2026.104863</t>
  </si>
  <si>
    <t>http://dx.doi.org/10.1016/j.aei.2026.104863</t>
  </si>
  <si>
    <t>Computer Science, Artificial Intelligence; Engineering, Multidisciplinary</t>
  </si>
  <si>
    <t>JC4NJ</t>
  </si>
  <si>
    <t>WOS:001786021700001</t>
  </si>
  <si>
    <t>Xu, XY; Zhang, HT; Liu, Q; Cheng, Q; Guo, YB; Yang, W; Chen, XL</t>
  </si>
  <si>
    <t>Quantitative prediction of binding affinity in protein-protein interactions is critical for deciphering biological mechanisms and advancing therapeutic antibody development. While experimental methods for measuring binding affinity remain limited by high-cost, low-throughput constraints, deep learning offers a promising alternative. This study proposes SSIF-affinity, an innovative multimodal deep learning framework that enables high-precision prediction of protein-protein complex binding affinity. First, this method innovatively locates the binding interface and constructs a geometrically constrained binding region, screening key atoms and residues within the binding region. Construct structural diagram data for the selected key atoms to extract atomic-level protein complex interaction features. Second, through the structure-guided cross modal attention module, the structural and sequence features of the selected key residues are fused to capture the structural interactions between residues and the correlations between sequence evolutions. In addition, extracting features of full-length sequence information through convolutional neural network (CNN) and long short-term memory (LSTM) network not only captures local interaction features between sequences, but also mines long-range dependencies through temporal modeling. The final integrated multilevel feature input multilayer perceptron (MLP) regression module predicts the binding affinity values of protein-protein complexes. Specifically, the framework effectively reduces redundant calculations and noise interference by combining region selection strategies and overcomes the limitations of the unimodal approach that only uses sequence or structural information through a collaborative representation mechanism of the full-length sequence features of protein complexes and the structural features within the binding region, effectively balancing the contributions of interface interactions and long-range interactions. The case studies on antibody-antigen complexes further validate the model's generalization ability. SSIF-affinity provides a new strategy for predicting binding affinity in protein-protein complexes, offering a new paradigm for AI-driven antibody drug discovery.</t>
  </si>
  <si>
    <t>Xu, Xinyi; Zhang, Haotian; Liu, Qi; Cheng, Qian; Guo, Yanbei; Yang, Wei; Chen, Xueli</t>
  </si>
  <si>
    <t>Chen, XL (corresponding author), Xidian Univ, Higher Educ Inst Shaanxi Prov, Adv Diagnost Therapy Technol &amp; Equipment Key Lab, Ctr Biomed photon &amp; Mol Imaging,Sch Life Sci &amp; Tec, Xian 710126, Shaanxi, Peoples R China.; Chen, XL (corresponding author), Xidian Univ, Engn Res Ctr Mol &amp; Neuro Imaging, Sch Life Sci &amp; Technol, Minist Educ, Xian 710126, Shaanxi, Peoples R China.; Chen, XL (corresponding author), Xidian Univ, Sch Life Sci &amp; Technol, Xian Key Lab Intelligent Sensing &amp; Regulat Transsc, Xian 710126, Shaanxi, Peoples R China.; Chen, XL (corresponding author), Xidian Univ, State Key Lab Electromech Integrated Mfg High Perf, Xian 710071, Shaanxi, Peoples R China.; Chen, XL (corresponding author), Xidian Univ, Guangzhou Inst Technol, Bioptoelectron Integrat &amp; Med Instrumentat Lab, Guangzhou 510555, Guangdong, Peoples R China.; Yang, W (corresponding author), Chongqing Acad Anim Sci, Chongqing 402460, Peoples R China.</t>
  </si>
  <si>
    <t>yangw@cqaa.cn; xlchen@xidian.edu.cn</t>
  </si>
  <si>
    <t>National Key R&amp;D Program of China [82230065]; National Natural Science Foundation of China [32101115, 32302838]; Key Research, Development Program of Shaanxi [2023-YBSF-319, 2022SF-214]; National Laboratory of Biomacromolecules [2024kf03]</t>
  </si>
  <si>
    <t>National Key R&amp;D Program of China (National Key Research &amp; Development Program of China); National Natural Science Foundation of China (National Natural Science Foundation of China (NSFC)); Key Research, Development Program of Shaanxi; National Laboratory of Biomacromolecules</t>
  </si>
  <si>
    <t>This work was supported in part by the National Key R&amp;D Program of China (82230065), the National Natural Science Foundation of China (32101115 and 32302838), the Key Research, Development Program of Shaanxi (2023-YBSF-319 and 2022SF-214), and the National Laboratory of Biomacromolecules (2024kf03).</t>
  </si>
  <si>
    <t>[Xu, Xinyi; Zhang, Haotian; Liu, Qi; Cheng, Qian; Guo, Yanbei; Chen, Xueli] Xidian Univ, Higher Educ Inst Shaanxi Prov, Adv Diagnost Therapy Technol &amp; Equipment Key Lab, Ctr Biomed photon &amp; Mol Imaging,Sch Life Sci &amp; Tec, Xian 710126, Shaanxi, Peoples R China; [Xu, Xinyi; Zhang, Haotian; Liu, Qi; Cheng, Qian; Guo, Yanbei; Chen, Xueli] Xidian Univ, Engn Res Ctr Mol &amp; Neuro Imaging, Sch Life Sci &amp; Technol, Minist Educ, Xian 710126, Shaanxi, Peoples R China; [Xu, Xinyi; Zhang, Haotian; Liu, Qi; Cheng, Qian; Guo, Yanbei; Chen, Xueli] Xidian Univ, Sch Life Sci &amp; Technol, Xian Key Lab Intelligent Sensing &amp; Regulat Transsc, Xian 710126, Shaanxi, Peoples R China; [Chen, Xueli] Xidian Univ, State Key Lab Electromech Integrated Mfg High Perf, Xian 710071, Shaanxi, Peoples R China; [Chen, Xueli] Xidian Univ, Guangzhou Inst Technol, Bioptoelectron Integrat &amp; Med Instrumentat Lab, Guangzhou 510555, Guangdong, Peoples R China; [Yang, Wei] Chongqing Acad Anim Sci, Chongqing 402460, Peoples R China</t>
  </si>
  <si>
    <t>Xidian University; Xidian University; Xidian University; Xidian University; Xidian University; Chongqing Academy of Animal Sciences</t>
  </si>
  <si>
    <t>SSIF-Affinity: Multimodal Deep Learning of Sequence-Structure Features for Precise Protein-Protein Binding Affinity Prediction</t>
  </si>
  <si>
    <t>INHIBITION; POTENTIALS; EFFICIENT</t>
  </si>
  <si>
    <t>Haotian, Zhang/IVV-3942-2023</t>
  </si>
  <si>
    <t>Xu, Xinyi/0000-0001-6867-7307</t>
  </si>
  <si>
    <t>JAN 12 2026</t>
  </si>
  <si>
    <t>10.1021/acs.jcim.5c01734</t>
  </si>
  <si>
    <t>http://dx.doi.org/10.1021/acs.jcim.5c01734</t>
  </si>
  <si>
    <t>AY8NR</t>
  </si>
  <si>
    <t>41392472</t>
  </si>
  <si>
    <t>WOS:001639254200001</t>
  </si>
  <si>
    <t>Wang, JY; Mou, LT; Ma, L; Huang, TJ; Gao, W</t>
  </si>
  <si>
    <t>Efficient recognition of emotions has attracted extensive research interest, which makes new applications in many fields possible, such as human-computer interaction, disease diagnosis, service robots, and so forth. Although existingwork on sentiment analysis relying on sensors or unimodal methods performswell for simple contexts like business recommendation and facial expression recognition, it does far below expectations for complex scenes, such as sarcasm, disdain, and metaphors. In this article, we propose a novel two-stage multimodal learning framework, called AMSA, to adaptively learn correlation and complementarity between modalities for dynamic fusion, achieving more stable and precise sentiment analysis results. Specifically, a multiscale attention model with a slice positioning scheme is proposed to get stable quintuplets of sentiment in images, texts, and speeches in the first stage. Then a Transformer-based self-adaptive network is proposed to assign weights flexibly for multimodal fusion in the second stage and update the parameters of the loss function through compensation iteration. To quickly locate key areas for efficient affective computing, a patch-based selection scheme is proposed to iteratively remove redundant information through a novel loss function before fusion. Extensive experiments have been conducted on both machine weakly labeled and manually annotated datasets of self-made Video-SA, CMU-MOSEI, and CMU-MOSI. The results demonstrate the superiority of our approach through comparison with baselines.</t>
  </si>
  <si>
    <t>Wang, Jingyao; Mou, Luntian; Ma, Lei; Huang, Tiejun; Gao, Wen</t>
  </si>
  <si>
    <t>Wang, JY (corresponding author), Univ Chinese Acad Sci, Inst Software Chinese Acad Sci, Beijing, Peoples R China.</t>
  </si>
  <si>
    <t>jingyao_wang0728@163.com; ltmou@pku.edu.cn; tjhuang@pku.edu.cn; lei.ma@pku.edu.cn; wgao@pku.edu.cn</t>
  </si>
  <si>
    <t>Natural Science Foundation of China [61672068]</t>
  </si>
  <si>
    <t>Natural Science Foundation of China (National Natural Science Foundation of China (NSFC))</t>
  </si>
  <si>
    <t>Luntian Mou work was supported in part by the Natural Science Foundation of China under Grant 61672068.</t>
  </si>
  <si>
    <t>[Wang, Jingyao] Univ Chinese Acad Sci, Inst Software Chinese Acad Sci, Beijing, Peoples R China; [Mou, Luntian] Beijing Univ Technol, Inst Artificial Intelligence, Beijing Key Lab Multimedia &amp; Intelligent Software, Beijing Inst Artificial Intelligence,Fac Informt, Beijing, Peoples R China; [Ma, Lei; Huang, Tiejun; Gao, Wen] Peking Univ, Beijing, Peoples R China</t>
  </si>
  <si>
    <t>Chinese Academy of Sciences; University of Chinese Academy of Sciences, CAS; Institute of Software, CAS; Beijing University of Technology; Peking University</t>
  </si>
  <si>
    <t>AMSA: Adaptive Multimodal Learning for Sentiment Analysis</t>
  </si>
  <si>
    <t>ACM TRANSACTIONS ON MULTIMEDIA COMPUTING COMMUNICATIONS AND APPLICATIONS</t>
  </si>
  <si>
    <t>Sentiment analysis; multimodal fusion; self-adaptive mechanism; transformer; patch-based selection</t>
  </si>
  <si>
    <t>Mou, Luntian/ACX-6553-2022; Ma, Lei/AEI-0577-2022</t>
  </si>
  <si>
    <t>Jingyao, Wang/0000-0003-1782-8704; Mou, Luntian/0000-0002-1551-4448; Ma, Lei/0000-0001-6024-3854</t>
  </si>
  <si>
    <t>ASSOC COMPUTING MACHINERY</t>
  </si>
  <si>
    <t>1601 Broadway, 10th Floor, NEW YORK, NY USA</t>
  </si>
  <si>
    <t>1551-6857</t>
  </si>
  <si>
    <t>1551-6865</t>
  </si>
  <si>
    <t>ACM T MULTIM COMPUT</t>
  </si>
  <si>
    <t>ACM Trans. Multimed. Comput. Commun. Appl.</t>
  </si>
  <si>
    <t>S</t>
  </si>
  <si>
    <t>135</t>
  </si>
  <si>
    <t>10.1145/3572915</t>
  </si>
  <si>
    <t>http://dx.doi.org/10.1145/3572915</t>
  </si>
  <si>
    <t>J8FU9</t>
  </si>
  <si>
    <t>WOS:001011934700010</t>
  </si>
  <si>
    <t>Abdullah; Ather, MA; Rodriguez, JLO; Sánchez-Mejorada, CG; Ruiz, MJT; Tellez, RQ</t>
  </si>
  <si>
    <t>Accurate forecasting of nutrition supply-demand dynamics is essential for reducing resource wastage and improving equitable allocation. However, this task remains challenging due to heterogeneous data sources, cold-start regions, and the risk of information leakage in spatiotemporal modeling. This study presents a leakage-aware multimodal machine learning framework for nutrition supply-demand forecasting. The framework integrates temporal, spatial, and contextual information within a unified architecture. It combines self-supervised temporal representation learning, causal time-lag modeling, and few-shot adaptation to improve generalization under limited or previously unseen data conditions. Heterogeneous inputs include epidemiological, environmental, demographic, sentiment, and biologically derived indicators. These signals are encoded using a PatchTST-inspired temporal backbone coupled with a feature-token transformer employing cross-modal attention. Spatial dependencies are explicitly modeled using graph neural networks. Hierarchical decoding enables multi-horizon forecasting with calibrated uncertainty estimates. Model evaluation is conducted under strict spatiotemporal hold-out protocols with explicit leakage detection. All synthetic signals are excluded from testing. Across geographically and temporally disjoint datasets, the proposed framework consistently outperforms strong unimodal and multimodal baselines. It achieves macro-F1 scores above 99.5% and stable early-warning lead times of approximately 9 days under distribution shift. Ablation studies indicate that causal time-lag enforcement and few-shot adaptation contribute most strongly to performance robustness. Closed-loop simulation experiments suggest potential reductions in nutrient wastage of approximately 38%, response latency of 19%, and operational costs of 16% when deployed as a decision-support tool. External validation on fully unseen regions confirms the generalizability of the framework under realistic forecasting constraints.</t>
  </si>
  <si>
    <t>Abdullah; Ather, Muhammad Ateeb; Rodriguez, Jose Luis Oropeza; Sanchez-Mejorada, Carlos Guzman; Ruiz, Miguel Jesus Torres; Tellez, Rolando Quintero</t>
  </si>
  <si>
    <t>Ruiz, MJT (corresponding author), Inst Politecn Nacl, Ctr Comp Res, Mexico City 07738, Mexico.</t>
  </si>
  <si>
    <t>mtorres@cic.ipn.mx; cmejorada@cic.ipn.mx; quintero@cic.ipn.mx; joropeza@cic.ipn.mx; abdullah2025@cic.ipn.mx</t>
  </si>
  <si>
    <t>[Abdullah; Rodriguez, Jose Luis Oropeza; Sanchez-Mejorada, Carlos Guzman; Ruiz, Miguel Jesus Torres; Tellez, Rolando Quintero] Inst Politecn Nacl, Ctr Comp Res, Mexico City 07738, Mexico; [Abdullah; Ather, Muhammad Ateeb] Bahria Univ, Dept Comp Sci, Lahore 54600, Pakistan</t>
  </si>
  <si>
    <t>Instituto Politecnico Nacional - Mexico; Bahria University</t>
  </si>
  <si>
    <t>A Leakage-Aware Multimodal Machine Learning Framework for Nutrition Supply-Demand Forecasting Using Temporal and Spatial Data Fusion</t>
  </si>
  <si>
    <t>COMPUTERS</t>
  </si>
  <si>
    <t>nutrient demand forecasting; multimodal machine learning; bioinformatics for nutrition; causal inference in biomedicine; nutritional epidemiology; spatiotemporal public health prediction; internet-enabled intelligent systems</t>
  </si>
  <si>
    <t>SYSTEMS</t>
  </si>
  <si>
    <t>Torres-Ruiz, Miguel/AAU-9308-2021</t>
  </si>
  <si>
    <t>2073-431X</t>
  </si>
  <si>
    <t>Computers</t>
  </si>
  <si>
    <t>10.3390/computers15030156</t>
  </si>
  <si>
    <t>http://dx.doi.org/10.3390/computers15030156</t>
  </si>
  <si>
    <t>FQ7KX</t>
  </si>
  <si>
    <t>WOS:001725151300001</t>
  </si>
  <si>
    <t>Niu, Y; Xie, HB; Jia, HB; Zhao, L; Liu, L; Liu, PP; Li, XM; Wang, RT; Li, YZ</t>
  </si>
  <si>
    <t>Background and Purpose: Prognostic stratification in non-small cell lung cancer (NSCLC) presents considerable challenges due to tumor heterogeneity. Emerging evidence has proposed that adipose tissue may play a prognostic role in oncological outcomes. This study investigates the integration of deep learning (DL)-derived computed tomography (CT) imaging biomarkers with mediastinal adiposity metrics to develop a multimodal prognostic model for postoperative survival prediction in NSCLC patients. Methods: A retrospective cohort of 702 surgically resected NSCLC patients was analyzed. Tumor radiomic features were extracted using a DenseNet121 convolutional neural network architecture, while mediastinal fat area (MFA) was quantified through semiautomated segmentation using ImageJ software. A multimodal survival prediction model was developed through feature-level fusion of DL-extracted tumor characteristics and MFA measurements. Model performance was evaluated using Harrell's concordance index (C-index) and receiver operating characteristic (ROC) analysis. Risk stratification was performed using an optimal threshold derived from training data, with subsequent Kaplan-Meier survival curve comparison between high- and low-risk cohorts. Results: The DL-based tumor model achieved C-indices of 0.787 (95% CI: 0.742-0.832) for disease-free survival (DFS) and 0.810 (95% CI: 0.768-0.852) for overall survival (OS) in internal validation. Integration of MFA with DL-derived tumor features yielded a multimodal model demonstrating enhanced predictive performance, with C-indices of 0.823 (OS) and 0.803 (DFS). Kaplan-Meier analysis revealed significant survival divergence between risk-stratified groups (log-rank p &lt; 0.05). Conclusion: The multimodal fusion of DL-extracted tumor radiomics and mediastinal adiposity metrics represents a significant advancement in postoperative survival prediction for NSCLC patients, demonstrating superior prognostic capability compared to unimodal approaches.</t>
  </si>
  <si>
    <t>Niu, Ye; Xie, Han-bing; Jia, Hao-bo; Zhao, Lin; Liu, Le; Liu, Ping-ping; Li, Xue-meng; Wang, Rui-tao; Li, Yuan-zhou</t>
  </si>
  <si>
    <t>Wang, RT (corresponding author), Harbin Med Univ, Canc Hosp, Dept Internal Med, Harbin, Heilongjiang, Peoples R China.; Li, YZ (corresponding author), Harbin Med Univ, Canc Hosp, Dept Radiol, Harbin, Heilongjiang, Peoples R China.</t>
  </si>
  <si>
    <t>ruitaowang@126.com; liyuanzhou0908@163.com</t>
  </si>
  <si>
    <t>Climbing program of Harbin Medical University Cancer Hospital [PDTS2024B-01]</t>
  </si>
  <si>
    <t>Climbing program of Harbin Medical University Cancer Hospital</t>
  </si>
  <si>
    <t>This work was supported by the Climbing program of Harbin Medical University Cancer Hospital (PDTS2024B-01)</t>
  </si>
  <si>
    <t>[Niu, Ye; Xie, Han-bing; Zhao, Lin; Liu, Le; Liu, Ping-ping; Li, Xue-meng; Wang, Rui-tao] Harbin Med Univ, Canc Hosp, Dept Internal Med, Harbin, Heilongjiang, Peoples R China; [Jia, Hao-bo] Univ Elect Sci &amp; Technol China, Sch Comp Sci &amp; Engn, Chengdu, Sichuan, Peoples R China; [Li, Yuan-zhou] Harbin Med Univ, Canc Hosp, Dept Radiol, Harbin, Heilongjiang, Peoples R China</t>
  </si>
  <si>
    <t>Harbin Medical University; University of Electronic Science &amp; Technology of China; Harbin Medical University</t>
  </si>
  <si>
    <t>Multimodal Deep Learning Integrating Tumor Radiomics and Mediastinal Adiposity Improves Survival Prediction in Non-Small Cell Lung Cancer: A Prognostic Modeling Study</t>
  </si>
  <si>
    <t>CANCER MEDICINE</t>
  </si>
  <si>
    <t>computerized tomography; deep learning; mediastinal fat; non-small cell lung cancer; survival</t>
  </si>
  <si>
    <t>COMPUTED-TOMOGRAPHY; SKELETAL-MUSCLE; FAT; DISEASE; ASSOCIATION; VOLUMES; TISSUE; RISK</t>
  </si>
  <si>
    <t>Liu, Ping/MDT-7702-2025</t>
  </si>
  <si>
    <t>2045-7634</t>
  </si>
  <si>
    <t>CANCER MED-US</t>
  </si>
  <si>
    <t>Cancer Med.</t>
  </si>
  <si>
    <t>AUG 4 2025</t>
  </si>
  <si>
    <t>e71077</t>
  </si>
  <si>
    <t>10.1002/cam4.71077</t>
  </si>
  <si>
    <t>http://dx.doi.org/10.1002/cam4.71077</t>
  </si>
  <si>
    <t>5TM6K</t>
  </si>
  <si>
    <t>40755324</t>
  </si>
  <si>
    <t>WOS:001543956200001</t>
  </si>
  <si>
    <t>Chen, LY; Fan, XW</t>
  </si>
  <si>
    <t>We propose TIC-FusionNet, a trend-aware multimodal deep learning framework for time series forecasting with integrated visual signal analysis, aimed at addressing the limitations of unimodal and short-range dependency models in noisy financial environments. The architecture combines Exponential Moving Average (EMA) decomposition for denoising and trend extraction, a lightweight Linear Transformer for efficient long-sequence temporal modeling, and a spatial-channel CNN with CBAM attention to capture morphological patterns from candlestick chart images. A gated fusion mechanism adaptively integrates numerical and visual modalities based on context relevance, enabling dynamic feature weighting under varying market conditions. We evaluate TIC-FusionNet on six real-world stock datasets, including four major Chinese and U.S. companies-Amazon, Tesla, Kweichow Moutai, Ping An Insurance, China Vanke-and Apple-covering diverse market sectors and volatility patterns. The model is compared against a broad range of baselines, including statistical models (ARIMA), classical machine learning methods (Random Forest, SVR), recurrent and convolutional neural networks (LSTM, TCN, CNN-only), and recent Transformer-based architectures (Informer, Autoformer, Crossformer, iTransformer). Experimental results demonstrate that TIC-FusionNet achieves consistently superior predictive accuracy and generalization, outperforming state-of-the-art baselines across all datasets. Extensive ablation studies verify the critical role of each architectural component, while attention-based interpretability analysis highlights the dominant technical indicators under different volatility regimes. These findings not only confirm the effectiveness of multimodal integration in capturing complementary temporal-visual cues, but also provide valuable insights into model decision-making. The proposed framework offers a robust, scalable, and interpretable solution for multimodal temporal prediction tasks, with strong potential for deployment in intelligent forecasting, sensor fusion, and risk-aware decision-making systems.</t>
  </si>
  <si>
    <t>Chen, Liyu; Fan, Xiangwei</t>
  </si>
  <si>
    <t>Chen, LY (corresponding author), Qingdao Huanghai Univ, Int Business Sch, Qingdao, Peoples R China.</t>
  </si>
  <si>
    <t>chenliyu2025@163.com</t>
  </si>
  <si>
    <t>[Chen, Liyu] Qingdao Huanghai Univ, Int Business Sch, Qingdao, Peoples R China; [Fan, Xiangwei] Qingdao Talent &amp; Enterprise Serv Grp Co Ltd, Qingdao, Peoples R China</t>
  </si>
  <si>
    <t>Qingdao Huanghai University</t>
  </si>
  <si>
    <t>TIC-FusionNet: A multimodal deep learning framework with temporal decomposition and attention-based fusion for time series forecasting</t>
  </si>
  <si>
    <t>STOCK; PREDICTION; NETWORKS</t>
  </si>
  <si>
    <t>OCT 9 2025</t>
  </si>
  <si>
    <t>e0333379</t>
  </si>
  <si>
    <t>10.1371/journal.pone.0333379</t>
  </si>
  <si>
    <t>http://dx.doi.org/10.1371/journal.pone.0333379</t>
  </si>
  <si>
    <t>8LD5X</t>
  </si>
  <si>
    <t>41066756</t>
  </si>
  <si>
    <t>WOS:001591276000039</t>
  </si>
  <si>
    <t>Jose, S; Nguyen, KTP; Medjaher, K</t>
  </si>
  <si>
    <t>Prognostics and Health Management (PHM) is crucial for the smooth operation of manufacturing systems, and prevention of potentially costly downtime. While data-driven PHM techniques have gained popularity, their effectiveness in industrial application hinges on data quality. Multimodal learning, integrating insights from various data sources, shows promise in handling real world challenges such as noisy or incomplete data. However, existing literature lacks an in-depth exploration of noise and data incompleteness effects on multimodal-based prognostics, particularly in industrial contexts. This study aims to address this gap by analyzing prognostic performance in varying data quality conditions, aiming to guide practitioners in optimizing data strategies. Through a comparative evaluation, involving different multimodal and unimodal learning models under diverse data conditions, this research offers a potential framework, for advancing the prediction of degradation levels in noisy and missing condition-monitoring data scenarios.</t>
  </si>
  <si>
    <t>Jose, Sagar; Nguyen, Khanh T. P.; Medjaher, Kamal</t>
  </si>
  <si>
    <t>Jose, S (corresponding author), Univ Technol Tarbes Occitanie Pyrenees UTTOP, Lab Genie Prod LGP, 47 Ave Azereix, F-65000 Tarbes, France.</t>
  </si>
  <si>
    <t>sagar.jose@doctorant.uttop.fr</t>
  </si>
  <si>
    <t>Region Occitanie, Communauted'Agglomeration Tarbes-Lourdes-Pyrenees; Ecole Nationaled'Ingenieurs de Tarbes (ENIT)</t>
  </si>
  <si>
    <t>This work was funded by Region Occitanie, Communauted'Agglomeration Tarbes-Lourdes-Pyrenees and Ecole Nationaled'Ingenieurs de Tarbes (ENIT).</t>
  </si>
  <si>
    <t>[Jose, Sagar; Nguyen, Khanh T. P.; Medjaher, Kamal] Univ Technol Tarbes Occitanie Pyrenees UTTOP, Lab Genie Prod LGP, 47 Ave Azereix, F-65000 Tarbes, France</t>
  </si>
  <si>
    <t>Communaute d'universites et etablissements de Toulouse (Comue); Universite de Technologie Tarbes Occitanie Pyrenees; Universite de Toulouse (EPE); Universite de Technologie Tarbes Occitanie Pyrenees</t>
  </si>
  <si>
    <t>Enhancing industrial prognostic accuracy in noisy and missing data context: assessing multimodal learning performance</t>
  </si>
  <si>
    <t>JOURNAL OF INTELLIGENT MANUFACTURING</t>
  </si>
  <si>
    <t>Prognostics; Predictive maintenance; PHM; Multimodal learning; Missing and noisy data; Deep learning</t>
  </si>
  <si>
    <t>Nguyen, Khanh/AFL-2636-2022</t>
  </si>
  <si>
    <t>Jose, Sagar/0009-0009-6994-8629</t>
  </si>
  <si>
    <t>0956-5515</t>
  </si>
  <si>
    <t>1572-8145</t>
  </si>
  <si>
    <t>J INTELL MANUF</t>
  </si>
  <si>
    <t>J. Intell. Manuf.</t>
  </si>
  <si>
    <t>373</t>
  </si>
  <si>
    <t>397</t>
  </si>
  <si>
    <t>10.1007/s10845-024-02544-7</t>
  </si>
  <si>
    <t>http://dx.doi.org/10.1007/s10845-024-02544-7</t>
  </si>
  <si>
    <t>Computer Science, Artificial Intelligence; Engineering, Manufacturing</t>
  </si>
  <si>
    <t>CV3XM</t>
  </si>
  <si>
    <t>WOS:001377507400001</t>
  </si>
  <si>
    <t>Partin, A; Brettin, T; Zhu, YT; Dolezal, JM; Kochanny, S; Pearson, AT; Shukla, M; Evrard, YA; Doroshow, JH; Stevens, RL</t>
  </si>
  <si>
    <t>Patient-derived xenografts (PDXs) are an appealing platform for preclinical drug studies. A primary challenge in modeling drug response prediction (DRP) with PDXs and neural networks (NNs) is the limited number of drug response samples. We investigate multimodal neural network (MM-Net) and data augmentation for DRP in PDXs. The MM-Net learns to predict response using drug descriptors, gene expressions (GE), and histology whole-slide images (WSIs). We explore whether combining WSIs with GE improves predictions as compared with models that use GE alone. We propose two data augmentation methods which allow us training multimodal and unimodal NNs without changing architectures with a single larger dataset: 1) combine single-drug and drug-pair treatments by homogenizing drug representations, and 2) augment drug-pairs which doubles the sample size of all drug-pair samples. Unimodal NNs which use GE are compared to assess the contribution of data augmentation. The NN that uses the original and the augmented drug-pair treatments as well as single-drug treatments outperforms NNs that ignore either the augmented drug-pairs or the single-drug treatments. In assessing the multimodal learning based on the MCC metric, MM-Net outperforms all the baselines. Our results show that data augmentation and integration of histology images with GE can improve prediction performance of drug response in PDXs.</t>
  </si>
  <si>
    <t>Partin, Alexander; Brettin, Thomas; Zhu, Yitan; Dolezal, James M. M.; Kochanny, Sara; Pearson, Alexander T. T.; Shukla, Maulik; Evrard, Yvonne A. A.; Doroshow, James H. H.; Stevens, Rick L. L.</t>
  </si>
  <si>
    <t>Partin, A (corresponding author), Argonne Natl Lab, Div Data Sci &amp; Learning, Lemont, IL 60439 USA.</t>
  </si>
  <si>
    <t>apartin@anl.gov</t>
  </si>
  <si>
    <t>U.S. Department of Energy (DOE); National Cancer Institute (NCI) of the National Institutes of Health [75N91019F00134, 75N91019D00024]; U.S. Department of Energy by Argonne National Laboratory [DE-AC02-06-CH11357]; Lawrence Livermore National Laboratory [DE-AC52-07NA27344]; Los Alamos National Laboratory [89233218CNA000001]; Oak Ridge National Laboratory [DE-AC05-00OR22725]; Leidos Biomedical Research, Inc. [PRJ1009868]; National Cancer Institute [ZIABC011078] Funding Source: NIH RePORTER</t>
  </si>
  <si>
    <t>U.S. Department of Energy (DOE) (United States Department of Energy (DOE)); National Cancer Institute (NCI) of the National Institutes of Health; U.S. Department of Energy by Argonne National Laboratory (United States Department of Energy (DOE)); Lawrence Livermore National Laboratory (United States Department of Energy (DOE)); Los Alamos National Laboratory (United States Department of Energy (DOE), Los Alamos National Laboratory); Oak Ridge National Laboratory (United States Department of Energy (DOE)); Leidos Biomedical Research, Inc.; National Cancer Institute (United States Department of Health &amp; Human Services, National Institutes of Health (NIH) - USA, NIH National Cancer Institute (NCI))</t>
  </si>
  <si>
    <t>This has been funded in whole or in part with Federal funding by the NCI-DOE Collaboration established by the U.S. Department of Energy (DOE) and the National Cancer Institute (NCI) of the National Institutes of Health, Cancer Moonshot Task Order No. 75N91019F00134 and under Frederick National Laboratory for Cancer Research Contract 75N91019D00024. This work was performed under the auspices of the U.S. Department of Energy by Argonne National Laboratory under Contract DE-AC02-06-CH11357, Lawrence Livermore National Laboratory under Contract DE-AC52-07NA27344, Los Alamos National Laboratory under Contract 89233218CNA000001, and Oak Ridge National Laboratory under Contract DE-AC05-00OR22725. Argonne National Laboratory's work on the Preclinical Modeling High-Performance Computing Artificial Intelligence project was supported in whole or in part by Leidos Biomedical Research, Inc., under PRJ1009868.</t>
  </si>
  <si>
    <t>[Partin, Alexander; Brettin, Thomas; Zhu, Yitan; Shukla, Maulik; Stevens, Rick L. L.] Argonne Natl Lab, Div Data Sci &amp; Learning, Lemont, IL 60439 USA; [Dolezal, James M. M.; Kochanny, Sara; Pearson, Alexander T. T.] Univ Chicago, Med Ctr, Dept Med, Sect Hematol Oncol, Chicago, IL USA; [Evrard, Yvonne A. A.] Leidos Biomed Res Inc, Frederick Natl Lab Canc Res, Frederick, MD USA; [Doroshow, James H. H.] NCI, Div Canc Therapeut &amp; Diag, Bethesda, MD USA; [Stevens, Rick L. L.] Univ Chicago, Dept Comp Sci, Chicago, IL USA</t>
  </si>
  <si>
    <t>United States Department of Energy (DOE); Argonne National Laboratory; University of Chicago; University of Chicago Medical Center; National Institutes of Health (NIH) - USA; NIH National Cancer Institute (NCI); Frederick National Laboratory for Cancer Research; National Institutes of Health (NIH) - USA; NIH National Cancer Institute (NCI); University of Chicago</t>
  </si>
  <si>
    <t>Data augmentation and multimodal learning for predicting drug response in patient-derived xenografts from gene expressions and histology images</t>
  </si>
  <si>
    <t>drug response prediction; histology whole-slide images; gene expression; multimodal deep learning; preclinical drug studies; data augmentation; patient-derived xenograft (PDX)</t>
  </si>
  <si>
    <t>HETEROGENEITY</t>
  </si>
  <si>
    <t>Dolezal, James/IAR-7708-2023; Partin, Alexander/LRB-3134-2024</t>
  </si>
  <si>
    <t>Shukla, Maulik/0009-0002-3396-5725; Partin, Alexander/0000-0002-9279-9213</t>
  </si>
  <si>
    <t>MAR 7 2023</t>
  </si>
  <si>
    <t>1058919</t>
  </si>
  <si>
    <t>10.3389/fmed.2023.1058919</t>
  </si>
  <si>
    <t>http://dx.doi.org/10.3389/fmed.2023.1058919</t>
  </si>
  <si>
    <t>A2VV7</t>
  </si>
  <si>
    <t>36960342</t>
  </si>
  <si>
    <t>WOS:000953770400001</t>
  </si>
  <si>
    <t>Li, XQ; Liu, G; Yuan, Y; Han, Z</t>
  </si>
  <si>
    <t>Glare evaluation is crucial for indoor daylight organization at early design stage. Due to the high computational costs and the specialized expertise required for simulation tools, machine learning-based prediction techniques are increasingly used. However, the greatest drawback of these techniques in practice is their poor generalizability, as they are limited to trained spatial forms or scenario settings. This study proposes two surrogate models for indoor glare based on multimodal deep learning networks, targeting visual and quantitative metrics, aimed at improving generalizability of surrogate models. A grid-based approach is introduced to uniformly translate diverse spatial combinations and material configurations, along with a semantic mapping-based method for multi-feature fusion. By combining multiple data modalities, the models further extend their applicability to various environmental conditions. Additionally, unimodal Generative Adversarial Network and Convolutional Neural Network were specifically optimized to address the multimodal feature alignment, fusion, and weight balancing. These networks introduced the multimodal feature fusion block and the low-dimensional feature reinforcement mechanism, which deeply integrate information from various modalities and balance the impact of different dimensional features. The models' effectiveness has been validated with RPLAN database, predicting the luminance distribution matrix and DGP. The mGAN achieved an average MAE of 16.907, MAPE of 0.156, and SSIM of 0.851 on the test set. The mCNN attained an average R2 of 0.940 and MPE of 0.391 on the test set. This approach saved 73.03 % in computational time compared to simulation methods, offering strong generalizability, speed, and accuracy, the effectively supporting glare organization in early-stage design decision.</t>
  </si>
  <si>
    <t>Li, Xiaoqian; Liu, Gang; Yuan, Ye; Han, Zhen</t>
  </si>
  <si>
    <t>Han, Z (corresponding author), Tianjin Univ, Sch Architecture, Tianjin 300072, Peoples R China.; Han, Z (corresponding author), Tianjin Univ, Tianjin Int Engn Inst, Tianjin 300072, Peoples R China.; Han, Z (corresponding author), Natl Univ Singapore, Dept Architecture, Singapore 117566, Singapore.</t>
  </si>
  <si>
    <t>zhan@tju.edu.cn</t>
  </si>
  <si>
    <t>National Key Research and Development Program of China [2023YFC3807402]; National University of Singapore IT's Research Computing group</t>
  </si>
  <si>
    <t>National Key Research and Development Program of China (National Key Research &amp; Development Program of China); National University of Singapore IT's Research Computing group</t>
  </si>
  <si>
    <t>This study is supported by the National Key Research and Development Program of China (Grant No. 2023YFC3807402) . We also would like to acknowledge that computational work involved in this research work is partially supported by National University of Singapore IT's Research Computing group.</t>
  </si>
  <si>
    <t>[Li, Xiaoqian; Liu, Gang; Yuan, Ye; Han, Zhen] Tianjin Univ, Sch Architecture, Tianjin 300072, Peoples R China; [Li, Xiaoqian; Liu, Gang; Yuan, Ye; Han, Zhen] Tianjin Univ, Tianjin Int Engn Inst, Tianjin 300072, Peoples R China; [Li, Xiaoqian; Han, Zhen] Natl Univ Singapore, Dept Architecture, Singapore 117566, Singapore</t>
  </si>
  <si>
    <t>Tianjin University; Tianjin University; National University of Singapore</t>
  </si>
  <si>
    <t>Highly generalized surrogate models for indoor glare performance based on multimodal deep learning networks at the early design stage</t>
  </si>
  <si>
    <t>Glare prediction; Surrogate model; Multimodal model; Generative adversarial network; Convolutional neural network</t>
  </si>
  <si>
    <t>Han, Zhen/LZH-2322-2025</t>
  </si>
  <si>
    <t>Han, Zhen/0000-0002-9547-9063; Li, Xiaoqian/0009-0009-0160-6817</t>
  </si>
  <si>
    <t>APR 1 2025</t>
  </si>
  <si>
    <t>273</t>
  </si>
  <si>
    <t>112706</t>
  </si>
  <si>
    <t>10.1016/j.buildenv.2025.112706</t>
  </si>
  <si>
    <t>http://dx.doi.org/10.1016/j.buildenv.2025.112706</t>
  </si>
  <si>
    <t>X9V5Y</t>
  </si>
  <si>
    <t>WOS:001428734500001</t>
  </si>
  <si>
    <t>Pechetti, S; Chennu, LNL; Chintakunta, V; Dudala, S</t>
  </si>
  <si>
    <t>Mental stress detection requires robust classification systems capable of leveraging complementary physiological and behavioral indicators. This study presents a cross-domain multimodal framework that integrates independent benchmark datasets to predict stress levels through neurophysiological and facial expression analysis. The proposed architecture employs a dual-branch approach: Long Short-Term Memory (LSTM) networks process temporal EEG patterns from the DEAP dataset, while a hybrid Vision Transformer-Convolutional Neural Network (ViT-CNN) model extracts facial features from FER2013. Three fusion strategies are systematically evaluated to address cross-domain data integration challenges: early fusion via feature concatenation, late fusion through ensemble decision-making, and stacked fusion using meta-classifier architecture. The framework demonstrates exceptional generalizability across independent data sources, with stacked fusion achieving 91.64% accuracy, 0.93 precision, 0.94 recall, and 0.95 F1-score for three-level stress classification (low, moderate, high). Comparative analysis validates the superiority of cross-domain fusion over existing unimodal approaches, demonstrating significant performance improvements without synchronized data collection. This methodology addresses practical deployment scenarios where simultaneous multimodal recording is not possible all the time , offering substantial potential for real-world stress monitoring in healthcare, occupational environments, and intelligent human-computer interaction systems.</t>
  </si>
  <si>
    <t>Pechetti, Sukanya; Chennu, Lakshmi Naga Lasya; Chintakunta, Vijay; Dudala, Sumanth</t>
  </si>
  <si>
    <t>Pechetti, S (corresponding author), Siddhartha Acad Higher Educ Deemed Be Univ, Dept Comp Sci &amp; Engn, Vijayawada 520007, Andhra Pradesh, India.</t>
  </si>
  <si>
    <t>sukanya@vrsiddhartha.ac.in</t>
  </si>
  <si>
    <t>[Pechetti, Sukanya; Chennu, Lakshmi Naga Lasya; Chintakunta, Vijay; Dudala, Sumanth] Siddhartha Acad Higher Educ Deemed Be Univ, Dept Comp Sci &amp; Engn, Vijayawada 520007, Andhra Pradesh, India</t>
  </si>
  <si>
    <t>Siddhartha Academy of Higher Education</t>
  </si>
  <si>
    <t>Cross-domain multimodal learning for stress-level prediction: a hybrid deep learning framework integrating independent EEG and facial expression datasets</t>
  </si>
  <si>
    <t>Multimodal stress prediction; EEG signal analysis; Facial expression recognition; Vision transformer; Long short-term memory networks; Multimodal fusion</t>
  </si>
  <si>
    <t>pechetti, sukanya/0000-0002-4841-4056</t>
  </si>
  <si>
    <t>APR 1 2026</t>
  </si>
  <si>
    <t>15303</t>
  </si>
  <si>
    <t>10.1038/s41598-026-41250-7</t>
  </si>
  <si>
    <t>http://dx.doi.org/10.1038/s41598-026-41250-7</t>
  </si>
  <si>
    <t>IC3LN</t>
  </si>
  <si>
    <t>41922398</t>
  </si>
  <si>
    <t>WOS:001768310700017</t>
  </si>
  <si>
    <t>Tian, ZH; Xu, LJ; Chen, JW; Chen, DW; Yu, JT; Zhang, K</t>
  </si>
  <si>
    <t>Conventional soil organic carbon (SOC) measurements are laborious and destructive, constraining their suitability for large-scale monitoring. Pedotransfer functions (PTFs) based on soil spectral information provide a rapid and nondestructive alternative, but their accuracy is often reduced in heterogeneous soils and across diverse regions. To address these challenges, this study introduces a novel multimodal deep learning framework that integrates environmental covariates, one-dimensional spectra, and 2DCOS images to enhance SOC prediction. The fusion of these diverse data sources improves the extraction of complementary features, representing a significant advancement over conventional unimodal models. The framework was applied to 408 surface soil samples (0-20 cm) collected from disturbed mining areas in central Huaibei, Anhui Province, China, which are characterized by multiple subsidence patterns. The fusion of 2DCOS, spectral data, and environmental covariates achieved the best performance, with the coefficient of determination of 0.898 and the root mean square error of 1.17. Compared with classical PTFs and widely used machine-learning models (e.g., XGBoost, GBDT, Random Forest), the framework improved the SOC predictive performance, highlighting its potential for SOC monitoring in mining-disturbed soil.</t>
  </si>
  <si>
    <t>Tian, Zhenhong; Xu, Liangji; Chen, Jiawei; Chen, Daowei; Yu, Jintao; Zhang, Kun</t>
  </si>
  <si>
    <t>Zhang, K (corresponding author), State Key Lab Safe Min Deep Coal &amp; Environm Protec, Huainan, Peoples R China.; Zhang, K (corresponding author), Anhui Univ Sci &amp; Technol, Sch Spatial Informat &amp; Geomat Engn, Huainan, Peoples R China.</t>
  </si>
  <si>
    <t>chzk@aust.edu.cn</t>
  </si>
  <si>
    <t>Open Foundation of State Key Laboratory of Safe Mining of Deep Coal and Environmental Protection [2025YB018]; Natural Science Research Project of Anhui Educational Committee [2023AH010025, 2023AH051208]; National Natural Science Foundation of China [52574211]</t>
  </si>
  <si>
    <t>Open Foundation of State Key Laboratory of Safe Mining of Deep Coal and Environmental Protection; Natural Science Research Project of Anhui Educational Committee; National Natural Science Foundation of China (National Natural Science Foundation of China (NSFC))</t>
  </si>
  <si>
    <t>This research was funded by the Open Foundation of State Key Laboratory of Safe Mining of Deep Coal and Environmental Protection (2025YB018), the Natural Science Research Project of Anhui Educational Committee (2023AH010025, 2023AH051208), and the National Natural Science Foundation of China (52574211).</t>
  </si>
  <si>
    <t>[Tian, Zhenhong; Xu, Liangji; Chen, Jiawei; Chen, Daowei; Yu, Jintao; Zhang, Kun] State Key Lab Safe Min Deep Coal &amp; Environm Protec, Huainan, Peoples R China; [Tian, Zhenhong; Chen, Jiawei; Chen, Daowei; Zhang, Kun] Anhui Univ Sci &amp; Technol, Sch Spatial Informat &amp; Geomat Engn, Huainan, Peoples R China; [Xu, Liangji] Hefei Comprehens Natl Sci Ctr, Inst Energy, Hefei, Peoples R China</t>
  </si>
  <si>
    <t>Anhui University of Science &amp; Technology</t>
  </si>
  <si>
    <t>A Multimodal Deep Learning Framework Fusing 1D Spectra, 2DCOS Maps, and Environmental Covariates for Soil Organic Carbon Prediction in Disturbed Mining Areas</t>
  </si>
  <si>
    <t>LAND DEGRADATION &amp; DEVELOPMENT</t>
  </si>
  <si>
    <t>2DCOS; environmental covariates; mining-disturbed soil; multimodal deep learning framework; soil organic carbon</t>
  </si>
  <si>
    <t>BULK-DENSITY; MATTER; SPECTROSCOPY</t>
  </si>
  <si>
    <t>1085-3278</t>
  </si>
  <si>
    <t>1099-145X</t>
  </si>
  <si>
    <t>LAND DEGRAD DEV</t>
  </si>
  <si>
    <t>Land Degrad. Dev.</t>
  </si>
  <si>
    <t>4779</t>
  </si>
  <si>
    <t>4793</t>
  </si>
  <si>
    <t>10.1002/ldr.70396</t>
  </si>
  <si>
    <t>http://dx.doi.org/10.1002/ldr.70396</t>
  </si>
  <si>
    <t>Environmental Sciences; Soil Science</t>
  </si>
  <si>
    <t>Environmental Sciences &amp; Ecology; Agriculture</t>
  </si>
  <si>
    <t>KI6YK</t>
  </si>
  <si>
    <t>WOS:001712410400001</t>
  </si>
  <si>
    <t>Xiang, JY; Pan, JX; Zhang, HW; Liu, XK; Liu, BX; Tian, JL; Yan, S</t>
  </si>
  <si>
    <t>Against the backdrop of the rapid development of smart agriculture, pest and disease monitoring and crop growth assessment for large-scale farmlands are of substantial importance for precision management and risk early warning. However, traditional unimodal visual methods are highly susceptible to illumination variation, canopy occlusion, scale differences, and background interference in real field environments, and thus fail to make full use of environmental sensing information and spatial priors. To address these issues, a multimodal target perception framework for intelligent farmland inspection is proposed in this study. By jointly integrating UAV imagery, time-series data from ground Internet of Things sensors, and spatial positional information, joint modeling of pest and disease recognition and crop growth assessment is achieved through cross-modal alignment and collaborative encoding, multi-scale target perception, and dynamic multimodal fusion and decision-making. Experimental results demonstrate that, in the pest and disease recognition task, the proposed method achieved a Precision of 91.63% , a Recall of 90.27% , an F1-score of 90.94% , and an mAP of 93.15% , significantly outperforming comparison models such as Faster R-CNN with ResNet50 backbone, YOLOv8-m, Swin Transformer-Tiny, and Multimodal Transformer. In the crop growth assessment task, an Accuracy of 89.96% , a Precision of 89.11% , a Recall of 88.74% , and a Macro-F1 of 88.92% were achieved, again clearly exceeding those of ResNet50, EfficientNet-B3, ViT-B/16, and conventional multimodal fusion models. The ablation study further verified the effectiveness of the cross-modal alignment module, the multi-scale target perception module, and the dynamic fusion module, with the complete model reaching 90.94% , 93.15% , and 88.92% in Pest F1, Pest mAP, and Growth Macro-F1, respectively. Furthermore, the net economic return regression experiment at the unit-area level further demonstrates that the proposed method can effectively connect state information with economic outcomes, showing strong application potential in return prediction, performance evaluation, and resource allocation optimization. These findings indicate that the proposed method can effectively improve perception accuracy and robustness in complex farmland environments, thereby providing reliable technical support for intelligent inspection, pest and disease early warning, and precision management in agricultural scenarios.</t>
  </si>
  <si>
    <t>Xiang, Jiayu; Pan, Jianxiang; Zhang, Hanwen; Liu, Xuekun; Liu, Boxiu; Tian, Jieling; Yan, Shuo</t>
  </si>
  <si>
    <t>Yan, S (corresponding author), China Agr Univ, Beijing 100083, Peoples R China.</t>
  </si>
  <si>
    <t>yanshuo@cau.edu.cn</t>
  </si>
  <si>
    <t>2115 Talent Development Program of China Agricultural University; National Natural Science Foundation of China [32372631]</t>
  </si>
  <si>
    <t>2115 Talent Development Program of China Agricultural University; National Natural Science Foundation of China (National Natural Science Foundation of China (NSFC))</t>
  </si>
  <si>
    <t>This work was supported by the National Natural Science Foundation of China (grant number: 32372631) and the 2115 Talent Development Program of China Agricultural University.</t>
  </si>
  <si>
    <t>[Xiang, Jiayu; Pan, Jianxiang; Zhang, Hanwen; Liu, Xuekun; Yan, Shuo] China Agr Univ, Beijing 100083, Peoples R China; [Liu, Xuekun; Liu, Boxiu; Tian, Jieling] Peking Univ, Natl Sch Dev, Beijing, Peoples R China</t>
  </si>
  <si>
    <t>China Agricultural University; Peking University</t>
  </si>
  <si>
    <t>Multimodal Deep Learning for Pest and Disease Recognition and Crop Growth Assessment in Open-Field Agricultural Environments</t>
  </si>
  <si>
    <t>AGRICULTURE-BASEL</t>
  </si>
  <si>
    <t>smart agriculture; Internet of Things sensors; pest and disease recognition; precision agriculture; farmland monitoring</t>
  </si>
  <si>
    <t>2077-0472</t>
  </si>
  <si>
    <t>Agriculture-Basel</t>
  </si>
  <si>
    <t>1414</t>
  </si>
  <si>
    <t>10.3390/agriculture16131414</t>
  </si>
  <si>
    <t>http://dx.doi.org/10.3390/agriculture16131414</t>
  </si>
  <si>
    <t>Agronomy</t>
  </si>
  <si>
    <t>KX0PX</t>
  </si>
  <si>
    <t>WOS:001817638400001</t>
  </si>
  <si>
    <t>Li, TR; Wang, QP; Yang, G; Huang, Q; Ren, QQ; Yang, H</t>
  </si>
  <si>
    <t>Recent developments and the rapid expansion of modern power grids have led to alarm flooding. This means that operators receive such a large volume of alarms that they become overwhelmed and stall in inquiry, resulting in mistakes. To better address this issue, an innovative, multifaceted, and hierarchical framework is proposed that combines stability signals and failure event information for intelligent alarm classification and screening. The UCI electrical grid stability and the power system faults datasets, both open source datasets, are used in conjunction with the synthetic multimodal fusion dataset for comprehensive performance evaluation. We benchmark baseline models, including random forest, extreme gradient boosting, and CNN-LSTM, on unimodal datasets. The CNN-LSTM gives us the best temporal stability prediction. At the same time, the XGB has the best heterogeneous fault classification. The proposed hierarchical multimodal model achieves an accuracy of 0.97, an F1 score of 0.96, and an ROC-AUC of 0.98 for the combination of anomaly detection and hybrid CNN-LSTM-XGB fusion. These results demonstrate that hierarchical multimodal learning provides a scalable, intelligent solution for alarm classification and screening in next-generation cyberphysical power grid systems.</t>
  </si>
  <si>
    <t>Li, Tairan; Wang, Qingpeng; Yang, Gao; Huang, Qiang; Ren, Qingqing; Yang, Hao</t>
  </si>
  <si>
    <t>Wang, QP (corresponding author), State Grid Xinjiang Informat &amp; Telecommun Co, Urumqi 830000, Xinjiang, Peoples R China.</t>
  </si>
  <si>
    <t>13095011683@163.com</t>
  </si>
  <si>
    <t>Science and Technology Project of State Grid Xinjiang Electric Power Co., Ltd. [B330XT250023]</t>
  </si>
  <si>
    <t>Science and Technology Project of State Grid Xinjiang Electric Power Co., Ltd.</t>
  </si>
  <si>
    <t>This work was supported by the Science and Technology Project of State Grid Xinjiang Electric Power Co., Ltd. (project code: B330XT250023).</t>
  </si>
  <si>
    <t>[Li, Tairan] Univ Nottingham Ningbo China, Sch Humanities &amp; Social Sci, Ningbo 315000, Zhejiang, Peoples R China; [Wang, Qingpeng; Yang, Gao; Huang, Qiang; Ren, Qingqing; Yang, Hao] State Grid Xinjiang Informat &amp; Telecommun Co, Urumqi 830000, Xinjiang, Peoples R China</t>
  </si>
  <si>
    <t>University of Nottingham Ningbo China</t>
  </si>
  <si>
    <t>A Hierarchical Multimodal AI Framework for Intelligent Alarm Handling in Smart Power Grid Monitoring Systems</t>
  </si>
  <si>
    <t>INTERNATIONAL TRANSACTIONS ON ELECTRICAL ENERGY SYSTEMS</t>
  </si>
  <si>
    <t>anomaly detection; fault detection; intelligent alarm classification and screening; machine learning; multimodal learning; smart grid monitoring</t>
  </si>
  <si>
    <t>TECHNOLOGIES; MODEL</t>
  </si>
  <si>
    <t>2050-7038</t>
  </si>
  <si>
    <t>INT T ELECTR ENERGY</t>
  </si>
  <si>
    <t>Int. Trans. Electr. Energy Syst.</t>
  </si>
  <si>
    <t>5528391</t>
  </si>
  <si>
    <t>10.1155/etep/5528391</t>
  </si>
  <si>
    <t>http://dx.doi.org/10.1155/etep/5528391</t>
  </si>
  <si>
    <t>Engineering, Electrical &amp; Electronic</t>
  </si>
  <si>
    <t>KV4EE</t>
  </si>
  <si>
    <t>WOS:001816523500001</t>
  </si>
  <si>
    <t>Ahammed, SZ; Baskar, R; Nalinipriya, G</t>
  </si>
  <si>
    <t>Lung cancer remains a leading cause of cancer-related mortality worldwide, necessitating advanced predictive models that integrate heterogeneous data sources for improved diagnosis and prognosis. This study introduces FLiGenX-Net, a multimodal federated deep learning framework that integrates CT-derived radiomics with genomic profiles to enable lung cancer detection, subtype classification, and survival prediction. The architecture employs dual-stream encoders for imaging and genomic modalities, followed by a cross-modal attention transformer to generate a unified latent representation. Prediction heads simultaneously handle cancer classification through a Softmax layer and survival estimation via a Cox proportional hazards model, while explainability modules-Grad-CAM for imaging and SHAP for genomics-provide clinically interpretable insights. Training is conducted in a federated setting to ensure patient data privacy across institutions, addressing critical challenges in real-world deployment. Experimental investigations across internal and external datasets (LIDC-IDRI, RIDER, TCIA Lung1, and NSCLC Radiogenomics) demonstrate that FLiGenX-Net achieves superior performance, attaining a concordance index of 0.682 and consistent improvements over unimodal and conventional fusion baselines. The framework also exhibits strong calibration and generalization across heterogeneous cohorts, confirming its robustness. By unifying multimodal learning, privacy-preserving federated optimization, and explainable prediction, FLiGenX-Net represents a clinically actionable advance toward precision oncology for lung cancer.</t>
  </si>
  <si>
    <t>Ahammed, Syed Zaheer; Baskar, Radhika; Nalinipriya, G.</t>
  </si>
  <si>
    <t>Baskar, R (corresponding author), Saveetha Univ, Saveetha Inst Med &amp; Tech Sci, Saveetha Sch Engn, Dept Elect &amp; Commun Engn, Chennai, Tamil Nadu, India.</t>
  </si>
  <si>
    <t>radhikabaskar.saveetha@gmail.com; nalini.anbu@gmail.com; zaheersyed.s@gmail.com</t>
  </si>
  <si>
    <t>[Ahammed, Syed Zaheer] Saveetha Univ, Saveetha Inst Med &amp; Tech Sci, Saveetha Sch Engn, Dept Comp Sci &amp; Engn, Chennai, Tamil Nadu, India; [Baskar, Radhika] Saveetha Univ, Saveetha Inst Med &amp; Tech Sci, Saveetha Sch Engn, Dept Elect &amp; Commun Engn, Chennai, Tamil Nadu, India; [Nalinipriya, G.] Anna Univ, Saveetha Engn Coll, Dept Informat Technol, Chennai, Tamil Nadu, India</t>
  </si>
  <si>
    <t>Saveetha Institute of Medical &amp; Technical Science; Saveetha School of Engineering; Saveetha Institute of Medical &amp; Technical Science; Saveetha School of Engineering; Anna University; Anna University Chennai</t>
  </si>
  <si>
    <t>Privacy-Preserving Multimodal Learning for Lung Cancer: FLiGenX-Net Combining CT Radiomics and Genomic Profiles for Robust Prognosis</t>
  </si>
  <si>
    <t>KSII TRANSACTIONS ON INTERNET AND INFORMATION SYSTEMS</t>
  </si>
  <si>
    <t>Nalinipriya, G/E-4193-2017</t>
  </si>
  <si>
    <t>KSII-KOR SOC INTERNET INFORMATION</t>
  </si>
  <si>
    <t>GANGNAM-GU</t>
  </si>
  <si>
    <t>KOR SCI &amp; TECHNOL CTR, 409 ON 4TH FLR, MAIN BLDG, 635-4 YEOKSAM 1-DONG, GANGNAM-GU, SEOUL 00000, SOUTH KOREA</t>
  </si>
  <si>
    <t>1976-7277</t>
  </si>
  <si>
    <t>KSII T INTERNET INF</t>
  </si>
  <si>
    <t>KSII Trans. Internet Inf. Syst.</t>
  </si>
  <si>
    <t>MAR 31 2026</t>
  </si>
  <si>
    <t>1181</t>
  </si>
  <si>
    <t>10.3837/tiis.2026.03.004</t>
  </si>
  <si>
    <t>http://dx.doi.org/10.3837/tiis.2026.03.004</t>
  </si>
  <si>
    <t>Computer Science, Information Systems; Telecommunications</t>
  </si>
  <si>
    <t>Computer Science; Telecommunications</t>
  </si>
  <si>
    <t>GD0NJ</t>
  </si>
  <si>
    <t>WOS:001733493400004</t>
  </si>
  <si>
    <t>Xu, GJW; Pan, SC; Sun, PZH; Guo, K; Park, SH; Yan, FS; Gao, MY; Wanyan, X; Cheng, H; Wu, EQ</t>
  </si>
  <si>
    <t>Situation awareness (SA) is a crucial factor affecting flight safety for pilots, yet few studies have focused specifically on modeling SA for pilots, resulting in limited success. In this paper, we propose a novel multimodal deep learning approach to monitor pilots' SA. The approach combines handcrafted and deep features obtained from eye movement and flight control data collected from 27 novice pilots across different training phases using a flight simulator. Ground truth SA measurements were obtained using the Situation Awareness Global Assessment Technique (SAGAT). The handcrafted features included 13 eye movements and 22 flight control features, while deep features were extracted from time-series of gaze positions using a deep extractor based on Transformer. By fusing the handcrafted features of eye movement and flight control, along with one deep feature of eye movement, we predicted the final SA level. Through leave-one-flight-out cross-validation, our model achieved a higher accuracy of 92.04%. The results indicate that the multimodal model outperforms the unimodal models, with the eye movement modality demonstrating superiority over the flight control modality in predicting SA. This suggests our method provides an objective means of predicting pilot's SA and offers new insights for SA assessment in aviation and other fields. Overall, our multimodal deep learning approach holds promise for enhancing pilot training and flight safety by facilitating a more comprehensive understanding of pilots' SA during critical flight scenarios.</t>
  </si>
  <si>
    <t>Xu, Gary J. W.; Pan, Sicheng; Sun, Poly Z. H.; Guo, Kun; Park, Seop Hyeong; Yan, Fengshuo; Gao, Mingyang; Wanyan, Xiaoru; Cheng, Hong; Wu, Edmond Q.</t>
  </si>
  <si>
    <t>Cheng, H (corresponding author), Univ Elect Sci &amp; Technol China, Sch Automat Engn, Chengdu 611731, Peoples R China.; Wu, EQ (corresponding author), Shanghai Jiao Tong Univ, Dept Automat, Shanghai 200240, Peoples R China.</t>
  </si>
  <si>
    <t>dreamcatcherpsc@gmail.com; wanyanxiaoru@buaa.edu.cn; edmondqwu@sjtu.edu.cn; zh.sun@sjtu.edu.cn; kguo@lincoln.ac.uk; yanfengshuo@caacsri.com; gaomingyang@caacsri.com; spark@hallym.ac.kr; hcheng@uestc.edu.cn; jxulincoln@gmail.com</t>
  </si>
  <si>
    <t>[Xu, Gary J. W.; Pan, Sicheng; Yan, Fengshuo; Gao, Mingyang] CAAC, Res Inst 2, Chengdu 610200, Peoples R China; [Sun, Poly Z. H.] East China Normal Univ, Sch Psychol &amp; Cognit Sci, Dept Artificial Intelligence &amp; Human Factors Engn, Shanghai 200062, Peoples R China; [Guo, Kun] Univ Lincoln, Sch Psychol, Lincoln LN6 7TS, England; [Park, Seop Hyeong] Hallym Univ, Div Software, Chunchon 24252, Gangwon Do, South Korea; [Wanyan, Xiaoru] Beihang Univ, Sch Aeronaut Sci &amp; Engn, Beijing 100191, Peoples R China; [Cheng, Hong] Univ Elect Sci &amp; Technol China, Sch Automat Engn, Chengdu 611731, Peoples R China; [Wu, Edmond Q.] Shanghai Jiao Tong Univ, Dept Automat, Shanghai 200240, Peoples R China</t>
  </si>
  <si>
    <t>East China Normal University; University of Lincoln; Hallym University; Beihang University; University of Electronic Science &amp; Technology of China; Shanghai Jiao Tong University</t>
  </si>
  <si>
    <t>Human-Factors-in-Aviation-Loop: Multimodal Deep Learning for Pilot Situation Awareness Analysis Using Gaze Position and Flight Control Data</t>
  </si>
  <si>
    <t>IEEE TRANSACTIONS ON INTELLIGENT TRANSPORTATION SYSTEMS</t>
  </si>
  <si>
    <t>Training; Feature extraction; Aerospace control; Deep learning; Safety; Artificial intelligence; Accidents; Tracking; Particle measurements; Data models; Human factors in aviation; pilot situation awareness; virtual profile for pilot</t>
  </si>
  <si>
    <t>X-PLANE</t>
  </si>
  <si>
    <t>Pan, Sicheng/GQG-9219-2022; Sun, Poly Z.H/V-1718-2018</t>
  </si>
  <si>
    <t>Pan, Sicheng/0000-0002-6705-7322; Sun, Poly Z.H/0000-0001-6156-1766; Guo, Kun/0000-0001-6765-1957</t>
  </si>
  <si>
    <t>1524-9050</t>
  </si>
  <si>
    <t>1558-0016</t>
  </si>
  <si>
    <t>IEEE T INTELL TRANSP</t>
  </si>
  <si>
    <t>IEEE Trans. Intell. Transp. Syst.</t>
  </si>
  <si>
    <t>8065</t>
  </si>
  <si>
    <t>8077</t>
  </si>
  <si>
    <t>10.1109/TITS.2025.3558085</t>
  </si>
  <si>
    <t>http://dx.doi.org/10.1109/TITS.2025.3558085</t>
  </si>
  <si>
    <t>Engineering, Civil; Engineering, Electrical &amp; Electronic; Transportation Science &amp; Technology</t>
  </si>
  <si>
    <t>3KL7O</t>
  </si>
  <si>
    <t>WOS:001480613800001</t>
  </si>
  <si>
    <t>Nan, FT; Li, SB; Wang, JY; Tang, YH; Qi, J; Zhou, MH; Zhao, Z; Yang, Y; Yang, P</t>
  </si>
  <si>
    <t>Multimodal learning is widely used in automated early diagnosis of Alzheimer's disease. However, the current studies are based on an assumption that different modalities can provide more complementary information to help classify the samples from the public dataset Alzheimer's Disease Neuroimaging Initiative (ADNI). In addition, the combination of modalities and different tasks are external factors that affect the performance of multimodal learning. Above all, we summrise three main problems in the early diagnosis of Alzheimer's disease: (i) unimodal vs multimodal; (ii) different combinations of modalities; (iii) classification of different tasks. In this paper, to experimentally verify these three problems, a novel and reproducible multi-classification framework for Alzheimer's disease early automatic diagnosis is proposed to evaluate and verify the above issues. The multi-classification framework contains four layers, two types of feature representation methods, and two types of models to verify these three issues. At the same time, our framework is extensible, that is, it is compatible with new modalities generated by new technologies. Following that, a series of experiments based on the ADNI-1 dataset are conducted and some possible explanations for the early diagnosis of Alzheimer's disease are obtained through multimodal learning. Experimental results show that SNP has the highest accuracy rate of 57.09% in the early diagnosis of Alzheimer's disease. In the modality combination, the addition of Single Nucleotide Polymorphism modality improves the multi-modal machine learning performance by 3% to 7%. Furthermore, we analyse and discuss the most related Region of Interest and Single Nucleotide Polymorphism features of different modalities.</t>
  </si>
  <si>
    <t>Nan, Fengtao; Li, Shunbao; Wang, Jiayu; Tang, Yahui; Qi, Jun; Zhou, Menghui; Zhao, Zhong; Yang, Yun; Yang, Po</t>
  </si>
  <si>
    <t>Yang, P (corresponding author), Univ Sheffield, Dept Comp Sci, Sheffield S1 4DP, England.</t>
  </si>
  <si>
    <t>menghuizhoucn@gmail.com; yunyang@ynu.edu.cn; bisark@ra3.in; Poyangcn@gmail.com; fengtaonan@gmail.com; leeshunbao@gmail.com; bytoo_hui@mail.ynu.edu.cn; Jun.Qi@xjtlu.edu.cn; wasx-1128new@163.com</t>
  </si>
  <si>
    <t>Yunnan provincial major science and technology special plan projects: digitization research and application demonstration of Yunnan characteristic industry [202002AD080001]; Natural Science Foundation of China (NSFC) [61876166, 61663046]</t>
  </si>
  <si>
    <t>Yunnan provincial major science and technology special plan projects: digitization research and application demonstration of Yunnan characteristic industry; Natural Science Foundation of China (NSFC) (National Natural Science Foundation of China (NSFC))</t>
  </si>
  <si>
    <t>This work was supported in part by the Yunnan provincial major science and technology special plan projects: digitization research and application demonstration of Yunnan characteristic industry under Grant 202002AD080001 and in part by the Natural Science Foundation of China (NSFC) under Grants 61876166 and 61663046.</t>
  </si>
  <si>
    <t>[Nan, Fengtao; Tang, Yahui] Yunnan Univ, Sch informat, Kunming, Peoples R China; [Li, Shunbao; Yang, Po] Univ Sheffield, Dept Comp Sci, Sheffield S1 4DP, England; [Wang, Jiayu; Zhou, Menghui; Yang, Yun] Yunnan Univ, Natl Pilot Sch Software, Kunming 650500, Peoples R China; [Qi, Jun] Xian Jiao Tong Liverpool Univ, Dept Comp, Suzhou 215123, Peoples R China; [Zhao, Zhong] Yunnan Prov, Dept Neurol, Peoples Hosp 1, Kunming 650500, Peoples R China</t>
  </si>
  <si>
    <t>Yunnan University; University of Sheffield; Yunnan University; Xi'an Jiaotong-Liverpool University</t>
  </si>
  <si>
    <t>A Multi-Classification Accessment Framework for Reproducible Evaluation of Multimodal Learning in Alzheimer's Disease</t>
  </si>
  <si>
    <t>IEEE-ACM TRANSACTIONS ON COMPUTATIONAL BIOLOGY AND BIOINFORMATICS</t>
  </si>
  <si>
    <t>Magnetic resonance imaging; Medical diagnostic imaging; Alzheimer's disease; Feature extraction; Task analysis; Machine learning; Machine learning algorithms; Multi-modal learning; multi-modality data; alzheimer's disease</t>
  </si>
  <si>
    <t>BRAIN; MRI</t>
  </si>
  <si>
    <t>Zhou, Menghui/GRF-3033-2022; Yang, Po/C-9936-2011</t>
  </si>
  <si>
    <t>Zhou, Menghui/0000-0001-8973-418X; Li, Shunbao/0000-0002-0011-5938; Yang, Po/0000-0002-8553-7127; Nan, Fengtao/0000-0003-3415-3593</t>
  </si>
  <si>
    <t>1545-5963</t>
  </si>
  <si>
    <t>1557-9964</t>
  </si>
  <si>
    <t>IEEE ACM T COMPUT BI</t>
  </si>
  <si>
    <t>IEEE-ACM Trans. Comput. Biol. Bioinform.</t>
  </si>
  <si>
    <t>JUL-AUG 2024</t>
  </si>
  <si>
    <t>559</t>
  </si>
  <si>
    <t>572</t>
  </si>
  <si>
    <t>10.1109/TCBB.2022.3204619</t>
  </si>
  <si>
    <t>http://dx.doi.org/10.1109/TCBB.2022.3204619</t>
  </si>
  <si>
    <t>Biochemical Research Methods; Computer Science, Interdisciplinary Applications; Mathematics, Interdisciplinary Applications; Statistics &amp; Probability</t>
  </si>
  <si>
    <t>Biochemistry &amp; Molecular Biology; Computer Science; Mathematics</t>
  </si>
  <si>
    <t>C6K0Z</t>
  </si>
  <si>
    <t>36067104</t>
  </si>
  <si>
    <t>WOS:001290429100049</t>
  </si>
  <si>
    <t>Lu, NN; Tan, Z; Han, ZY; Zhu, S</t>
  </si>
  <si>
    <t>Multimodal fusion provides a comprehensive way to understand the world by integrating data from different sources. However, some studies believe that due to the optimization imbalance, partial modalities cannot be fully learned during multimodal learning. They attempt to achieve the balance between different modalities by controlling their learning process but ignore the function of the learning objective as an essential factor. The uniform objective for all modalities leads to the network being unable to sufficiently exploit discriminative information from different modalities. Therefore, we propose a new multimodal learning method, namely, modality-mix learning (MM learning), aiming to promote the sufficient learning of each modality via the designed multilabel objective. MM learning generates modality-mixed samples by combining modalities of different samples with varied labels, transforming the single label of a sample into a probability vector representing multilabel information. These modality-mixed samples are then fed into the network, which is trained to recognize the varying proportions of multilabel information. In addition, we introduce a bilevel learning scheme, where the network is first trained using standard learning to capture general features and select samples with strong prediction, followed by MM learning on these selected samples to further optimize the subexploration modality. MM learning forces different objective information to be learned from different modalities, avoiding the insufficient learning of modalities caused by the uniform learning objective. The experimental results show that the method can significantly boost different fusion strategies and methods in diversified multimodal datasets and improve the robustness of multimodal networks as well.</t>
  </si>
  <si>
    <t>Lu, Nannan; Tan, Zhen; Han, Zhiyuan; Zhu, Song</t>
  </si>
  <si>
    <t>Lu, NN (corresponding author), China Univ Min &amp; Technol, Sch Informat &amp; Control Engn, Xuzhou 221116, Peoples R China.</t>
  </si>
  <si>
    <t>songzhu@cumt.edu.cn; hzy0310@163.com; lnn_921@126.com; zhentan_cumt@126.com</t>
  </si>
  <si>
    <t>National Natural Science Foundation of China [62576345, 62006233, 62173063]</t>
  </si>
  <si>
    <t>This work was supported by theNational Natural Science Foundation of China under Grant 62576345, Grant62006233, and Grant 62173063.</t>
  </si>
  <si>
    <t>[Lu, Nannan; Tan, Zhen; Han, Zhiyuan] China Univ Min &amp; Technol, Sch Informat &amp; Control Engn, Xuzhou 221116, Peoples R China; [Zhu, Song] China Univ Min &amp; Technol, Sch Math, Xuzhou 221116, Peoples R China</t>
  </si>
  <si>
    <t>China University of Mining &amp; Technology; China University of Mining &amp; Technology</t>
  </si>
  <si>
    <t>Modality-Mix Learning: Promoting Multimodal Learning Through Multilabel Objective</t>
  </si>
  <si>
    <t>IEEE TRANSACTIONS ON NEURAL NETWORKS AND LEARNING SYSTEMS</t>
  </si>
  <si>
    <t>Feeds; Antennas; Radio broadcasting; Frequency modulation; TCP; TCPIP; Modulation; Video equipment; Network architecture; Modality-mixed samples; multilabel objective; multimodal fusion; unimodal learning</t>
  </si>
  <si>
    <t>2162-237X</t>
  </si>
  <si>
    <t>2162-2388</t>
  </si>
  <si>
    <t>IEEE T NEUR NET LEAR</t>
  </si>
  <si>
    <t>IEEE Trans. Neural Netw. Learn. Syst.</t>
  </si>
  <si>
    <t>10.1109/TNNLS.2026.3677806</t>
  </si>
  <si>
    <t>http://dx.doi.org/10.1109/TNNLS.2026.3677806</t>
  </si>
  <si>
    <t>Computer Science, Artificial Intelligence; Computer Science, Hardware &amp; Architecture; Computer Science, Theory &amp; Methods; Engineering, Electrical &amp; Electronic</t>
  </si>
  <si>
    <t>GB9SK</t>
  </si>
  <si>
    <t>41931427</t>
  </si>
  <si>
    <t>WOS:001732758600001</t>
  </si>
  <si>
    <t>Chen, G; Sun, KX</t>
  </si>
  <si>
    <t>Introduction The evolving landscape of artificial intelligence in drug discovery necessitates increasingly sophisticated approaches to predict drug-target interactions (DTIs) with high precision and generalizability. In alignment with the current surge of interest in AI-driven pharmacological modeling and integrative biomedical data analysis, this study introduces a multimodal framework for enhancing DTI prediction by fusing heterogeneous data sources. While conventional methods typically rely on unimodal inputs such as chemical structures or protein sequences, they fall short in capturing the complex, multi-faceted nature of biochemical interactions and are often limited in adaptability across different tasks or incomplete datasets. These limitations impede the model's capability to generalize beyond narrow benchmarks and reduce interpretability when modalities are missing or noisy.Methods To address these challenges, we propose a comprehensive multimodal learning pipeline composed of three principal innovations. The Unified Multimodal Molecule Encoder (UMME) jointly embeds molecular graphs, textual descriptions, transcriptomics, protein sequences, and bioassay data using modality-specific enc followed by a hierarchical attention-based fusion strategy. This encoder is capable of aligning intra- and inter-modal representations while retaining high-level semantic features critical for interaction prediction. We introduce a robust training strategy named Adaptive Curriculum-guided Modality Optimization (ACMO), which dynamically prioritizes more reliable or informative modalities during early training and gradually incorporates less certain data via a curriculum mechanism. This allows the model to maintain strong performance even when faced with modality absence or noise, thereby mimicking realistic drug screening conditions. We employ a novel cross-modal contrastive alignment loss and modality dropout scheduling, which together enforce consistency and encourage generalization across diverse data settings.Results Experiments on multiple benchmark datasets demonstrate that our framework achieves state-of-the-art performance in drug-target affinity estimation and binding prediction tasks, particularly under conditions of partial data availability.Discussion Ablation studies confirm the effectiveness of both UMME and ACMO components in improving accuracy and robustness.</t>
  </si>
  <si>
    <t>Chen, Guo; Sun, Kaixin</t>
  </si>
  <si>
    <t>Chen, G (corresponding author), Southern Med Univ, Affiliated Hosp 7, Dept Spine Surg, Dept Orthoped, Foshan, Peoples R China.</t>
  </si>
  <si>
    <t>pasemhannay@hotmail.com</t>
  </si>
  <si>
    <t>[Chen, Guo] Southern Med Univ, Affiliated Hosp 7, Dept Spine Surg, Dept Orthoped, Foshan, Peoples R China; [Sun, Kaixin] North China Elect Power Univ, Beijing, Peoples R China</t>
  </si>
  <si>
    <t>Southern Medical University - China; North China Electric Power University</t>
  </si>
  <si>
    <t>Leveraging multimodal learning for enhanced drug-target interaction prediction</t>
  </si>
  <si>
    <t>FRONTIERS IN PHARMACOLOGY</t>
  </si>
  <si>
    <t>multimodal learning; drug-target interaction; molecular encoding; curriculum learning; biomedical data fusion</t>
  </si>
  <si>
    <t>1663-9812</t>
  </si>
  <si>
    <t>FRONT PHARMACOL</t>
  </si>
  <si>
    <t>Front. Pharmacol.</t>
  </si>
  <si>
    <t>NOV 19 2025</t>
  </si>
  <si>
    <t>1639979</t>
  </si>
  <si>
    <t>10.3389/fphar.2025.1639979</t>
  </si>
  <si>
    <t>http://dx.doi.org/10.3389/fphar.2025.1639979</t>
  </si>
  <si>
    <t>Pharmacology &amp; Pharmacy</t>
  </si>
  <si>
    <t>L4092</t>
  </si>
  <si>
    <t>41347164</t>
  </si>
  <si>
    <t>WOS:001629533600001</t>
  </si>
  <si>
    <t>Wang, YF; Li, YR; Liu, L; Hong, PY; Xu, H</t>
  </si>
  <si>
    <t>The versatility of multimodal deep learning holds tremendous promise for advancing scientific research and practical applications. As this field continues to evolve, the collective power of cross-modal analysis promises to drive transformative innovations, opening new frontiers in chemical understanding and drug discovery. Hence, we introduce asymmetric contrastive multimodal learning (ACML), a specifically designed approach to enhance molecular understanding and accelerate advancements in drug discovery. ACML harnesses the power of effective asymmetric contrastive learning to seamlessly transfer information from various chemical modalities to molecular graph representations. By combining pretrained chemical unimodal encoders and a shallow-designed graph encoder with 5 layers, ACML facilitates the assimilation of coordinated chemical semantics from different modalities, leading to comprehensive representation learning with efficient training. We demonstrate the effectiveness of this framework through large-scale cross-modality retrieval and isomer discrimination tasks. Additionally, ACML enhances interpretability by revealing chemical semantics in graph presentations and bolsters the expressive power of graph neural networks, as evidenced by improved performance in molecular property prediction tasks from MoleculeNet and Therapeutics Data Commons (TDC). Ultimately, ACML exemplifies its potential to revolutionize molecular representational learning, offering deeper insights into the chemical semantics of diverse modalities and paving the way for groundbreaking advancements in chemical research and drug discovery.</t>
  </si>
  <si>
    <t>Wang, Yifei; Li, Yunrui; Liu, Lin; Hong, Pengyu; Xu, Hao</t>
  </si>
  <si>
    <t>Xu, H (corresponding author), Northeastern Univ, Dept Phys, Boston, MA 02115 USA.; Xu, H (corresponding author), Harvard Med Sch, Brigham &amp; Womans Hosp, Dept Med, Boston, MA 02115 USA.</t>
  </si>
  <si>
    <t>h.xu@northeastern.edu</t>
  </si>
  <si>
    <t>Office of Advanced Cyberinfrastructure [OAC-1920147]; NSF</t>
  </si>
  <si>
    <t>Office of Advanced Cyberinfrastructure (National Science Foundation (NSF), NSF - Directorate for Computer &amp; Information Science &amp; Engineering (CISE)); NSF (National Science Foundation (NSF))</t>
  </si>
  <si>
    <t>This work includes materials from the Y.W.'s Ph.D. dissertation completed at Brandeis University. This work is supported by NSF OAC-1920147.</t>
  </si>
  <si>
    <t>[Wang, Yifei; Li, Yunrui; Hong, Pengyu] Brandeis Univ, Dept Comp Sci, Waltham, MA 02453 USA; [Liu, Lin] Stanford Univ, Dept Chem, Stanford, CA 94305 USA; [Xu, Hao] Northeastern Univ, Dept Phys, Boston, MA 02115 USA; [Xu, Hao] Harvard Med Sch, Brigham &amp; Womans Hosp, Dept Med, Boston, MA 02115 USA</t>
  </si>
  <si>
    <t>Brandeis University; Stanford University; Northeastern University; Harvard University; Harvard Medical School; Harvard University Medical Affiliates; Brigham &amp; Women's Hospital</t>
  </si>
  <si>
    <t>Advancing Drug Discovery with Enhanced Chemical Understanding via Asymmetric Contrastive Multimodal Learning</t>
  </si>
  <si>
    <t>Xu, Hao/LRC-4049-2024</t>
  </si>
  <si>
    <t>Hong, Pengyu/0000-0002-3177-2754; Xu, Hao/0000-0002-9795-5633; Wang, Yifei/0000-0002-8295-5534; Liu, Lin/0000-0002-3948-5004</t>
  </si>
  <si>
    <t>JUN 23 2025</t>
  </si>
  <si>
    <t>6547</t>
  </si>
  <si>
    <t>6557</t>
  </si>
  <si>
    <t>10.1021/acs.jcim.5c00430</t>
  </si>
  <si>
    <t>http://dx.doi.org/10.1021/acs.jcim.5c00430</t>
  </si>
  <si>
    <t>4WU7R</t>
  </si>
  <si>
    <t>40548496</t>
  </si>
  <si>
    <t>WOS:001518554400001</t>
  </si>
  <si>
    <t>Tun, YL; Thwal, CM; Nguyen, MNH; Hong, CS</t>
  </si>
  <si>
    <t>different data modalities enables deep neural networks to tackle complex tasks more effectively, making multimodal learning increasingly popular. To harness multimodal data closer to end users, it is essential to integrate multimodal learning with privacy-preserving approaches like federated learning (FL). However, compared to conventional unimodal learning, multimodal setting requires dedicated encoders for each modality, resulting in larger and more complex models. Training these models requires significant resources, presenting a substantial challenge for FL clients operating with limited computation and communication resources. To address these challenges, we introduce LW-FedMML, a layer-wise federated multimodal learning (FedMML) approach which decomposes the training process into multiple stages. Each stage focuses on training only a portion of the model, thereby significantly reducing the memory and computational requirements. Moreover, FL clients only need to exchange the trained model portion with the central server, lowering the resulting communication cost. We conduct extensive experiments across various FL and multimodal learning settings to validate the effectiveness of our proposed method. The results demonstrate that LW-FedMML can compete with conventional end-to-end FedMML while significantly reducing the resource burden on FL clients. Specifically, LW-FedMML reduces memory usage by up to 2.7x, computational operations (FLOPs) by 2.4x, and total communication cost by 2.3x. We also explore a progressive training approach called Prog-FedMML. While it offers lesser resource efficiency than LW-FedMML, Prog-FedMML has the potential to surpass the performance of end-to-end FedMML, making it a viable option for scenarios with fewer resource constraints.</t>
  </si>
  <si>
    <t>Tun, Ye Lin; Thwal, Chu Myaet; Nguyen, Minh N. H.; Hong, Choong Seon</t>
  </si>
  <si>
    <t>Hong, CS (corresponding author), Kyung Hee Univ, Dept Comp Sci &amp; Engn, Yongin 17104, Gyeonggi, South Korea.</t>
  </si>
  <si>
    <t>chumyaet@khu.ac.kr; cshong@khu.ac.kr; nhnminh@vku.udn.vn; yelintun@khu.ac.kr</t>
  </si>
  <si>
    <t>Institute of Information and Communications Technology Planning and Evaluation (IITP) Grant</t>
  </si>
  <si>
    <t>Institute of Information and Communications Technology Planning and Evaluation (IITP) Grant (Institute for Information &amp; Communication Technology Planning &amp; Evaluation (IITP), Republic of Korea)</t>
  </si>
  <si>
    <t>This work was supported in part by the Institute of Informationand Communications Technology Planning and Evaluation (IITP) Grantfunded by the Korea Government (MSIT) through Evolvable Deep LearningModel Generation Platform for Edge Computing under Grant 2019-0-01287;in part by the National Research Foundation of Korea (NRF) Grant fundedby the Korea Government (MSIT) under Grant RS-2023-00207816; in partby the IITP Grant funded by Korea Government (MSIT) through ArtificialIntelligence Innovation Hub under Grant 2021-0-02068 through Global AIFrontier Laboratory under Grant RS-2024-00509257 and through ArtificialIntelligence Convergence Innovation Human Resources Development (KyungHee University) under Grant RS-2022-00155911; in part by the InformationTechnology Research Center (IITP-ITRC) Grant funded by MIST under GrantIITP-2025-RS-2023-00258649; and in part by NRF Grant funded by the KoreaGovernment (MSIT) under Grant RS-2024-00352423.</t>
  </si>
  <si>
    <t>[Tun, Ye Lin; Thwal, Chu Myaet; Hong, Choong Seon] Kyung Hee Univ, Dept Comp Sci &amp; Engn, Yongin 17104, Gyeonggi, South Korea; [Nguyen, Minh N. H.] Vietnam Korea Univ Informat &amp; Commun Technol, Dept Sci Technol &amp; Int Cooperat, Danang 550000, Vietnam</t>
  </si>
  <si>
    <t>Kyung Hee University</t>
  </si>
  <si>
    <t>Resource-Efficient Federated Multimodal Learning via Layer-Wise and Progressive Training</t>
  </si>
  <si>
    <t>IEEE INTERNET OF THINGS JOURNAL</t>
  </si>
  <si>
    <t>Training; Servers; Computational modeling; Data models; Internet of Things; Fuses; Federated learning; Costs; Predictive models; Memory management; Federated learning (FL); layer-wise; multimodality; progressive; resource-efficient</t>
  </si>
  <si>
    <t>Myaet Thwal, Chu/MVX-5979-2025; Nguyen, Minh/AAR-7340-2020; Hong, Choong Seon/ABF-5527-2020</t>
  </si>
  <si>
    <t>Myaet Thwal, Chu/0000-0002-5708-6971; Tun, Ye Lin/0000-0002-6955-1607; Hong, Choong Seon/0000-0003-3484-7333</t>
  </si>
  <si>
    <t>2327-4662</t>
  </si>
  <si>
    <t>IEEE INTERNET THINGS</t>
  </si>
  <si>
    <t>IEEE Internet Things J.</t>
  </si>
  <si>
    <t>JUL 1 2025</t>
  </si>
  <si>
    <t>23207</t>
  </si>
  <si>
    <t>23221</t>
  </si>
  <si>
    <t>10.1109/JIOT.2025.3554541</t>
  </si>
  <si>
    <t>http://dx.doi.org/10.1109/JIOT.2025.3554541</t>
  </si>
  <si>
    <t>4AC9T</t>
  </si>
  <si>
    <t>WOS:001513138500038</t>
  </si>
  <si>
    <t>Zhang, WW; Tang, LX; Li, TY; Song, XM</t>
  </si>
  <si>
    <t>Tensor properties bridge the microstructure of crystal materials to their macroscopic behavior, making tensor property prediction a fundamental task in materials science. Predicting tensor properties poses more significant challenges than predicting scalar properties for two reasons: 1) crystal representations require incorporating constraints imposed by inherent crystal symmetry, and 2) tensor properties transform covariantly under external symmetry operations applied to the coordinate system. Therefore, a crystal tensor prediction model must satisfy both invariance to space group symmetries and equivariance to geometric transformations. To address these challenges, we propose a symmetry-aware balanced multimodal learning (SAB-ML) framework for tensor property prediction. This framework integrates O(3)-equivariant representation and textual descriptions to capture more complementary information and handle the directional and symmetry-aware features of tensor properties. In addition, we jointly optimize multimodal and unimodal objectives and model them as a multiobjective optimization problem. To reduce modality imbalance, we monitor intermodal discrepancy ratios during training and adjust conflicting gradients. The proposed model achieves state-of-theart results in predicting dielectric, piezoelectric, and elastic tensor properties. In practical scenarios, it enables virtual screening of stable compounds to identify promising candidates for high-dielectric and high-piezoelectric materials. Note to Practitioners-This work considers the critical problem of predicting the tensor properties of crystal materials. The discovery and design of novel crystal materials with specific properties is essential for advancing next-generation technologies in fields such as energy, semiconductor, and electronics. The SAB-ML framework combines two complementary modalities (graph-based and text-based representations) to characterize crystals, while incorporating both the intrinsic symmetry of the crystal structure and the covariant symmetry of its tensor properties. As a practical consequence of this work, the framework can predict the tensor properties of a crystal based on its known structure. This capability allows for the rapid screening of materials that meet performance criteria, thereby reducing the time and cost associated with traditional experimental processes. Additionally, we demonstrate the framework's application in screening materials for high-dielectric and high-piezoelectric properties, highlighting its real-world potential in material selection.</t>
  </si>
  <si>
    <t>Zhang, Weiwei; Tang, Lixin; Li, Tianyang; Song, Xiangman</t>
  </si>
  <si>
    <t>Tang, LX (corresponding author), Northeastern Univ, Natl Frontiers Sci Ctr Ind Intelligence &amp; Syst Opt, Shenyang 110819, Peoples R China.</t>
  </si>
  <si>
    <t>songxiangman@ise.neu.edu.cn; litianyang@mail.neu.edu.cn; zhangweiweineu@163.com; lixintang@mail.neu.edu.cn</t>
  </si>
  <si>
    <t>The 111 Project [B16009]; Major Program of National Natural Science Foundation of China [72192830, 72192831]</t>
  </si>
  <si>
    <t>The 111 Project (Ministry of Education, China - 111 Project); Major Program of National Natural Science Foundation of China (National Natural Science Foundation of China (NSFC))</t>
  </si>
  <si>
    <t>This work was supported in part by the Major Program of National NaturalScience Foundation of China under Grant 72192830 and Grant 72192831 andin part by the 111 Project under Grant B16009.</t>
  </si>
  <si>
    <t>[Zhang, Weiwei; Tang, Lixin; Li, Tianyang; Song, Xiangman] Northeastern Univ, Natl Frontiers Sci Ctr Ind Intelligence &amp; Syst Opt, Shenyang 110819, Peoples R China; [Zhang, Weiwei; Li, Tianyang] Northeastern Univ, Key Lab Data Analyt &amp; Optimizat Smart Ind, Minist Educ, Shenyang 110819, Peoples R China; [Song, Xiangman] Northeastern Univ, Liaoning Engn Lab Data Analyt &amp; Optimizat Smart In, Shenyang 110819, Peoples R China; [Song, Xiangman] Northeastern Univ, Liaoning Key Lab Mfg Syst &amp; Logist Optimizat, Shenyang 110819, Peoples R China</t>
  </si>
  <si>
    <t>Northeastern University - China; Northeastern University - China; Northeastern University - China; Northeastern University - China</t>
  </si>
  <si>
    <t>Symmetry-Aware Balanced Multimodal Learning for Crystal Tensor Property Prediction</t>
  </si>
  <si>
    <t>IEEE TRANSACTIONS ON AUTOMATION SCIENCE AND ENGINEERING</t>
  </si>
  <si>
    <t>Aerospace materials; Aerospace components; Filtering; Filters; Circuits and systems; Anisotropic; Voltage multipliers; Capacitors; Harmonic filters; Modulation; Material tensor property prediction; multimodal imbalance learning; equivariant neural network</t>
  </si>
  <si>
    <t>NETWORKS</t>
  </si>
  <si>
    <t>1545-5955</t>
  </si>
  <si>
    <t>1558-3783</t>
  </si>
  <si>
    <t>IEEE T AUTOM SCI ENG</t>
  </si>
  <si>
    <t>IEEE Trans. Autom. Sci. Eng.</t>
  </si>
  <si>
    <t>9047</t>
  </si>
  <si>
    <t>9062</t>
  </si>
  <si>
    <t>10.1109/TASE.2026.3689353</t>
  </si>
  <si>
    <t>http://dx.doi.org/10.1109/TASE.2026.3689353</t>
  </si>
  <si>
    <t>Automation &amp; Control Systems</t>
  </si>
  <si>
    <t>HQ5OG</t>
  </si>
  <si>
    <t>WOS:001760314200003</t>
  </si>
  <si>
    <t>Wu, M; Zhang, CH; Lyu, L; Jiang, XH</t>
  </si>
  <si>
    <t>Cultural symbols embedded in visual media serve as powerful conduits for emotional engagement, yet their affective impact remains largely unquantified in heritage tourism research. This paper proposes a multimodal learning framework that integrates image, text, and video modalities to systematically measure the emotional resonance of cultural symbols across diverse visual media platforms. In this work, we define cultural symbols computationally as visually identifiable elements within heritage imagery including architectural motifs, ritual objects, decorative patterns, sacred landscape features, and ceremonial artifacts that carry culturally specific semantic and affective associations beyond their physical appearance. Drawing on a dataset of heritage tourism content collected from social media and official promotional channels, we design a cross modal attention model capable of identifying emotionally salient symbolic features and mapping them to quantifiable affective dimensions. Our results demonstrate that multimodal fusion significantly outperforms unimodal baselines in predicting emotional engagement, and that specific symbolic categories including architectural motifs, ritual objects, and landscape iconography exhibit distinct emotional signatures across cultural contexts. These findings offer actionable insights for heritage tourism practitioners seeking to optimise visual communication strategies and enhance visitor emotional connection with cultural sites.</t>
  </si>
  <si>
    <t>Wu, Mian; Zhang, Chunhui; Lyu, Li; Jiang, Xinhan</t>
  </si>
  <si>
    <t>Jiang, XH (corresponding author), Commun Univ China, Televis Sch, Beijing 100024, Peoples R China.</t>
  </si>
  <si>
    <t>jiangxinhan157232@163.com</t>
  </si>
  <si>
    <t>This research was supported by the Jiangxi Province Social Sciences "14th Five-Year Plan" (2025) Fund Project entitled "Research on the Coupling Mechanism and Realization Path of Digital Intelligence Technology Empowering Jiangxi's Bamboo and Wood Intangib</t>
  </si>
  <si>
    <t>This work was supported by the Jiangxi Province Social Sciences "14th Five-Year Plan" (2025) Fund Project (Grant No. 25YS26).</t>
  </si>
  <si>
    <t>[Wu, Mian; Zhang, Chunhui; Lyu, Li] East China Jiaotong Univ, Sch Art, Nanchang 330013, Peoples R China; [Jiang, Xinhan] Commun Univ China, Televis Sch, Beijing 100024, Peoples R China</t>
  </si>
  <si>
    <t>East China Jiaotong University; Communication University of China</t>
  </si>
  <si>
    <t>Quantifying emotional resonance of cultural symbols across visual media: a multimodal learning approach for heritage tourism</t>
  </si>
  <si>
    <t>MAY 6 2026</t>
  </si>
  <si>
    <t>17690</t>
  </si>
  <si>
    <t>10.1038/s41598-026-51963-4</t>
  </si>
  <si>
    <t>http://dx.doi.org/10.1038/s41598-026-51963-4</t>
  </si>
  <si>
    <t>JE8XE</t>
  </si>
  <si>
    <t>42091707</t>
  </si>
  <si>
    <t>WOS:001787676200001</t>
  </si>
  <si>
    <t>Satapathy, P; Chauhan, O; Kumar, D; Sharma, P; Banshal, SK; Geman, O; Morosan-Danila, L; Hemanth, JD</t>
  </si>
  <si>
    <t>This study presents a multimodal deep learning framework designed to analyze sentiment patterns in YouTube videos and explore their association with early indicators of mental well-being. The approach integrates textual transcripts, vocal characteristics, and facial expressions into a unified representation to capture the emotional depth that individual modalities often miss. The model was trained and evaluated on a curated dataset of diverse YouTube content, and the results consistently showed that the fused architecture performed better than unimodal baselines. Compared with text-only or audio-only systems, the multimodal model achieved higher accuracy and fewer misclassifications, particularly in cases where speakers displayed subtle or mixed emotions. The integration of vocal cues such as pitch variation, speaking rate, and stress patterns helped clarify emotional ambiguity, while visual features such as micro-expressions, gaze direction, and facial tension added further clarity to the sentiment shifts within the videos. Transformer-based fusion delivered the most stable performance, demonstrating strong generalization across varied communication styles and recording conditions. In addition to reporting classification outcomes, the study examined how specific multimodal patterns correlate with non-clinical markers of mental health. Consistent associations were observed between fluctuating sentiment trajectories and indicators such as emotional instability, sustained negative tone, and reduced expressive variability. Instances where facial expressions contradicted verbal sentiment also showed relevance for identifying mild distress signals. These findings suggest that multimodal emotional cues can offer valuable insights into the affective state of content creators and may support research on digital well-being. The analysis also revealed challenges related to background noise, varying video quality, and inconsistent facial visibility, which influenced the reliability of certain features. Despite these limitations, the study demonstrates that combining audio, visual, and textual information provides a more complete and reliable picture of sentiment expression on social media platforms. The proposed framework offers a foundation for future systems aimed at understanding online emotional behavior and contributes to ongoing discussions on the responsible use of machine learning in mental-health-oriented applications.</t>
  </si>
  <si>
    <t>Satapathy, Priyanshu; Chauhan, Onushka; Kumar, Deepika; Sharma, Preeti; Banshal, Sumit Kumar; Geman, Oana; Morosan-Danila, Lucia; Hemanth, Jude D.</t>
  </si>
  <si>
    <t>Kumar, D (corresponding author), Bharati Vidyapeeths Coll Engn, Dept Comp Sci &amp; Engn, New Delhi 110063, India.; Morosan-Danila, L (corresponding author), Stefan cel Mare Univ Suceava, Suceava, Romania.</t>
  </si>
  <si>
    <t>preetisharma6012@gmail.com; deepika.kumar@bharatividyapeeth.edu; geman@chalmers.se; judehemanth@karunya.edu; priyanshusat327@gmail.com; onushkachauhan@gmail.com; sumitbanshal06@gmail.com; lucia.danila@usm.ro</t>
  </si>
  <si>
    <t>[Satapathy, Priyanshu; Chauhan, Onushka; Kumar, Deepika; Sharma, Preeti] Bharati Vidyapeeths Coll Engn, Dept Comp Sci &amp; Engn, New Delhi 110063, India; [Banshal, Sumit Kumar] Alliance Univ, Dept Comp Sci &amp; Engn, Bangalore, India; [Geman, Oana] Chalmers Univ Technol, Gothenburg, Sweden; [Geman, Oana] Gothenburg Univ, Gothenburg, Sweden; [Morosan-Danila, Lucia] Stefan cel Mare Univ Suceava, Suceava, Romania; [Hemanth, Jude D.] Karunya Inst Technol &amp; Sci, Dept Elect &amp; Commun Engn, Coimbatore, India</t>
  </si>
  <si>
    <t>Alliance University; Chalmers University of Technology; University of Gothenburg; Stefan cel Mare University of Suceava; Karunya Institute of Technology &amp; Sciences</t>
  </si>
  <si>
    <t>A unified multimodal learning framework for sentiment analysis and mental health indicators from YouTube videos</t>
  </si>
  <si>
    <t>DISCOVER MENTAL HEALTH</t>
  </si>
  <si>
    <t>Multimodal sentiment analysis; Multimodal fusion; Natural language processing; Tokenization; Machine learning; Deep learning; Extreme learning machine (ELM)</t>
  </si>
  <si>
    <t>ELM</t>
  </si>
  <si>
    <t>Banshal, Sumit/H-4826-2017; Lucia, Morosan-Danila/AAT-7355-2020; Hemanth, Jude/E-1968-2018; GEMAN, Oana/AFP-0708-2022</t>
  </si>
  <si>
    <t>2731-4383</t>
  </si>
  <si>
    <t>DISCOV MENT HEALTH</t>
  </si>
  <si>
    <t>Discov. Ment. Heatlh</t>
  </si>
  <si>
    <t>FEB 18 2026</t>
  </si>
  <si>
    <t>10.1007/s44192-026-00388-6</t>
  </si>
  <si>
    <t>http://dx.doi.org/10.1007/s44192-026-00388-6</t>
  </si>
  <si>
    <t>FQ0TX</t>
  </si>
  <si>
    <t>41706419</t>
  </si>
  <si>
    <t>WOS:001724700000001</t>
  </si>
  <si>
    <t>Duy, PT; Khoa, NH; Quyen, NH; Trinh, LC; Kien, VT; Hoang, TM; Pham, VH</t>
  </si>
  <si>
    <t>With the proliferation of Ethereum smart contracts comes an increasing concern for security vulnerabilities that could lead to significant financial losses. Current methods for detecting vulnerabilities in smart contracts often rely on single-feature analysis or single-model deep learning techniques. These approaches have shown limitations in terms of accuracy and effectiveness, struggling to fully capture the complex nature of smart contract vulnerabilities due to the lack of comprehensive analysis combining different features and models. Hence, this paper presents VulnSense framework, a comprehensive approach to efficiently detect vulnerabilities in Ethereum smart contracts using a multimodal learning approach on graph-based and natural language processing (NLP) models. Our proposed framework combines three types of features from smart contracts comprising source code, opcode sequences, and control flow graph (CFG) extracted from bytecode. We employ bidirectional encoder representations from transformers (BERT), bidirectional long short-term memory (BiLSTM), and graph neural network (GNN) models to extract and analyze these features. The final layer of our multimodal approach consists of a fully connected layer used to predict vulnerabilities in Ethereum smart contracts. Addressing the limitations of existing vulnerability detection methods relying on single-feature or single-model deep learning techniques, our method surpasses accuracy and effectiveness constraints. We assess VulnSense using a collection of 1769 smart contracts derived from the combination of three datasets, including Smartbugs Curated, SolidiFI-Benchmark, and Smartbugs Wild. We then make a comparison with various unimodal and multimodal learning techniques contributed by GNN, BiLSTM, and BERT architectures, along with two existing approaches like Escort and Smarter. The experimental outcomes demonstrate the superior performance of our proposed approach, achieving an average accuracy of 77.96% across all three categories of vulnerable smart contracts.</t>
  </si>
  <si>
    <t>Duy, Phan The; Khoa, Nghi Hoang; Quyen, Nguyen Huu; Trinh, Le Cong; Kien, Vu Trung; Hoang, Trinh Minh; Pham, Van-Hau</t>
  </si>
  <si>
    <t>Pham, VH (corresponding author), Univ Informat Technol, Informat Secur Lab, Ho Chi Minh City, Vietnam.; Pham, VH (corresponding author), Vietnam Natl Univ Ho Chi Minh City, Ho Chi Minh City, Vietnam.</t>
  </si>
  <si>
    <t>haupv@uit.edu.vn; quyennh@uit.edu.vn; 19521722@gm.uit.edu.vn; 19521548@gm.uit.edu.vn; 19522404@gm.uit.edu.vn; khoanh@uit.edu.vn; duypt@uit.edu.vn</t>
  </si>
  <si>
    <t>VNUHCM-University of Information Technology's Scientific Research Support Fund</t>
  </si>
  <si>
    <t>This research was supported by The VNUHCM-University of Information Technology's Scientific Research Support Fund.</t>
  </si>
  <si>
    <t>[Duy, Phan The; Khoa, Nghi Hoang; Quyen, Nguyen Huu; Trinh, Le Cong; Kien, Vu Trung; Hoang, Trinh Minh; Pham, Van-Hau] Univ Informat Technol, Informat Secur Lab, Ho Chi Minh City, Vietnam; [Duy, Phan The; Khoa, Nghi Hoang; Quyen, Nguyen Huu; Trinh, Le Cong; Kien, Vu Trung; Hoang, Trinh Minh; Pham, Van-Hau] Vietnam Natl Univ Ho Chi Minh City, Ho Chi Minh City, Vietnam</t>
  </si>
  <si>
    <t>Vietnam National University Ho Chi Minh City (VNUHCM) System; VNU-HCM University of Information Technology (VNUHCM-UIT); Vietnam National University Ho Chi Minh City (VNUHCM) System</t>
  </si>
  <si>
    <t>Vulnsense: efficient vulnerability detection in ethereum smart contracts by multimodal learning with graph neural network and language model</t>
  </si>
  <si>
    <t>INTERNATIONAL JOURNAL OF INFORMATION SECURITY</t>
  </si>
  <si>
    <t>Vulnerability detection; Smart contract; Deep learning; Graph neural networks; Multimodal</t>
  </si>
  <si>
    <t>Phan, Ryan/ADH-9477-2022</t>
  </si>
  <si>
    <t>Nguyen Huu, Quyen/0000-0002-0065-9919</t>
  </si>
  <si>
    <t>1615-5262</t>
  </si>
  <si>
    <t>1615-5270</t>
  </si>
  <si>
    <t>INT J INF SECUR</t>
  </si>
  <si>
    <t>Int. J. Inf. Secur.</t>
  </si>
  <si>
    <t>DEC 19 2024</t>
  </si>
  <si>
    <t>10.1007/s10207-024-00965-2</t>
  </si>
  <si>
    <t>http://dx.doi.org/10.1007/s10207-024-00965-2</t>
  </si>
  <si>
    <t>P8H1T</t>
  </si>
  <si>
    <t>WOS:001380243500002</t>
  </si>
  <si>
    <t>Moon, J; Yeo, SHY; Banihashem, SK; Noroozi, O</t>
  </si>
  <si>
    <t>BackgroundTraditionally, understanding students' learning dynamics, collaboration, emotions, and their impact on performance has posed challenges in formative assessment. The complexity of monitoring and assessing these factors have often limited the depth and breadth of insights.ObjectivesThis study aims to explore the potential of multimodal learning analytics as a formative assessment tool in math education. The focus is on discerning how collaborative discourse behaviours and emotional indicators interplay with lesson evaluation performance.MethodsUsing undergraduate students' multimodal data, which includes collaboration data, facial behaviour data, and emotional data, the study explored the patterns of collaboration and emotion. Through the lens of multimodal learning analytics, we conducted exploratory data analysis to identify meaningful relationships between specific types of collaborative discourse, facial expressions, and performance indicators. Moreover, the study evaluated a machine learning model's potential to predict target learning outcomes by integrating data from multiple channels.ResultsThe analysis revealed key features from both discourse and emotion data as significant predictors. These findings underscore the potential of a multimodal analytical approach in understanding students' learning process and predicting outcomes.ConclusionsThe study emphasizes the importance and feasibility of a multimodal learning analytic approach in the context of math education. It highlights the academic and practical implications of such an approach, along with its limitations, pointing towards future research directions in this area.What is currently known about this topic? Learning analytics has emerged as a powerful tool that aligns with the purpose of formative assessment, enabling educators to monitor and understand students' learning. The primary focus of traditional learning analytics research has been on online learning environments, relying mostly on unimodal data. This perspective offers a limited view, as learning is inherently multimodal. Formative assessment stands as a cornerstone of effective learning, with a rich body of evidence confirming its positive role in improving teaching and learning processes.What does this paper add? The study implemented game-based learning lesson critique activity with students and explored the use of Minecraft education version as a tool for interactive math lessons. The study showcased the complex patterns of collaboration and interactions during game-based learning activities, highlighting the integral role of teamwork. By analysing verbal and non-verbal cues, the study illuminated various features of collaborative dynamics when evaluating game-based lesson activities with peers.Implications for practice/or policy The study's findings can inform the design and implementation of multimodal learning analytics as a formative assessment tool. This can promote effective formative assessment and adaptive support mechanisms for students in mathematics education within a digital game-based learning environment. By identifying areas of improvement and specific needs, practitioners can tailor interventions to address challenges faced by learners in their collaborative efforts and digital content evaluation. The study contributes to the growing literature on multimodal data analytics and its applications in education, projecting its role in various educational contexts and fostering innovative methods for data analysis and interpretation.</t>
  </si>
  <si>
    <t>Moon, Jewoong; Yeo, Sheunghyun; Banihashem, Seyyed Kazem; Noroozi, Omid</t>
  </si>
  <si>
    <t>Moon, J (corresponding author), Univ Alabama, Tuscaloosa, AL 35487 USA.</t>
  </si>
  <si>
    <t>jmoon19@ua.edu</t>
  </si>
  <si>
    <t>[Moon, Jewoong; Noroozi, Omid] Univ Alabama, Tuscaloosa, AL 35487 USA; [Yeo, Sheunghyun] Daegu Natl Univ Educ, Daegu, South Korea; [Banihashem, Seyyed Kazem] Open Univ, Heerlen, Netherlands; [Banihashem, Seyyed Kazem; Noroozi, Omid] Wageningen Univ &amp; Res, Wageningen, Netherlands</t>
  </si>
  <si>
    <t>University of Alabama System; University of Alabama Tuscaloosa; Open University Netherlands; Wageningen University &amp; Research</t>
  </si>
  <si>
    <t>Using multimodal learning analytics as a formative assessment tool: Exploring collaborative dynamics in mathematics teacher education</t>
  </si>
  <si>
    <t>JOURNAL OF COMPUTER ASSISTED LEARNING</t>
  </si>
  <si>
    <t>collaborative dynamics; formative assessment; game-based learning; math education; multimodal learning analytics; teacher education</t>
  </si>
  <si>
    <t>DISCOURSE; TECHNOLOGY; PERFORMANCE; INTEGRATION; REFLECTION; TAXONOMY</t>
  </si>
  <si>
    <t>/AFN-2663-2022; Noroozi, Omid/AAO-3416-2021</t>
  </si>
  <si>
    <t>Noroozi, Omid/0000-0002-0622-289X; Banihashem, Seyyed Kazem/0000-0002-9978-3783</t>
  </si>
  <si>
    <t>187</t>
  </si>
  <si>
    <t>0266-4909</t>
  </si>
  <si>
    <t>1365-2729</t>
  </si>
  <si>
    <t>J COMPUT ASSIST LEAR</t>
  </si>
  <si>
    <t>J. Comput. Assist. Learn.</t>
  </si>
  <si>
    <t>2753</t>
  </si>
  <si>
    <t>2771</t>
  </si>
  <si>
    <t>10.1111/jcal.13028</t>
  </si>
  <si>
    <t>http://dx.doi.org/10.1111/jcal.13028</t>
  </si>
  <si>
    <t>Education &amp; Educational Research</t>
  </si>
  <si>
    <t>N5B3V</t>
  </si>
  <si>
    <t>WOS:001238762500001</t>
  </si>
  <si>
    <t>Bronze; Green Submitted</t>
  </si>
  <si>
    <t>Park, B; Kim, Y; Park, J; Choi, H; Kim, SE; Ryu, H; Seo, K</t>
  </si>
  <si>
    <t>Background: Early detection of mild cognitive impairment (MCI), a transitional stage between normal aging and Alzheimer disease, is crucial for preventing the progression of dementia. Virtual reality (VR) biomarkers have proven to be effective capturing behaviors associated with subtle deficits in instrumental activities of daily living, such as challenges in using food -ordering kiosk, for early detection of MCI. On the other hand, magnetic resonance imaging (MRI) biomarkers have demonstrated their efficacy in quantifying observable structural brain changes that can aid in early MCI detection. Nevertheless, the relationship between VR-derived and MRI biomarkers remains an open question. In this context, we explored the integration of VR-derived and MRI biomarkers to enhance early MCI detection through a multimodal learning approach. Objective: We aimed to evaluate and compare the efficacy of VR-derived and MRI biomarkers in the classification of MCI while also examining the strengths and weaknesses of each approach. Furthermore, we focused on improving early MCI detection by leveraging multimodal learning to integrate VR-derived and MRI biomarkers. Methods: The study encompassed a total of 54 participants, comprising 22 (41%) healthy controls and 32 (59%) patients with MCI. Participants completed a virtual kiosk test to collect 4 VR-derived biomarkers (hand movement speed, scanpath length, time to completion, and the number of errors), and T 1 -weighted MRI scans were performed to collect 22 MRI biomarkers from both hemispheres. Analyses of covariance were used to compare these biomarkers between healthy controls and patients with MCI, with age considered as a covariate. Subsequently, the biomarkers that exhibited significant differences between the 2 groups were used to train and validate a multimodal learning model aimed at early screening for patients with MCI among healthy controls. Results: The support vector machine (SVM) using only VR-derived biomarkers achieved a sensitivity of 87.5% and specificity of 90%, whereas the MRI biomarkers showed a sensitivity of 90.9% and specificity of 71.4%. Moreover, a correlation analysis revealed a significant association between MRI-observed brain atrophy and impaired performance in instrumental activities daily living in the VR environment. Notably, the integration of both VR-derived and MRI biomarkers into a multimodal SVM model yielded superior results compared to unimodal SVM models, achieving higher accuracy (94.4%), sensitivity (100%), specificity (90.9%), precision (87.5%), and F 1 -score (93.3%). Conclusions: The results indicate that VR-derived biomarkers, characterized by their high specificity, can be valuable as robust, early screening tool for MCI in a broader older adult population. On the other hand, MRI biomarkers, known for their high sensitivity, excel at confirming the presence of MCI. Moreover, the multimodal learning approach introduced in our study provides valuable insights into the improvement of early MCI detection by integrating a diverse set of biomarkers.</t>
  </si>
  <si>
    <t>Park, Bogyeom; Kim, Yuwon; Park, Jinseok; Choi, Hojin; Kim, Seong-Eun; Ryu, Hokyoung; Seo, Kyoungwon</t>
  </si>
  <si>
    <t>Seo, K (corresponding author), Seoul Natl Univ Sci &amp; Technol, Dept Appl Artificial Intelligence, Sangsang Hall,4th Fl Gongneung Ro, Seoul 01811, South Korea.</t>
  </si>
  <si>
    <t>kwseo@seoultech.ac.kr</t>
  </si>
  <si>
    <t>National Research Foundation of Korea - Korean government, Ministry of Science and Information and communication Technology (MSIT) [NRF-2021R1C1C1005688, NRF-2021R1A4A5033480]</t>
  </si>
  <si>
    <t>National Research Foundation of Korea - Korean government, Ministry of Science and Information and communication Technology (MSIT) (National Research Foundation of Korea)</t>
  </si>
  <si>
    <t>The support of patients was important in developing this paper. This study received support from the National Research Foundation of Korea, funded by the Korean government, Ministry of Science and Information and communication Technology (MSIT; NRF-2021R1C1C1005688 and NRF-2021R1A4A5033480) . The funding sources had no role in the study conceptualization, methodology, investigation, curation, analysis of data, writing of the paper, or decision to submit the paper for publication.</t>
  </si>
  <si>
    <t>[Park, Bogyeom; Kim, Yuwon; Kim, Seong-Eun; Seo, Kyoungwon] Seoul Natl Univ Sci &amp; Technol, Dept Appl Artificial Intelligence, Sangsang Hall,4th Fl Gongneung Ro, Seoul 01811, South Korea; [Park, Jinseok; Choi, Hojin] Hanyang Univ, Coll Med, Dept Neurol, Seoul, South Korea; [Ryu, Hokyoung] Hanyang Univ, Grad Sch Technol &amp; Innovat Management, Seoul, South Korea</t>
  </si>
  <si>
    <t>Seoul National University of Science &amp; Technology; Hanyang University; Hanyang University</t>
  </si>
  <si>
    <t>Integrating Biomarkers From Virtual Reality and Magnetic Resonance Imaging for the Early Detection of Mild Cognitive Impairment Using a Multimodal Learning Approach: Validation Study</t>
  </si>
  <si>
    <t>magnetic resonance imaging; MRI; virtual reality; VR; early detection; mild cognitive impairment; multimodal learning; hand movement; eye movement</t>
  </si>
  <si>
    <t>EARLY ALZHEIMERS-DISEASE; ENTORHINAL CORTEX; AMYGDALA ATROPHY; HIPPOCAMPUS; DIAGNOSIS; PATTERNS</t>
  </si>
  <si>
    <t>Seo, Kyoungwon/GLN-5886-2022; Park, Jinseok/ABH-1157-2021</t>
  </si>
  <si>
    <t>Park, Bogyeom/0009-0005-3046-9621; Kim, Yuwon/0000-0002-5946-6249; Seo, Kyoungwon/0000-0003-3435-0685; Park, Jinseok/0000-0001-6581-5831</t>
  </si>
  <si>
    <t>1439-4456</t>
  </si>
  <si>
    <t>APR 17 2024</t>
  </si>
  <si>
    <t>e54538</t>
  </si>
  <si>
    <t>10.2196/54538</t>
  </si>
  <si>
    <t>http://dx.doi.org/10.2196/54538</t>
  </si>
  <si>
    <t>QV3Z3</t>
  </si>
  <si>
    <t>38631021</t>
  </si>
  <si>
    <t>WOS:001223618300006</t>
  </si>
</sst>
</file>

<file path=xl/styles.xml><?xml version="1.0" encoding="utf-8"?>
<styleSheet xmlns="http://schemas.openxmlformats.org/spreadsheetml/2006/main">
  <numFmts count="0"/>
  <fonts count="539">
    <font>
      <sz val="11.0"/>
      <color indexed="8"/>
      <name val="Calibri"/>
      <family val="2"/>
      <scheme val="minor"/>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s>
  <fills count="2">
    <fill>
      <patternFill patternType="none"/>
    </fill>
    <fill>
      <patternFill patternType="darkGray"/>
    </fill>
  </fills>
  <borders count="1">
    <border>
      <left/>
      <right/>
      <top/>
      <bottom/>
      <diagonal/>
    </border>
  </borders>
  <cellStyleXfs count="1">
    <xf numFmtId="0" fontId="0" fillId="0" borderId="0"/>
  </cellStyleXfs>
  <cellXfs count="539">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xf numFmtId="0" fontId="44" fillId="0" borderId="0" xfId="0" applyFont="true"/>
    <xf numFmtId="0" fontId="45" fillId="0" borderId="0" xfId="0" applyFont="true"/>
    <xf numFmtId="0" fontId="46" fillId="0" borderId="0" xfId="0" applyFont="true"/>
    <xf numFmtId="0" fontId="47" fillId="0" borderId="0" xfId="0" applyFont="true"/>
    <xf numFmtId="0" fontId="48" fillId="0" borderId="0" xfId="0" applyFont="true"/>
    <xf numFmtId="0" fontId="49" fillId="0" borderId="0" xfId="0" applyFont="true"/>
    <xf numFmtId="0" fontId="50" fillId="0" borderId="0" xfId="0" applyFont="true"/>
    <xf numFmtId="0" fontId="51" fillId="0" borderId="0" xfId="0" applyFont="true"/>
    <xf numFmtId="0" fontId="52" fillId="0" borderId="0" xfId="0" applyFont="true"/>
    <xf numFmtId="0" fontId="53" fillId="0" borderId="0" xfId="0" applyFont="true"/>
    <xf numFmtId="0" fontId="54" fillId="0" borderId="0" xfId="0" applyFont="true"/>
    <xf numFmtId="0" fontId="55" fillId="0" borderId="0" xfId="0" applyFont="true"/>
    <xf numFmtId="0" fontId="56" fillId="0" borderId="0" xfId="0" applyFont="true"/>
    <xf numFmtId="0" fontId="57" fillId="0" borderId="0" xfId="0" applyFont="true"/>
    <xf numFmtId="0" fontId="58" fillId="0" borderId="0" xfId="0" applyFont="true"/>
    <xf numFmtId="0" fontId="59" fillId="0" borderId="0" xfId="0" applyFont="true"/>
    <xf numFmtId="0" fontId="60" fillId="0" borderId="0" xfId="0" applyFont="true"/>
    <xf numFmtId="0" fontId="61" fillId="0" borderId="0" xfId="0" applyFont="true"/>
    <xf numFmtId="0" fontId="62" fillId="0" borderId="0" xfId="0" applyFont="true"/>
    <xf numFmtId="0" fontId="63" fillId="0" borderId="0" xfId="0" applyFont="true"/>
    <xf numFmtId="0" fontId="64" fillId="0" borderId="0" xfId="0" applyFont="true"/>
    <xf numFmtId="0" fontId="65" fillId="0" borderId="0" xfId="0" applyFont="true"/>
    <xf numFmtId="0" fontId="66" fillId="0" borderId="0" xfId="0" applyFont="true"/>
    <xf numFmtId="0" fontId="67" fillId="0" borderId="0" xfId="0" applyFont="true"/>
    <xf numFmtId="0" fontId="68" fillId="0" borderId="0" xfId="0" applyFont="true"/>
    <xf numFmtId="0" fontId="69" fillId="0" borderId="0" xfId="0" applyFont="true"/>
    <xf numFmtId="0" fontId="70" fillId="0" borderId="0" xfId="0" applyFont="true"/>
    <xf numFmtId="0" fontId="71" fillId="0" borderId="0" xfId="0" applyFont="true"/>
    <xf numFmtId="0" fontId="72" fillId="0" borderId="0" xfId="0" applyFont="true"/>
    <xf numFmtId="0" fontId="73" fillId="0" borderId="0" xfId="0" applyFont="true"/>
    <xf numFmtId="0" fontId="74" fillId="0" borderId="0" xfId="0" applyFont="true"/>
    <xf numFmtId="0" fontId="75" fillId="0" borderId="0" xfId="0" applyFont="true"/>
    <xf numFmtId="0" fontId="76" fillId="0" borderId="0" xfId="0" applyFont="true"/>
    <xf numFmtId="0" fontId="77" fillId="0" borderId="0" xfId="0" applyFont="true"/>
    <xf numFmtId="0" fontId="78" fillId="0" borderId="0" xfId="0" applyFont="true"/>
    <xf numFmtId="0" fontId="79" fillId="0" borderId="0" xfId="0" applyFont="true"/>
    <xf numFmtId="0" fontId="80" fillId="0" borderId="0" xfId="0" applyFont="true"/>
    <xf numFmtId="0" fontId="81" fillId="0" borderId="0" xfId="0" applyFont="true"/>
    <xf numFmtId="0" fontId="82" fillId="0" borderId="0" xfId="0" applyFont="true"/>
    <xf numFmtId="0" fontId="83" fillId="0" borderId="0" xfId="0" applyFont="true"/>
    <xf numFmtId="0" fontId="84" fillId="0" borderId="0" xfId="0" applyFont="true"/>
    <xf numFmtId="0" fontId="85" fillId="0" borderId="0" xfId="0" applyFont="true"/>
    <xf numFmtId="0" fontId="86" fillId="0" borderId="0" xfId="0" applyFont="true"/>
    <xf numFmtId="0" fontId="87" fillId="0" borderId="0" xfId="0" applyFont="true"/>
    <xf numFmtId="0" fontId="88" fillId="0" borderId="0" xfId="0" applyFont="true"/>
    <xf numFmtId="0" fontId="89" fillId="0" borderId="0" xfId="0" applyFont="true"/>
    <xf numFmtId="0" fontId="90" fillId="0" borderId="0" xfId="0" applyFont="true"/>
    <xf numFmtId="0" fontId="91" fillId="0" borderId="0" xfId="0" applyFont="true"/>
    <xf numFmtId="0" fontId="92" fillId="0" borderId="0" xfId="0" applyFont="true"/>
    <xf numFmtId="0" fontId="93" fillId="0" borderId="0" xfId="0" applyFont="true"/>
    <xf numFmtId="0" fontId="94" fillId="0" borderId="0" xfId="0" applyFont="true"/>
    <xf numFmtId="0" fontId="95" fillId="0" borderId="0" xfId="0" applyFont="true"/>
    <xf numFmtId="0" fontId="96" fillId="0" borderId="0" xfId="0" applyFont="true"/>
    <xf numFmtId="0" fontId="97" fillId="0" borderId="0" xfId="0" applyFont="true"/>
    <xf numFmtId="0" fontId="98" fillId="0" borderId="0" xfId="0" applyFont="true"/>
    <xf numFmtId="0" fontId="99" fillId="0" borderId="0" xfId="0" applyFont="true"/>
    <xf numFmtId="0" fontId="100" fillId="0" borderId="0" xfId="0" applyFont="true"/>
    <xf numFmtId="0" fontId="101" fillId="0" borderId="0" xfId="0" applyFont="true"/>
    <xf numFmtId="0" fontId="102" fillId="0" borderId="0" xfId="0" applyFont="true"/>
    <xf numFmtId="0" fontId="103" fillId="0" borderId="0" xfId="0" applyFont="true"/>
    <xf numFmtId="0" fontId="104" fillId="0" borderId="0" xfId="0" applyFont="true"/>
    <xf numFmtId="0" fontId="105" fillId="0" borderId="0" xfId="0" applyFont="true"/>
    <xf numFmtId="0" fontId="106" fillId="0" borderId="0" xfId="0" applyFont="true"/>
    <xf numFmtId="0" fontId="107" fillId="0" borderId="0" xfId="0" applyFont="true"/>
    <xf numFmtId="0" fontId="108" fillId="0" borderId="0" xfId="0" applyFont="true"/>
    <xf numFmtId="0" fontId="109" fillId="0" borderId="0" xfId="0" applyFont="true"/>
    <xf numFmtId="0" fontId="110" fillId="0" borderId="0" xfId="0" applyFont="true"/>
    <xf numFmtId="0" fontId="111" fillId="0" borderId="0" xfId="0" applyFont="true"/>
    <xf numFmtId="0" fontId="112" fillId="0" borderId="0" xfId="0" applyFont="true"/>
    <xf numFmtId="0" fontId="113" fillId="0" borderId="0" xfId="0" applyFont="true"/>
    <xf numFmtId="0" fontId="114" fillId="0" borderId="0" xfId="0" applyFont="true"/>
    <xf numFmtId="0" fontId="115" fillId="0" borderId="0" xfId="0" applyFont="true"/>
    <xf numFmtId="0" fontId="116" fillId="0" borderId="0" xfId="0" applyFont="true"/>
    <xf numFmtId="0" fontId="117" fillId="0" borderId="0" xfId="0" applyFont="true"/>
    <xf numFmtId="0" fontId="118" fillId="0" borderId="0" xfId="0" applyFont="true"/>
    <xf numFmtId="0" fontId="119" fillId="0" borderId="0" xfId="0" applyFont="true"/>
    <xf numFmtId="0" fontId="120" fillId="0" borderId="0" xfId="0" applyFont="true"/>
    <xf numFmtId="0" fontId="121" fillId="0" borderId="0" xfId="0" applyFont="true"/>
    <xf numFmtId="0" fontId="122" fillId="0" borderId="0" xfId="0" applyFont="true"/>
    <xf numFmtId="0" fontId="123" fillId="0" borderId="0" xfId="0" applyFont="true"/>
    <xf numFmtId="0" fontId="124" fillId="0" borderId="0" xfId="0" applyFont="true"/>
    <xf numFmtId="0" fontId="125" fillId="0" borderId="0" xfId="0" applyFont="true"/>
    <xf numFmtId="0" fontId="126" fillId="0" borderId="0" xfId="0" applyFont="true"/>
    <xf numFmtId="0" fontId="127" fillId="0" borderId="0" xfId="0" applyFont="true"/>
    <xf numFmtId="0" fontId="128" fillId="0" borderId="0" xfId="0" applyFont="true"/>
    <xf numFmtId="0" fontId="129" fillId="0" borderId="0" xfId="0" applyFont="true"/>
    <xf numFmtId="0" fontId="130" fillId="0" borderId="0" xfId="0" applyFont="true"/>
    <xf numFmtId="0" fontId="131" fillId="0" borderId="0" xfId="0" applyFont="true"/>
    <xf numFmtId="0" fontId="132" fillId="0" borderId="0" xfId="0" applyFont="true"/>
    <xf numFmtId="0" fontId="133" fillId="0" borderId="0" xfId="0" applyFont="true"/>
    <xf numFmtId="0" fontId="134" fillId="0" borderId="0" xfId="0" applyFont="true"/>
    <xf numFmtId="0" fontId="135" fillId="0" borderId="0" xfId="0" applyFont="true"/>
    <xf numFmtId="0" fontId="136" fillId="0" borderId="0" xfId="0" applyFont="true"/>
    <xf numFmtId="0" fontId="137" fillId="0" borderId="0" xfId="0" applyFont="true"/>
    <xf numFmtId="0" fontId="138" fillId="0" borderId="0" xfId="0" applyFont="true"/>
    <xf numFmtId="0" fontId="139" fillId="0" borderId="0" xfId="0" applyFont="true"/>
    <xf numFmtId="0" fontId="140" fillId="0" borderId="0" xfId="0" applyFont="true"/>
    <xf numFmtId="0" fontId="141" fillId="0" borderId="0" xfId="0" applyFont="true"/>
    <xf numFmtId="0" fontId="142" fillId="0" borderId="0" xfId="0" applyFont="true"/>
    <xf numFmtId="0" fontId="143" fillId="0" borderId="0" xfId="0" applyFont="true"/>
    <xf numFmtId="0" fontId="144" fillId="0" borderId="0" xfId="0" applyFont="true"/>
    <xf numFmtId="0" fontId="145" fillId="0" borderId="0" xfId="0" applyFont="true"/>
    <xf numFmtId="0" fontId="146" fillId="0" borderId="0" xfId="0" applyFont="true"/>
    <xf numFmtId="0" fontId="147" fillId="0" borderId="0" xfId="0" applyFont="true"/>
    <xf numFmtId="0" fontId="148" fillId="0" borderId="0" xfId="0" applyFont="true"/>
    <xf numFmtId="0" fontId="149" fillId="0" borderId="0" xfId="0" applyFont="true"/>
    <xf numFmtId="0" fontId="150" fillId="0" borderId="0" xfId="0" applyFont="true"/>
    <xf numFmtId="0" fontId="151" fillId="0" borderId="0" xfId="0" applyFont="true"/>
    <xf numFmtId="0" fontId="152" fillId="0" borderId="0" xfId="0" applyFont="true"/>
    <xf numFmtId="0" fontId="153" fillId="0" borderId="0" xfId="0" applyFont="true"/>
    <xf numFmtId="0" fontId="154" fillId="0" borderId="0" xfId="0" applyFont="true"/>
    <xf numFmtId="0" fontId="155" fillId="0" borderId="0" xfId="0" applyFont="true"/>
    <xf numFmtId="0" fontId="156" fillId="0" borderId="0" xfId="0" applyFont="true"/>
    <xf numFmtId="0" fontId="157" fillId="0" borderId="0" xfId="0" applyFont="true"/>
    <xf numFmtId="0" fontId="158" fillId="0" borderId="0" xfId="0" applyFont="true"/>
    <xf numFmtId="0" fontId="159" fillId="0" borderId="0" xfId="0" applyFont="true"/>
    <xf numFmtId="0" fontId="160" fillId="0" borderId="0" xfId="0" applyFont="true"/>
    <xf numFmtId="0" fontId="161" fillId="0" borderId="0" xfId="0" applyFont="true"/>
    <xf numFmtId="0" fontId="162" fillId="0" borderId="0" xfId="0" applyFont="true"/>
    <xf numFmtId="0" fontId="163" fillId="0" borderId="0" xfId="0" applyFont="true"/>
    <xf numFmtId="0" fontId="164" fillId="0" borderId="0" xfId="0" applyFont="true"/>
    <xf numFmtId="0" fontId="165" fillId="0" borderId="0" xfId="0" applyFont="true"/>
    <xf numFmtId="0" fontId="166" fillId="0" borderId="0" xfId="0" applyFont="true"/>
    <xf numFmtId="0" fontId="167" fillId="0" borderId="0" xfId="0" applyFont="true"/>
    <xf numFmtId="0" fontId="168" fillId="0" borderId="0" xfId="0" applyFont="true"/>
    <xf numFmtId="0" fontId="169" fillId="0" borderId="0" xfId="0" applyFont="true"/>
    <xf numFmtId="0" fontId="170" fillId="0" borderId="0" xfId="0" applyFont="true"/>
    <xf numFmtId="0" fontId="171" fillId="0" borderId="0" xfId="0" applyFont="true"/>
    <xf numFmtId="0" fontId="172" fillId="0" borderId="0" xfId="0" applyFont="true"/>
    <xf numFmtId="0" fontId="173" fillId="0" borderId="0" xfId="0" applyFont="true"/>
    <xf numFmtId="0" fontId="174" fillId="0" borderId="0" xfId="0" applyFont="true"/>
    <xf numFmtId="0" fontId="175" fillId="0" borderId="0" xfId="0" applyFont="true"/>
    <xf numFmtId="0" fontId="176" fillId="0" borderId="0" xfId="0" applyFont="true"/>
    <xf numFmtId="0" fontId="177" fillId="0" borderId="0" xfId="0" applyFont="true"/>
    <xf numFmtId="0" fontId="178" fillId="0" borderId="0" xfId="0" applyFont="true"/>
    <xf numFmtId="0" fontId="179" fillId="0" borderId="0" xfId="0" applyFont="true"/>
    <xf numFmtId="0" fontId="180" fillId="0" borderId="0" xfId="0" applyFont="true"/>
    <xf numFmtId="0" fontId="181" fillId="0" borderId="0" xfId="0" applyFont="true"/>
    <xf numFmtId="0" fontId="182" fillId="0" borderId="0" xfId="0" applyFont="true"/>
    <xf numFmtId="0" fontId="183" fillId="0" borderId="0" xfId="0" applyFont="true"/>
    <xf numFmtId="0" fontId="184" fillId="0" borderId="0" xfId="0" applyFont="true"/>
    <xf numFmtId="0" fontId="185" fillId="0" borderId="0" xfId="0" applyFont="true"/>
    <xf numFmtId="0" fontId="186" fillId="0" borderId="0" xfId="0" applyFont="true"/>
    <xf numFmtId="0" fontId="187" fillId="0" borderId="0" xfId="0" applyFont="true"/>
    <xf numFmtId="0" fontId="188" fillId="0" borderId="0" xfId="0" applyFont="true"/>
    <xf numFmtId="0" fontId="189" fillId="0" borderId="0" xfId="0" applyFont="true"/>
    <xf numFmtId="0" fontId="190" fillId="0" borderId="0" xfId="0" applyFont="true"/>
    <xf numFmtId="0" fontId="191" fillId="0" borderId="0" xfId="0" applyFont="true"/>
    <xf numFmtId="0" fontId="192" fillId="0" borderId="0" xfId="0" applyFont="true"/>
    <xf numFmtId="0" fontId="193" fillId="0" borderId="0" xfId="0" applyFont="true"/>
    <xf numFmtId="0" fontId="194" fillId="0" borderId="0" xfId="0" applyFont="true"/>
    <xf numFmtId="0" fontId="195" fillId="0" borderId="0" xfId="0" applyFont="true"/>
    <xf numFmtId="0" fontId="196" fillId="0" borderId="0" xfId="0" applyFont="true"/>
    <xf numFmtId="0" fontId="197" fillId="0" borderId="0" xfId="0" applyFont="true"/>
    <xf numFmtId="0" fontId="198" fillId="0" borderId="0" xfId="0" applyFont="true"/>
    <xf numFmtId="0" fontId="199" fillId="0" borderId="0" xfId="0" applyFont="true"/>
    <xf numFmtId="0" fontId="200" fillId="0" borderId="0" xfId="0" applyFont="true"/>
    <xf numFmtId="0" fontId="201" fillId="0" borderId="0" xfId="0" applyFont="true"/>
    <xf numFmtId="0" fontId="202" fillId="0" borderId="0" xfId="0" applyFont="true"/>
    <xf numFmtId="0" fontId="203" fillId="0" borderId="0" xfId="0" applyFont="true"/>
    <xf numFmtId="0" fontId="204" fillId="0" borderId="0" xfId="0" applyFont="true"/>
    <xf numFmtId="0" fontId="205" fillId="0" borderId="0" xfId="0" applyFont="true"/>
    <xf numFmtId="0" fontId="206" fillId="0" borderId="0" xfId="0" applyFont="true"/>
    <xf numFmtId="0" fontId="207" fillId="0" borderId="0" xfId="0" applyFont="true"/>
    <xf numFmtId="0" fontId="208" fillId="0" borderId="0" xfId="0" applyFont="true"/>
    <xf numFmtId="0" fontId="209" fillId="0" borderId="0" xfId="0" applyFont="true"/>
    <xf numFmtId="0" fontId="210" fillId="0" borderId="0" xfId="0" applyFont="true"/>
    <xf numFmtId="0" fontId="211" fillId="0" borderId="0" xfId="0" applyFont="true"/>
    <xf numFmtId="0" fontId="212" fillId="0" borderId="0" xfId="0" applyFont="true"/>
    <xf numFmtId="0" fontId="213" fillId="0" borderId="0" xfId="0" applyFont="true"/>
    <xf numFmtId="0" fontId="214" fillId="0" borderId="0" xfId="0" applyFont="true"/>
    <xf numFmtId="0" fontId="215" fillId="0" borderId="0" xfId="0" applyFont="true"/>
    <xf numFmtId="0" fontId="216" fillId="0" borderId="0" xfId="0" applyFont="true"/>
    <xf numFmtId="0" fontId="217" fillId="0" borderId="0" xfId="0" applyFont="true"/>
    <xf numFmtId="0" fontId="218" fillId="0" borderId="0" xfId="0" applyFont="true"/>
    <xf numFmtId="0" fontId="219" fillId="0" borderId="0" xfId="0" applyFont="true"/>
    <xf numFmtId="0" fontId="220" fillId="0" borderId="0" xfId="0" applyFont="true"/>
    <xf numFmtId="0" fontId="221" fillId="0" borderId="0" xfId="0" applyFont="true"/>
    <xf numFmtId="0" fontId="222" fillId="0" borderId="0" xfId="0" applyFont="true"/>
    <xf numFmtId="0" fontId="223" fillId="0" borderId="0" xfId="0" applyFont="true"/>
    <xf numFmtId="0" fontId="224" fillId="0" borderId="0" xfId="0" applyFont="true"/>
    <xf numFmtId="0" fontId="225" fillId="0" borderId="0" xfId="0" applyFont="true"/>
    <xf numFmtId="0" fontId="226" fillId="0" borderId="0" xfId="0" applyFont="true"/>
    <xf numFmtId="0" fontId="227" fillId="0" borderId="0" xfId="0" applyFont="true"/>
    <xf numFmtId="0" fontId="228" fillId="0" borderId="0" xfId="0" applyFont="true"/>
    <xf numFmtId="0" fontId="229" fillId="0" borderId="0" xfId="0" applyFont="true"/>
    <xf numFmtId="0" fontId="230" fillId="0" borderId="0" xfId="0" applyFont="true"/>
    <xf numFmtId="0" fontId="231" fillId="0" borderId="0" xfId="0" applyFont="true"/>
    <xf numFmtId="0" fontId="232" fillId="0" borderId="0" xfId="0" applyFont="true"/>
    <xf numFmtId="0" fontId="233" fillId="0" borderId="0" xfId="0" applyFont="true"/>
    <xf numFmtId="0" fontId="234" fillId="0" borderId="0" xfId="0" applyFont="true"/>
    <xf numFmtId="0" fontId="235" fillId="0" borderId="0" xfId="0" applyFont="true"/>
    <xf numFmtId="0" fontId="236" fillId="0" borderId="0" xfId="0" applyFont="true"/>
    <xf numFmtId="0" fontId="237" fillId="0" borderId="0" xfId="0" applyFont="true"/>
    <xf numFmtId="0" fontId="238" fillId="0" borderId="0" xfId="0" applyFont="true"/>
    <xf numFmtId="0" fontId="239" fillId="0" borderId="0" xfId="0" applyFont="true"/>
    <xf numFmtId="0" fontId="240" fillId="0" borderId="0" xfId="0" applyFont="true"/>
    <xf numFmtId="0" fontId="241" fillId="0" borderId="0" xfId="0" applyFont="true"/>
    <xf numFmtId="0" fontId="242" fillId="0" borderId="0" xfId="0" applyFont="true"/>
    <xf numFmtId="0" fontId="243" fillId="0" borderId="0" xfId="0" applyFont="true"/>
    <xf numFmtId="0" fontId="244" fillId="0" borderId="0" xfId="0" applyFont="true"/>
    <xf numFmtId="0" fontId="245" fillId="0" borderId="0" xfId="0" applyFont="true"/>
    <xf numFmtId="0" fontId="246" fillId="0" borderId="0" xfId="0" applyFont="true"/>
    <xf numFmtId="0" fontId="247" fillId="0" borderId="0" xfId="0" applyFont="true"/>
    <xf numFmtId="0" fontId="248" fillId="0" borderId="0" xfId="0" applyFont="true"/>
    <xf numFmtId="0" fontId="249" fillId="0" borderId="0" xfId="0" applyFont="true"/>
    <xf numFmtId="0" fontId="250" fillId="0" borderId="0" xfId="0" applyFont="true"/>
    <xf numFmtId="0" fontId="251" fillId="0" borderId="0" xfId="0" applyFont="true"/>
    <xf numFmtId="0" fontId="252" fillId="0" borderId="0" xfId="0" applyFont="true"/>
    <xf numFmtId="0" fontId="253" fillId="0" borderId="0" xfId="0" applyFont="true"/>
    <xf numFmtId="0" fontId="254" fillId="0" borderId="0" xfId="0" applyFont="true"/>
    <xf numFmtId="0" fontId="255" fillId="0" borderId="0" xfId="0" applyFont="true"/>
    <xf numFmtId="0" fontId="256" fillId="0" borderId="0" xfId="0" applyFont="true"/>
    <xf numFmtId="0" fontId="257" fillId="0" borderId="0" xfId="0" applyFont="true"/>
    <xf numFmtId="0" fontId="258" fillId="0" borderId="0" xfId="0" applyFont="true"/>
    <xf numFmtId="0" fontId="259" fillId="0" borderId="0" xfId="0" applyFont="true"/>
    <xf numFmtId="0" fontId="260" fillId="0" borderId="0" xfId="0" applyFont="true"/>
    <xf numFmtId="0" fontId="261" fillId="0" borderId="0" xfId="0" applyFont="true"/>
    <xf numFmtId="0" fontId="262" fillId="0" borderId="0" xfId="0" applyFont="true"/>
    <xf numFmtId="0" fontId="263" fillId="0" borderId="0" xfId="0" applyFont="true"/>
    <xf numFmtId="0" fontId="264" fillId="0" borderId="0" xfId="0" applyFont="true"/>
    <xf numFmtId="0" fontId="265" fillId="0" borderId="0" xfId="0" applyFont="true"/>
    <xf numFmtId="0" fontId="266" fillId="0" borderId="0" xfId="0" applyFont="true"/>
    <xf numFmtId="0" fontId="267" fillId="0" borderId="0" xfId="0" applyFont="true"/>
    <xf numFmtId="0" fontId="268" fillId="0" borderId="0" xfId="0" applyFont="true"/>
    <xf numFmtId="0" fontId="269" fillId="0" borderId="0" xfId="0" applyFont="true"/>
    <xf numFmtId="0" fontId="270" fillId="0" borderId="0" xfId="0" applyFont="true"/>
    <xf numFmtId="0" fontId="271" fillId="0" borderId="0" xfId="0" applyFont="true"/>
    <xf numFmtId="0" fontId="272" fillId="0" borderId="0" xfId="0" applyFont="true"/>
    <xf numFmtId="0" fontId="273" fillId="0" borderId="0" xfId="0" applyFont="true"/>
    <xf numFmtId="0" fontId="274" fillId="0" borderId="0" xfId="0" applyFont="true"/>
    <xf numFmtId="0" fontId="275" fillId="0" borderId="0" xfId="0" applyFont="true"/>
    <xf numFmtId="0" fontId="276" fillId="0" borderId="0" xfId="0" applyFont="true"/>
    <xf numFmtId="0" fontId="277" fillId="0" borderId="0" xfId="0" applyFont="true"/>
    <xf numFmtId="0" fontId="278" fillId="0" borderId="0" xfId="0" applyFont="true"/>
    <xf numFmtId="0" fontId="279" fillId="0" borderId="0" xfId="0" applyFont="true"/>
    <xf numFmtId="0" fontId="280" fillId="0" borderId="0" xfId="0" applyFont="true"/>
    <xf numFmtId="0" fontId="281" fillId="0" borderId="0" xfId="0" applyFont="true"/>
    <xf numFmtId="0" fontId="282" fillId="0" borderId="0" xfId="0" applyFont="true"/>
    <xf numFmtId="0" fontId="283" fillId="0" borderId="0" xfId="0" applyFont="true"/>
    <xf numFmtId="0" fontId="284" fillId="0" borderId="0" xfId="0" applyFont="true"/>
    <xf numFmtId="0" fontId="285" fillId="0" borderId="0" xfId="0" applyFont="true"/>
    <xf numFmtId="0" fontId="286" fillId="0" borderId="0" xfId="0" applyFont="true"/>
    <xf numFmtId="0" fontId="287" fillId="0" borderId="0" xfId="0" applyFont="true"/>
    <xf numFmtId="0" fontId="288" fillId="0" borderId="0" xfId="0" applyFont="true"/>
    <xf numFmtId="0" fontId="289" fillId="0" borderId="0" xfId="0" applyFont="true"/>
    <xf numFmtId="0" fontId="290" fillId="0" borderId="0" xfId="0" applyFont="true"/>
    <xf numFmtId="0" fontId="291" fillId="0" borderId="0" xfId="0" applyFont="true"/>
    <xf numFmtId="0" fontId="292" fillId="0" borderId="0" xfId="0" applyFont="true"/>
    <xf numFmtId="0" fontId="293" fillId="0" borderId="0" xfId="0" applyFont="true"/>
    <xf numFmtId="0" fontId="294" fillId="0" borderId="0" xfId="0" applyFont="true"/>
    <xf numFmtId="0" fontId="295" fillId="0" borderId="0" xfId="0" applyFont="true"/>
    <xf numFmtId="0" fontId="296" fillId="0" borderId="0" xfId="0" applyFont="true"/>
    <xf numFmtId="0" fontId="297" fillId="0" borderId="0" xfId="0" applyFont="true"/>
    <xf numFmtId="0" fontId="298" fillId="0" borderId="0" xfId="0" applyFont="true"/>
    <xf numFmtId="0" fontId="299" fillId="0" borderId="0" xfId="0" applyFont="true"/>
    <xf numFmtId="0" fontId="300" fillId="0" borderId="0" xfId="0" applyFont="true"/>
    <xf numFmtId="0" fontId="301" fillId="0" borderId="0" xfId="0" applyFont="true"/>
    <xf numFmtId="0" fontId="302" fillId="0" borderId="0" xfId="0" applyFont="true"/>
    <xf numFmtId="0" fontId="303" fillId="0" borderId="0" xfId="0" applyFont="true"/>
    <xf numFmtId="0" fontId="304" fillId="0" borderId="0" xfId="0" applyFont="true"/>
    <xf numFmtId="0" fontId="305" fillId="0" borderId="0" xfId="0" applyFont="true"/>
    <xf numFmtId="0" fontId="306" fillId="0" borderId="0" xfId="0" applyFont="true"/>
    <xf numFmtId="0" fontId="307" fillId="0" borderId="0" xfId="0" applyFont="true"/>
    <xf numFmtId="0" fontId="308" fillId="0" borderId="0" xfId="0" applyFont="true"/>
    <xf numFmtId="0" fontId="309" fillId="0" borderId="0" xfId="0" applyFont="true"/>
    <xf numFmtId="0" fontId="310" fillId="0" borderId="0" xfId="0" applyFont="true"/>
    <xf numFmtId="0" fontId="311" fillId="0" borderId="0" xfId="0" applyFont="true"/>
    <xf numFmtId="0" fontId="312" fillId="0" borderId="0" xfId="0" applyFont="true"/>
    <xf numFmtId="0" fontId="313" fillId="0" borderId="0" xfId="0" applyFont="true"/>
    <xf numFmtId="0" fontId="314" fillId="0" borderId="0" xfId="0" applyFont="true"/>
    <xf numFmtId="0" fontId="315" fillId="0" borderId="0" xfId="0" applyFont="true"/>
    <xf numFmtId="0" fontId="316" fillId="0" borderId="0" xfId="0" applyFont="true"/>
    <xf numFmtId="0" fontId="317" fillId="0" borderId="0" xfId="0" applyFont="true"/>
    <xf numFmtId="0" fontId="318" fillId="0" borderId="0" xfId="0" applyFont="true"/>
    <xf numFmtId="0" fontId="319" fillId="0" borderId="0" xfId="0" applyFont="true"/>
    <xf numFmtId="0" fontId="320" fillId="0" borderId="0" xfId="0" applyFont="true"/>
    <xf numFmtId="0" fontId="321" fillId="0" borderId="0" xfId="0" applyFont="true"/>
    <xf numFmtId="0" fontId="322" fillId="0" borderId="0" xfId="0" applyFont="true"/>
    <xf numFmtId="0" fontId="323" fillId="0" borderId="0" xfId="0" applyFont="true"/>
    <xf numFmtId="0" fontId="324" fillId="0" borderId="0" xfId="0" applyFont="true"/>
    <xf numFmtId="0" fontId="325" fillId="0" borderId="0" xfId="0" applyFont="true"/>
    <xf numFmtId="0" fontId="326" fillId="0" borderId="0" xfId="0" applyFont="true"/>
    <xf numFmtId="0" fontId="327" fillId="0" borderId="0" xfId="0" applyFont="true"/>
    <xf numFmtId="0" fontId="328" fillId="0" borderId="0" xfId="0" applyFont="true"/>
    <xf numFmtId="0" fontId="329" fillId="0" borderId="0" xfId="0" applyFont="true"/>
    <xf numFmtId="0" fontId="330" fillId="0" borderId="0" xfId="0" applyFont="true"/>
    <xf numFmtId="0" fontId="331" fillId="0" borderId="0" xfId="0" applyFont="true"/>
    <xf numFmtId="0" fontId="332" fillId="0" borderId="0" xfId="0" applyFont="true"/>
    <xf numFmtId="0" fontId="333" fillId="0" borderId="0" xfId="0" applyFont="true"/>
    <xf numFmtId="0" fontId="334" fillId="0" borderId="0" xfId="0" applyFont="true"/>
    <xf numFmtId="0" fontId="335" fillId="0" borderId="0" xfId="0" applyFont="true"/>
    <xf numFmtId="0" fontId="336" fillId="0" borderId="0" xfId="0" applyFont="true"/>
    <xf numFmtId="0" fontId="337" fillId="0" borderId="0" xfId="0" applyFont="true"/>
    <xf numFmtId="0" fontId="338" fillId="0" borderId="0" xfId="0" applyFont="true"/>
    <xf numFmtId="0" fontId="339" fillId="0" borderId="0" xfId="0" applyFont="true"/>
    <xf numFmtId="0" fontId="340" fillId="0" borderId="0" xfId="0" applyFont="true"/>
    <xf numFmtId="0" fontId="341" fillId="0" borderId="0" xfId="0" applyFont="true"/>
    <xf numFmtId="0" fontId="342" fillId="0" borderId="0" xfId="0" applyFont="true"/>
    <xf numFmtId="0" fontId="343" fillId="0" borderId="0" xfId="0" applyFont="true"/>
    <xf numFmtId="0" fontId="344" fillId="0" borderId="0" xfId="0" applyFont="true"/>
    <xf numFmtId="0" fontId="345" fillId="0" borderId="0" xfId="0" applyFont="true"/>
    <xf numFmtId="0" fontId="346" fillId="0" borderId="0" xfId="0" applyFont="true"/>
    <xf numFmtId="0" fontId="347" fillId="0" borderId="0" xfId="0" applyFont="true"/>
    <xf numFmtId="0" fontId="348" fillId="0" borderId="0" xfId="0" applyFont="true"/>
    <xf numFmtId="0" fontId="349" fillId="0" borderId="0" xfId="0" applyFont="true"/>
    <xf numFmtId="0" fontId="350" fillId="0" borderId="0" xfId="0" applyFont="true"/>
    <xf numFmtId="0" fontId="351" fillId="0" borderId="0" xfId="0" applyFont="true"/>
    <xf numFmtId="0" fontId="352" fillId="0" borderId="0" xfId="0" applyFont="true"/>
    <xf numFmtId="0" fontId="353" fillId="0" borderId="0" xfId="0" applyFont="true"/>
    <xf numFmtId="0" fontId="354" fillId="0" borderId="0" xfId="0" applyFont="true"/>
    <xf numFmtId="0" fontId="355" fillId="0" borderId="0" xfId="0" applyFont="true"/>
    <xf numFmtId="0" fontId="356" fillId="0" borderId="0" xfId="0" applyFont="true"/>
    <xf numFmtId="0" fontId="357" fillId="0" borderId="0" xfId="0" applyFont="true"/>
    <xf numFmtId="0" fontId="358" fillId="0" borderId="0" xfId="0" applyFont="true"/>
    <xf numFmtId="0" fontId="359" fillId="0" borderId="0" xfId="0" applyFont="true"/>
    <xf numFmtId="0" fontId="360" fillId="0" borderId="0" xfId="0" applyFont="true"/>
    <xf numFmtId="0" fontId="361" fillId="0" borderId="0" xfId="0" applyFont="true"/>
    <xf numFmtId="0" fontId="362" fillId="0" borderId="0" xfId="0" applyFont="true"/>
    <xf numFmtId="0" fontId="363" fillId="0" borderId="0" xfId="0" applyFont="true"/>
    <xf numFmtId="0" fontId="364" fillId="0" borderId="0" xfId="0" applyFont="true"/>
    <xf numFmtId="0" fontId="365" fillId="0" borderId="0" xfId="0" applyFont="true"/>
    <xf numFmtId="0" fontId="366" fillId="0" borderId="0" xfId="0" applyFont="true"/>
    <xf numFmtId="0" fontId="367" fillId="0" borderId="0" xfId="0" applyFont="true"/>
    <xf numFmtId="0" fontId="368" fillId="0" borderId="0" xfId="0" applyFont="true"/>
    <xf numFmtId="0" fontId="369" fillId="0" borderId="0" xfId="0" applyFont="true"/>
    <xf numFmtId="0" fontId="370" fillId="0" borderId="0" xfId="0" applyFont="true"/>
    <xf numFmtId="0" fontId="371" fillId="0" borderId="0" xfId="0" applyFont="true"/>
    <xf numFmtId="0" fontId="372" fillId="0" borderId="0" xfId="0" applyFont="true"/>
    <xf numFmtId="0" fontId="373" fillId="0" borderId="0" xfId="0" applyFont="true"/>
    <xf numFmtId="0" fontId="374" fillId="0" borderId="0" xfId="0" applyFont="true"/>
    <xf numFmtId="0" fontId="375" fillId="0" borderId="0" xfId="0" applyFont="true"/>
    <xf numFmtId="0" fontId="376" fillId="0" borderId="0" xfId="0" applyFont="true"/>
    <xf numFmtId="0" fontId="377" fillId="0" borderId="0" xfId="0" applyFont="true"/>
    <xf numFmtId="0" fontId="378" fillId="0" borderId="0" xfId="0" applyFont="true"/>
    <xf numFmtId="0" fontId="379" fillId="0" borderId="0" xfId="0" applyFont="true"/>
    <xf numFmtId="0" fontId="380" fillId="0" borderId="0" xfId="0" applyFont="true"/>
    <xf numFmtId="0" fontId="381" fillId="0" borderId="0" xfId="0" applyFont="true"/>
    <xf numFmtId="0" fontId="382" fillId="0" borderId="0" xfId="0" applyFont="true"/>
    <xf numFmtId="0" fontId="383" fillId="0" borderId="0" xfId="0" applyFont="true"/>
    <xf numFmtId="0" fontId="384" fillId="0" borderId="0" xfId="0" applyFont="true"/>
    <xf numFmtId="0" fontId="385" fillId="0" borderId="0" xfId="0" applyFont="true"/>
    <xf numFmtId="0" fontId="386" fillId="0" borderId="0" xfId="0" applyFont="true"/>
    <xf numFmtId="0" fontId="387" fillId="0" borderId="0" xfId="0" applyFont="true"/>
    <xf numFmtId="0" fontId="388" fillId="0" borderId="0" xfId="0" applyFont="true"/>
    <xf numFmtId="0" fontId="389" fillId="0" borderId="0" xfId="0" applyFont="true"/>
    <xf numFmtId="0" fontId="390" fillId="0" borderId="0" xfId="0" applyFont="true"/>
    <xf numFmtId="0" fontId="391" fillId="0" borderId="0" xfId="0" applyFont="true"/>
    <xf numFmtId="0" fontId="392" fillId="0" borderId="0" xfId="0" applyFont="true"/>
    <xf numFmtId="0" fontId="393" fillId="0" borderId="0" xfId="0" applyFont="true"/>
    <xf numFmtId="0" fontId="394" fillId="0" borderId="0" xfId="0" applyFont="true"/>
    <xf numFmtId="0" fontId="395" fillId="0" borderId="0" xfId="0" applyFont="true"/>
    <xf numFmtId="0" fontId="396" fillId="0" borderId="0" xfId="0" applyFont="true"/>
    <xf numFmtId="0" fontId="397" fillId="0" borderId="0" xfId="0" applyFont="true"/>
    <xf numFmtId="0" fontId="398" fillId="0" borderId="0" xfId="0" applyFont="true"/>
    <xf numFmtId="0" fontId="399" fillId="0" borderId="0" xfId="0" applyFont="true"/>
    <xf numFmtId="0" fontId="400" fillId="0" borderId="0" xfId="0" applyFont="true"/>
    <xf numFmtId="0" fontId="401" fillId="0" borderId="0" xfId="0" applyFont="true"/>
    <xf numFmtId="0" fontId="402" fillId="0" borderId="0" xfId="0" applyFont="true"/>
    <xf numFmtId="0" fontId="403" fillId="0" borderId="0" xfId="0" applyFont="true"/>
    <xf numFmtId="0" fontId="404" fillId="0" borderId="0" xfId="0" applyFont="true"/>
    <xf numFmtId="0" fontId="405" fillId="0" borderId="0" xfId="0" applyFont="true"/>
    <xf numFmtId="0" fontId="406" fillId="0" borderId="0" xfId="0" applyFont="true"/>
    <xf numFmtId="0" fontId="407" fillId="0" borderId="0" xfId="0" applyFont="true"/>
    <xf numFmtId="0" fontId="408" fillId="0" borderId="0" xfId="0" applyFont="true"/>
    <xf numFmtId="0" fontId="409" fillId="0" borderId="0" xfId="0" applyFont="true"/>
    <xf numFmtId="0" fontId="410" fillId="0" borderId="0" xfId="0" applyFont="true"/>
    <xf numFmtId="0" fontId="411" fillId="0" borderId="0" xfId="0" applyFont="true"/>
    <xf numFmtId="0" fontId="412" fillId="0" borderId="0" xfId="0" applyFont="true"/>
    <xf numFmtId="0" fontId="413" fillId="0" borderId="0" xfId="0" applyFont="true"/>
    <xf numFmtId="0" fontId="414" fillId="0" borderId="0" xfId="0" applyFont="true"/>
    <xf numFmtId="0" fontId="415" fillId="0" borderId="0" xfId="0" applyFont="true"/>
    <xf numFmtId="0" fontId="416" fillId="0" borderId="0" xfId="0" applyFont="true"/>
    <xf numFmtId="0" fontId="417" fillId="0" borderId="0" xfId="0" applyFont="true"/>
    <xf numFmtId="0" fontId="418" fillId="0" borderId="0" xfId="0" applyFont="true"/>
    <xf numFmtId="0" fontId="419" fillId="0" borderId="0" xfId="0" applyFont="true"/>
    <xf numFmtId="0" fontId="420" fillId="0" borderId="0" xfId="0" applyFont="true"/>
    <xf numFmtId="0" fontId="421" fillId="0" borderId="0" xfId="0" applyFont="true"/>
    <xf numFmtId="0" fontId="422" fillId="0" borderId="0" xfId="0" applyFont="true"/>
    <xf numFmtId="0" fontId="423" fillId="0" borderId="0" xfId="0" applyFont="true"/>
    <xf numFmtId="0" fontId="424" fillId="0" borderId="0" xfId="0" applyFont="true"/>
    <xf numFmtId="0" fontId="425" fillId="0" borderId="0" xfId="0" applyFont="true"/>
    <xf numFmtId="0" fontId="426" fillId="0" borderId="0" xfId="0" applyFont="true"/>
    <xf numFmtId="0" fontId="427" fillId="0" borderId="0" xfId="0" applyFont="true"/>
    <xf numFmtId="0" fontId="428" fillId="0" borderId="0" xfId="0" applyFont="true"/>
    <xf numFmtId="0" fontId="429" fillId="0" borderId="0" xfId="0" applyFont="true"/>
    <xf numFmtId="0" fontId="430" fillId="0" borderId="0" xfId="0" applyFont="true"/>
    <xf numFmtId="0" fontId="431" fillId="0" borderId="0" xfId="0" applyFont="true"/>
    <xf numFmtId="0" fontId="432" fillId="0" borderId="0" xfId="0" applyFont="true"/>
    <xf numFmtId="0" fontId="433" fillId="0" borderId="0" xfId="0" applyFont="true"/>
    <xf numFmtId="0" fontId="434" fillId="0" borderId="0" xfId="0" applyFont="true"/>
    <xf numFmtId="0" fontId="435" fillId="0" borderId="0" xfId="0" applyFont="true"/>
    <xf numFmtId="0" fontId="436" fillId="0" borderId="0" xfId="0" applyFont="true"/>
    <xf numFmtId="0" fontId="437" fillId="0" borderId="0" xfId="0" applyFont="true"/>
    <xf numFmtId="0" fontId="438" fillId="0" borderId="0" xfId="0" applyFont="true"/>
    <xf numFmtId="0" fontId="439" fillId="0" borderId="0" xfId="0" applyFont="true"/>
    <xf numFmtId="0" fontId="440" fillId="0" borderId="0" xfId="0" applyFont="true"/>
    <xf numFmtId="0" fontId="441" fillId="0" borderId="0" xfId="0" applyFont="true"/>
    <xf numFmtId="0" fontId="442" fillId="0" borderId="0" xfId="0" applyFont="true"/>
    <xf numFmtId="0" fontId="443" fillId="0" borderId="0" xfId="0" applyFont="true"/>
    <xf numFmtId="0" fontId="444" fillId="0" borderId="0" xfId="0" applyFont="true"/>
    <xf numFmtId="0" fontId="445" fillId="0" borderId="0" xfId="0" applyFont="true"/>
    <xf numFmtId="0" fontId="446" fillId="0" borderId="0" xfId="0" applyFont="true"/>
    <xf numFmtId="0" fontId="447" fillId="0" borderId="0" xfId="0" applyFont="true"/>
    <xf numFmtId="0" fontId="448" fillId="0" borderId="0" xfId="0" applyFont="true"/>
    <xf numFmtId="0" fontId="449" fillId="0" borderId="0" xfId="0" applyFont="true"/>
    <xf numFmtId="0" fontId="450" fillId="0" borderId="0" xfId="0" applyFont="true"/>
    <xf numFmtId="0" fontId="451" fillId="0" borderId="0" xfId="0" applyFont="true"/>
    <xf numFmtId="0" fontId="452" fillId="0" borderId="0" xfId="0" applyFont="true"/>
    <xf numFmtId="0" fontId="453" fillId="0" borderId="0" xfId="0" applyFont="true"/>
    <xf numFmtId="0" fontId="454" fillId="0" borderId="0" xfId="0" applyFont="true"/>
    <xf numFmtId="0" fontId="455" fillId="0" borderId="0" xfId="0" applyFont="true"/>
    <xf numFmtId="0" fontId="456" fillId="0" borderId="0" xfId="0" applyFont="true"/>
    <xf numFmtId="0" fontId="457" fillId="0" borderId="0" xfId="0" applyFont="true"/>
    <xf numFmtId="0" fontId="458" fillId="0" borderId="0" xfId="0" applyFont="true"/>
    <xf numFmtId="0" fontId="459" fillId="0" borderId="0" xfId="0" applyFont="true"/>
    <xf numFmtId="0" fontId="460" fillId="0" borderId="0" xfId="0" applyFont="true"/>
    <xf numFmtId="0" fontId="461" fillId="0" borderId="0" xfId="0" applyFont="true"/>
    <xf numFmtId="0" fontId="462" fillId="0" borderId="0" xfId="0" applyFont="true"/>
    <xf numFmtId="0" fontId="463" fillId="0" borderId="0" xfId="0" applyFont="true"/>
    <xf numFmtId="0" fontId="464" fillId="0" borderId="0" xfId="0" applyFont="true"/>
    <xf numFmtId="0" fontId="465" fillId="0" borderId="0" xfId="0" applyFont="true"/>
    <xf numFmtId="0" fontId="466" fillId="0" borderId="0" xfId="0" applyFont="true"/>
    <xf numFmtId="0" fontId="467" fillId="0" borderId="0" xfId="0" applyFont="true"/>
    <xf numFmtId="0" fontId="468" fillId="0" borderId="0" xfId="0" applyFont="true"/>
    <xf numFmtId="0" fontId="469" fillId="0" borderId="0" xfId="0" applyFont="true"/>
    <xf numFmtId="0" fontId="470" fillId="0" borderId="0" xfId="0" applyFont="true"/>
    <xf numFmtId="0" fontId="471" fillId="0" borderId="0" xfId="0" applyFont="true"/>
    <xf numFmtId="0" fontId="472" fillId="0" borderId="0" xfId="0" applyFont="true"/>
    <xf numFmtId="0" fontId="473" fillId="0" borderId="0" xfId="0" applyFont="true"/>
    <xf numFmtId="0" fontId="474" fillId="0" borderId="0" xfId="0" applyFont="true"/>
    <xf numFmtId="0" fontId="475" fillId="0" borderId="0" xfId="0" applyFont="true"/>
    <xf numFmtId="0" fontId="476" fillId="0" borderId="0" xfId="0" applyFont="true"/>
    <xf numFmtId="0" fontId="477" fillId="0" borderId="0" xfId="0" applyFont="true"/>
    <xf numFmtId="0" fontId="478" fillId="0" borderId="0" xfId="0" applyFont="true"/>
    <xf numFmtId="0" fontId="479" fillId="0" borderId="0" xfId="0" applyFont="true"/>
    <xf numFmtId="0" fontId="480" fillId="0" borderId="0" xfId="0" applyFont="true"/>
    <xf numFmtId="0" fontId="481" fillId="0" borderId="0" xfId="0" applyFont="true"/>
    <xf numFmtId="0" fontId="482" fillId="0" borderId="0" xfId="0" applyFont="true"/>
    <xf numFmtId="0" fontId="483" fillId="0" borderId="0" xfId="0" applyFont="true"/>
    <xf numFmtId="0" fontId="484" fillId="0" borderId="0" xfId="0" applyFont="true"/>
    <xf numFmtId="0" fontId="485" fillId="0" borderId="0" xfId="0" applyFont="true"/>
    <xf numFmtId="0" fontId="486" fillId="0" borderId="0" xfId="0" applyFont="true"/>
    <xf numFmtId="0" fontId="487" fillId="0" borderId="0" xfId="0" applyFont="true"/>
    <xf numFmtId="0" fontId="488" fillId="0" borderId="0" xfId="0" applyFont="true"/>
    <xf numFmtId="0" fontId="489" fillId="0" borderId="0" xfId="0" applyFont="true"/>
    <xf numFmtId="0" fontId="490" fillId="0" borderId="0" xfId="0" applyFont="true"/>
    <xf numFmtId="0" fontId="491" fillId="0" borderId="0" xfId="0" applyFont="true"/>
    <xf numFmtId="0" fontId="492" fillId="0" borderId="0" xfId="0" applyFont="true"/>
    <xf numFmtId="0" fontId="493" fillId="0" borderId="0" xfId="0" applyFont="true"/>
    <xf numFmtId="0" fontId="494" fillId="0" borderId="0" xfId="0" applyFont="true"/>
    <xf numFmtId="0" fontId="495" fillId="0" borderId="0" xfId="0" applyFont="true"/>
    <xf numFmtId="0" fontId="496" fillId="0" borderId="0" xfId="0" applyFont="true"/>
    <xf numFmtId="0" fontId="497" fillId="0" borderId="0" xfId="0" applyFont="true"/>
    <xf numFmtId="0" fontId="498" fillId="0" borderId="0" xfId="0" applyFont="true"/>
    <xf numFmtId="0" fontId="499" fillId="0" borderId="0" xfId="0" applyFont="true"/>
    <xf numFmtId="0" fontId="500" fillId="0" borderId="0" xfId="0" applyFont="true"/>
    <xf numFmtId="0" fontId="501" fillId="0" borderId="0" xfId="0" applyFont="true"/>
    <xf numFmtId="0" fontId="502" fillId="0" borderId="0" xfId="0" applyFont="true"/>
    <xf numFmtId="0" fontId="503" fillId="0" borderId="0" xfId="0" applyFont="true"/>
    <xf numFmtId="0" fontId="504" fillId="0" borderId="0" xfId="0" applyFont="true"/>
    <xf numFmtId="0" fontId="505" fillId="0" borderId="0" xfId="0" applyFont="true"/>
    <xf numFmtId="0" fontId="506" fillId="0" borderId="0" xfId="0" applyFont="true"/>
    <xf numFmtId="0" fontId="507" fillId="0" borderId="0" xfId="0" applyFont="true"/>
    <xf numFmtId="0" fontId="508" fillId="0" borderId="0" xfId="0" applyFont="true"/>
    <xf numFmtId="0" fontId="509" fillId="0" borderId="0" xfId="0" applyFont="true"/>
    <xf numFmtId="0" fontId="510" fillId="0" borderId="0" xfId="0" applyFont="true"/>
    <xf numFmtId="0" fontId="511" fillId="0" borderId="0" xfId="0" applyFont="true"/>
    <xf numFmtId="0" fontId="512" fillId="0" borderId="0" xfId="0" applyFont="true"/>
    <xf numFmtId="0" fontId="513" fillId="0" borderId="0" xfId="0" applyFont="true"/>
    <xf numFmtId="0" fontId="514" fillId="0" borderId="0" xfId="0" applyFont="true"/>
    <xf numFmtId="0" fontId="515" fillId="0" borderId="0" xfId="0" applyFont="true"/>
    <xf numFmtId="0" fontId="516" fillId="0" borderId="0" xfId="0" applyFont="true"/>
    <xf numFmtId="0" fontId="517" fillId="0" borderId="0" xfId="0" applyFont="true"/>
    <xf numFmtId="0" fontId="518" fillId="0" borderId="0" xfId="0" applyFont="true"/>
    <xf numFmtId="0" fontId="519" fillId="0" borderId="0" xfId="0" applyFont="true"/>
    <xf numFmtId="0" fontId="520" fillId="0" borderId="0" xfId="0" applyFont="true"/>
    <xf numFmtId="0" fontId="521" fillId="0" borderId="0" xfId="0" applyFont="true"/>
    <xf numFmtId="0" fontId="522" fillId="0" borderId="0" xfId="0" applyFont="true"/>
    <xf numFmtId="0" fontId="523" fillId="0" borderId="0" xfId="0" applyFont="true"/>
    <xf numFmtId="0" fontId="524" fillId="0" borderId="0" xfId="0" applyFont="true"/>
    <xf numFmtId="0" fontId="525" fillId="0" borderId="0" xfId="0" applyFont="true"/>
    <xf numFmtId="0" fontId="526" fillId="0" borderId="0" xfId="0" applyFont="true"/>
    <xf numFmtId="0" fontId="527" fillId="0" borderId="0" xfId="0" applyFont="true"/>
    <xf numFmtId="0" fontId="528" fillId="0" borderId="0" xfId="0" applyFont="true"/>
    <xf numFmtId="0" fontId="529" fillId="0" borderId="0" xfId="0" applyFont="true"/>
    <xf numFmtId="0" fontId="530" fillId="0" borderId="0" xfId="0" applyFont="true"/>
    <xf numFmtId="0" fontId="531" fillId="0" borderId="0" xfId="0" applyFont="true"/>
    <xf numFmtId="0" fontId="532" fillId="0" borderId="0" xfId="0" applyFont="true"/>
    <xf numFmtId="0" fontId="533" fillId="0" borderId="0" xfId="0" applyFont="true"/>
    <xf numFmtId="0" fontId="534" fillId="0" borderId="0" xfId="0" applyFont="true"/>
    <xf numFmtId="0" fontId="535" fillId="0" borderId="0" xfId="0" applyFont="true"/>
    <xf numFmtId="0" fontId="536" fillId="0" borderId="0" xfId="0" applyFont="true"/>
    <xf numFmtId="0" fontId="537" fillId="0" borderId="0" xfId="0" applyFont="true"/>
    <xf numFmtId="0" fontId="538"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3A%2F%2Fdx.doi.org%2F10.1093%2Fbioinformatics%2Fbtag356" TargetMode="External" Type="http://schemas.openxmlformats.org/officeDocument/2006/relationships/hyperlink"/><Relationship Id="rId10" Target="https%3A%2F%2Fwww.webofscience.com%2Fwos%2Fwoscc%2Ffull-record%2FWOS%3A001605584200016" TargetMode="External" Type="http://schemas.openxmlformats.org/officeDocument/2006/relationships/hyperlink"/><Relationship Id="rId100" Target="https%3A%2F%2Fwww.webofscience.com%2Fwos%2Fwoscc%2Ffull-record%2FWOS%3A001022048000001" TargetMode="External" Type="http://schemas.openxmlformats.org/officeDocument/2006/relationships/hyperlink"/><Relationship Id="rId101" Target="http%3A%2F%2Fdx.doi.org%2F10.1038%2Fs41746-025-02232-7" TargetMode="External" Type="http://schemas.openxmlformats.org/officeDocument/2006/relationships/hyperlink"/><Relationship Id="rId102" Target="https%3A%2F%2Fwww.webofscience.com%2Fwos%2Fwoscc%2Ffull-record%2FWOS%3A001664829500001" TargetMode="External" Type="http://schemas.openxmlformats.org/officeDocument/2006/relationships/hyperlink"/><Relationship Id="rId103" Target="http%3A%2F%2Fdx.doi.org%2F10.1097%2FMS9.0000000000004249" TargetMode="External" Type="http://schemas.openxmlformats.org/officeDocument/2006/relationships/hyperlink"/><Relationship Id="rId104" Target="https%3A%2F%2Fwww.webofscience.com%2Fwos%2Fwoscc%2Ffull-record%2FWOS%3A001632809900007" TargetMode="External" Type="http://schemas.openxmlformats.org/officeDocument/2006/relationships/hyperlink"/><Relationship Id="rId105" Target="http%3A%2F%2Fdx.doi.org%2F10.1109%2FOJEMB.2024.3403948" TargetMode="External" Type="http://schemas.openxmlformats.org/officeDocument/2006/relationships/hyperlink"/><Relationship Id="rId106" Target="https%3A%2F%2Fwww.webofscience.com%2Fwos%2Fwoscc%2Ffull-record%2FWOS%3A001351909400003" TargetMode="External" Type="http://schemas.openxmlformats.org/officeDocument/2006/relationships/hyperlink"/><Relationship Id="rId107" Target="http%3A%2F%2Fdx.doi.org%2F10.1007%2Fs13735-025-00363-x" TargetMode="External" Type="http://schemas.openxmlformats.org/officeDocument/2006/relationships/hyperlink"/><Relationship Id="rId108" Target="https%3A%2F%2Fwww.webofscience.com%2Fwos%2Fwoscc%2Ffull-record%2FWOS%3A001467268200001" TargetMode="External" Type="http://schemas.openxmlformats.org/officeDocument/2006/relationships/hyperlink"/><Relationship Id="rId109" Target="http%3A%2F%2Fdx.doi.org%2F10.1016%2Fj.jbi.2024.104648" TargetMode="External" Type="http://schemas.openxmlformats.org/officeDocument/2006/relationships/hyperlink"/><Relationship Id="rId11" Target="http%3A%2F%2Fdx.doi.org%2F10.1007%2Fs10278-024-01066-1" TargetMode="External" Type="http://schemas.openxmlformats.org/officeDocument/2006/relationships/hyperlink"/><Relationship Id="rId110" Target="https%3A%2F%2Fwww.webofscience.com%2Fwos%2Fwoscc%2Ffull-record%2FWOS%3A001237786500001" TargetMode="External" Type="http://schemas.openxmlformats.org/officeDocument/2006/relationships/hyperlink"/><Relationship Id="rId111" Target="http%3A%2F%2Fdx.doi.org%2F10.1021%2Facs.jcim.5c00022" TargetMode="External" Type="http://schemas.openxmlformats.org/officeDocument/2006/relationships/hyperlink"/><Relationship Id="rId112" Target="https%3A%2F%2Fwww.webofscience.com%2Fwos%2Fwoscc%2Ffull-record%2FWOS%3A001454557200001" TargetMode="External" Type="http://schemas.openxmlformats.org/officeDocument/2006/relationships/hyperlink"/><Relationship Id="rId113" Target="http%3A%2F%2Fdx.doi.org%2F10.1038%2Fs41746-025-02003-4" TargetMode="External" Type="http://schemas.openxmlformats.org/officeDocument/2006/relationships/hyperlink"/><Relationship Id="rId114" Target="https%3A%2F%2Fwww.webofscience.com%2Fwos%2Fwoscc%2Ffull-record%2FWOS%3A001600458800003" TargetMode="External" Type="http://schemas.openxmlformats.org/officeDocument/2006/relationships/hyperlink"/><Relationship Id="rId115" Target="http%3A%2F%2Fdx.doi.org%2F10.1177%2F11769351261434523" TargetMode="External" Type="http://schemas.openxmlformats.org/officeDocument/2006/relationships/hyperlink"/><Relationship Id="rId116" Target="https%3A%2F%2Fwww.webofscience.com%2Fwos%2Fwoscc%2Ffull-record%2FWOS%3A001762752700001" TargetMode="External" Type="http://schemas.openxmlformats.org/officeDocument/2006/relationships/hyperlink"/><Relationship Id="rId117" Target="http%3A%2F%2Fdx.doi.org%2F10.20892%2Fj.issn.2095-3941.2025.0771" TargetMode="External" Type="http://schemas.openxmlformats.org/officeDocument/2006/relationships/hyperlink"/><Relationship Id="rId118" Target="https%3A%2F%2Fwww.webofscience.com%2Fwos%2Fwoscc%2Ffull-record%2FWOS%3A001739009200011" TargetMode="External" Type="http://schemas.openxmlformats.org/officeDocument/2006/relationships/hyperlink"/><Relationship Id="rId119" Target="http%3A%2F%2Fdx.doi.org%2F10.1016%2Fj.atech.2025.101279" TargetMode="External" Type="http://schemas.openxmlformats.org/officeDocument/2006/relationships/hyperlink"/><Relationship Id="rId12" Target="https%3A%2F%2Fwww.webofscience.com%2Fwos%2Fwoscc%2Ffull-record%2FWOS%3A001194042800001" TargetMode="External" Type="http://schemas.openxmlformats.org/officeDocument/2006/relationships/hyperlink"/><Relationship Id="rId120" Target="https%3A%2F%2Fwww.webofscience.com%2Fwos%2Fwoscc%2Ffull-record%2FWOS%3A001548023000001" TargetMode="External" Type="http://schemas.openxmlformats.org/officeDocument/2006/relationships/hyperlink"/><Relationship Id="rId121" Target="http%3A%2F%2Fdx.doi.org%2F10.1177%2F03611981221130026" TargetMode="External" Type="http://schemas.openxmlformats.org/officeDocument/2006/relationships/hyperlink"/><Relationship Id="rId122" Target="https%3A%2F%2Fwww.webofscience.com%2Fwos%2Fwoscc%2Ffull-record%2FWOS%3A000884987100001" TargetMode="External" Type="http://schemas.openxmlformats.org/officeDocument/2006/relationships/hyperlink"/><Relationship Id="rId123" Target="http%3A%2F%2Fdx.doi.org%2F10.3389%2Ffmed.2025.1583514" TargetMode="External" Type="http://schemas.openxmlformats.org/officeDocument/2006/relationships/hyperlink"/><Relationship Id="rId124" Target="https%3A%2F%2Fwww.webofscience.com%2Fwos%2Fwoscc%2Ffull-record%2FWOS%3A001503726400001" TargetMode="External" Type="http://schemas.openxmlformats.org/officeDocument/2006/relationships/hyperlink"/><Relationship Id="rId125" Target="http%3A%2F%2Fdx.doi.org%2F10.1088%2F2631-8695%2Fae1278" TargetMode="External" Type="http://schemas.openxmlformats.org/officeDocument/2006/relationships/hyperlink"/><Relationship Id="rId126" Target="https%3A%2F%2Fwww.webofscience.com%2Fwos%2Fwoscc%2Ffull-record%2FWOS%3A001599546600001" TargetMode="External" Type="http://schemas.openxmlformats.org/officeDocument/2006/relationships/hyperlink"/><Relationship Id="rId127" Target="http%3A%2F%2Fdx.doi.org%2F10.3991%2Fijoe.v20i02.43795" TargetMode="External" Type="http://schemas.openxmlformats.org/officeDocument/2006/relationships/hyperlink"/><Relationship Id="rId128" Target="https%3A%2F%2Fwww.webofscience.com%2Fwos%2Fwoscc%2Ffull-record%2FWOS%3A001162801400008" TargetMode="External" Type="http://schemas.openxmlformats.org/officeDocument/2006/relationships/hyperlink"/><Relationship Id="rId129" Target="http%3A%2F%2Fdx.doi.org%2F10.1186%2Fs13195-024-01668-5" TargetMode="External" Type="http://schemas.openxmlformats.org/officeDocument/2006/relationships/hyperlink"/><Relationship Id="rId13" Target="http%3A%2F%2Fdx.doi.org%2F10.3390%2Fdiagnostics15232967" TargetMode="External" Type="http://schemas.openxmlformats.org/officeDocument/2006/relationships/hyperlink"/><Relationship Id="rId130" Target="https%3A%2F%2Fwww.webofscience.com%2Fwos%2Fwoscc%2Ffull-record%2FWOS%3A001396032500002" TargetMode="External" Type="http://schemas.openxmlformats.org/officeDocument/2006/relationships/hyperlink"/><Relationship Id="rId131" Target="http%3A%2F%2Fdx.doi.org%2F10.1007%2Fs10462-024-10984-z" TargetMode="External" Type="http://schemas.openxmlformats.org/officeDocument/2006/relationships/hyperlink"/><Relationship Id="rId132" Target="https%3A%2F%2Fwww.webofscience.com%2Fwos%2Fwoscc%2Ffull-record%2FWOS%3A001336421600004" TargetMode="External" Type="http://schemas.openxmlformats.org/officeDocument/2006/relationships/hyperlink"/><Relationship Id="rId133" Target="http%3A%2F%2Fdx.doi.org%2F10.3389%2Ffmed.2026.1848064" TargetMode="External" Type="http://schemas.openxmlformats.org/officeDocument/2006/relationships/hyperlink"/><Relationship Id="rId134" Target="https%3A%2F%2Fwww.webofscience.com%2Fwos%2Fwoscc%2Ffull-record%2FWOS%3A001848556000001" TargetMode="External" Type="http://schemas.openxmlformats.org/officeDocument/2006/relationships/hyperlink"/><Relationship Id="rId135" Target="http%3A%2F%2Fdx.doi.org%2F10.3389%2Ffnhum.2026.1858163" TargetMode="External" Type="http://schemas.openxmlformats.org/officeDocument/2006/relationships/hyperlink"/><Relationship Id="rId136" Target="https%3A%2F%2Fwww.webofscience.com%2Fwos%2Fwoscc%2Ffull-record%2FWOS%3A001806353300001" TargetMode="External" Type="http://schemas.openxmlformats.org/officeDocument/2006/relationships/hyperlink"/><Relationship Id="rId137" Target="http%3A%2F%2Fdx.doi.org%2F10.1016%2Fj.buildenv.2026.115079" TargetMode="External" Type="http://schemas.openxmlformats.org/officeDocument/2006/relationships/hyperlink"/><Relationship Id="rId138" Target="https%3A%2F%2Fwww.webofscience.com%2Fwos%2Fwoscc%2Ffull-record%2FWOS%3A001846275100001" TargetMode="External" Type="http://schemas.openxmlformats.org/officeDocument/2006/relationships/hyperlink"/><Relationship Id="rId139" Target="http%3A%2F%2Fdx.doi.org%2F10.1038%2Fs41531-026-01344-5" TargetMode="External" Type="http://schemas.openxmlformats.org/officeDocument/2006/relationships/hyperlink"/><Relationship Id="rId14" Target="https%3A%2F%2Fwww.webofscience.com%2Fwos%2Fwoscc%2Ffull-record%2FWOS%3A001635561700001" TargetMode="External" Type="http://schemas.openxmlformats.org/officeDocument/2006/relationships/hyperlink"/><Relationship Id="rId140" Target="https%3A%2F%2Fwww.webofscience.com%2Fwos%2Fwoscc%2Ffull-record%2FWOS%3A001810967500001" TargetMode="External" Type="http://schemas.openxmlformats.org/officeDocument/2006/relationships/hyperlink"/><Relationship Id="rId141" Target="http%3A%2F%2Fdx.doi.org%2F10.1007%2Fs10822-026-00796-4" TargetMode="External" Type="http://schemas.openxmlformats.org/officeDocument/2006/relationships/hyperlink"/><Relationship Id="rId142" Target="https%3A%2F%2Fwww.webofscience.com%2Fwos%2Fwoscc%2Ffull-record%2FWOS%3A001723022900002" TargetMode="External" Type="http://schemas.openxmlformats.org/officeDocument/2006/relationships/hyperlink"/><Relationship Id="rId143" Target="http%3A%2F%2Fdx.doi.org%2F10.1002%2Fadvs.202502833" TargetMode="External" Type="http://schemas.openxmlformats.org/officeDocument/2006/relationships/hyperlink"/><Relationship Id="rId144" Target="https%3A%2F%2Fwww.webofscience.com%2Fwos%2Fwoscc%2Ffull-record%2FWOS%3A001498606600001" TargetMode="External" Type="http://schemas.openxmlformats.org/officeDocument/2006/relationships/hyperlink"/><Relationship Id="rId145" Target="http%3A%2F%2Fdx.doi.org%2F10.3389%2Ffvets.2025.1660745" TargetMode="External" Type="http://schemas.openxmlformats.org/officeDocument/2006/relationships/hyperlink"/><Relationship Id="rId146" Target="https%3A%2F%2Fwww.webofscience.com%2Fwos%2Fwoscc%2Ffull-record%2FWOS%3A001573875000001" TargetMode="External" Type="http://schemas.openxmlformats.org/officeDocument/2006/relationships/hyperlink"/><Relationship Id="rId147" Target="http%3A%2F%2Fdx.doi.org%2F10.1016%2Fj.dib.2025.111583" TargetMode="External" Type="http://schemas.openxmlformats.org/officeDocument/2006/relationships/hyperlink"/><Relationship Id="rId148" Target="https%3A%2F%2Fwww.webofscience.com%2Fwos%2Fwoscc%2Ffull-record%2FWOS%3A001488824700002" TargetMode="External" Type="http://schemas.openxmlformats.org/officeDocument/2006/relationships/hyperlink"/><Relationship Id="rId149" Target="http%3A%2F%2Fdx.doi.org%2F10.34133%2Fresearch.1136" TargetMode="External" Type="http://schemas.openxmlformats.org/officeDocument/2006/relationships/hyperlink"/><Relationship Id="rId15" Target="http%3A%2F%2Fdx.doi.org%2F10.1007%2Fs13755-025-00407-w" TargetMode="External" Type="http://schemas.openxmlformats.org/officeDocument/2006/relationships/hyperlink"/><Relationship Id="rId150" Target="https%3A%2F%2Fwww.webofscience.com%2Fwos%2Fwoscc%2Ffull-record%2FWOS%3A001727655000001" TargetMode="External" Type="http://schemas.openxmlformats.org/officeDocument/2006/relationships/hyperlink"/><Relationship Id="rId151" Target="http%3A%2F%2Fdx.doi.org%2F10.1038%2Fs41598-024-71020-2" TargetMode="External" Type="http://schemas.openxmlformats.org/officeDocument/2006/relationships/hyperlink"/><Relationship Id="rId152" Target="https%3A%2F%2Fwww.webofscience.com%2Fwos%2Fwoscc%2Ffull-record%2FWOS%3A001307989400002" TargetMode="External" Type="http://schemas.openxmlformats.org/officeDocument/2006/relationships/hyperlink"/><Relationship Id="rId153" Target="http%3A%2F%2Fdx.doi.org%2F10.1038%2Fs41598-026-47149-7" TargetMode="External" Type="http://schemas.openxmlformats.org/officeDocument/2006/relationships/hyperlink"/><Relationship Id="rId154" Target="https%3A%2F%2Fwww.webofscience.com%2Fwos%2Fwoscc%2Ffull-record%2FWOS%3A001773802800006" TargetMode="External" Type="http://schemas.openxmlformats.org/officeDocument/2006/relationships/hyperlink"/><Relationship Id="rId155" Target="http%3A%2F%2Fdx.doi.org%2F10.1016%2Fj.array.2026.100760" TargetMode="External" Type="http://schemas.openxmlformats.org/officeDocument/2006/relationships/hyperlink"/><Relationship Id="rId156" Target="https%3A%2F%2Fwww.webofscience.com%2Fwos%2Fwoscc%2Ffull-record%2FWOS%3A001727246000001" TargetMode="External" Type="http://schemas.openxmlformats.org/officeDocument/2006/relationships/hyperlink"/><Relationship Id="rId157" Target="http%3A%2F%2Fdx.doi.org%2F10.1167%2Ftvst.14.3.27" TargetMode="External" Type="http://schemas.openxmlformats.org/officeDocument/2006/relationships/hyperlink"/><Relationship Id="rId158" Target="https%3A%2F%2Fwww.webofscience.com%2Fwos%2Fwoscc%2Ffull-record%2FWOS%3A001464516600001" TargetMode="External" Type="http://schemas.openxmlformats.org/officeDocument/2006/relationships/hyperlink"/><Relationship Id="rId159" Target="http%3A%2F%2Fdx.doi.org%2F10.3389%2Ffrobt.2024.1407519" TargetMode="External" Type="http://schemas.openxmlformats.org/officeDocument/2006/relationships/hyperlink"/><Relationship Id="rId16" Target="https%3A%2F%2Fwww.webofscience.com%2Fwos%2Fwoscc%2Ffull-record%2FWOS%3A001632455900001" TargetMode="External" Type="http://schemas.openxmlformats.org/officeDocument/2006/relationships/hyperlink"/><Relationship Id="rId160" Target="https%3A%2F%2Fwww.webofscience.com%2Fwos%2Fwoscc%2Ffull-record%2FWOS%3A001330702300001" TargetMode="External" Type="http://schemas.openxmlformats.org/officeDocument/2006/relationships/hyperlink"/><Relationship Id="rId161" Target="http%3A%2F%2Fdx.doi.org%2F10.1016%2Fj.bspc.2026.109749" TargetMode="External" Type="http://schemas.openxmlformats.org/officeDocument/2006/relationships/hyperlink"/><Relationship Id="rId162" Target="https%3A%2F%2Fwww.webofscience.com%2Fwos%2Fwoscc%2Ffull-record%2FWOS%3A001691530900001" TargetMode="External" Type="http://schemas.openxmlformats.org/officeDocument/2006/relationships/hyperlink"/><Relationship Id="rId163" Target="http%3A%2F%2Fdx.doi.org%2F10.1007%2Fs00330-025-12315-4" TargetMode="External" Type="http://schemas.openxmlformats.org/officeDocument/2006/relationships/hyperlink"/><Relationship Id="rId164" Target="https%3A%2F%2Fwww.webofscience.com%2Fwos%2Fwoscc%2Ffull-record%2FWOS%3A001676407400001" TargetMode="External" Type="http://schemas.openxmlformats.org/officeDocument/2006/relationships/hyperlink"/><Relationship Id="rId165" Target="http%3A%2F%2Fdx.doi.org%2F10.1016%2Fj.artmed.2024.102871" TargetMode="External" Type="http://schemas.openxmlformats.org/officeDocument/2006/relationships/hyperlink"/><Relationship Id="rId166" Target="https%3A%2F%2Fwww.webofscience.com%2Fwos%2Fwoscc%2Ffull-record%2FWOS%3A001236646900001" TargetMode="External" Type="http://schemas.openxmlformats.org/officeDocument/2006/relationships/hyperlink"/><Relationship Id="rId167" Target="http%3A%2F%2Fdx.doi.org%2F10.1016%2Fj.ecoinf.2025.103531" TargetMode="External" Type="http://schemas.openxmlformats.org/officeDocument/2006/relationships/hyperlink"/><Relationship Id="rId168" Target="https%3A%2F%2Fwww.webofscience.com%2Fwos%2Fwoscc%2Ffull-record%2FWOS%3A001629479300001" TargetMode="External" Type="http://schemas.openxmlformats.org/officeDocument/2006/relationships/hyperlink"/><Relationship Id="rId169" Target="http%3A%2F%2Fdx.doi.org%2F10.1111%2Fexsy.70216" TargetMode="External" Type="http://schemas.openxmlformats.org/officeDocument/2006/relationships/hyperlink"/><Relationship Id="rId17" Target="http%3A%2F%2Fdx.doi.org%2F10.21037%2Fgs-2025-183" TargetMode="External" Type="http://schemas.openxmlformats.org/officeDocument/2006/relationships/hyperlink"/><Relationship Id="rId170" Target="https%3A%2F%2Fwww.webofscience.com%2Fwos%2Fwoscc%2Ffull-record%2FWOS%3A001719130200008" TargetMode="External" Type="http://schemas.openxmlformats.org/officeDocument/2006/relationships/hyperlink"/><Relationship Id="rId171" Target="http%3A%2F%2Fdx.doi.org%2F10.1177%2F20552076241257087" TargetMode="External" Type="http://schemas.openxmlformats.org/officeDocument/2006/relationships/hyperlink"/><Relationship Id="rId172" Target="https%3A%2F%2Fwww.webofscience.com%2Fwos%2Fwoscc%2Ffull-record%2FWOS%3A001229555900001" TargetMode="External" Type="http://schemas.openxmlformats.org/officeDocument/2006/relationships/hyperlink"/><Relationship Id="rId173" Target="http%3A%2F%2Fdx.doi.org%2F10.1016%2Fj.jaecs.2026.100523" TargetMode="External" Type="http://schemas.openxmlformats.org/officeDocument/2006/relationships/hyperlink"/><Relationship Id="rId174" Target="https%3A%2F%2Fwww.webofscience.com%2Fwos%2Fwoscc%2Ffull-record%2FWOS%3A001792363700001" TargetMode="External" Type="http://schemas.openxmlformats.org/officeDocument/2006/relationships/hyperlink"/><Relationship Id="rId175" Target="http%3A%2F%2Fdx.doi.org%2F10.1109%2FACCESS.2025.3564529" TargetMode="External" Type="http://schemas.openxmlformats.org/officeDocument/2006/relationships/hyperlink"/><Relationship Id="rId176" Target="https%3A%2F%2Fwww.webofscience.com%2Fwos%2Fwoscc%2Ffull-record%2FWOS%3A001481864700008" TargetMode="External" Type="http://schemas.openxmlformats.org/officeDocument/2006/relationships/hyperlink"/><Relationship Id="rId177" Target="http%3A%2F%2Fdx.doi.org%2F10.1016%2Fj.jbo.2025.100718" TargetMode="External" Type="http://schemas.openxmlformats.org/officeDocument/2006/relationships/hyperlink"/><Relationship Id="rId178" Target="https%3A%2F%2Fwww.webofscience.com%2Fwos%2Fwoscc%2Ffull-record%2FWOS%3A001606502700001" TargetMode="External" Type="http://schemas.openxmlformats.org/officeDocument/2006/relationships/hyperlink"/><Relationship Id="rId179" Target="http%3A%2F%2Fdx.doi.org%2F10.1007%2Fs10278-026-01915-1" TargetMode="External" Type="http://schemas.openxmlformats.org/officeDocument/2006/relationships/hyperlink"/><Relationship Id="rId18" Target="https%3A%2F%2Fwww.webofscience.com%2Fwos%2Fwoscc%2Ffull-record%2FWOS%3A001570982600014" TargetMode="External" Type="http://schemas.openxmlformats.org/officeDocument/2006/relationships/hyperlink"/><Relationship Id="rId180" Target="https%3A%2F%2Fwww.webofscience.com%2Fwos%2Fwoscc%2Ffull-record%2FWOS%3A001721003900001" TargetMode="External" Type="http://schemas.openxmlformats.org/officeDocument/2006/relationships/hyperlink"/><Relationship Id="rId181" Target="http%3A%2F%2Fdx.doi.org%2F10.1200%2FCCI-25-00141" TargetMode="External" Type="http://schemas.openxmlformats.org/officeDocument/2006/relationships/hyperlink"/><Relationship Id="rId182" Target="https%3A%2F%2Fwww.webofscience.com%2Fwos%2Fwoscc%2Ffull-record%2FWOS%3A001800356100001" TargetMode="External" Type="http://schemas.openxmlformats.org/officeDocument/2006/relationships/hyperlink"/><Relationship Id="rId183" Target="http%3A%2F%2Fdx.doi.org%2F10.1016%2Fj.jretconser.2025.104481" TargetMode="External" Type="http://schemas.openxmlformats.org/officeDocument/2006/relationships/hyperlink"/><Relationship Id="rId184" Target="https%3A%2F%2Fwww.webofscience.com%2Fwos%2Fwoscc%2Ffull-record%2FWOS%3A001563463300002" TargetMode="External" Type="http://schemas.openxmlformats.org/officeDocument/2006/relationships/hyperlink"/><Relationship Id="rId185" Target="http%3A%2F%2Fdx.doi.org%2F10.1177%2F13872877261465672" TargetMode="External" Type="http://schemas.openxmlformats.org/officeDocument/2006/relationships/hyperlink"/><Relationship Id="rId186" Target="https%3A%2F%2Fwww.webofscience.com%2Fwos%2Fwoscc%2Ffull-record%2FWOS%3A001837765700001" TargetMode="External" Type="http://schemas.openxmlformats.org/officeDocument/2006/relationships/hyperlink"/><Relationship Id="rId187" Target="http%3A%2F%2Fdx.doi.org%2F10.3390%2Ffoods15061095" TargetMode="External" Type="http://schemas.openxmlformats.org/officeDocument/2006/relationships/hyperlink"/><Relationship Id="rId188" Target="https%3A%2F%2Fwww.webofscience.com%2Fwos%2Fwoscc%2Ffull-record%2FWOS%3A001726132700001" TargetMode="External" Type="http://schemas.openxmlformats.org/officeDocument/2006/relationships/hyperlink"/><Relationship Id="rId189" Target="http%3A%2F%2Fdx.doi.org%2F10.1016%2Fj.cmpb.2024.108357" TargetMode="External" Type="http://schemas.openxmlformats.org/officeDocument/2006/relationships/hyperlink"/><Relationship Id="rId19" Target="http%3A%2F%2Fdx.doi.org%2F10.3389%2Ffonc.2026.1831252" TargetMode="External" Type="http://schemas.openxmlformats.org/officeDocument/2006/relationships/hyperlink"/><Relationship Id="rId190" Target="https%3A%2F%2Fwww.webofscience.com%2Fwos%2Fwoscc%2Ffull-record%2FWOS%3A001293805800001" TargetMode="External" Type="http://schemas.openxmlformats.org/officeDocument/2006/relationships/hyperlink"/><Relationship Id="rId191" Target="http%3A%2F%2Fdx.doi.org%2F10.1109%2FJBHI.2025.3530156" TargetMode="External" Type="http://schemas.openxmlformats.org/officeDocument/2006/relationships/hyperlink"/><Relationship Id="rId192" Target="https%3A%2F%2Fwww.webofscience.com%2Fwos%2Fwoscc%2Ffull-record%2FWOS%3A001504143000003" TargetMode="External" Type="http://schemas.openxmlformats.org/officeDocument/2006/relationships/hyperlink"/><Relationship Id="rId193" Target="http%3A%2F%2Fdx.doi.org%2F10.1109%2FACCESS.2025.3602914" TargetMode="External" Type="http://schemas.openxmlformats.org/officeDocument/2006/relationships/hyperlink"/><Relationship Id="rId194" Target="https%3A%2F%2Fwww.webofscience.com%2Fwos%2Fwoscc%2Ffull-record%2FWOS%3A001566975200029" TargetMode="External" Type="http://schemas.openxmlformats.org/officeDocument/2006/relationships/hyperlink"/><Relationship Id="rId195" Target="http%3A%2F%2Fdx.doi.org%2F10.1021%2Facsestwater.5c00925" TargetMode="External" Type="http://schemas.openxmlformats.org/officeDocument/2006/relationships/hyperlink"/><Relationship Id="rId196" Target="https%3A%2F%2Fwww.webofscience.com%2Fwos%2Fwoscc%2Ffull-record%2FWOS%3A001672332700001" TargetMode="External" Type="http://schemas.openxmlformats.org/officeDocument/2006/relationships/hyperlink"/><Relationship Id="rId197" Target="http%3A%2F%2Fdx.doi.org%2F10.1515%2Fsjpain-2026-0015" TargetMode="External" Type="http://schemas.openxmlformats.org/officeDocument/2006/relationships/hyperlink"/><Relationship Id="rId198" Target="https%3A%2F%2Fwww.webofscience.com%2Fwos%2Fwoscc%2Ffull-record%2FWOS%3A001829438500001" TargetMode="External" Type="http://schemas.openxmlformats.org/officeDocument/2006/relationships/hyperlink"/><Relationship Id="rId199" Target="http%3A%2F%2Fdx.doi.org%2F10.1186%2Fs12880-026-02222-5" TargetMode="External" Type="http://schemas.openxmlformats.org/officeDocument/2006/relationships/hyperlink"/><Relationship Id="rId2" Target="https%3A%2F%2Fwww.webofscience.com%2Fwos%2Fwoscc%2Ffull-record%2FWOS%3A001797266200001" TargetMode="External" Type="http://schemas.openxmlformats.org/officeDocument/2006/relationships/hyperlink"/><Relationship Id="rId20" Target="https%3A%2F%2Fwww.webofscience.com%2Fwos%2Fwoscc%2Ffull-record%2FWOS%3A001853076100001" TargetMode="External" Type="http://schemas.openxmlformats.org/officeDocument/2006/relationships/hyperlink"/><Relationship Id="rId200" Target="https%3A%2F%2Fwww.webofscience.com%2Fwos%2Fwoscc%2Ffull-record%2FWOS%3A001718247100003" TargetMode="External" Type="http://schemas.openxmlformats.org/officeDocument/2006/relationships/hyperlink"/><Relationship Id="rId201" Target="http%3A%2F%2Fdx.doi.org%2F10.34133%2Fresearch.0795" TargetMode="External" Type="http://schemas.openxmlformats.org/officeDocument/2006/relationships/hyperlink"/><Relationship Id="rId202" Target="https%3A%2F%2Fwww.webofscience.com%2Fwos%2Fwoscc%2Ffull-record%2FWOS%3A001543996600001" TargetMode="External" Type="http://schemas.openxmlformats.org/officeDocument/2006/relationships/hyperlink"/><Relationship Id="rId203" Target="https%3A%2F%2Fwww.webofscience.com%2Fwos%2Fwoscc%2Ffull-record%2FWOS%3A001799335200001" TargetMode="External" Type="http://schemas.openxmlformats.org/officeDocument/2006/relationships/hyperlink"/><Relationship Id="rId204" Target="http%3A%2F%2Fdx.doi.org%2F10.3389%2Ffmed.2026.1858126" TargetMode="External" Type="http://schemas.openxmlformats.org/officeDocument/2006/relationships/hyperlink"/><Relationship Id="rId205" Target="https%3A%2F%2Fwww.webofscience.com%2Fwos%2Fwoscc%2Ffull-record%2FWOS%3A001839250300001" TargetMode="External" Type="http://schemas.openxmlformats.org/officeDocument/2006/relationships/hyperlink"/><Relationship Id="rId206" Target="http%3A%2F%2Fdx.doi.org%2F10.1021%2Facs.est.6c05038" TargetMode="External" Type="http://schemas.openxmlformats.org/officeDocument/2006/relationships/hyperlink"/><Relationship Id="rId207" Target="https%3A%2F%2Fwww.webofscience.com%2Fwos%2Fwoscc%2Ffull-record%2FWOS%3A001842618600001" TargetMode="External" Type="http://schemas.openxmlformats.org/officeDocument/2006/relationships/hyperlink"/><Relationship Id="rId208" Target="http%3A%2F%2Fdx.doi.org%2F10.1055%2Fa-2780-0974" TargetMode="External" Type="http://schemas.openxmlformats.org/officeDocument/2006/relationships/hyperlink"/><Relationship Id="rId209" Target="https%3A%2F%2Fwww.webofscience.com%2Fwos%2Fwoscc%2Ffull-record%2FWOS%3A001705834000001" TargetMode="External" Type="http://schemas.openxmlformats.org/officeDocument/2006/relationships/hyperlink"/><Relationship Id="rId21" Target="http%3A%2F%2Fdx.doi.org%2F10.1007%2Fs00464-026-12803-8" TargetMode="External" Type="http://schemas.openxmlformats.org/officeDocument/2006/relationships/hyperlink"/><Relationship Id="rId210" Target="http%3A%2F%2Fdx.doi.org%2F10.3389%2Ffneur.2026.1787921" TargetMode="External" Type="http://schemas.openxmlformats.org/officeDocument/2006/relationships/hyperlink"/><Relationship Id="rId211" Target="https%3A%2F%2Fwww.webofscience.com%2Fwos%2Fwoscc%2Ffull-record%2FWOS%3A001728968300001" TargetMode="External" Type="http://schemas.openxmlformats.org/officeDocument/2006/relationships/hyperlink"/><Relationship Id="rId212" Target="http%3A%2F%2Fdx.doi.org%2F10.1021%2Facs.est.4c05022" TargetMode="External" Type="http://schemas.openxmlformats.org/officeDocument/2006/relationships/hyperlink"/><Relationship Id="rId213" Target="https%3A%2F%2Fwww.webofscience.com%2Fwos%2Fwoscc%2Ffull-record%2FWOS%3A001310112100001" TargetMode="External" Type="http://schemas.openxmlformats.org/officeDocument/2006/relationships/hyperlink"/><Relationship Id="rId214" Target="http%3A%2F%2Fdx.doi.org%2F10.1016%2Fj.bspc.2025.107663" TargetMode="External" Type="http://schemas.openxmlformats.org/officeDocument/2006/relationships/hyperlink"/><Relationship Id="rId215" Target="https%3A%2F%2Fwww.webofscience.com%2Fwos%2Fwoscc%2Ffull-record%2FWOS%3A001433619600001" TargetMode="External" Type="http://schemas.openxmlformats.org/officeDocument/2006/relationships/hyperlink"/><Relationship Id="rId216" Target="http%3A%2F%2Fdx.doi.org%2F10.3390%2Fapp12157477" TargetMode="External" Type="http://schemas.openxmlformats.org/officeDocument/2006/relationships/hyperlink"/><Relationship Id="rId217" Target="https%3A%2F%2Fwww.webofscience.com%2Fwos%2Fwoscc%2Ffull-record%2FWOS%3A000839156600001" TargetMode="External" Type="http://schemas.openxmlformats.org/officeDocument/2006/relationships/hyperlink"/><Relationship Id="rId218" Target="http%3A%2F%2Fdx.doi.org%2F10.1016%2Fj.jclepro.2025.145999" TargetMode="External" Type="http://schemas.openxmlformats.org/officeDocument/2006/relationships/hyperlink"/><Relationship Id="rId219" Target="https%3A%2F%2Fwww.webofscience.com%2Fwos%2Fwoscc%2Ffull-record%2FWOS%3A001537876400002" TargetMode="External" Type="http://schemas.openxmlformats.org/officeDocument/2006/relationships/hyperlink"/><Relationship Id="rId22" Target="https%3A%2F%2Fwww.webofscience.com%2Fwos%2Fwoscc%2Ffull-record%2FWOS%3A001744035100001" TargetMode="External" Type="http://schemas.openxmlformats.org/officeDocument/2006/relationships/hyperlink"/><Relationship Id="rId220" Target="http%3A%2F%2Fdx.doi.org%2F10.1080%2F07853890.2026.2688297" TargetMode="External" Type="http://schemas.openxmlformats.org/officeDocument/2006/relationships/hyperlink"/><Relationship Id="rId221" Target="https%3A%2F%2Fwww.webofscience.com%2Fwos%2Fwoscc%2Ffull-record%2FWOS%3A001812672200001" TargetMode="External" Type="http://schemas.openxmlformats.org/officeDocument/2006/relationships/hyperlink"/><Relationship Id="rId222" Target="http%3A%2F%2Fdx.doi.org%2F10.1007%2Fs43452-023-00738-z" TargetMode="External" Type="http://schemas.openxmlformats.org/officeDocument/2006/relationships/hyperlink"/><Relationship Id="rId223" Target="https%3A%2F%2Fwww.webofscience.com%2Fwos%2Fwoscc%2Ffull-record%2FWOS%3A001028776400002" TargetMode="External" Type="http://schemas.openxmlformats.org/officeDocument/2006/relationships/hyperlink"/><Relationship Id="rId224" Target="http%3A%2F%2Fdx.doi.org%2F10.1007%2Fs12553-025-01021-2" TargetMode="External" Type="http://schemas.openxmlformats.org/officeDocument/2006/relationships/hyperlink"/><Relationship Id="rId225" Target="https%3A%2F%2Fwww.webofscience.com%2Fwos%2Fwoscc%2Ffull-record%2FWOS%3A001585031600001" TargetMode="External" Type="http://schemas.openxmlformats.org/officeDocument/2006/relationships/hyperlink"/><Relationship Id="rId226" Target="http%3A%2F%2Fdx.doi.org%2F10.1016%2Fj.wear.2025.206484" TargetMode="External" Type="http://schemas.openxmlformats.org/officeDocument/2006/relationships/hyperlink"/><Relationship Id="rId227" Target="https%3A%2F%2Fwww.webofscience.com%2Fwos%2Fwoscc%2Ffull-record%2FWOS%3A001652653500001" TargetMode="External" Type="http://schemas.openxmlformats.org/officeDocument/2006/relationships/hyperlink"/><Relationship Id="rId228" Target="http%3A%2F%2Fdx.doi.org%2F10.1007%2Fs40964-025-01496-5" TargetMode="External" Type="http://schemas.openxmlformats.org/officeDocument/2006/relationships/hyperlink"/><Relationship Id="rId229" Target="https%3A%2F%2Fwww.webofscience.com%2Fwos%2Fwoscc%2Ffull-record%2FWOS%3A001658365000001" TargetMode="External" Type="http://schemas.openxmlformats.org/officeDocument/2006/relationships/hyperlink"/><Relationship Id="rId23" Target="http%3A%2F%2Fdx.doi.org%2F10.1016%2Fj.compag.2025.110031" TargetMode="External" Type="http://schemas.openxmlformats.org/officeDocument/2006/relationships/hyperlink"/><Relationship Id="rId230" Target="http%3A%2F%2Fdx.doi.org%2F10.1016%2Fj.jbiomech.2026.113346" TargetMode="External" Type="http://schemas.openxmlformats.org/officeDocument/2006/relationships/hyperlink"/><Relationship Id="rId231" Target="https%3A%2F%2Fwww.webofscience.com%2Fwos%2Fwoscc%2Ffull-record%2FWOS%3A001770158000001" TargetMode="External" Type="http://schemas.openxmlformats.org/officeDocument/2006/relationships/hyperlink"/><Relationship Id="rId232" Target="http%3A%2F%2Fdx.doi.org%2F10.59400%2Fadecp3902" TargetMode="External" Type="http://schemas.openxmlformats.org/officeDocument/2006/relationships/hyperlink"/><Relationship Id="rId233" Target="https%3A%2F%2Fwww.webofscience.com%2Fwos%2Fwoscc%2Ffull-record%2FWOS%3A001735341000002" TargetMode="External" Type="http://schemas.openxmlformats.org/officeDocument/2006/relationships/hyperlink"/><Relationship Id="rId234" Target="http%3A%2F%2Fdx.doi.org%2F10.3389%2Ffmed.2025.1601736" TargetMode="External" Type="http://schemas.openxmlformats.org/officeDocument/2006/relationships/hyperlink"/><Relationship Id="rId235" Target="https%3A%2F%2Fwww.webofscience.com%2Fwos%2Fwoscc%2Ffull-record%2FWOS%3A001534815400001" TargetMode="External" Type="http://schemas.openxmlformats.org/officeDocument/2006/relationships/hyperlink"/><Relationship Id="rId236" Target="http%3A%2F%2Fdx.doi.org%2F10.1186%2Fs12967-026-08108-y" TargetMode="External" Type="http://schemas.openxmlformats.org/officeDocument/2006/relationships/hyperlink"/><Relationship Id="rId237" Target="https%3A%2F%2Fwww.webofscience.com%2Fwos%2Fwoscc%2Ffull-record%2FWOS%3A001778653700002" TargetMode="External" Type="http://schemas.openxmlformats.org/officeDocument/2006/relationships/hyperlink"/><Relationship Id="rId238" Target="http%3A%2F%2Fdx.doi.org%2F10.1038%2Fs41598-026-47972-y" TargetMode="External" Type="http://schemas.openxmlformats.org/officeDocument/2006/relationships/hyperlink"/><Relationship Id="rId239" Target="https%3A%2F%2Fwww.webofscience.com%2Fwos%2Fwoscc%2Ffull-record%2FWOS%3A001790453800016" TargetMode="External" Type="http://schemas.openxmlformats.org/officeDocument/2006/relationships/hyperlink"/><Relationship Id="rId24" Target="https%3A%2F%2Fwww.webofscience.com%2Fwos%2Fwoscc%2Ffull-record%2FWOS%3A001420443400001" TargetMode="External" Type="http://schemas.openxmlformats.org/officeDocument/2006/relationships/hyperlink"/><Relationship Id="rId240" Target="http%3A%2F%2Fdx.doi.org%2F10.1088%2F1361-6560%2Fac4c47" TargetMode="External" Type="http://schemas.openxmlformats.org/officeDocument/2006/relationships/hyperlink"/><Relationship Id="rId241" Target="https%3A%2F%2Fwww.webofscience.com%2Fwos%2Fwoscc%2Ffull-record%2FWOS%3A000749282700001" TargetMode="External" Type="http://schemas.openxmlformats.org/officeDocument/2006/relationships/hyperlink"/><Relationship Id="rId242" Target="http%3A%2F%2Fdx.doi.org%2F10.3389%2Ffpsyt.2025.1694762" TargetMode="External" Type="http://schemas.openxmlformats.org/officeDocument/2006/relationships/hyperlink"/><Relationship Id="rId243" Target="https%3A%2F%2Fwww.webofscience.com%2Fwos%2Fwoscc%2Ffull-record%2FWOS%3A001635218400001" TargetMode="External" Type="http://schemas.openxmlformats.org/officeDocument/2006/relationships/hyperlink"/><Relationship Id="rId244" Target="http%3A%2F%2Fdx.doi.org%2F10.4018%2FJOEUC.389080" TargetMode="External" Type="http://schemas.openxmlformats.org/officeDocument/2006/relationships/hyperlink"/><Relationship Id="rId245" Target="https%3A%2F%2Fwww.webofscience.com%2Fwos%2Fwoscc%2Ffull-record%2FWOS%3A001585853900007" TargetMode="External" Type="http://schemas.openxmlformats.org/officeDocument/2006/relationships/hyperlink"/><Relationship Id="rId246" Target="http%3A%2F%2Fdx.doi.org%2F10.1016%2Fj.bios.2025.117251" TargetMode="External" Type="http://schemas.openxmlformats.org/officeDocument/2006/relationships/hyperlink"/><Relationship Id="rId247" Target="https%3A%2F%2Fwww.webofscience.com%2Fwos%2Fwoscc%2Ffull-record%2FWOS%3A001436629300001" TargetMode="External" Type="http://schemas.openxmlformats.org/officeDocument/2006/relationships/hyperlink"/><Relationship Id="rId248" Target="http%3A%2F%2Fdx.doi.org%2F10.2196%2F79985" TargetMode="External" Type="http://schemas.openxmlformats.org/officeDocument/2006/relationships/hyperlink"/><Relationship Id="rId249" Target="https%3A%2F%2Fwww.webofscience.com%2Fwos%2Fwoscc%2Ffull-record%2FWOS%3A001759354500001" TargetMode="External" Type="http://schemas.openxmlformats.org/officeDocument/2006/relationships/hyperlink"/><Relationship Id="rId25" Target="http%3A%2F%2Fdx.doi.org%2F10.1016%2Fj.acra.2024.12.074" TargetMode="External" Type="http://schemas.openxmlformats.org/officeDocument/2006/relationships/hyperlink"/><Relationship Id="rId250" Target="http%3A%2F%2Fdx.doi.org%2F10.1093%2Fjncics%2Fpkag039" TargetMode="External" Type="http://schemas.openxmlformats.org/officeDocument/2006/relationships/hyperlink"/><Relationship Id="rId251" Target="https%3A%2F%2Fwww.webofscience.com%2Fwos%2Fwoscc%2Ffull-record%2FWOS%3A001772634000001" TargetMode="External" Type="http://schemas.openxmlformats.org/officeDocument/2006/relationships/hyperlink"/><Relationship Id="rId252" Target="http%3A%2F%2Fdx.doi.org%2F10.1038%2Fs41598-025-23500-2" TargetMode="External" Type="http://schemas.openxmlformats.org/officeDocument/2006/relationships/hyperlink"/><Relationship Id="rId253" Target="https%3A%2F%2Fwww.webofscience.com%2Fwos%2Fwoscc%2Ffull-record%2FWOS%3A001615622600006" TargetMode="External" Type="http://schemas.openxmlformats.org/officeDocument/2006/relationships/hyperlink"/><Relationship Id="rId254" Target="http%3A%2F%2Fdx.doi.org%2F10.1016%2Fj.jclepro.2026.149219" TargetMode="External" Type="http://schemas.openxmlformats.org/officeDocument/2006/relationships/hyperlink"/><Relationship Id="rId255" Target="https%3A%2F%2Fwww.webofscience.com%2Fwos%2Fwoscc%2Ffull-record%2FWOS%3A001851854400001" TargetMode="External" Type="http://schemas.openxmlformats.org/officeDocument/2006/relationships/hyperlink"/><Relationship Id="rId256" Target="http%3A%2F%2Fdx.doi.org%2F10.1016%2Fj.acra.2025.02.043" TargetMode="External" Type="http://schemas.openxmlformats.org/officeDocument/2006/relationships/hyperlink"/><Relationship Id="rId257" Target="https%3A%2F%2Fwww.webofscience.com%2Fwos%2Fwoscc%2Ffull-record%2FWOS%3A001536423400013" TargetMode="External" Type="http://schemas.openxmlformats.org/officeDocument/2006/relationships/hyperlink"/><Relationship Id="rId258" Target="http%3A%2F%2Fdx.doi.org%2F10.1016%2Fj.eswa.2026.131440" TargetMode="External" Type="http://schemas.openxmlformats.org/officeDocument/2006/relationships/hyperlink"/><Relationship Id="rId259" Target="https%3A%2F%2Fwww.webofscience.com%2Fwos%2Fwoscc%2Ffull-record%2FWOS%3A001689609400001" TargetMode="External" Type="http://schemas.openxmlformats.org/officeDocument/2006/relationships/hyperlink"/><Relationship Id="rId26" Target="https%3A%2F%2Fwww.webofscience.com%2Fwos%2Fwoscc%2Ffull-record%2FWOS%3A001505161600022" TargetMode="External" Type="http://schemas.openxmlformats.org/officeDocument/2006/relationships/hyperlink"/><Relationship Id="rId260" Target="http%3A%2F%2Fdx.doi.org%2F10.1016%2Fj.bspc.2026.110977" TargetMode="External" Type="http://schemas.openxmlformats.org/officeDocument/2006/relationships/hyperlink"/><Relationship Id="rId261" Target="https%3A%2F%2Fwww.webofscience.com%2Fwos%2Fwoscc%2Ffull-record%2FWOS%3A001819971700001" TargetMode="External" Type="http://schemas.openxmlformats.org/officeDocument/2006/relationships/hyperlink"/><Relationship Id="rId262" Target="http%3A%2F%2Fdx.doi.org%2F10.1093%2Fmnras%2Fstac3259" TargetMode="External" Type="http://schemas.openxmlformats.org/officeDocument/2006/relationships/hyperlink"/><Relationship Id="rId263" Target="https%3A%2F%2Fwww.webofscience.com%2Fwos%2Fwoscc%2Ffull-record%2FWOS%3A000922725900014" TargetMode="External" Type="http://schemas.openxmlformats.org/officeDocument/2006/relationships/hyperlink"/><Relationship Id="rId264" Target="http%3A%2F%2Fdx.doi.org%2F10.3390%2Fapp14093883" TargetMode="External" Type="http://schemas.openxmlformats.org/officeDocument/2006/relationships/hyperlink"/><Relationship Id="rId265" Target="https%3A%2F%2Fwww.webofscience.com%2Fwos%2Fwoscc%2Ffull-record%2FWOS%3A001219998000001" TargetMode="External" Type="http://schemas.openxmlformats.org/officeDocument/2006/relationships/hyperlink"/><Relationship Id="rId266" Target="http%3A%2F%2Fdx.doi.org%2F10.1016%2Fj.jbi.2023.104415" TargetMode="External" Type="http://schemas.openxmlformats.org/officeDocument/2006/relationships/hyperlink"/><Relationship Id="rId267" Target="https%3A%2F%2Fwww.webofscience.com%2Fwos%2Fwoscc%2Ffull-record%2FWOS%3A001036089700001" TargetMode="External" Type="http://schemas.openxmlformats.org/officeDocument/2006/relationships/hyperlink"/><Relationship Id="rId268" Target="http%3A%2F%2Fdx.doi.org%2F10.3390%2Fhorticulturae12010008" TargetMode="External" Type="http://schemas.openxmlformats.org/officeDocument/2006/relationships/hyperlink"/><Relationship Id="rId269" Target="https%3A%2F%2Fwww.webofscience.com%2Fwos%2Fwoscc%2Ffull-record%2FWOS%3A001670553200001" TargetMode="External" Type="http://schemas.openxmlformats.org/officeDocument/2006/relationships/hyperlink"/><Relationship Id="rId27" Target="http%3A%2F%2Fdx.doi.org%2F10.1016%2Fj.ijmedinf.2024.105341" TargetMode="External" Type="http://schemas.openxmlformats.org/officeDocument/2006/relationships/hyperlink"/><Relationship Id="rId270" Target="http%3A%2F%2Fdx.doi.org%2F10.1016%2Fj.ejrad.2025.112468" TargetMode="External" Type="http://schemas.openxmlformats.org/officeDocument/2006/relationships/hyperlink"/><Relationship Id="rId271" Target="https%3A%2F%2Fwww.webofscience.com%2Fwos%2Fwoscc%2Ffull-record%2FWOS%3A001599147400001" TargetMode="External" Type="http://schemas.openxmlformats.org/officeDocument/2006/relationships/hyperlink"/><Relationship Id="rId272" Target="http%3A%2F%2Fdx.doi.org%2F10.1142%2FS1793431125400019" TargetMode="External" Type="http://schemas.openxmlformats.org/officeDocument/2006/relationships/hyperlink"/><Relationship Id="rId273" Target="https%3A%2F%2Fwww.webofscience.com%2Fwos%2Fwoscc%2Ffull-record%2FWOS%3A001704505100001" TargetMode="External" Type="http://schemas.openxmlformats.org/officeDocument/2006/relationships/hyperlink"/><Relationship Id="rId274" Target="http%3A%2F%2Fdx.doi.org%2F10.1016%2Fj.ejso.2022.08.036" TargetMode="External" Type="http://schemas.openxmlformats.org/officeDocument/2006/relationships/hyperlink"/><Relationship Id="rId275" Target="https%3A%2F%2Fwww.webofscience.com%2Fwos%2Fwoscc%2Ffull-record%2FWOS%3A000923363400001" TargetMode="External" Type="http://schemas.openxmlformats.org/officeDocument/2006/relationships/hyperlink"/><Relationship Id="rId276" Target="http%3A%2F%2Fdx.doi.org%2F10.1136%2Fbjo-2025-327506" TargetMode="External" Type="http://schemas.openxmlformats.org/officeDocument/2006/relationships/hyperlink"/><Relationship Id="rId277" Target="https%3A%2F%2Fwww.webofscience.com%2Fwos%2Fwoscc%2Ffull-record%2FWOS%3A001611110900001" TargetMode="External" Type="http://schemas.openxmlformats.org/officeDocument/2006/relationships/hyperlink"/><Relationship Id="rId278" Target="http%3A%2F%2Fdx.doi.org%2F10.1016%2Fj.oceaneng.2025.121766" TargetMode="External" Type="http://schemas.openxmlformats.org/officeDocument/2006/relationships/hyperlink"/><Relationship Id="rId279" Target="https%3A%2F%2Fwww.webofscience.com%2Fwos%2Fwoscc%2Ffull-record%2FWOS%3A001517303500009" TargetMode="External" Type="http://schemas.openxmlformats.org/officeDocument/2006/relationships/hyperlink"/><Relationship Id="rId28" Target="https%3A%2F%2Fwww.webofscience.com%2Fwos%2Fwoscc%2Ffull-record%2FWOS%3A001178538400001" TargetMode="External" Type="http://schemas.openxmlformats.org/officeDocument/2006/relationships/hyperlink"/><Relationship Id="rId280" Target="http%3A%2F%2Fdx.doi.org%2F10.3389%2Ffpubh.2022.982289" TargetMode="External" Type="http://schemas.openxmlformats.org/officeDocument/2006/relationships/hyperlink"/><Relationship Id="rId281" Target="https%3A%2F%2Fwww.webofscience.com%2Fwos%2Fwoscc%2Ffull-record%2FWOS%3A000893969800001" TargetMode="External" Type="http://schemas.openxmlformats.org/officeDocument/2006/relationships/hyperlink"/><Relationship Id="rId282" Target="http%3A%2F%2Fdx.doi.org%2F10.1016%2Fj.chemolab.2026.105782" TargetMode="External" Type="http://schemas.openxmlformats.org/officeDocument/2006/relationships/hyperlink"/><Relationship Id="rId283" Target="https%3A%2F%2Fwww.webofscience.com%2Fwos%2Fwoscc%2Ffull-record%2FWOS%3A001796445000001" TargetMode="External" Type="http://schemas.openxmlformats.org/officeDocument/2006/relationships/hyperlink"/><Relationship Id="rId284" Target="http%3A%2F%2Fdx.doi.org%2F10.1186%2Fs12859-023-05146-x" TargetMode="External" Type="http://schemas.openxmlformats.org/officeDocument/2006/relationships/hyperlink"/><Relationship Id="rId285" Target="https%3A%2F%2Fwww.webofscience.com%2Fwos%2Fwoscc%2Ffull-record%2FWOS%3A000935720600001" TargetMode="External" Type="http://schemas.openxmlformats.org/officeDocument/2006/relationships/hyperlink"/><Relationship Id="rId286" Target="http%3A%2F%2Fdx.doi.org%2F10.1186%2Fs13244-024-01784-8" TargetMode="External" Type="http://schemas.openxmlformats.org/officeDocument/2006/relationships/hyperlink"/><Relationship Id="rId287" Target="https%3A%2F%2Fwww.webofscience.com%2Fwos%2Fwoscc%2Ffull-record%2FWOS%3A001298806400001" TargetMode="External" Type="http://schemas.openxmlformats.org/officeDocument/2006/relationships/hyperlink"/><Relationship Id="rId288" Target="http%3A%2F%2Fdx.doi.org%2F10.1007%2Fs00261-025-05045-0" TargetMode="External" Type="http://schemas.openxmlformats.org/officeDocument/2006/relationships/hyperlink"/><Relationship Id="rId289" Target="https%3A%2F%2Fwww.webofscience.com%2Fwos%2Fwoscc%2Ffull-record%2FWOS%3A001518892800001" TargetMode="External" Type="http://schemas.openxmlformats.org/officeDocument/2006/relationships/hyperlink"/><Relationship Id="rId29" Target="http%3A%2F%2Fdx.doi.org%2F10.1002%2FVIW.20250131" TargetMode="External" Type="http://schemas.openxmlformats.org/officeDocument/2006/relationships/hyperlink"/><Relationship Id="rId290" Target="http%3A%2F%2Fdx.doi.org%2F10.1109%2FJTEHM.2025.3588427" TargetMode="External" Type="http://schemas.openxmlformats.org/officeDocument/2006/relationships/hyperlink"/><Relationship Id="rId291" Target="https%3A%2F%2Fwww.webofscience.com%2Fwos%2Fwoscc%2Ffull-record%2FWOS%3A001718370200001" TargetMode="External" Type="http://schemas.openxmlformats.org/officeDocument/2006/relationships/hyperlink"/><Relationship Id="rId292" Target="http%3A%2F%2Fdx.doi.org%2F10.1016%2Fj.ijrmms.2025.106225" TargetMode="External" Type="http://schemas.openxmlformats.org/officeDocument/2006/relationships/hyperlink"/><Relationship Id="rId293" Target="https%3A%2F%2Fwww.webofscience.com%2Fwos%2Fwoscc%2Ffull-record%2FWOS%3A001545545500002" TargetMode="External" Type="http://schemas.openxmlformats.org/officeDocument/2006/relationships/hyperlink"/><Relationship Id="rId294" Target="http%3A%2F%2Fdx.doi.org%2F10.3389%2Ffimmu.2026.1602846" TargetMode="External" Type="http://schemas.openxmlformats.org/officeDocument/2006/relationships/hyperlink"/><Relationship Id="rId295" Target="https%3A%2F%2Fwww.webofscience.com%2Fwos%2Fwoscc%2Ffull-record%2FWOS%3A001697538000001" TargetMode="External" Type="http://schemas.openxmlformats.org/officeDocument/2006/relationships/hyperlink"/><Relationship Id="rId296" Target="http%3A%2F%2Fdx.doi.org%2F10.3389%2Ffphys.2025.1558997" TargetMode="External" Type="http://schemas.openxmlformats.org/officeDocument/2006/relationships/hyperlink"/><Relationship Id="rId297" Target="https%3A%2F%2Fwww.webofscience.com%2Fwos%2Fwoscc%2Ffull-record%2FWOS%3A001449371000001" TargetMode="External" Type="http://schemas.openxmlformats.org/officeDocument/2006/relationships/hyperlink"/><Relationship Id="rId298" Target="https%3A%2F%2Fwww.webofscience.com%2Fwos%2Fwoscc%2Ffull-record%2FWOS%3A001477509500009" TargetMode="External" Type="http://schemas.openxmlformats.org/officeDocument/2006/relationships/hyperlink"/><Relationship Id="rId299" Target="http%3A%2F%2Fdx.doi.org%2F10.1097%2FIJG.0000000000002267" TargetMode="External" Type="http://schemas.openxmlformats.org/officeDocument/2006/relationships/hyperlink"/><Relationship Id="rId3" Target="http%3A%2F%2Fdx.doi.org%2F10.1038%2Fs41598-025-94612-y" TargetMode="External" Type="http://schemas.openxmlformats.org/officeDocument/2006/relationships/hyperlink"/><Relationship Id="rId30" Target="https%3A%2F%2Fwww.webofscience.com%2Fwos%2Fwoscc%2Ffull-record%2FWOS%3A001679190400001" TargetMode="External" Type="http://schemas.openxmlformats.org/officeDocument/2006/relationships/hyperlink"/><Relationship Id="rId300" Target="https%3A%2F%2Fwww.webofscience.com%2Fwos%2Fwoscc%2Ffull-record%2FWOS%3A001077170100010" TargetMode="External" Type="http://schemas.openxmlformats.org/officeDocument/2006/relationships/hyperlink"/><Relationship Id="rId301" Target="http%3A%2F%2Fdx.doi.org%2F10.1186%2Fs12911-026-03518-w" TargetMode="External" Type="http://schemas.openxmlformats.org/officeDocument/2006/relationships/hyperlink"/><Relationship Id="rId302" Target="https%3A%2F%2Fwww.webofscience.com%2Fwos%2Fwoscc%2Ffull-record%2FWOS%3A001787068500002" TargetMode="External" Type="http://schemas.openxmlformats.org/officeDocument/2006/relationships/hyperlink"/><Relationship Id="rId303" Target="http%3A%2F%2Fdx.doi.org%2F10.1016%2Fj.jot.2026.101062" TargetMode="External" Type="http://schemas.openxmlformats.org/officeDocument/2006/relationships/hyperlink"/><Relationship Id="rId304" Target="https%3A%2F%2Fwww.webofscience.com%2Fwos%2Fwoscc%2Ffull-record%2FWOS%3A001705855800001" TargetMode="External" Type="http://schemas.openxmlformats.org/officeDocument/2006/relationships/hyperlink"/><Relationship Id="rId305" Target="http%3A%2F%2Fdx.doi.org%2F10.3390%2Fbiomedinformatics3030034" TargetMode="External" Type="http://schemas.openxmlformats.org/officeDocument/2006/relationships/hyperlink"/><Relationship Id="rId306" Target="https%3A%2F%2Fwww.webofscience.com%2Fwos%2Fwoscc%2Ffull-record%2FWOS%3A001644279800001" TargetMode="External" Type="http://schemas.openxmlformats.org/officeDocument/2006/relationships/hyperlink"/><Relationship Id="rId307" Target="http%3A%2F%2Fdx.doi.org%2F10.21037%2Fjtd-2025-1010" TargetMode="External" Type="http://schemas.openxmlformats.org/officeDocument/2006/relationships/hyperlink"/><Relationship Id="rId308" Target="https%3A%2F%2Fwww.webofscience.com%2Fwos%2Fwoscc%2Ffull-record%2FWOS%3A001626418800033" TargetMode="External" Type="http://schemas.openxmlformats.org/officeDocument/2006/relationships/hyperlink"/><Relationship Id="rId309" Target="http%3A%2F%2Fdx.doi.org%2F10.1001%2Fjamanetworkopen.2024.22454" TargetMode="External" Type="http://schemas.openxmlformats.org/officeDocument/2006/relationships/hyperlink"/><Relationship Id="rId31" Target="http%3A%2F%2Fdx.doi.org%2F10.2147%2FJHC.S613014" TargetMode="External" Type="http://schemas.openxmlformats.org/officeDocument/2006/relationships/hyperlink"/><Relationship Id="rId310" Target="https%3A%2F%2Fwww.webofscience.com%2Fwos%2Fwoscc%2Ffull-record%2FWOS%3A001272857200003" TargetMode="External" Type="http://schemas.openxmlformats.org/officeDocument/2006/relationships/hyperlink"/><Relationship Id="rId311" Target="http%3A%2F%2Fdx.doi.org%2F10.1001%2Fjamanetworkopen.2024.37711" TargetMode="External" Type="http://schemas.openxmlformats.org/officeDocument/2006/relationships/hyperlink"/><Relationship Id="rId312" Target="https%3A%2F%2Fwww.webofscience.com%2Fwos%2Fwoscc%2Ffull-record%2FWOS%3A001342041200010" TargetMode="External" Type="http://schemas.openxmlformats.org/officeDocument/2006/relationships/hyperlink"/><Relationship Id="rId313" Target="http%3A%2F%2Fdx.doi.org%2F10.3390%2Fdiagnostics16050734" TargetMode="External" Type="http://schemas.openxmlformats.org/officeDocument/2006/relationships/hyperlink"/><Relationship Id="rId314" Target="https%3A%2F%2Fwww.webofscience.com%2Fwos%2Fwoscc%2Ffull-record%2FWOS%3A001713909700001" TargetMode="External" Type="http://schemas.openxmlformats.org/officeDocument/2006/relationships/hyperlink"/><Relationship Id="rId315" Target="http%3A%2F%2Fdx.doi.org%2F10.2196%2F91048" TargetMode="External" Type="http://schemas.openxmlformats.org/officeDocument/2006/relationships/hyperlink"/><Relationship Id="rId316" Target="https%3A%2F%2Fwww.webofscience.com%2Fwos%2Fwoscc%2Ffull-record%2FWOS%3A001848297900002" TargetMode="External" Type="http://schemas.openxmlformats.org/officeDocument/2006/relationships/hyperlink"/><Relationship Id="rId317" Target="http%3A%2F%2Fdx.doi.org%2F10.3390%2Fdiagnostics15080995" TargetMode="External" Type="http://schemas.openxmlformats.org/officeDocument/2006/relationships/hyperlink"/><Relationship Id="rId318" Target="https%3A%2F%2Fwww.webofscience.com%2Fwos%2Fwoscc%2Ffull-record%2FWOS%3A001475098100001" TargetMode="External" Type="http://schemas.openxmlformats.org/officeDocument/2006/relationships/hyperlink"/><Relationship Id="rId319" Target="http%3A%2F%2Fdx.doi.org%2F10.1186%2Fs12911-024-02772-0" TargetMode="External" Type="http://schemas.openxmlformats.org/officeDocument/2006/relationships/hyperlink"/><Relationship Id="rId32" Target="https%3A%2F%2Fwww.webofscience.com%2Fwos%2Fwoscc%2Ffull-record%2FWOS%3A001804370000001" TargetMode="External" Type="http://schemas.openxmlformats.org/officeDocument/2006/relationships/hyperlink"/><Relationship Id="rId320" Target="https%3A%2F%2Fwww.webofscience.com%2Fwos%2Fwoscc%2Ffull-record%2FWOS%3A001361222400001" TargetMode="External" Type="http://schemas.openxmlformats.org/officeDocument/2006/relationships/hyperlink"/><Relationship Id="rId321" Target="http%3A%2F%2Fdx.doi.org%2F10.1007%2Fs10278-025-01788-w" TargetMode="External" Type="http://schemas.openxmlformats.org/officeDocument/2006/relationships/hyperlink"/><Relationship Id="rId322" Target="https%3A%2F%2Fwww.webofscience.com%2Fwos%2Fwoscc%2Ffull-record%2FWOS%3A001640854800001" TargetMode="External" Type="http://schemas.openxmlformats.org/officeDocument/2006/relationships/hyperlink"/><Relationship Id="rId323" Target="http%3A%2F%2Fdx.doi.org%2F10.1038%2Fs41746-025-02144-6" TargetMode="External" Type="http://schemas.openxmlformats.org/officeDocument/2006/relationships/hyperlink"/><Relationship Id="rId324" Target="https%3A%2F%2Fwww.webofscience.com%2Fwos%2Fwoscc%2Ffull-record%2FWOS%3A001641099400002" TargetMode="External" Type="http://schemas.openxmlformats.org/officeDocument/2006/relationships/hyperlink"/><Relationship Id="rId325" Target="http%3A%2F%2Fdx.doi.org%2F10.1093%2Fbraincomms%2Ffcaf179" TargetMode="External" Type="http://schemas.openxmlformats.org/officeDocument/2006/relationships/hyperlink"/><Relationship Id="rId326" Target="https%3A%2F%2Fwww.webofscience.com%2Fwos%2Fwoscc%2Ffull-record%2FWOS%3A001489166400001" TargetMode="External" Type="http://schemas.openxmlformats.org/officeDocument/2006/relationships/hyperlink"/><Relationship Id="rId327" Target="http%3A%2F%2Fdx.doi.org%2F10.3389%2Ffdgth.2025.1709277" TargetMode="External" Type="http://schemas.openxmlformats.org/officeDocument/2006/relationships/hyperlink"/><Relationship Id="rId328" Target="https%3A%2F%2Fwww.webofscience.com%2Fwos%2Fwoscc%2Ffull-record%2FWOS%3A001685448000001" TargetMode="External" Type="http://schemas.openxmlformats.org/officeDocument/2006/relationships/hyperlink"/><Relationship Id="rId329" Target="http%3A%2F%2Fdx.doi.org%2F10.1038%2Fs41598-024-56172-5" TargetMode="External" Type="http://schemas.openxmlformats.org/officeDocument/2006/relationships/hyperlink"/><Relationship Id="rId33" Target="http%3A%2F%2Fdx.doi.org%2F10.1016%2Fj.jii.2026.101107" TargetMode="External" Type="http://schemas.openxmlformats.org/officeDocument/2006/relationships/hyperlink"/><Relationship Id="rId330" Target="https%3A%2F%2Fwww.webofscience.com%2Fwos%2Fwoscc%2Ffull-record%2FWOS%3A001185083700054" TargetMode="External" Type="http://schemas.openxmlformats.org/officeDocument/2006/relationships/hyperlink"/><Relationship Id="rId331" Target="http%3A%2F%2Fdx.doi.org%2F10.1016%2Fj.engappai.2026.115544" TargetMode="External" Type="http://schemas.openxmlformats.org/officeDocument/2006/relationships/hyperlink"/><Relationship Id="rId332" Target="https%3A%2F%2Fwww.webofscience.com%2Fwos%2Fwoscc%2Ffull-record%2FWOS%3A001814882400001" TargetMode="External" Type="http://schemas.openxmlformats.org/officeDocument/2006/relationships/hyperlink"/><Relationship Id="rId333" Target="http%3A%2F%2Fdx.doi.org%2F10.21037%2Fjtd-2025-1012" TargetMode="External" Type="http://schemas.openxmlformats.org/officeDocument/2006/relationships/hyperlink"/><Relationship Id="rId334" Target="https%3A%2F%2Fwww.webofscience.com%2Fwos%2Fwoscc%2Ffull-record%2FWOS%3A001615901300001" TargetMode="External" Type="http://schemas.openxmlformats.org/officeDocument/2006/relationships/hyperlink"/><Relationship Id="rId335" Target="http%3A%2F%2Fdx.doi.org%2F10.1016%2Fj.dld.2026.07.005" TargetMode="External" Type="http://schemas.openxmlformats.org/officeDocument/2006/relationships/hyperlink"/><Relationship Id="rId336" Target="https%3A%2F%2Fwww.webofscience.com%2Fwos%2Fwoscc%2Ffull-record%2FWOS%3A001851497600001" TargetMode="External" Type="http://schemas.openxmlformats.org/officeDocument/2006/relationships/hyperlink"/><Relationship Id="rId337" Target="http%3A%2F%2Fdx.doi.org%2F10.1016%2Fj.array.2026.100730" TargetMode="External" Type="http://schemas.openxmlformats.org/officeDocument/2006/relationships/hyperlink"/><Relationship Id="rId338" Target="https%3A%2F%2Fwww.webofscience.com%2Fwos%2Fwoscc%2Ffull-record%2FWOS%3A001712972600001" TargetMode="External" Type="http://schemas.openxmlformats.org/officeDocument/2006/relationships/hyperlink"/><Relationship Id="rId339" Target="http%3A%2F%2Fdx.doi.org%2F10.4274%2Fdir.2023.232116" TargetMode="External" Type="http://schemas.openxmlformats.org/officeDocument/2006/relationships/hyperlink"/><Relationship Id="rId34" Target="https%3A%2F%2Fwww.webofscience.com%2Fwos%2Fwoscc%2Ffull-record%2FWOS%3A001718685100001" TargetMode="External" Type="http://schemas.openxmlformats.org/officeDocument/2006/relationships/hyperlink"/><Relationship Id="rId340" Target="https%3A%2F%2Fwww.webofscience.com%2Fwos%2Fwoscc%2Ffull-record%2FWOS%3A001175843700010" TargetMode="External" Type="http://schemas.openxmlformats.org/officeDocument/2006/relationships/hyperlink"/><Relationship Id="rId341" Target="http%3A%2F%2Fdx.doi.org%2F10.1016%2Fj.inffus.2025.102981" TargetMode="External" Type="http://schemas.openxmlformats.org/officeDocument/2006/relationships/hyperlink"/><Relationship Id="rId342" Target="https%3A%2F%2Fwww.webofscience.com%2Fwos%2Fwoscc%2Ffull-record%2FWOS%3A001424816800001" TargetMode="External" Type="http://schemas.openxmlformats.org/officeDocument/2006/relationships/hyperlink"/><Relationship Id="rId343" Target="http%3A%2F%2Fdx.doi.org%2F10.13053%2FCyS-30-1-6316" TargetMode="External" Type="http://schemas.openxmlformats.org/officeDocument/2006/relationships/hyperlink"/><Relationship Id="rId344" Target="https%3A%2F%2Fwww.webofscience.com%2Fwos%2Fwoscc%2Ffull-record%2FWOS%3A001733635600015" TargetMode="External" Type="http://schemas.openxmlformats.org/officeDocument/2006/relationships/hyperlink"/><Relationship Id="rId345" Target="http%3A%2F%2Fdx.doi.org%2F10.1007%2Fs10791-025-09901-x" TargetMode="External" Type="http://schemas.openxmlformats.org/officeDocument/2006/relationships/hyperlink"/><Relationship Id="rId346" Target="https%3A%2F%2Fwww.webofscience.com%2Fwos%2Fwoscc%2Ffull-record%2FWOS%3A001655532200003" TargetMode="External" Type="http://schemas.openxmlformats.org/officeDocument/2006/relationships/hyperlink"/><Relationship Id="rId347" Target="http%3A%2F%2Fdx.doi.org%2F10.3390%2Fbioengineering11111080" TargetMode="External" Type="http://schemas.openxmlformats.org/officeDocument/2006/relationships/hyperlink"/><Relationship Id="rId348" Target="https%3A%2F%2Fwww.webofscience.com%2Fwos%2Fwoscc%2Ffull-record%2FWOS%3A001366845700001" TargetMode="External" Type="http://schemas.openxmlformats.org/officeDocument/2006/relationships/hyperlink"/><Relationship Id="rId349" Target="http%3A%2F%2Fdx.doi.org%2F10.1109%2FACCESS.2026.3687397" TargetMode="External" Type="http://schemas.openxmlformats.org/officeDocument/2006/relationships/hyperlink"/><Relationship Id="rId35" Target="http%3A%2F%2Fdx.doi.org%2F10.1186%2Fs12967-026-08079-0" TargetMode="External" Type="http://schemas.openxmlformats.org/officeDocument/2006/relationships/hyperlink"/><Relationship Id="rId350" Target="https%3A%2F%2Fwww.webofscience.com%2Fwos%2Fwoscc%2Ffull-record%2FWOS%3A001754886700030" TargetMode="External" Type="http://schemas.openxmlformats.org/officeDocument/2006/relationships/hyperlink"/><Relationship Id="rId351" Target="http%3A%2F%2Fdx.doi.org%2F10.1038%2Fs41746-025-02295-6" TargetMode="External" Type="http://schemas.openxmlformats.org/officeDocument/2006/relationships/hyperlink"/><Relationship Id="rId352" Target="https%3A%2F%2Fwww.webofscience.com%2Fwos%2Fwoscc%2Ffull-record%2FWOS%3A001679395900001" TargetMode="External" Type="http://schemas.openxmlformats.org/officeDocument/2006/relationships/hyperlink"/><Relationship Id="rId353" Target="http%3A%2F%2Fdx.doi.org%2F10.1002%2Fadvs.202510931" TargetMode="External" Type="http://schemas.openxmlformats.org/officeDocument/2006/relationships/hyperlink"/><Relationship Id="rId354" Target="https%3A%2F%2Fwww.webofscience.com%2Fwos%2Fwoscc%2Ffull-record%2FWOS%3A001664846200001" TargetMode="External" Type="http://schemas.openxmlformats.org/officeDocument/2006/relationships/hyperlink"/><Relationship Id="rId355" Target="http%3A%2F%2Fdx.doi.org%2F10.1093%2Fradadv%2Fumaf035" TargetMode="External" Type="http://schemas.openxmlformats.org/officeDocument/2006/relationships/hyperlink"/><Relationship Id="rId356" Target="https%3A%2F%2Fwww.webofscience.com%2Fwos%2Fwoscc%2Ffull-record%2FWOS%3A001601387300001" TargetMode="External" Type="http://schemas.openxmlformats.org/officeDocument/2006/relationships/hyperlink"/><Relationship Id="rId357" Target="http%3A%2F%2Fdx.doi.org%2F10.1016%2Fj.eswa.2025.130174" TargetMode="External" Type="http://schemas.openxmlformats.org/officeDocument/2006/relationships/hyperlink"/><Relationship Id="rId358" Target="https%3A%2F%2Fwww.webofscience.com%2Fwos%2Fwoscc%2Ffull-record%2FWOS%3A001617982400017" TargetMode="External" Type="http://schemas.openxmlformats.org/officeDocument/2006/relationships/hyperlink"/><Relationship Id="rId359" Target="http%3A%2F%2Fdx.doi.org%2F10.1038%2Fs41598-025-85777-7" TargetMode="External" Type="http://schemas.openxmlformats.org/officeDocument/2006/relationships/hyperlink"/><Relationship Id="rId36" Target="https%3A%2F%2Fwww.webofscience.com%2Fwos%2Fwoscc%2Ffull-record%2FWOS%3A001752283100001" TargetMode="External" Type="http://schemas.openxmlformats.org/officeDocument/2006/relationships/hyperlink"/><Relationship Id="rId360" Target="https%3A%2F%2Fwww.webofscience.com%2Fwos%2Fwoscc%2Ffull-record%2FWOS%3A001403090300040" TargetMode="External" Type="http://schemas.openxmlformats.org/officeDocument/2006/relationships/hyperlink"/><Relationship Id="rId361" Target="http%3A%2F%2Fdx.doi.org%2F10.1007%2Fs10278-025-01446-1" TargetMode="External" Type="http://schemas.openxmlformats.org/officeDocument/2006/relationships/hyperlink"/><Relationship Id="rId362" Target="https%3A%2F%2Fwww.webofscience.com%2Fwos%2Fwoscc%2Ffull-record%2FWOS%3A001426198600001" TargetMode="External" Type="http://schemas.openxmlformats.org/officeDocument/2006/relationships/hyperlink"/><Relationship Id="rId363" Target="http%3A%2F%2Fdx.doi.org%2F10.2196%2F54363" TargetMode="External" Type="http://schemas.openxmlformats.org/officeDocument/2006/relationships/hyperlink"/><Relationship Id="rId364" Target="https%3A%2F%2Fwww.webofscience.com%2Fwos%2Fwoscc%2Ffull-record%2FWOS%3A001226586000002" TargetMode="External" Type="http://schemas.openxmlformats.org/officeDocument/2006/relationships/hyperlink"/><Relationship Id="rId365" Target="http%3A%2F%2Fdx.doi.org%2F10.1007%2Fs10994-024-06709-6" TargetMode="External" Type="http://schemas.openxmlformats.org/officeDocument/2006/relationships/hyperlink"/><Relationship Id="rId366" Target="https%3A%2F%2Fwww.webofscience.com%2Fwos%2Fwoscc%2Ffull-record%2FWOS%3A001395642200002" TargetMode="External" Type="http://schemas.openxmlformats.org/officeDocument/2006/relationships/hyperlink"/><Relationship Id="rId367" Target="http%3A%2F%2Fdx.doi.org%2F10.1016%2Fj.tourman.2026.105450" TargetMode="External" Type="http://schemas.openxmlformats.org/officeDocument/2006/relationships/hyperlink"/><Relationship Id="rId368" Target="https%3A%2F%2Fwww.webofscience.com%2Fwos%2Fwoscc%2Ffull-record%2FWOS%3A001763135000001" TargetMode="External" Type="http://schemas.openxmlformats.org/officeDocument/2006/relationships/hyperlink"/><Relationship Id="rId369" Target="http%3A%2F%2Fdx.doi.org%2F10.1371%2Fjournal.pone.0351405" TargetMode="External" Type="http://schemas.openxmlformats.org/officeDocument/2006/relationships/hyperlink"/><Relationship Id="rId37" Target="http%3A%2F%2Fdx.doi.org%2F10.3390%2Fapp15095151" TargetMode="External" Type="http://schemas.openxmlformats.org/officeDocument/2006/relationships/hyperlink"/><Relationship Id="rId370" Target="https%3A%2F%2Fwww.webofscience.com%2Fwos%2Fwoscc%2Ffull-record%2FWOS%3A001792566300026" TargetMode="External" Type="http://schemas.openxmlformats.org/officeDocument/2006/relationships/hyperlink"/><Relationship Id="rId371" Target="http%3A%2F%2Fdx.doi.org%2F10.3390%2Fmake7010023" TargetMode="External" Type="http://schemas.openxmlformats.org/officeDocument/2006/relationships/hyperlink"/><Relationship Id="rId372" Target="https%3A%2F%2Fwww.webofscience.com%2Fwos%2Fwoscc%2Ffull-record%2FWOS%3A001452766400001" TargetMode="External" Type="http://schemas.openxmlformats.org/officeDocument/2006/relationships/hyperlink"/><Relationship Id="rId373" Target="http%3A%2F%2Fdx.doi.org%2F10.1111%2Fos.70335" TargetMode="External" Type="http://schemas.openxmlformats.org/officeDocument/2006/relationships/hyperlink"/><Relationship Id="rId374" Target="https%3A%2F%2Fwww.webofscience.com%2Fwos%2Fwoscc%2Ffull-record%2FWOS%3A001795371300001" TargetMode="External" Type="http://schemas.openxmlformats.org/officeDocument/2006/relationships/hyperlink"/><Relationship Id="rId375" Target="http%3A%2F%2Fdx.doi.org%2F10.3389%2Ffnins.2026.1803154" TargetMode="External" Type="http://schemas.openxmlformats.org/officeDocument/2006/relationships/hyperlink"/><Relationship Id="rId376" Target="https%3A%2F%2Fwww.webofscience.com%2Fwos%2Fwoscc%2Ffull-record%2FWOS%3A001748905100001" TargetMode="External" Type="http://schemas.openxmlformats.org/officeDocument/2006/relationships/hyperlink"/><Relationship Id="rId377" Target="http%3A%2F%2Fdx.doi.org%2F10.1186%2Fs12885-026-16116-w" TargetMode="External" Type="http://schemas.openxmlformats.org/officeDocument/2006/relationships/hyperlink"/><Relationship Id="rId378" Target="https%3A%2F%2Fwww.webofscience.com%2Fwos%2Fwoscc%2Ffull-record%2FWOS%3A001810951600001" TargetMode="External" Type="http://schemas.openxmlformats.org/officeDocument/2006/relationships/hyperlink"/><Relationship Id="rId379" Target="http%3A%2F%2Fdx.doi.org%2F10.1038%2Fs41746-026-02378-y" TargetMode="External" Type="http://schemas.openxmlformats.org/officeDocument/2006/relationships/hyperlink"/><Relationship Id="rId38" Target="https%3A%2F%2Fwww.webofscience.com%2Fwos%2Fwoscc%2Ffull-record%2FWOS%3A001485957800001" TargetMode="External" Type="http://schemas.openxmlformats.org/officeDocument/2006/relationships/hyperlink"/><Relationship Id="rId380" Target="https%3A%2F%2Fwww.webofscience.com%2Fwos%2Fwoscc%2Ffull-record%2FWOS%3A001698260500001" TargetMode="External" Type="http://schemas.openxmlformats.org/officeDocument/2006/relationships/hyperlink"/><Relationship Id="rId381" Target="http%3A%2F%2Fdx.doi.org%2F10.1016%2Fj.jbi.2026.105001" TargetMode="External" Type="http://schemas.openxmlformats.org/officeDocument/2006/relationships/hyperlink"/><Relationship Id="rId382" Target="https%3A%2F%2Fwww.webofscience.com%2Fwos%2Fwoscc%2Ffull-record%2FWOS%3A001707715400001" TargetMode="External" Type="http://schemas.openxmlformats.org/officeDocument/2006/relationships/hyperlink"/><Relationship Id="rId383" Target="http%3A%2F%2Fdx.doi.org%2F10.3389%2Ffbinf.2023.1131021" TargetMode="External" Type="http://schemas.openxmlformats.org/officeDocument/2006/relationships/hyperlink"/><Relationship Id="rId384" Target="https%3A%2F%2Fwww.webofscience.com%2Fwos%2Fwoscc%2Ffull-record%2FWOS%3A001086914600001" TargetMode="External" Type="http://schemas.openxmlformats.org/officeDocument/2006/relationships/hyperlink"/><Relationship Id="rId385" Target="http%3A%2F%2Fdx.doi.org%2F10.1016%2Fj.xops.2026.101208" TargetMode="External" Type="http://schemas.openxmlformats.org/officeDocument/2006/relationships/hyperlink"/><Relationship Id="rId386" Target="https%3A%2F%2Fwww.webofscience.com%2Fwos%2Fwoscc%2Ffull-record%2FWOS%3A001784072300001" TargetMode="External" Type="http://schemas.openxmlformats.org/officeDocument/2006/relationships/hyperlink"/><Relationship Id="rId387" Target="http%3A%2F%2Fdx.doi.org%2F10.12720%2Fjait.16.10.1459-1469" TargetMode="External" Type="http://schemas.openxmlformats.org/officeDocument/2006/relationships/hyperlink"/><Relationship Id="rId388" Target="https%3A%2F%2Fwww.webofscience.com%2Fwos%2Fwoscc%2Ffull-record%2FWOS%3A001603269600010" TargetMode="External" Type="http://schemas.openxmlformats.org/officeDocument/2006/relationships/hyperlink"/><Relationship Id="rId389" Target="http%3A%2F%2Fdx.doi.org%2F10.1016%2Fj.bspc.2026.109885" TargetMode="External" Type="http://schemas.openxmlformats.org/officeDocument/2006/relationships/hyperlink"/><Relationship Id="rId39" Target="http%3A%2F%2Fdx.doi.org%2F10.1111%2Fbdi.70011" TargetMode="External" Type="http://schemas.openxmlformats.org/officeDocument/2006/relationships/hyperlink"/><Relationship Id="rId390" Target="https%3A%2F%2Fwww.webofscience.com%2Fwos%2Fwoscc%2Ffull-record%2FWOS%3A001698147000001" TargetMode="External" Type="http://schemas.openxmlformats.org/officeDocument/2006/relationships/hyperlink"/><Relationship Id="rId391" Target="http%3A%2F%2Fdx.doi.org%2F10.1016%2Fj.jrras.2025.101943" TargetMode="External" Type="http://schemas.openxmlformats.org/officeDocument/2006/relationships/hyperlink"/><Relationship Id="rId392" Target="https%3A%2F%2Fwww.webofscience.com%2Fwos%2Fwoscc%2Ffull-record%2FWOS%3A001578971500001" TargetMode="External" Type="http://schemas.openxmlformats.org/officeDocument/2006/relationships/hyperlink"/><Relationship Id="rId393" Target="http%3A%2F%2Fdx.doi.org%2F10.1016%2Fj.jneumeth.2025.110363" TargetMode="External" Type="http://schemas.openxmlformats.org/officeDocument/2006/relationships/hyperlink"/><Relationship Id="rId394" Target="https%3A%2F%2Fwww.webofscience.com%2Fwos%2Fwoscc%2Ffull-record%2FWOS%3A001407301100001" TargetMode="External" Type="http://schemas.openxmlformats.org/officeDocument/2006/relationships/hyperlink"/><Relationship Id="rId395" Target="http%3A%2F%2Fdx.doi.org%2F10.1016%2Fj.jbi.2026.105055" TargetMode="External" Type="http://schemas.openxmlformats.org/officeDocument/2006/relationships/hyperlink"/><Relationship Id="rId396" Target="https%3A%2F%2Fwww.webofscience.com%2Fwos%2Fwoscc%2Ffull-record%2FWOS%3A001779576900001" TargetMode="External" Type="http://schemas.openxmlformats.org/officeDocument/2006/relationships/hyperlink"/><Relationship Id="rId397" Target="http%3A%2F%2Fdx.doi.org%2F10.3349%2Fymj.2025.0370" TargetMode="External" Type="http://schemas.openxmlformats.org/officeDocument/2006/relationships/hyperlink"/><Relationship Id="rId398" Target="https%3A%2F%2Fwww.webofscience.com%2Fwos%2Fwoscc%2Ffull-record%2FWOS%3A001852291100005" TargetMode="External" Type="http://schemas.openxmlformats.org/officeDocument/2006/relationships/hyperlink"/><Relationship Id="rId399" Target="http%3A%2F%2Fdx.doi.org%2F10.1016%2Fj.wnsx.2026.100616" TargetMode="External" Type="http://schemas.openxmlformats.org/officeDocument/2006/relationships/hyperlink"/><Relationship Id="rId4" Target="https%3A%2F%2Fwww.webofscience.com%2Fwos%2Fwoscc%2Ffull-record%2FWOS%3A001454464200002" TargetMode="External" Type="http://schemas.openxmlformats.org/officeDocument/2006/relationships/hyperlink"/><Relationship Id="rId40" Target="https%3A%2F%2Fwww.webofscience.com%2Fwos%2Fwoscc%2Ffull-record%2FWOS%3A001439101800001" TargetMode="External" Type="http://schemas.openxmlformats.org/officeDocument/2006/relationships/hyperlink"/><Relationship Id="rId400" Target="https%3A%2F%2Fwww.webofscience.com%2Fwos%2Fwoscc%2Ffull-record%2FWOS%3A001815604400001" TargetMode="External" Type="http://schemas.openxmlformats.org/officeDocument/2006/relationships/hyperlink"/><Relationship Id="rId401" Target="http%3A%2F%2Fdx.doi.org%2F10.1038%2Fs41746-025-02034-x" TargetMode="External" Type="http://schemas.openxmlformats.org/officeDocument/2006/relationships/hyperlink"/><Relationship Id="rId402" Target="https%3A%2F%2Fwww.webofscience.com%2Fwos%2Fwoscc%2Ffull-record%2FWOS%3A001618214900001" TargetMode="External" Type="http://schemas.openxmlformats.org/officeDocument/2006/relationships/hyperlink"/><Relationship Id="rId403" Target="http%3A%2F%2Fdx.doi.org%2F10.1007%2Fs00330-025-11694-y" TargetMode="External" Type="http://schemas.openxmlformats.org/officeDocument/2006/relationships/hyperlink"/><Relationship Id="rId404" Target="https%3A%2F%2Fwww.webofscience.com%2Fwos%2Fwoscc%2Ffull-record%2FWOS%3A001494290500001" TargetMode="External" Type="http://schemas.openxmlformats.org/officeDocument/2006/relationships/hyperlink"/><Relationship Id="rId405" Target="http%3A%2F%2Fdx.doi.org%2F10.1111%2Fjsr.70413" TargetMode="External" Type="http://schemas.openxmlformats.org/officeDocument/2006/relationships/hyperlink"/><Relationship Id="rId406" Target="https%3A%2F%2Fwww.webofscience.com%2Fwos%2Fwoscc%2Ffull-record%2FWOS%3A001833324600001" TargetMode="External" Type="http://schemas.openxmlformats.org/officeDocument/2006/relationships/hyperlink"/><Relationship Id="rId407" Target="http%3A%2F%2Fdx.doi.org%2F10.3390%2Ftechnologies14050277" TargetMode="External" Type="http://schemas.openxmlformats.org/officeDocument/2006/relationships/hyperlink"/><Relationship Id="rId408" Target="https%3A%2F%2Fwww.webofscience.com%2Fwos%2Fwoscc%2Ffull-record%2FWOS%3A001774323600001" TargetMode="External" Type="http://schemas.openxmlformats.org/officeDocument/2006/relationships/hyperlink"/><Relationship Id="rId409" Target="http%3A%2F%2Fdx.doi.org%2F10.3390%2Fcancers18081194" TargetMode="External" Type="http://schemas.openxmlformats.org/officeDocument/2006/relationships/hyperlink"/><Relationship Id="rId41" Target="http%3A%2F%2Fdx.doi.org%2F10.3233%2FJAD-230496" TargetMode="External" Type="http://schemas.openxmlformats.org/officeDocument/2006/relationships/hyperlink"/><Relationship Id="rId410" Target="https%3A%2F%2Fwww.webofscience.com%2Fwos%2Fwoscc%2Ffull-record%2FWOS%3A001750885400001" TargetMode="External" Type="http://schemas.openxmlformats.org/officeDocument/2006/relationships/hyperlink"/><Relationship Id="rId411" Target="http%3A%2F%2Fdx.doi.org%2F10.1109%2FACCESS.2025.3557533" TargetMode="External" Type="http://schemas.openxmlformats.org/officeDocument/2006/relationships/hyperlink"/><Relationship Id="rId412" Target="https%3A%2F%2Fwww.webofscience.com%2Fwos%2Fwoscc%2Ffull-record%2FWOS%3A001469012900016" TargetMode="External" Type="http://schemas.openxmlformats.org/officeDocument/2006/relationships/hyperlink"/><Relationship Id="rId413" Target="http%3A%2F%2Fdx.doi.org%2F10.1038%2Fs41598-025-33536-z" TargetMode="External" Type="http://schemas.openxmlformats.org/officeDocument/2006/relationships/hyperlink"/><Relationship Id="rId414" Target="https%3A%2F%2Fwww.webofscience.com%2Fwos%2Fwoscc%2Ffull-record%2FWOS%3A001651220100001" TargetMode="External" Type="http://schemas.openxmlformats.org/officeDocument/2006/relationships/hyperlink"/><Relationship Id="rId415" Target="http%3A%2F%2Fdx.doi.org%2F10.21037%2Fqims-2025-635" TargetMode="External" Type="http://schemas.openxmlformats.org/officeDocument/2006/relationships/hyperlink"/><Relationship Id="rId416" Target="https%3A%2F%2Fwww.webofscience.com%2Fwos%2Fwoscc%2Ffull-record%2FWOS%3A001593086700009" TargetMode="External" Type="http://schemas.openxmlformats.org/officeDocument/2006/relationships/hyperlink"/><Relationship Id="rId417" Target="http%3A%2F%2Fdx.doi.org%2F10.1088%2F1873-4030%2Fae449b" TargetMode="External" Type="http://schemas.openxmlformats.org/officeDocument/2006/relationships/hyperlink"/><Relationship Id="rId418" Target="https%3A%2F%2Fwww.webofscience.com%2Fwos%2Fwoscc%2Ffull-record%2FWOS%3A001751399300001" TargetMode="External" Type="http://schemas.openxmlformats.org/officeDocument/2006/relationships/hyperlink"/><Relationship Id="rId419" Target="http%3A%2F%2Fdx.doi.org%2F10.1038%2Fs41598-025-12633-z" TargetMode="External" Type="http://schemas.openxmlformats.org/officeDocument/2006/relationships/hyperlink"/><Relationship Id="rId42" Target="https%3A%2F%2Fwww.webofscience.com%2Fwos%2Fwoscc%2Ffull-record%2FWOS%3A001092311300024" TargetMode="External" Type="http://schemas.openxmlformats.org/officeDocument/2006/relationships/hyperlink"/><Relationship Id="rId420" Target="https%3A%2F%2Fwww.webofscience.com%2Fwos%2Fwoscc%2Ffull-record%2FWOS%3A001537442500012" TargetMode="External" Type="http://schemas.openxmlformats.org/officeDocument/2006/relationships/hyperlink"/><Relationship Id="rId421" Target="http%3A%2F%2Fdx.doi.org%2F10.3390%2Felectronics14153089" TargetMode="External" Type="http://schemas.openxmlformats.org/officeDocument/2006/relationships/hyperlink"/><Relationship Id="rId422" Target="https%3A%2F%2Fwww.webofscience.com%2Fwos%2Fwoscc%2Ffull-record%2FWOS%3A001548704200001" TargetMode="External" Type="http://schemas.openxmlformats.org/officeDocument/2006/relationships/hyperlink"/><Relationship Id="rId423" Target="http%3A%2F%2Fdx.doi.org%2F10.1097%2FRLI.0000000000001102" TargetMode="External" Type="http://schemas.openxmlformats.org/officeDocument/2006/relationships/hyperlink"/><Relationship Id="rId424" Target="https%3A%2F%2Fwww.webofscience.com%2Fwos%2Fwoscc%2Ffull-record%2FWOS%3A001350965200001" TargetMode="External" Type="http://schemas.openxmlformats.org/officeDocument/2006/relationships/hyperlink"/><Relationship Id="rId425" Target="http%3A%2F%2Fdx.doi.org%2F10.1021%2Facs.analchem.4c01749" TargetMode="External" Type="http://schemas.openxmlformats.org/officeDocument/2006/relationships/hyperlink"/><Relationship Id="rId426" Target="https%3A%2F%2Fwww.webofscience.com%2Fwos%2Fwoscc%2Ffull-record%2FWOS%3A001242672800001" TargetMode="External" Type="http://schemas.openxmlformats.org/officeDocument/2006/relationships/hyperlink"/><Relationship Id="rId427" Target="http%3A%2F%2Fdx.doi.org%2F10.3389%2Ffphys.2022.1021400" TargetMode="External" Type="http://schemas.openxmlformats.org/officeDocument/2006/relationships/hyperlink"/><Relationship Id="rId428" Target="https%3A%2F%2Fwww.webofscience.com%2Fwos%2Fwoscc%2Ffull-record%2FWOS%3A000889291400001" TargetMode="External" Type="http://schemas.openxmlformats.org/officeDocument/2006/relationships/hyperlink"/><Relationship Id="rId429" Target="http%3A%2F%2Fdx.doi.org%2F10.3389%2Ffpubh.2024.1369041" TargetMode="External" Type="http://schemas.openxmlformats.org/officeDocument/2006/relationships/hyperlink"/><Relationship Id="rId43" Target="http%3A%2F%2Fdx.doi.org%2F10.1016%2Fj.identj.2026.109420" TargetMode="External" Type="http://schemas.openxmlformats.org/officeDocument/2006/relationships/hyperlink"/><Relationship Id="rId430" Target="https%3A%2F%2Fwww.webofscience.com%2Fwos%2Fwoscc%2Ffull-record%2FWOS%3A001400536200001" TargetMode="External" Type="http://schemas.openxmlformats.org/officeDocument/2006/relationships/hyperlink"/><Relationship Id="rId431" Target="http%3A%2F%2Fdx.doi.org%2F10.1007%2Fs10278-026-01980-6" TargetMode="External" Type="http://schemas.openxmlformats.org/officeDocument/2006/relationships/hyperlink"/><Relationship Id="rId432" Target="https%3A%2F%2Fwww.webofscience.com%2Fwos%2Fwoscc%2Ffull-record%2FWOS%3A001752952700001" TargetMode="External" Type="http://schemas.openxmlformats.org/officeDocument/2006/relationships/hyperlink"/><Relationship Id="rId433" Target="http%3A%2F%2Fdx.doi.org%2F10.1016%2Fj.ajhg.2025.05.015" TargetMode="External" Type="http://schemas.openxmlformats.org/officeDocument/2006/relationships/hyperlink"/><Relationship Id="rId434" Target="https%3A%2F%2Fwww.webofscience.com%2Fwos%2Fwoscc%2Ffull-record%2FWOS%3A001538733500006" TargetMode="External" Type="http://schemas.openxmlformats.org/officeDocument/2006/relationships/hyperlink"/><Relationship Id="rId435" Target="http%3A%2F%2Fdx.doi.org%2F10.1016%2Fj.sasc.2026.200583" TargetMode="External" Type="http://schemas.openxmlformats.org/officeDocument/2006/relationships/hyperlink"/><Relationship Id="rId436" Target="https%3A%2F%2Fwww.webofscience.com%2Fwos%2Fwoscc%2Ffull-record%2FWOS%3A001845870300001" TargetMode="External" Type="http://schemas.openxmlformats.org/officeDocument/2006/relationships/hyperlink"/><Relationship Id="rId437" Target="http%3A%2F%2Fdx.doi.org%2F10.2196%2F70738" TargetMode="External" Type="http://schemas.openxmlformats.org/officeDocument/2006/relationships/hyperlink"/><Relationship Id="rId438" Target="https%3A%2F%2Fwww.webofscience.com%2Fwos%2Fwoscc%2Ffull-record%2FWOS%3A001578958700001" TargetMode="External" Type="http://schemas.openxmlformats.org/officeDocument/2006/relationships/hyperlink"/><Relationship Id="rId439" Target="http%3A%2F%2Fdx.doi.org%2F10.3389%2Ffpsyt.2025.1643552" TargetMode="External" Type="http://schemas.openxmlformats.org/officeDocument/2006/relationships/hyperlink"/><Relationship Id="rId44" Target="https%3A%2F%2Fwww.webofscience.com%2Fwos%2Fwoscc%2Ffull-record%2FWOS%3A001686298600001" TargetMode="External" Type="http://schemas.openxmlformats.org/officeDocument/2006/relationships/hyperlink"/><Relationship Id="rId440" Target="https%3A%2F%2Fwww.webofscience.com%2Fwos%2Fwoscc%2Ffull-record%2FWOS%3A001616818500001" TargetMode="External" Type="http://schemas.openxmlformats.org/officeDocument/2006/relationships/hyperlink"/><Relationship Id="rId441" Target="http%3A%2F%2Fdx.doi.org%2F10.1038%2Fs41598-025-07272-3" TargetMode="External" Type="http://schemas.openxmlformats.org/officeDocument/2006/relationships/hyperlink"/><Relationship Id="rId442" Target="https%3A%2F%2Fwww.webofscience.com%2Fwos%2Fwoscc%2Ffull-record%2FWOS%3A001539934000016" TargetMode="External" Type="http://schemas.openxmlformats.org/officeDocument/2006/relationships/hyperlink"/><Relationship Id="rId443" Target="http%3A%2F%2Fdx.doi.org%2F10.1016%2Fj.aej.2026.01.050" TargetMode="External" Type="http://schemas.openxmlformats.org/officeDocument/2006/relationships/hyperlink"/><Relationship Id="rId444" Target="https%3A%2F%2Fwww.webofscience.com%2Fwos%2Fwoscc%2Ffull-record%2FWOS%3A001695454700001" TargetMode="External" Type="http://schemas.openxmlformats.org/officeDocument/2006/relationships/hyperlink"/><Relationship Id="rId445" Target="http%3A%2F%2Fdx.doi.org%2F10.1016%2Fj.inffus.2024.102394" TargetMode="External" Type="http://schemas.openxmlformats.org/officeDocument/2006/relationships/hyperlink"/><Relationship Id="rId446" Target="https%3A%2F%2Fwww.webofscience.com%2Fwos%2Fwoscc%2Ffull-record%2FWOS%3A001224638200001" TargetMode="External" Type="http://schemas.openxmlformats.org/officeDocument/2006/relationships/hyperlink"/><Relationship Id="rId447" Target="http%3A%2F%2Fdx.doi.org%2F10.3389%2Ffneur.2026.1791696" TargetMode="External" Type="http://schemas.openxmlformats.org/officeDocument/2006/relationships/hyperlink"/><Relationship Id="rId448" Target="https%3A%2F%2Fwww.webofscience.com%2Fwos%2Fwoscc%2Ffull-record%2FWOS%3A001755531300001" TargetMode="External" Type="http://schemas.openxmlformats.org/officeDocument/2006/relationships/hyperlink"/><Relationship Id="rId449" Target="http%3A%2F%2Fdx.doi.org%2F10.1093%2Fhmg%2Fddag040" TargetMode="External" Type="http://schemas.openxmlformats.org/officeDocument/2006/relationships/hyperlink"/><Relationship Id="rId45" Target="http%3A%2F%2Fdx.doi.org%2F10.1002%2Fird3.102" TargetMode="External" Type="http://schemas.openxmlformats.org/officeDocument/2006/relationships/hyperlink"/><Relationship Id="rId450" Target="https%3A%2F%2Fwww.webofscience.com%2Fwos%2Fwoscc%2Ffull-record%2FWOS%3A001787981200002" TargetMode="External" Type="http://schemas.openxmlformats.org/officeDocument/2006/relationships/hyperlink"/><Relationship Id="rId451" Target="http%3A%2F%2Fdx.doi.org%2F10.1109%2FACCESS.2023.3275126" TargetMode="External" Type="http://schemas.openxmlformats.org/officeDocument/2006/relationships/hyperlink"/><Relationship Id="rId452" Target="https%3A%2F%2Fwww.webofscience.com%2Fwos%2Fwoscc%2Ffull-record%2FWOS%3A001010128600001" TargetMode="External" Type="http://schemas.openxmlformats.org/officeDocument/2006/relationships/hyperlink"/><Relationship Id="rId453" Target="http%3A%2F%2Fdx.doi.org%2F10.1109%2FACCESS.2022.3159346" TargetMode="External" Type="http://schemas.openxmlformats.org/officeDocument/2006/relationships/hyperlink"/><Relationship Id="rId454" Target="https%3A%2F%2Fwww.webofscience.com%2Fwos%2Fwoscc%2Ffull-record%2FWOS%3A000772389200001" TargetMode="External" Type="http://schemas.openxmlformats.org/officeDocument/2006/relationships/hyperlink"/><Relationship Id="rId455" Target="http%3A%2F%2Fdx.doi.org%2F10.1007%2Fs10044-024-01344-2" TargetMode="External" Type="http://schemas.openxmlformats.org/officeDocument/2006/relationships/hyperlink"/><Relationship Id="rId456" Target="https%3A%2F%2Fwww.webofscience.com%2Fwos%2Fwoscc%2Ffull-record%2FWOS%3A001319483900004" TargetMode="External" Type="http://schemas.openxmlformats.org/officeDocument/2006/relationships/hyperlink"/><Relationship Id="rId457" Target="http%3A%2F%2Fdx.doi.org%2F10.1109%2FJSEN.2025.3641648" TargetMode="External" Type="http://schemas.openxmlformats.org/officeDocument/2006/relationships/hyperlink"/><Relationship Id="rId458" Target="https%3A%2F%2Fwww.webofscience.com%2Fwos%2Fwoscc%2Ffull-record%2FWOS%3A001676278100007" TargetMode="External" Type="http://schemas.openxmlformats.org/officeDocument/2006/relationships/hyperlink"/><Relationship Id="rId459" Target="http%3A%2F%2Fdx.doi.org%2F10.3390%2Fjtaer20040343" TargetMode="External" Type="http://schemas.openxmlformats.org/officeDocument/2006/relationships/hyperlink"/><Relationship Id="rId46" Target="https%3A%2F%2Fwww.webofscience.com%2Fwos%2Fwoscc%2Ffull-record%2FWOS%3A001516961900001" TargetMode="External" Type="http://schemas.openxmlformats.org/officeDocument/2006/relationships/hyperlink"/><Relationship Id="rId460" Target="https%3A%2F%2Fwww.webofscience.com%2Fwos%2Fwoscc%2Ffull-record%2FWOS%3A001646834100001" TargetMode="External" Type="http://schemas.openxmlformats.org/officeDocument/2006/relationships/hyperlink"/><Relationship Id="rId461" Target="http%3A%2F%2Fdx.doi.org%2F10.1115%2F1.4056669" TargetMode="External" Type="http://schemas.openxmlformats.org/officeDocument/2006/relationships/hyperlink"/><Relationship Id="rId462" Target="https%3A%2F%2Fwww.webofscience.com%2Fwos%2Fwoscc%2Ffull-record%2FWOS%3A000949997800001" TargetMode="External" Type="http://schemas.openxmlformats.org/officeDocument/2006/relationships/hyperlink"/><Relationship Id="rId463" Target="http%3A%2F%2Fdx.doi.org%2F10.1093%2Fbioinformatics%2Fbtae528" TargetMode="External" Type="http://schemas.openxmlformats.org/officeDocument/2006/relationships/hyperlink"/><Relationship Id="rId464" Target="https%3A%2F%2Fwww.webofscience.com%2Fwos%2Fwoscc%2Ffull-record%2FWOS%3A001308002400003" TargetMode="External" Type="http://schemas.openxmlformats.org/officeDocument/2006/relationships/hyperlink"/><Relationship Id="rId465" Target="http%3A%2F%2Fdx.doi.org%2F10.1007%2Fs11517-026-03547-7" TargetMode="External" Type="http://schemas.openxmlformats.org/officeDocument/2006/relationships/hyperlink"/><Relationship Id="rId466" Target="https%3A%2F%2Fwww.webofscience.com%2Fwos%2Fwoscc%2Ffull-record%2FWOS%3A001714679600001" TargetMode="External" Type="http://schemas.openxmlformats.org/officeDocument/2006/relationships/hyperlink"/><Relationship Id="rId467" Target="http%3A%2F%2Fdx.doi.org%2F10.30924%2Fmjcmi.31.1.6" TargetMode="External" Type="http://schemas.openxmlformats.org/officeDocument/2006/relationships/hyperlink"/><Relationship Id="rId468" Target="https%3A%2F%2Fwww.webofscience.com%2Fwos%2Fwoscc%2Ffull-record%2FWOS%3A001822880600004" TargetMode="External" Type="http://schemas.openxmlformats.org/officeDocument/2006/relationships/hyperlink"/><Relationship Id="rId469" Target="http%3A%2F%2Fdx.doi.org%2F10.3389%2Ffphys.2025.1605406" TargetMode="External" Type="http://schemas.openxmlformats.org/officeDocument/2006/relationships/hyperlink"/><Relationship Id="rId47" Target="http%3A%2F%2Fdx.doi.org%2F10.1007%2Fs11263-025-02696-w" TargetMode="External" Type="http://schemas.openxmlformats.org/officeDocument/2006/relationships/hyperlink"/><Relationship Id="rId470" Target="https%3A%2F%2Fwww.webofscience.com%2Fwos%2Fwoscc%2Ffull-record%2FWOS%3A001584638200001" TargetMode="External" Type="http://schemas.openxmlformats.org/officeDocument/2006/relationships/hyperlink"/><Relationship Id="rId471" Target="http%3A%2F%2Fdx.doi.org%2F10.1109%2FJBHI.2025.3597054" TargetMode="External" Type="http://schemas.openxmlformats.org/officeDocument/2006/relationships/hyperlink"/><Relationship Id="rId472" Target="https%3A%2F%2Fwww.webofscience.com%2Fwos%2Fwoscc%2Ffull-record%2FWOS%3A001684934200003" TargetMode="External" Type="http://schemas.openxmlformats.org/officeDocument/2006/relationships/hyperlink"/><Relationship Id="rId473" Target="http%3A%2F%2Fdx.doi.org%2F10.1021%2Facs.est.6c05993" TargetMode="External" Type="http://schemas.openxmlformats.org/officeDocument/2006/relationships/hyperlink"/><Relationship Id="rId474" Target="https%3A%2F%2Fwww.webofscience.com%2Fwos%2Fwoscc%2Ffull-record%2FWOS%3A001792676300001" TargetMode="External" Type="http://schemas.openxmlformats.org/officeDocument/2006/relationships/hyperlink"/><Relationship Id="rId475" Target="http%3A%2F%2Fdx.doi.org%2F10.1016%2Fj.msea.2025.149468" TargetMode="External" Type="http://schemas.openxmlformats.org/officeDocument/2006/relationships/hyperlink"/><Relationship Id="rId476" Target="https%3A%2F%2Fwww.webofscience.com%2Fwos%2Fwoscc%2Ffull-record%2FWOS%3A001630183200004" TargetMode="External" Type="http://schemas.openxmlformats.org/officeDocument/2006/relationships/hyperlink"/><Relationship Id="rId477" Target="http%3A%2F%2Fdx.doi.org%2F10.1016%2Fj.patrec.2025.04.001" TargetMode="External" Type="http://schemas.openxmlformats.org/officeDocument/2006/relationships/hyperlink"/><Relationship Id="rId478" Target="https%3A%2F%2Fwww.webofscience.com%2Fwos%2Fwoscc%2Ffull-record%2FWOS%3A001482467000001" TargetMode="External" Type="http://schemas.openxmlformats.org/officeDocument/2006/relationships/hyperlink"/><Relationship Id="rId479" Target="http%3A%2F%2Fdx.doi.org%2F10.3389%2Ffmed.2025.1546452" TargetMode="External" Type="http://schemas.openxmlformats.org/officeDocument/2006/relationships/hyperlink"/><Relationship Id="rId48" Target="https%3A%2F%2Fwww.webofscience.com%2Fwos%2Fwoscc%2Ffull-record%2FWOS%3A001687640700001" TargetMode="External" Type="http://schemas.openxmlformats.org/officeDocument/2006/relationships/hyperlink"/><Relationship Id="rId480" Target="https%3A%2F%2Fwww.webofscience.com%2Fwos%2Fwoscc%2Ffull-record%2FWOS%3A001441005100001" TargetMode="External" Type="http://schemas.openxmlformats.org/officeDocument/2006/relationships/hyperlink"/><Relationship Id="rId481" Target="http%3A%2F%2Fdx.doi.org%2F10.3390%2Fbiomimetics10030145" TargetMode="External" Type="http://schemas.openxmlformats.org/officeDocument/2006/relationships/hyperlink"/><Relationship Id="rId482" Target="https%3A%2F%2Fwww.webofscience.com%2Fwos%2Fwoscc%2Ffull-record%2FWOS%3A001453053100001" TargetMode="External" Type="http://schemas.openxmlformats.org/officeDocument/2006/relationships/hyperlink"/><Relationship Id="rId483" Target="http%3A%2F%2Fdx.doi.org%2F10.1785%2F0120240255" TargetMode="External" Type="http://schemas.openxmlformats.org/officeDocument/2006/relationships/hyperlink"/><Relationship Id="rId484" Target="https%3A%2F%2Fwww.webofscience.com%2Fwos%2Fwoscc%2Ffull-record%2FWOS%3A001605755500001" TargetMode="External" Type="http://schemas.openxmlformats.org/officeDocument/2006/relationships/hyperlink"/><Relationship Id="rId485" Target="http%3A%2F%2Fdx.doi.org%2F10.1109%2FACCESS.2025.3533537" TargetMode="External" Type="http://schemas.openxmlformats.org/officeDocument/2006/relationships/hyperlink"/><Relationship Id="rId486" Target="https%3A%2F%2Fwww.webofscience.com%2Fwos%2Fwoscc%2Ffull-record%2FWOS%3A001411998400032" TargetMode="External" Type="http://schemas.openxmlformats.org/officeDocument/2006/relationships/hyperlink"/><Relationship Id="rId487" Target="http%3A%2F%2Fdx.doi.org%2F10.1016%2Fj.aei.2026.104863" TargetMode="External" Type="http://schemas.openxmlformats.org/officeDocument/2006/relationships/hyperlink"/><Relationship Id="rId488" Target="https%3A%2F%2Fwww.webofscience.com%2Fwos%2Fwoscc%2Ffull-record%2FWOS%3A001786021700001" TargetMode="External" Type="http://schemas.openxmlformats.org/officeDocument/2006/relationships/hyperlink"/><Relationship Id="rId489" Target="http%3A%2F%2Fdx.doi.org%2F10.1021%2Facs.jcim.5c01734" TargetMode="External" Type="http://schemas.openxmlformats.org/officeDocument/2006/relationships/hyperlink"/><Relationship Id="rId49" Target="http%3A%2F%2Fdx.doi.org%2F10.1016%2Fj.bspc.2025.108538" TargetMode="External" Type="http://schemas.openxmlformats.org/officeDocument/2006/relationships/hyperlink"/><Relationship Id="rId490" Target="https%3A%2F%2Fwww.webofscience.com%2Fwos%2Fwoscc%2Ffull-record%2FWOS%3A001639254200001" TargetMode="External" Type="http://schemas.openxmlformats.org/officeDocument/2006/relationships/hyperlink"/><Relationship Id="rId491" Target="http%3A%2F%2Fdx.doi.org%2F10.1145%2F3572915" TargetMode="External" Type="http://schemas.openxmlformats.org/officeDocument/2006/relationships/hyperlink"/><Relationship Id="rId492" Target="https%3A%2F%2Fwww.webofscience.com%2Fwos%2Fwoscc%2Ffull-record%2FWOS%3A001011934700010" TargetMode="External" Type="http://schemas.openxmlformats.org/officeDocument/2006/relationships/hyperlink"/><Relationship Id="rId493" Target="http%3A%2F%2Fdx.doi.org%2F10.3390%2Fcomputers15030156" TargetMode="External" Type="http://schemas.openxmlformats.org/officeDocument/2006/relationships/hyperlink"/><Relationship Id="rId494" Target="https%3A%2F%2Fwww.webofscience.com%2Fwos%2Fwoscc%2Ffull-record%2FWOS%3A001725151300001" TargetMode="External" Type="http://schemas.openxmlformats.org/officeDocument/2006/relationships/hyperlink"/><Relationship Id="rId495" Target="http%3A%2F%2Fdx.doi.org%2F10.1002%2Fcam4.71077" TargetMode="External" Type="http://schemas.openxmlformats.org/officeDocument/2006/relationships/hyperlink"/><Relationship Id="rId496" Target="https%3A%2F%2Fwww.webofscience.com%2Fwos%2Fwoscc%2Ffull-record%2FWOS%3A001543956200001" TargetMode="External" Type="http://schemas.openxmlformats.org/officeDocument/2006/relationships/hyperlink"/><Relationship Id="rId497" Target="http%3A%2F%2Fdx.doi.org%2F10.1371%2Fjournal.pone.0333379" TargetMode="External" Type="http://schemas.openxmlformats.org/officeDocument/2006/relationships/hyperlink"/><Relationship Id="rId498" Target="https%3A%2F%2Fwww.webofscience.com%2Fwos%2Fwoscc%2Ffull-record%2FWOS%3A001591276000039" TargetMode="External" Type="http://schemas.openxmlformats.org/officeDocument/2006/relationships/hyperlink"/><Relationship Id="rId499" Target="http%3A%2F%2Fdx.doi.org%2F10.1007%2Fs10845-024-02544-7" TargetMode="External" Type="http://schemas.openxmlformats.org/officeDocument/2006/relationships/hyperlink"/><Relationship Id="rId5" Target="http%3A%2F%2Fdx.doi.org%2F10.1016%2Fj.apergo.2025.104513" TargetMode="External" Type="http://schemas.openxmlformats.org/officeDocument/2006/relationships/hyperlink"/><Relationship Id="rId50" Target="https%3A%2F%2Fwww.webofscience.com%2Fwos%2Fwoscc%2Ffull-record%2FWOS%3A001562848800002" TargetMode="External" Type="http://schemas.openxmlformats.org/officeDocument/2006/relationships/hyperlink"/><Relationship Id="rId500" Target="https%3A%2F%2Fwww.webofscience.com%2Fwos%2Fwoscc%2Ffull-record%2FWOS%3A001377507400001" TargetMode="External" Type="http://schemas.openxmlformats.org/officeDocument/2006/relationships/hyperlink"/><Relationship Id="rId501" Target="http%3A%2F%2Fdx.doi.org%2F10.3389%2Ffmed.2023.1058919" TargetMode="External" Type="http://schemas.openxmlformats.org/officeDocument/2006/relationships/hyperlink"/><Relationship Id="rId502" Target="https%3A%2F%2Fwww.webofscience.com%2Fwos%2Fwoscc%2Ffull-record%2FWOS%3A000953770400001" TargetMode="External" Type="http://schemas.openxmlformats.org/officeDocument/2006/relationships/hyperlink"/><Relationship Id="rId503" Target="http%3A%2F%2Fdx.doi.org%2F10.1016%2Fj.buildenv.2025.112706" TargetMode="External" Type="http://schemas.openxmlformats.org/officeDocument/2006/relationships/hyperlink"/><Relationship Id="rId504" Target="https%3A%2F%2Fwww.webofscience.com%2Fwos%2Fwoscc%2Ffull-record%2FWOS%3A001428734500001" TargetMode="External" Type="http://schemas.openxmlformats.org/officeDocument/2006/relationships/hyperlink"/><Relationship Id="rId505" Target="http%3A%2F%2Fdx.doi.org%2F10.1038%2Fs41598-026-41250-7" TargetMode="External" Type="http://schemas.openxmlformats.org/officeDocument/2006/relationships/hyperlink"/><Relationship Id="rId506" Target="https%3A%2F%2Fwww.webofscience.com%2Fwos%2Fwoscc%2Ffull-record%2FWOS%3A001768310700017" TargetMode="External" Type="http://schemas.openxmlformats.org/officeDocument/2006/relationships/hyperlink"/><Relationship Id="rId507" Target="http%3A%2F%2Fdx.doi.org%2F10.1002%2Fldr.70396" TargetMode="External" Type="http://schemas.openxmlformats.org/officeDocument/2006/relationships/hyperlink"/><Relationship Id="rId508" Target="https%3A%2F%2Fwww.webofscience.com%2Fwos%2Fwoscc%2Ffull-record%2FWOS%3A001712410400001" TargetMode="External" Type="http://schemas.openxmlformats.org/officeDocument/2006/relationships/hyperlink"/><Relationship Id="rId509" Target="http%3A%2F%2Fdx.doi.org%2F10.3390%2Fagriculture16131414" TargetMode="External" Type="http://schemas.openxmlformats.org/officeDocument/2006/relationships/hyperlink"/><Relationship Id="rId51" Target="http%3A%2F%2Fdx.doi.org%2F10.3389%2Ffimmu.2026.1915946" TargetMode="External" Type="http://schemas.openxmlformats.org/officeDocument/2006/relationships/hyperlink"/><Relationship Id="rId510" Target="https%3A%2F%2Fwww.webofscience.com%2Fwos%2Fwoscc%2Ffull-record%2FWOS%3A001817638400001" TargetMode="External" Type="http://schemas.openxmlformats.org/officeDocument/2006/relationships/hyperlink"/><Relationship Id="rId511" Target="http%3A%2F%2Fdx.doi.org%2F10.1155%2Fetep%2F5528391" TargetMode="External" Type="http://schemas.openxmlformats.org/officeDocument/2006/relationships/hyperlink"/><Relationship Id="rId512" Target="https%3A%2F%2Fwww.webofscience.com%2Fwos%2Fwoscc%2Ffull-record%2FWOS%3A001816523500001" TargetMode="External" Type="http://schemas.openxmlformats.org/officeDocument/2006/relationships/hyperlink"/><Relationship Id="rId513" Target="http%3A%2F%2Fdx.doi.org%2F10.3837%2Ftiis.2026.03.004" TargetMode="External" Type="http://schemas.openxmlformats.org/officeDocument/2006/relationships/hyperlink"/><Relationship Id="rId514" Target="https%3A%2F%2Fwww.webofscience.com%2Fwos%2Fwoscc%2Ffull-record%2FWOS%3A001733493400004" TargetMode="External" Type="http://schemas.openxmlformats.org/officeDocument/2006/relationships/hyperlink"/><Relationship Id="rId515" Target="http%3A%2F%2Fdx.doi.org%2F10.1109%2FTITS.2025.3558085" TargetMode="External" Type="http://schemas.openxmlformats.org/officeDocument/2006/relationships/hyperlink"/><Relationship Id="rId516" Target="https%3A%2F%2Fwww.webofscience.com%2Fwos%2Fwoscc%2Ffull-record%2FWOS%3A001480613800001" TargetMode="External" Type="http://schemas.openxmlformats.org/officeDocument/2006/relationships/hyperlink"/><Relationship Id="rId517" Target="http%3A%2F%2Fdx.doi.org%2F10.1109%2FTCBB.2022.3204619" TargetMode="External" Type="http://schemas.openxmlformats.org/officeDocument/2006/relationships/hyperlink"/><Relationship Id="rId518" Target="https%3A%2F%2Fwww.webofscience.com%2Fwos%2Fwoscc%2Ffull-record%2FWOS%3A001290429100049" TargetMode="External" Type="http://schemas.openxmlformats.org/officeDocument/2006/relationships/hyperlink"/><Relationship Id="rId519" Target="http%3A%2F%2Fdx.doi.org%2F10.1109%2FTNNLS.2026.3677806" TargetMode="External" Type="http://schemas.openxmlformats.org/officeDocument/2006/relationships/hyperlink"/><Relationship Id="rId52" Target="https%3A%2F%2Fwww.webofscience.com%2Fwos%2Fwoscc%2Ffull-record%2FWOS%3A001853348000001" TargetMode="External" Type="http://schemas.openxmlformats.org/officeDocument/2006/relationships/hyperlink"/><Relationship Id="rId520" Target="https%3A%2F%2Fwww.webofscience.com%2Fwos%2Fwoscc%2Ffull-record%2FWOS%3A001732758600001" TargetMode="External" Type="http://schemas.openxmlformats.org/officeDocument/2006/relationships/hyperlink"/><Relationship Id="rId521" Target="http%3A%2F%2Fdx.doi.org%2F10.3389%2Ffphar.2025.1639979" TargetMode="External" Type="http://schemas.openxmlformats.org/officeDocument/2006/relationships/hyperlink"/><Relationship Id="rId522" Target="https%3A%2F%2Fwww.webofscience.com%2Fwos%2Fwoscc%2Ffull-record%2FWOS%3A001629533600001" TargetMode="External" Type="http://schemas.openxmlformats.org/officeDocument/2006/relationships/hyperlink"/><Relationship Id="rId523" Target="http%3A%2F%2Fdx.doi.org%2F10.1021%2Facs.jcim.5c00430" TargetMode="External" Type="http://schemas.openxmlformats.org/officeDocument/2006/relationships/hyperlink"/><Relationship Id="rId524" Target="https%3A%2F%2Fwww.webofscience.com%2Fwos%2Fwoscc%2Ffull-record%2FWOS%3A001518554400001" TargetMode="External" Type="http://schemas.openxmlformats.org/officeDocument/2006/relationships/hyperlink"/><Relationship Id="rId525" Target="http%3A%2F%2Fdx.doi.org%2F10.1109%2FJIOT.2025.3554541" TargetMode="External" Type="http://schemas.openxmlformats.org/officeDocument/2006/relationships/hyperlink"/><Relationship Id="rId526" Target="https%3A%2F%2Fwww.webofscience.com%2Fwos%2Fwoscc%2Ffull-record%2FWOS%3A001513138500038" TargetMode="External" Type="http://schemas.openxmlformats.org/officeDocument/2006/relationships/hyperlink"/><Relationship Id="rId527" Target="http%3A%2F%2Fdx.doi.org%2F10.1109%2FTASE.2026.3689353" TargetMode="External" Type="http://schemas.openxmlformats.org/officeDocument/2006/relationships/hyperlink"/><Relationship Id="rId528" Target="https%3A%2F%2Fwww.webofscience.com%2Fwos%2Fwoscc%2Ffull-record%2FWOS%3A001760314200003" TargetMode="External" Type="http://schemas.openxmlformats.org/officeDocument/2006/relationships/hyperlink"/><Relationship Id="rId529" Target="http%3A%2F%2Fdx.doi.org%2F10.1038%2Fs41598-026-51963-4" TargetMode="External" Type="http://schemas.openxmlformats.org/officeDocument/2006/relationships/hyperlink"/><Relationship Id="rId53" Target="http%3A%2F%2Fdx.doi.org%2F10.1109%2FTVCG.2021.3114794" TargetMode="External" Type="http://schemas.openxmlformats.org/officeDocument/2006/relationships/hyperlink"/><Relationship Id="rId530" Target="https%3A%2F%2Fwww.webofscience.com%2Fwos%2Fwoscc%2Ffull-record%2FWOS%3A001787676200001" TargetMode="External" Type="http://schemas.openxmlformats.org/officeDocument/2006/relationships/hyperlink"/><Relationship Id="rId531" Target="http%3A%2F%2Fdx.doi.org%2F10.1007%2Fs44192-026-00388-6" TargetMode="External" Type="http://schemas.openxmlformats.org/officeDocument/2006/relationships/hyperlink"/><Relationship Id="rId532" Target="https%3A%2F%2Fwww.webofscience.com%2Fwos%2Fwoscc%2Ffull-record%2FWOS%3A001724700000001" TargetMode="External" Type="http://schemas.openxmlformats.org/officeDocument/2006/relationships/hyperlink"/><Relationship Id="rId533" Target="http%3A%2F%2Fdx.doi.org%2F10.1007%2Fs10207-024-00965-2" TargetMode="External" Type="http://schemas.openxmlformats.org/officeDocument/2006/relationships/hyperlink"/><Relationship Id="rId534" Target="https%3A%2F%2Fwww.webofscience.com%2Fwos%2Fwoscc%2Ffull-record%2FWOS%3A001380243500002" TargetMode="External" Type="http://schemas.openxmlformats.org/officeDocument/2006/relationships/hyperlink"/><Relationship Id="rId535" Target="http%3A%2F%2Fdx.doi.org%2F10.1111%2Fjcal.13028" TargetMode="External" Type="http://schemas.openxmlformats.org/officeDocument/2006/relationships/hyperlink"/><Relationship Id="rId536" Target="https%3A%2F%2Fwww.webofscience.com%2Fwos%2Fwoscc%2Ffull-record%2FWOS%3A001238762500001" TargetMode="External" Type="http://schemas.openxmlformats.org/officeDocument/2006/relationships/hyperlink"/><Relationship Id="rId537" Target="http%3A%2F%2Fdx.doi.org%2F10.2196%2F54538" TargetMode="External" Type="http://schemas.openxmlformats.org/officeDocument/2006/relationships/hyperlink"/><Relationship Id="rId538" Target="https%3A%2F%2Fwww.webofscience.com%2Fwos%2Fwoscc%2Ffull-record%2FWOS%3A001223618300006" TargetMode="External" Type="http://schemas.openxmlformats.org/officeDocument/2006/relationships/hyperlink"/><Relationship Id="rId54" Target="https%3A%2F%2Fwww.webofscience.com%2Fwos%2Fwoscc%2Ffull-record%2FWOS%3A000733959000083" TargetMode="External" Type="http://schemas.openxmlformats.org/officeDocument/2006/relationships/hyperlink"/><Relationship Id="rId55" Target="http%3A%2F%2Fdx.doi.org%2F10.1007%2Fs00330-025-11450-2" TargetMode="External" Type="http://schemas.openxmlformats.org/officeDocument/2006/relationships/hyperlink"/><Relationship Id="rId56" Target="https%3A%2F%2Fwww.webofscience.com%2Fwos%2Fwoscc%2Ffull-record%2FWOS%3A001423008600001" TargetMode="External" Type="http://schemas.openxmlformats.org/officeDocument/2006/relationships/hyperlink"/><Relationship Id="rId57" Target="http%3A%2F%2Fdx.doi.org%2F10.1016%2Fj.neuroimage.2023.120485" TargetMode="External" Type="http://schemas.openxmlformats.org/officeDocument/2006/relationships/hyperlink"/><Relationship Id="rId58" Target="https%3A%2F%2Fwww.webofscience.com%2Fwos%2Fwoscc%2Ffull-record%2FWOS%3A001153377600001" TargetMode="External" Type="http://schemas.openxmlformats.org/officeDocument/2006/relationships/hyperlink"/><Relationship Id="rId59" Target="http%3A%2F%2Fdx.doi.org%2F10.3390%2Felectronics12071516" TargetMode="External" Type="http://schemas.openxmlformats.org/officeDocument/2006/relationships/hyperlink"/><Relationship Id="rId6" Target="https%3A%2F%2Fwww.webofscience.com%2Fwos%2Fwoscc%2Ffull-record%2FWOS%3A001462000900001" TargetMode="External" Type="http://schemas.openxmlformats.org/officeDocument/2006/relationships/hyperlink"/><Relationship Id="rId60" Target="https%3A%2F%2Fwww.webofscience.com%2Fwos%2Fwoscc%2Ffull-record%2FWOS%3A000971794800001" TargetMode="External" Type="http://schemas.openxmlformats.org/officeDocument/2006/relationships/hyperlink"/><Relationship Id="rId61" Target="http%3A%2F%2Fdx.doi.org%2F10.1148%2Fradiol.230806" TargetMode="External" Type="http://schemas.openxmlformats.org/officeDocument/2006/relationships/hyperlink"/><Relationship Id="rId62" Target="https%3A%2F%2Fwww.webofscience.com%2Fwos%2Fwoscc%2Ffull-record%2FWOS%3A001111028800010" TargetMode="External" Type="http://schemas.openxmlformats.org/officeDocument/2006/relationships/hyperlink"/><Relationship Id="rId63" Target="http%3A%2F%2Fdx.doi.org%2F10.3389%2Ffradi.2025.1698680" TargetMode="External" Type="http://schemas.openxmlformats.org/officeDocument/2006/relationships/hyperlink"/><Relationship Id="rId64" Target="https%3A%2F%2Fwww.webofscience.com%2Fwos%2Fwoscc%2Ffull-record%2FWOS%3A001632714500001" TargetMode="External" Type="http://schemas.openxmlformats.org/officeDocument/2006/relationships/hyperlink"/><Relationship Id="rId65" Target="http%3A%2F%2Fdx.doi.org%2F10.1016%2Fj.ophtha.2022.02.017" TargetMode="External" Type="http://schemas.openxmlformats.org/officeDocument/2006/relationships/hyperlink"/><Relationship Id="rId66" Target="https%3A%2F%2Fwww.webofscience.com%2Fwos%2Fwoscc%2Ffull-record%2FWOS%3A000885754600012" TargetMode="External" Type="http://schemas.openxmlformats.org/officeDocument/2006/relationships/hyperlink"/><Relationship Id="rId67" Target="http%3A%2F%2Fdx.doi.org%2F10.3389%2Ffpubh.2025.1687335" TargetMode="External" Type="http://schemas.openxmlformats.org/officeDocument/2006/relationships/hyperlink"/><Relationship Id="rId68" Target="https%3A%2F%2Fwww.webofscience.com%2Fwos%2Fwoscc%2Ffull-record%2FWOS%3A001663671900001" TargetMode="External" Type="http://schemas.openxmlformats.org/officeDocument/2006/relationships/hyperlink"/><Relationship Id="rId69" Target="http%3A%2F%2Fdx.doi.org%2F10.1016%2Fj.xops.2025.100985" TargetMode="External" Type="http://schemas.openxmlformats.org/officeDocument/2006/relationships/hyperlink"/><Relationship Id="rId7" Target="http%3A%2F%2Fdx.doi.org%2F10.1002%2Faisy.202400947" TargetMode="External" Type="http://schemas.openxmlformats.org/officeDocument/2006/relationships/hyperlink"/><Relationship Id="rId70" Target="https%3A%2F%2Fwww.webofscience.com%2Fwos%2Fwoscc%2Ffull-record%2FWOS%3A001634635400001" TargetMode="External" Type="http://schemas.openxmlformats.org/officeDocument/2006/relationships/hyperlink"/><Relationship Id="rId71" Target="http%3A%2F%2Fdx.doi.org%2F10.1016%2Fj.compbiomed.2024.108035" TargetMode="External" Type="http://schemas.openxmlformats.org/officeDocument/2006/relationships/hyperlink"/><Relationship Id="rId72" Target="https%3A%2F%2Fwww.webofscience.com%2Fwos%2Fwoscc%2Ffull-record%2FWOS%3A001175135900001" TargetMode="External" Type="http://schemas.openxmlformats.org/officeDocument/2006/relationships/hyperlink"/><Relationship Id="rId73" Target="http%3A%2F%2Fdx.doi.org%2F10.1109%2FACCESS.2025.3582242" TargetMode="External" Type="http://schemas.openxmlformats.org/officeDocument/2006/relationships/hyperlink"/><Relationship Id="rId74" Target="https%3A%2F%2Fwww.webofscience.com%2Fwos%2Fwoscc%2Ffull-record%2FWOS%3A001518758800017" TargetMode="External" Type="http://schemas.openxmlformats.org/officeDocument/2006/relationships/hyperlink"/><Relationship Id="rId75" Target="http%3A%2F%2Fdx.doi.org%2F10.1007%2Fs11704-021-0611-6" TargetMode="External" Type="http://schemas.openxmlformats.org/officeDocument/2006/relationships/hyperlink"/><Relationship Id="rId76" Target="https%3A%2F%2Fwww.webofscience.com%2Fwos%2Fwoscc%2Ffull-record%2FWOS%3A000695131600004" TargetMode="External" Type="http://schemas.openxmlformats.org/officeDocument/2006/relationships/hyperlink"/><Relationship Id="rId77" Target="http%3A%2F%2Fdx.doi.org%2F10.1097%2FJS9.0000000000001241" TargetMode="External" Type="http://schemas.openxmlformats.org/officeDocument/2006/relationships/hyperlink"/><Relationship Id="rId78" Target="https%3A%2F%2Fwww.webofscience.com%2Fwos%2Fwoscc%2Ffull-record%2FWOS%3A001248212000009" TargetMode="External" Type="http://schemas.openxmlformats.org/officeDocument/2006/relationships/hyperlink"/><Relationship Id="rId79" Target="http%3A%2F%2Fdx.doi.org%2F10.1002%2Facm2.70464" TargetMode="External" Type="http://schemas.openxmlformats.org/officeDocument/2006/relationships/hyperlink"/><Relationship Id="rId8" Target="https%3A%2F%2Fwww.webofscience.com%2Fwos%2Fwoscc%2Ffull-record%2FWOS%3A001459881100001" TargetMode="External" Type="http://schemas.openxmlformats.org/officeDocument/2006/relationships/hyperlink"/><Relationship Id="rId80" Target="https%3A%2F%2Fwww.webofscience.com%2Fwos%2Fwoscc%2Ffull-record%2FWOS%3A001664131700001" TargetMode="External" Type="http://schemas.openxmlformats.org/officeDocument/2006/relationships/hyperlink"/><Relationship Id="rId81" Target="http%3A%2F%2Fdx.doi.org%2F10.3390%2Ftechnologies14070441" TargetMode="External" Type="http://schemas.openxmlformats.org/officeDocument/2006/relationships/hyperlink"/><Relationship Id="rId82" Target="https%3A%2F%2Fwww.webofscience.com%2Fwos%2Fwoscc%2Ffull-record%2FWOS%3A001831722800001" TargetMode="External" Type="http://schemas.openxmlformats.org/officeDocument/2006/relationships/hyperlink"/><Relationship Id="rId83" Target="http%3A%2F%2Fdx.doi.org%2F10.1002%2FVIW.20250157" TargetMode="External" Type="http://schemas.openxmlformats.org/officeDocument/2006/relationships/hyperlink"/><Relationship Id="rId84" Target="https%3A%2F%2Fwww.webofscience.com%2Fwos%2Fwoscc%2Ffull-record%2FWOS%3A001625246800001" TargetMode="External" Type="http://schemas.openxmlformats.org/officeDocument/2006/relationships/hyperlink"/><Relationship Id="rId85" Target="http%3A%2F%2Fdx.doi.org%2F10.1021%2Facs.est.3c08016" TargetMode="External" Type="http://schemas.openxmlformats.org/officeDocument/2006/relationships/hyperlink"/><Relationship Id="rId86" Target="https%3A%2F%2Fwww.webofscience.com%2Fwos%2Fwoscc%2Ffull-record%2FWOS%3A001154822700001" TargetMode="External" Type="http://schemas.openxmlformats.org/officeDocument/2006/relationships/hyperlink"/><Relationship Id="rId87" Target="http%3A%2F%2Fdx.doi.org%2F10.1093%2Fbib%2Fbbaf590" TargetMode="External" Type="http://schemas.openxmlformats.org/officeDocument/2006/relationships/hyperlink"/><Relationship Id="rId88" Target="https%3A%2F%2Fwww.webofscience.com%2Fwos%2Fwoscc%2Ffull-record%2FWOS%3A001612959200001" TargetMode="External" Type="http://schemas.openxmlformats.org/officeDocument/2006/relationships/hyperlink"/><Relationship Id="rId89" Target="http%3A%2F%2Fdx.doi.org%2F10.3390%2Fapp15094828" TargetMode="External" Type="http://schemas.openxmlformats.org/officeDocument/2006/relationships/hyperlink"/><Relationship Id="rId9" Target="http%3A%2F%2Fdx.doi.org%2F10.1016%2Fj.jid.2025.03.034" TargetMode="External" Type="http://schemas.openxmlformats.org/officeDocument/2006/relationships/hyperlink"/><Relationship Id="rId90" Target="https%3A%2F%2Fwww.webofscience.com%2Fwos%2Fwoscc%2Ffull-record%2FWOS%3A001486143900001" TargetMode="External" Type="http://schemas.openxmlformats.org/officeDocument/2006/relationships/hyperlink"/><Relationship Id="rId91" Target="http%3A%2F%2Fdx.doi.org%2F10.1007%2Fs00261-024-04202-1" TargetMode="External" Type="http://schemas.openxmlformats.org/officeDocument/2006/relationships/hyperlink"/><Relationship Id="rId92" Target="https%3A%2F%2Fwww.webofscience.com%2Fwos%2Fwoscc%2Ffull-record%2FWOS%3A001174830300001" TargetMode="External" Type="http://schemas.openxmlformats.org/officeDocument/2006/relationships/hyperlink"/><Relationship Id="rId93" Target="http%3A%2F%2Fdx.doi.org%2F10.1142%2FS0218126625501737" TargetMode="External" Type="http://schemas.openxmlformats.org/officeDocument/2006/relationships/hyperlink"/><Relationship Id="rId94" Target="https%3A%2F%2Fwww.webofscience.com%2Fwos%2Fwoscc%2Ffull-record%2FWOS%3A001467353700001" TargetMode="External" Type="http://schemas.openxmlformats.org/officeDocument/2006/relationships/hyperlink"/><Relationship Id="rId95" Target="http%3A%2F%2Fdx.doi.org%2F10.1097%2Feus.0000000000000145" TargetMode="External" Type="http://schemas.openxmlformats.org/officeDocument/2006/relationships/hyperlink"/><Relationship Id="rId96" Target="https%3A%2F%2Fwww.webofscience.com%2Fwos%2Fwoscc%2Ffull-record%2FWOS%3A001615849600003" TargetMode="External" Type="http://schemas.openxmlformats.org/officeDocument/2006/relationships/hyperlink"/><Relationship Id="rId97" Target="http%3A%2F%2Fdx.doi.org%2F10.7717%2Fpeerj-cs.3671" TargetMode="External" Type="http://schemas.openxmlformats.org/officeDocument/2006/relationships/hyperlink"/><Relationship Id="rId98" Target="https%3A%2F%2Fwww.webofscience.com%2Fwos%2Fwoscc%2Ffull-record%2FWOS%3A001739104300001" TargetMode="External" Type="http://schemas.openxmlformats.org/officeDocument/2006/relationships/hyperlink"/><Relationship Id="rId99" Target="http%3A%2F%2Fdx.doi.org%2F10.1016%2Fj.heliyon.2023.e1655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BY272"/>
  <sheetViews>
    <sheetView workbookViewId="0" tabSelected="true">
      <pane ySplit="1.0" state="frozen" topLeftCell="A2" activePane="bottomLeft"/>
      <selection pane="bottomLeft"/>
    </sheetView>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57</v>
      </c>
      <c r="BG1" t="s" s="0">
        <v>58</v>
      </c>
      <c r="BH1" t="s" s="0">
        <v>59</v>
      </c>
      <c r="BI1" t="s" s="0">
        <v>60</v>
      </c>
      <c r="BJ1" t="s" s="0">
        <v>61</v>
      </c>
      <c r="BK1" t="s" s="0">
        <v>62</v>
      </c>
      <c r="BL1" t="s" s="0">
        <v>63</v>
      </c>
      <c r="BM1" t="s" s="0">
        <v>64</v>
      </c>
      <c r="BN1" t="s" s="0">
        <v>65</v>
      </c>
      <c r="BO1" t="s" s="0">
        <v>66</v>
      </c>
      <c r="BP1" t="s" s="0">
        <v>67</v>
      </c>
      <c r="BQ1" t="s" s="0">
        <v>68</v>
      </c>
      <c r="BR1" t="s" s="0">
        <v>69</v>
      </c>
      <c r="BS1" t="s" s="0">
        <v>70</v>
      </c>
      <c r="BT1" t="s" s="0">
        <v>71</v>
      </c>
      <c r="BU1" t="s" s="0">
        <v>72</v>
      </c>
      <c r="BV1" t="s" s="0">
        <v>73</v>
      </c>
      <c r="BW1" t="s" s="0">
        <v>74</v>
      </c>
      <c r="BX1" t="s" s="0">
        <v>75</v>
      </c>
      <c r="BY1" t="s" s="0">
        <v>76</v>
      </c>
    </row>
    <row r="2">
      <c r="A2" t="s" s="0">
        <v>77</v>
      </c>
      <c r="B2" t="s" s="0">
        <v>77</v>
      </c>
      <c r="C2" t="s" s="0">
        <v>77</v>
      </c>
      <c r="D2" t="s" s="0">
        <v>77</v>
      </c>
      <c r="E2" t="s" s="0">
        <v>78</v>
      </c>
      <c r="F2" t="s" s="0">
        <v>79</v>
      </c>
      <c r="G2" t="s" s="0">
        <v>80</v>
      </c>
      <c r="H2" t="s" s="0">
        <v>81</v>
      </c>
      <c r="I2" t="s" s="0">
        <v>82</v>
      </c>
      <c r="J2" t="s" s="0">
        <v>83</v>
      </c>
      <c r="K2" t="s" s="0">
        <v>84</v>
      </c>
      <c r="L2" t="s" s="0">
        <v>81</v>
      </c>
      <c r="M2" t="s" s="0">
        <v>81</v>
      </c>
      <c r="N2" t="s" s="0">
        <v>81</v>
      </c>
      <c r="O2" t="s" s="0">
        <v>85</v>
      </c>
      <c r="P2" t="s" s="0">
        <v>86</v>
      </c>
      <c r="Q2" t="s" s="0">
        <v>87</v>
      </c>
      <c r="R2" t="s" s="0">
        <v>81</v>
      </c>
      <c r="S2" t="s" s="0">
        <v>81</v>
      </c>
      <c r="T2" t="s" s="0">
        <v>81</v>
      </c>
      <c r="U2" t="s" s="0">
        <v>81</v>
      </c>
      <c r="V2" t="s" s="0">
        <v>88</v>
      </c>
      <c r="W2" t="s" s="0">
        <v>89</v>
      </c>
      <c r="X2" t="s" s="0">
        <v>81</v>
      </c>
      <c r="Y2" t="s" s="0">
        <v>81</v>
      </c>
      <c r="Z2" t="s" s="0">
        <v>90</v>
      </c>
      <c r="AA2" t="s" s="0">
        <v>91</v>
      </c>
      <c r="AB2" t="s" s="0">
        <v>81</v>
      </c>
      <c r="AC2" t="s" s="0">
        <v>81</v>
      </c>
      <c r="AD2" t="s" s="0">
        <v>81</v>
      </c>
      <c r="AE2" t="s" s="0">
        <v>81</v>
      </c>
      <c r="AF2" t="s" s="0">
        <v>81</v>
      </c>
      <c r="AG2" t="s" s="0">
        <v>81</v>
      </c>
      <c r="AH2" t="s" s="0">
        <v>81</v>
      </c>
      <c r="AI2" t="s" s="0">
        <v>92</v>
      </c>
      <c r="AJ2" t="s" s="0">
        <v>81</v>
      </c>
      <c r="AK2" t="s" s="0">
        <v>81</v>
      </c>
      <c r="AL2" t="s" s="0">
        <v>93</v>
      </c>
      <c r="AM2" t="s" s="0">
        <v>77</v>
      </c>
      <c r="AN2" t="s" s="0">
        <v>77</v>
      </c>
      <c r="AO2" t="s" s="0">
        <v>77</v>
      </c>
      <c r="AP2" t="s" s="0">
        <v>77</v>
      </c>
      <c r="AQ2" t="s" s="0">
        <v>94</v>
      </c>
      <c r="AR2" t="s" s="0">
        <v>95</v>
      </c>
      <c r="AS2" t="s" s="0">
        <v>96</v>
      </c>
      <c r="AT2" t="s" s="0">
        <v>97</v>
      </c>
      <c r="AU2" t="s" s="0">
        <v>98</v>
      </c>
      <c r="AV2" t="s" s="0">
        <v>81</v>
      </c>
      <c r="AW2" t="s" s="0">
        <v>89</v>
      </c>
      <c r="AX2" t="s" s="0">
        <v>99</v>
      </c>
      <c r="AY2" t="s" s="0">
        <v>100</v>
      </c>
      <c r="AZ2" t="s" s="0">
        <v>101</v>
      </c>
      <c r="BA2" t="s" s="0">
        <v>102</v>
      </c>
      <c r="BB2" t="s" s="0">
        <v>103</v>
      </c>
      <c r="BC2" t="s" s="0">
        <v>81</v>
      </c>
      <c r="BD2" t="s" s="0">
        <v>81</v>
      </c>
      <c r="BE2" t="s" s="0">
        <v>81</v>
      </c>
      <c r="BF2" t="s" s="0">
        <v>81</v>
      </c>
      <c r="BG2" t="s" s="0">
        <v>81</v>
      </c>
      <c r="BH2" t="s" s="0">
        <v>81</v>
      </c>
      <c r="BI2" t="s" s="0">
        <v>104</v>
      </c>
      <c r="BJ2" t="s" s="0">
        <v>105</v>
      </c>
      <c r="BK2" t="s" s="1">
        <f>HYPERLINK("http://dx.doi.org/10.1093/bioinformatics/btag356","http://dx.doi.org/10.1093/bioinformatics/btag356")</f>
        <v>106</v>
      </c>
      <c r="BL2" t="s" s="0">
        <v>81</v>
      </c>
      <c r="BM2" t="s" s="0">
        <v>81</v>
      </c>
      <c r="BN2" t="s" s="0">
        <v>107</v>
      </c>
      <c r="BO2" t="s" s="0">
        <v>108</v>
      </c>
      <c r="BP2" t="s" s="0">
        <v>109</v>
      </c>
      <c r="BQ2" t="s" s="0">
        <v>110</v>
      </c>
      <c r="BR2" t="s" s="0">
        <v>111</v>
      </c>
      <c r="BS2" t="s" s="0">
        <v>112</v>
      </c>
      <c r="BT2" t="s" s="2">
        <f>HYPERLINK("https://www.webofscience.com/wos/woscc/full-record/WOS:001797266200001","View Record in Web of Science")</f>
        <v>113</v>
      </c>
      <c r="BU2" t="s" s="0">
        <v>114</v>
      </c>
      <c r="BV2" t="s" s="0">
        <v>81</v>
      </c>
      <c r="BW2" t="s" s="0">
        <v>81</v>
      </c>
      <c r="BX2" t="s" s="0">
        <v>115</v>
      </c>
    </row>
    <row r="3">
      <c r="A3" t="s" s="0">
        <v>77</v>
      </c>
      <c r="B3" t="s" s="0">
        <v>77</v>
      </c>
      <c r="C3" t="s" s="0">
        <v>116</v>
      </c>
      <c r="D3" t="s" s="0">
        <v>77</v>
      </c>
      <c r="E3" t="s" s="0">
        <v>117</v>
      </c>
      <c r="F3" t="s" s="0">
        <v>118</v>
      </c>
      <c r="G3" t="s" s="0">
        <v>119</v>
      </c>
      <c r="H3" t="s" s="0">
        <v>81</v>
      </c>
      <c r="I3" t="s" s="0">
        <v>82</v>
      </c>
      <c r="J3" t="s" s="0">
        <v>120</v>
      </c>
      <c r="K3" t="s" s="0">
        <v>121</v>
      </c>
      <c r="L3" t="s" s="0">
        <v>122</v>
      </c>
      <c r="M3" t="s" s="0">
        <v>123</v>
      </c>
      <c r="N3" t="s" s="0">
        <v>124</v>
      </c>
      <c r="O3" t="s" s="0">
        <v>125</v>
      </c>
      <c r="P3" t="s" s="0">
        <v>126</v>
      </c>
      <c r="Q3" t="s" s="0">
        <v>87</v>
      </c>
      <c r="R3" t="s" s="0">
        <v>81</v>
      </c>
      <c r="S3" t="s" s="0">
        <v>81</v>
      </c>
      <c r="T3" t="s" s="0">
        <v>81</v>
      </c>
      <c r="U3" t="s" s="0">
        <v>81</v>
      </c>
      <c r="V3" t="s" s="0">
        <v>127</v>
      </c>
      <c r="W3" t="s" s="0">
        <v>128</v>
      </c>
      <c r="X3" t="s" s="0">
        <v>81</v>
      </c>
      <c r="Y3" t="s" s="0">
        <v>81</v>
      </c>
      <c r="Z3" t="s" s="0">
        <v>90</v>
      </c>
      <c r="AA3" t="s" s="0">
        <v>91</v>
      </c>
      <c r="AB3" t="s" s="0">
        <v>81</v>
      </c>
      <c r="AC3" t="s" s="0">
        <v>81</v>
      </c>
      <c r="AD3" t="s" s="0">
        <v>81</v>
      </c>
      <c r="AE3" t="s" s="0">
        <v>81</v>
      </c>
      <c r="AF3" t="s" s="0">
        <v>81</v>
      </c>
      <c r="AG3" t="s" s="0">
        <v>129</v>
      </c>
      <c r="AH3" t="s" s="0">
        <v>130</v>
      </c>
      <c r="AI3" t="s" s="0">
        <v>81</v>
      </c>
      <c r="AJ3" t="s" s="0">
        <v>131</v>
      </c>
      <c r="AK3" t="s" s="0">
        <v>81</v>
      </c>
      <c r="AL3" t="s" s="0">
        <v>132</v>
      </c>
      <c r="AM3" t="s" s="0">
        <v>133</v>
      </c>
      <c r="AN3" t="s" s="0">
        <v>133</v>
      </c>
      <c r="AO3" t="s" s="0">
        <v>77</v>
      </c>
      <c r="AP3" t="s" s="0">
        <v>134</v>
      </c>
      <c r="AQ3" t="s" s="0">
        <v>135</v>
      </c>
      <c r="AR3" t="s" s="0">
        <v>136</v>
      </c>
      <c r="AS3" t="s" s="0">
        <v>137</v>
      </c>
      <c r="AT3" t="s" s="0">
        <v>138</v>
      </c>
      <c r="AU3" t="s" s="0">
        <v>81</v>
      </c>
      <c r="AV3" t="s" s="0">
        <v>81</v>
      </c>
      <c r="AW3" t="s" s="0">
        <v>139</v>
      </c>
      <c r="AX3" t="s" s="0">
        <v>140</v>
      </c>
      <c r="AY3" t="s" s="0">
        <v>141</v>
      </c>
      <c r="AZ3" t="s" s="0">
        <v>142</v>
      </c>
      <c r="BA3" t="s" s="0">
        <v>143</v>
      </c>
      <c r="BB3" t="s" s="0">
        <v>144</v>
      </c>
      <c r="BC3" t="s" s="0">
        <v>81</v>
      </c>
      <c r="BD3" t="s" s="0">
        <v>81</v>
      </c>
      <c r="BE3" t="s" s="0">
        <v>81</v>
      </c>
      <c r="BF3" t="s" s="0">
        <v>81</v>
      </c>
      <c r="BG3" t="s" s="0">
        <v>81</v>
      </c>
      <c r="BH3" t="s" s="0">
        <v>81</v>
      </c>
      <c r="BI3" t="s" s="0">
        <v>145</v>
      </c>
      <c r="BJ3" t="s" s="0">
        <v>146</v>
      </c>
      <c r="BK3" t="s" s="3">
        <f>HYPERLINK("http://dx.doi.org/10.1038/s41598-025-94612-y","http://dx.doi.org/10.1038/s41598-025-94612-y")</f>
        <v>147</v>
      </c>
      <c r="BL3" t="s" s="0">
        <v>81</v>
      </c>
      <c r="BM3" t="s" s="0">
        <v>81</v>
      </c>
      <c r="BN3" t="s" s="0">
        <v>133</v>
      </c>
      <c r="BO3" t="s" s="0">
        <v>148</v>
      </c>
      <c r="BP3" t="s" s="0">
        <v>149</v>
      </c>
      <c r="BQ3" t="s" s="0">
        <v>150</v>
      </c>
      <c r="BR3" t="s" s="0">
        <v>151</v>
      </c>
      <c r="BS3" t="s" s="0">
        <v>152</v>
      </c>
      <c r="BT3" t="s" s="4">
        <f>HYPERLINK("https://www.webofscience.com/wos/woscc/full-record/WOS:001454464200002","View Record in Web of Science")</f>
        <v>113</v>
      </c>
      <c r="BU3" t="s" s="0">
        <v>153</v>
      </c>
      <c r="BV3" t="s" s="0">
        <v>81</v>
      </c>
      <c r="BW3" t="s" s="0">
        <v>81</v>
      </c>
      <c r="BX3" t="s" s="0">
        <v>115</v>
      </c>
    </row>
    <row r="4">
      <c r="A4" t="s" s="0">
        <v>77</v>
      </c>
      <c r="B4" t="s" s="0">
        <v>77</v>
      </c>
      <c r="C4" t="s" s="0">
        <v>77</v>
      </c>
      <c r="D4" t="s" s="0">
        <v>77</v>
      </c>
      <c r="E4" t="s" s="0">
        <v>154</v>
      </c>
      <c r="F4" t="s" s="0">
        <v>155</v>
      </c>
      <c r="G4" t="s" s="0">
        <v>156</v>
      </c>
      <c r="H4" t="s" s="0">
        <v>81</v>
      </c>
      <c r="I4" t="s" s="0">
        <v>157</v>
      </c>
      <c r="J4" t="s" s="0">
        <v>158</v>
      </c>
      <c r="K4" t="s" s="0">
        <v>159</v>
      </c>
      <c r="L4" t="s" s="0">
        <v>160</v>
      </c>
      <c r="M4" t="s" s="0">
        <v>161</v>
      </c>
      <c r="N4" t="s" s="0">
        <v>162</v>
      </c>
      <c r="O4" t="s" s="0">
        <v>163</v>
      </c>
      <c r="P4" t="s" s="0">
        <v>164</v>
      </c>
      <c r="Q4" t="s" s="0">
        <v>87</v>
      </c>
      <c r="R4" t="s" s="0">
        <v>81</v>
      </c>
      <c r="S4" t="s" s="0">
        <v>81</v>
      </c>
      <c r="T4" t="s" s="0">
        <v>81</v>
      </c>
      <c r="U4" t="s" s="0">
        <v>81</v>
      </c>
      <c r="V4" t="s" s="0">
        <v>165</v>
      </c>
      <c r="W4" t="s" s="0">
        <v>166</v>
      </c>
      <c r="X4" t="s" s="0">
        <v>81</v>
      </c>
      <c r="Y4" t="s" s="0">
        <v>81</v>
      </c>
      <c r="Z4" t="s" s="0">
        <v>90</v>
      </c>
      <c r="AA4" t="s" s="0">
        <v>91</v>
      </c>
      <c r="AB4" t="s" s="0">
        <v>81</v>
      </c>
      <c r="AC4" t="s" s="0">
        <v>81</v>
      </c>
      <c r="AD4" t="s" s="0">
        <v>81</v>
      </c>
      <c r="AE4" t="s" s="0">
        <v>81</v>
      </c>
      <c r="AF4" t="s" s="0">
        <v>81</v>
      </c>
      <c r="AG4" t="s" s="0">
        <v>167</v>
      </c>
      <c r="AH4" t="s" s="0">
        <v>168</v>
      </c>
      <c r="AI4" t="s" s="0">
        <v>169</v>
      </c>
      <c r="AJ4" t="s" s="0">
        <v>170</v>
      </c>
      <c r="AK4" t="s" s="0">
        <v>81</v>
      </c>
      <c r="AL4" t="s" s="0">
        <v>171</v>
      </c>
      <c r="AM4" t="s" s="0">
        <v>172</v>
      </c>
      <c r="AN4" t="s" s="0">
        <v>133</v>
      </c>
      <c r="AO4" t="s" s="0">
        <v>103</v>
      </c>
      <c r="AP4" t="s" s="0">
        <v>173</v>
      </c>
      <c r="AQ4" t="s" s="0">
        <v>174</v>
      </c>
      <c r="AR4" t="s" s="0">
        <v>175</v>
      </c>
      <c r="AS4" t="s" s="0">
        <v>176</v>
      </c>
      <c r="AT4" t="s" s="0">
        <v>177</v>
      </c>
      <c r="AU4" t="s" s="0">
        <v>178</v>
      </c>
      <c r="AV4" t="s" s="0">
        <v>81</v>
      </c>
      <c r="AW4" t="s" s="0">
        <v>179</v>
      </c>
      <c r="AX4" t="s" s="0">
        <v>180</v>
      </c>
      <c r="AY4" t="s" s="0">
        <v>181</v>
      </c>
      <c r="AZ4" t="s" s="0">
        <v>142</v>
      </c>
      <c r="BA4" t="s" s="0">
        <v>182</v>
      </c>
      <c r="BB4" t="s" s="0">
        <v>81</v>
      </c>
      <c r="BC4" t="s" s="0">
        <v>81</v>
      </c>
      <c r="BD4" t="s" s="0">
        <v>81</v>
      </c>
      <c r="BE4" t="s" s="0">
        <v>81</v>
      </c>
      <c r="BF4" t="s" s="0">
        <v>81</v>
      </c>
      <c r="BG4" t="s" s="0">
        <v>81</v>
      </c>
      <c r="BH4" t="s" s="0">
        <v>81</v>
      </c>
      <c r="BI4" t="s" s="0">
        <v>183</v>
      </c>
      <c r="BJ4" t="s" s="0">
        <v>184</v>
      </c>
      <c r="BK4" t="s" s="5">
        <f>HYPERLINK("http://dx.doi.org/10.1016/j.apergo.2025.104513","http://dx.doi.org/10.1016/j.apergo.2025.104513")</f>
        <v>185</v>
      </c>
      <c r="BL4" t="s" s="0">
        <v>81</v>
      </c>
      <c r="BM4" t="s" s="0">
        <v>186</v>
      </c>
      <c r="BN4" t="s" s="0">
        <v>187</v>
      </c>
      <c r="BO4" t="s" s="0">
        <v>188</v>
      </c>
      <c r="BP4" t="s" s="0">
        <v>189</v>
      </c>
      <c r="BQ4" t="s" s="0">
        <v>190</v>
      </c>
      <c r="BR4" t="s" s="0">
        <v>191</v>
      </c>
      <c r="BS4" t="s" s="0">
        <v>192</v>
      </c>
      <c r="BT4" t="s" s="6">
        <f>HYPERLINK("https://www.webofscience.com/wos/woscc/full-record/WOS:001462000900001","View Record in Web of Science")</f>
        <v>113</v>
      </c>
      <c r="BU4" t="s" s="0">
        <v>193</v>
      </c>
      <c r="BV4" t="s" s="0">
        <v>81</v>
      </c>
      <c r="BW4" t="s" s="0">
        <v>81</v>
      </c>
      <c r="BX4" t="s" s="0">
        <v>115</v>
      </c>
    </row>
    <row r="5">
      <c r="A5" t="s" s="0">
        <v>77</v>
      </c>
      <c r="B5" t="s" s="0">
        <v>77</v>
      </c>
      <c r="C5" t="s" s="0">
        <v>116</v>
      </c>
      <c r="D5" t="s" s="0">
        <v>77</v>
      </c>
      <c r="E5" t="s" s="0">
        <v>194</v>
      </c>
      <c r="F5" t="s" s="0">
        <v>195</v>
      </c>
      <c r="G5" t="s" s="0">
        <v>196</v>
      </c>
      <c r="H5" t="s" s="0">
        <v>81</v>
      </c>
      <c r="I5" t="s" s="0">
        <v>82</v>
      </c>
      <c r="J5" t="s" s="0">
        <v>197</v>
      </c>
      <c r="K5" t="s" s="0">
        <v>198</v>
      </c>
      <c r="L5" t="s" s="0">
        <v>199</v>
      </c>
      <c r="M5" t="s" s="0">
        <v>200</v>
      </c>
      <c r="N5" t="s" s="0">
        <v>201</v>
      </c>
      <c r="O5" t="s" s="0">
        <v>202</v>
      </c>
      <c r="P5" t="s" s="0">
        <v>203</v>
      </c>
      <c r="Q5" t="s" s="0">
        <v>87</v>
      </c>
      <c r="R5" t="s" s="0">
        <v>81</v>
      </c>
      <c r="S5" t="s" s="0">
        <v>81</v>
      </c>
      <c r="T5" t="s" s="0">
        <v>81</v>
      </c>
      <c r="U5" t="s" s="0">
        <v>81</v>
      </c>
      <c r="V5" t="s" s="0">
        <v>204</v>
      </c>
      <c r="W5" t="s" s="0">
        <v>205</v>
      </c>
      <c r="X5" t="s" s="0">
        <v>81</v>
      </c>
      <c r="Y5" t="s" s="0">
        <v>81</v>
      </c>
      <c r="Z5" t="s" s="0">
        <v>90</v>
      </c>
      <c r="AA5" t="s" s="0">
        <v>91</v>
      </c>
      <c r="AB5" t="s" s="0">
        <v>81</v>
      </c>
      <c r="AC5" t="s" s="0">
        <v>81</v>
      </c>
      <c r="AD5" t="s" s="0">
        <v>81</v>
      </c>
      <c r="AE5" t="s" s="0">
        <v>81</v>
      </c>
      <c r="AF5" t="s" s="0">
        <v>81</v>
      </c>
      <c r="AG5" t="s" s="0">
        <v>206</v>
      </c>
      <c r="AH5" t="s" s="0">
        <v>81</v>
      </c>
      <c r="AI5" t="s" s="0">
        <v>207</v>
      </c>
      <c r="AJ5" t="s" s="0">
        <v>208</v>
      </c>
      <c r="AK5" t="s" s="0">
        <v>81</v>
      </c>
      <c r="AL5" t="s" s="0">
        <v>209</v>
      </c>
      <c r="AM5" t="s" s="0">
        <v>210</v>
      </c>
      <c r="AN5" t="s" s="0">
        <v>210</v>
      </c>
      <c r="AO5" t="s" s="0">
        <v>210</v>
      </c>
      <c r="AP5" t="s" s="0">
        <v>211</v>
      </c>
      <c r="AQ5" t="s" s="0">
        <v>212</v>
      </c>
      <c r="AR5" t="s" s="0">
        <v>213</v>
      </c>
      <c r="AS5" t="s" s="0">
        <v>214</v>
      </c>
      <c r="AT5" t="s" s="0">
        <v>81</v>
      </c>
      <c r="AU5" t="s" s="0">
        <v>215</v>
      </c>
      <c r="AV5" t="s" s="0">
        <v>81</v>
      </c>
      <c r="AW5" t="s" s="0">
        <v>216</v>
      </c>
      <c r="AX5" t="s" s="0">
        <v>217</v>
      </c>
      <c r="AY5" t="s" s="0">
        <v>218</v>
      </c>
      <c r="AZ5" t="s" s="0">
        <v>142</v>
      </c>
      <c r="BA5" t="s" s="0">
        <v>219</v>
      </c>
      <c r="BB5" t="s" s="0">
        <v>107</v>
      </c>
      <c r="BC5" t="s" s="0">
        <v>220</v>
      </c>
      <c r="BD5" t="s" s="0">
        <v>81</v>
      </c>
      <c r="BE5" t="s" s="0">
        <v>81</v>
      </c>
      <c r="BF5" t="s" s="0">
        <v>81</v>
      </c>
      <c r="BG5" t="s" s="0">
        <v>81</v>
      </c>
      <c r="BH5" t="s" s="0">
        <v>81</v>
      </c>
      <c r="BI5" t="s" s="0">
        <v>221</v>
      </c>
      <c r="BJ5" t="s" s="0">
        <v>222</v>
      </c>
      <c r="BK5" t="s" s="7">
        <f>HYPERLINK("http://dx.doi.org/10.1002/aisy.202400947","http://dx.doi.org/10.1002/aisy.202400947")</f>
        <v>223</v>
      </c>
      <c r="BL5" t="s" s="0">
        <v>81</v>
      </c>
      <c r="BM5" t="s" s="0">
        <v>186</v>
      </c>
      <c r="BN5" t="s" s="0">
        <v>187</v>
      </c>
      <c r="BO5" t="s" s="0">
        <v>224</v>
      </c>
      <c r="BP5" t="s" s="0">
        <v>225</v>
      </c>
      <c r="BQ5" t="s" s="0">
        <v>226</v>
      </c>
      <c r="BR5" t="s" s="0">
        <v>227</v>
      </c>
      <c r="BS5" t="s" s="0">
        <v>228</v>
      </c>
      <c r="BT5" t="s" s="8">
        <f>HYPERLINK("https://www.webofscience.com/wos/woscc/full-record/WOS:001459881100001","View Record in Web of Science")</f>
        <v>113</v>
      </c>
      <c r="BU5" t="s" s="0">
        <v>153</v>
      </c>
      <c r="BV5" t="s" s="0">
        <v>81</v>
      </c>
      <c r="BW5" t="s" s="0">
        <v>81</v>
      </c>
      <c r="BX5" t="s" s="0">
        <v>115</v>
      </c>
    </row>
    <row r="6">
      <c r="A6" t="s" s="0">
        <v>144</v>
      </c>
      <c r="B6" t="s" s="0">
        <v>77</v>
      </c>
      <c r="C6" t="s" s="0">
        <v>144</v>
      </c>
      <c r="D6" t="s" s="0">
        <v>77</v>
      </c>
      <c r="E6" t="s" s="0">
        <v>229</v>
      </c>
      <c r="F6" t="s" s="0">
        <v>230</v>
      </c>
      <c r="G6" t="s" s="0">
        <v>231</v>
      </c>
      <c r="H6" t="s" s="0">
        <v>81</v>
      </c>
      <c r="I6" t="s" s="0">
        <v>82</v>
      </c>
      <c r="J6" t="s" s="0">
        <v>232</v>
      </c>
      <c r="K6" t="s" s="0">
        <v>233</v>
      </c>
      <c r="L6" t="s" s="0">
        <v>234</v>
      </c>
      <c r="M6" t="s" s="0">
        <v>235</v>
      </c>
      <c r="N6" t="s" s="0">
        <v>236</v>
      </c>
      <c r="O6" t="s" s="0">
        <v>237</v>
      </c>
      <c r="P6" t="s" s="0">
        <v>238</v>
      </c>
      <c r="Q6" t="s" s="0">
        <v>87</v>
      </c>
      <c r="R6" t="s" s="0">
        <v>81</v>
      </c>
      <c r="S6" t="s" s="0">
        <v>81</v>
      </c>
      <c r="T6" t="s" s="0">
        <v>81</v>
      </c>
      <c r="U6" t="s" s="0">
        <v>81</v>
      </c>
      <c r="V6" t="s" s="0">
        <v>239</v>
      </c>
      <c r="W6" t="s" s="0">
        <v>240</v>
      </c>
      <c r="X6" t="s" s="0">
        <v>81</v>
      </c>
      <c r="Y6" t="s" s="0">
        <v>81</v>
      </c>
      <c r="Z6" t="s" s="0">
        <v>90</v>
      </c>
      <c r="AA6" t="s" s="0">
        <v>91</v>
      </c>
      <c r="AB6" t="s" s="0">
        <v>81</v>
      </c>
      <c r="AC6" t="s" s="0">
        <v>81</v>
      </c>
      <c r="AD6" t="s" s="0">
        <v>81</v>
      </c>
      <c r="AE6" t="s" s="0">
        <v>81</v>
      </c>
      <c r="AF6" t="s" s="0">
        <v>81</v>
      </c>
      <c r="AG6" t="s" s="0">
        <v>241</v>
      </c>
      <c r="AH6" t="s" s="0">
        <v>242</v>
      </c>
      <c r="AI6" t="s" s="0">
        <v>243</v>
      </c>
      <c r="AJ6" t="s" s="0">
        <v>244</v>
      </c>
      <c r="AK6" t="s" s="0">
        <v>81</v>
      </c>
      <c r="AL6" t="s" s="0">
        <v>132</v>
      </c>
      <c r="AM6" t="s" s="0">
        <v>210</v>
      </c>
      <c r="AN6" t="s" s="0">
        <v>103</v>
      </c>
      <c r="AO6" t="s" s="0">
        <v>116</v>
      </c>
      <c r="AP6" t="s" s="0">
        <v>245</v>
      </c>
      <c r="AQ6" t="s" s="0">
        <v>246</v>
      </c>
      <c r="AR6" t="s" s="0">
        <v>247</v>
      </c>
      <c r="AS6" t="s" s="0">
        <v>248</v>
      </c>
      <c r="AT6" t="s" s="0">
        <v>249</v>
      </c>
      <c r="AU6" t="s" s="0">
        <v>250</v>
      </c>
      <c r="AV6" t="s" s="0">
        <v>81</v>
      </c>
      <c r="AW6" t="s" s="0">
        <v>251</v>
      </c>
      <c r="AX6" t="s" s="0">
        <v>252</v>
      </c>
      <c r="AY6" t="s" s="0">
        <v>253</v>
      </c>
      <c r="AZ6" t="s" s="0">
        <v>142</v>
      </c>
      <c r="BA6" t="s" s="0">
        <v>254</v>
      </c>
      <c r="BB6" t="s" s="0">
        <v>173</v>
      </c>
      <c r="BC6" t="s" s="0">
        <v>81</v>
      </c>
      <c r="BD6" t="s" s="0">
        <v>81</v>
      </c>
      <c r="BE6" t="s" s="0">
        <v>81</v>
      </c>
      <c r="BF6" t="s" s="0">
        <v>81</v>
      </c>
      <c r="BG6" t="s" s="0">
        <v>81</v>
      </c>
      <c r="BH6" t="s" s="0">
        <v>81</v>
      </c>
      <c r="BI6" t="s" s="0">
        <v>81</v>
      </c>
      <c r="BJ6" t="s" s="0">
        <v>255</v>
      </c>
      <c r="BK6" t="s" s="9">
        <f>HYPERLINK("http://dx.doi.org/10.1016/j.jid.2025.03.034","http://dx.doi.org/10.1016/j.jid.2025.03.034")</f>
        <v>256</v>
      </c>
      <c r="BL6" t="s" s="0">
        <v>81</v>
      </c>
      <c r="BM6" t="s" s="0">
        <v>218</v>
      </c>
      <c r="BN6" t="s" s="0">
        <v>143</v>
      </c>
      <c r="BO6" t="s" s="0">
        <v>257</v>
      </c>
      <c r="BP6" t="s" s="0">
        <v>257</v>
      </c>
      <c r="BQ6" t="s" s="0">
        <v>258</v>
      </c>
      <c r="BR6" t="s" s="0">
        <v>259</v>
      </c>
      <c r="BS6" t="s" s="0">
        <v>260</v>
      </c>
      <c r="BT6" t="s" s="10">
        <f>HYPERLINK("https://www.webofscience.com/wos/woscc/full-record/WOS:001605584200016","View Record in Web of Science")</f>
        <v>113</v>
      </c>
      <c r="BU6" t="s" s="0">
        <v>81</v>
      </c>
      <c r="BV6" t="s" s="0">
        <v>81</v>
      </c>
      <c r="BW6" t="s" s="0">
        <v>81</v>
      </c>
      <c r="BX6" t="s" s="0">
        <v>115</v>
      </c>
    </row>
    <row r="7">
      <c r="A7" t="s" s="0">
        <v>77</v>
      </c>
      <c r="B7" t="s" s="0">
        <v>77</v>
      </c>
      <c r="C7" t="s" s="0">
        <v>210</v>
      </c>
      <c r="D7" t="s" s="0">
        <v>77</v>
      </c>
      <c r="E7" t="s" s="0">
        <v>261</v>
      </c>
      <c r="F7" t="s" s="0">
        <v>262</v>
      </c>
      <c r="G7" t="s" s="0">
        <v>263</v>
      </c>
      <c r="H7" t="s" s="0">
        <v>81</v>
      </c>
      <c r="I7" t="s" s="0">
        <v>82</v>
      </c>
      <c r="J7" t="s" s="0">
        <v>264</v>
      </c>
      <c r="K7" t="s" s="0">
        <v>265</v>
      </c>
      <c r="L7" t="s" s="0">
        <v>266</v>
      </c>
      <c r="M7" t="s" s="0">
        <v>267</v>
      </c>
      <c r="N7" t="s" s="0">
        <v>268</v>
      </c>
      <c r="O7" t="s" s="0">
        <v>269</v>
      </c>
      <c r="P7" t="s" s="0">
        <v>270</v>
      </c>
      <c r="Q7" t="s" s="0">
        <v>87</v>
      </c>
      <c r="R7" t="s" s="0">
        <v>81</v>
      </c>
      <c r="S7" t="s" s="0">
        <v>81</v>
      </c>
      <c r="T7" t="s" s="0">
        <v>81</v>
      </c>
      <c r="U7" t="s" s="0">
        <v>81</v>
      </c>
      <c r="V7" t="s" s="0">
        <v>271</v>
      </c>
      <c r="W7" t="s" s="0">
        <v>272</v>
      </c>
      <c r="X7" t="s" s="0">
        <v>81</v>
      </c>
      <c r="Y7" t="s" s="0">
        <v>81</v>
      </c>
      <c r="Z7" t="s" s="0">
        <v>90</v>
      </c>
      <c r="AA7" t="s" s="0">
        <v>91</v>
      </c>
      <c r="AB7" t="s" s="0">
        <v>81</v>
      </c>
      <c r="AC7" t="s" s="0">
        <v>81</v>
      </c>
      <c r="AD7" t="s" s="0">
        <v>81</v>
      </c>
      <c r="AE7" t="s" s="0">
        <v>81</v>
      </c>
      <c r="AF7" t="s" s="0">
        <v>81</v>
      </c>
      <c r="AG7" t="s" s="0">
        <v>273</v>
      </c>
      <c r="AH7" t="s" s="0">
        <v>81</v>
      </c>
      <c r="AI7" t="s" s="0">
        <v>274</v>
      </c>
      <c r="AJ7" t="s" s="0">
        <v>275</v>
      </c>
      <c r="AK7" t="s" s="0">
        <v>81</v>
      </c>
      <c r="AL7" t="s" s="0">
        <v>276</v>
      </c>
      <c r="AM7" t="s" s="0">
        <v>143</v>
      </c>
      <c r="AN7" t="s" s="0">
        <v>277</v>
      </c>
      <c r="AO7" t="s" s="0">
        <v>77</v>
      </c>
      <c r="AP7" t="s" s="0">
        <v>173</v>
      </c>
      <c r="AQ7" t="s" s="0">
        <v>278</v>
      </c>
      <c r="AR7" t="s" s="0">
        <v>247</v>
      </c>
      <c r="AS7" t="s" s="0">
        <v>279</v>
      </c>
      <c r="AT7" t="s" s="0">
        <v>280</v>
      </c>
      <c r="AU7" t="s" s="0">
        <v>281</v>
      </c>
      <c r="AV7" t="s" s="0">
        <v>81</v>
      </c>
      <c r="AW7" t="s" s="0">
        <v>282</v>
      </c>
      <c r="AX7" t="s" s="0">
        <v>283</v>
      </c>
      <c r="AY7" t="s" s="0">
        <v>284</v>
      </c>
      <c r="AZ7" t="s" s="0">
        <v>285</v>
      </c>
      <c r="BA7" t="s" s="0">
        <v>286</v>
      </c>
      <c r="BB7" t="s" s="0">
        <v>210</v>
      </c>
      <c r="BC7" t="s" s="0">
        <v>81</v>
      </c>
      <c r="BD7" t="s" s="0">
        <v>81</v>
      </c>
      <c r="BE7" t="s" s="0">
        <v>81</v>
      </c>
      <c r="BF7" t="s" s="0">
        <v>81</v>
      </c>
      <c r="BG7" t="s" s="0">
        <v>287</v>
      </c>
      <c r="BH7" t="s" s="0">
        <v>288</v>
      </c>
      <c r="BI7" t="s" s="0">
        <v>81</v>
      </c>
      <c r="BJ7" t="s" s="0">
        <v>289</v>
      </c>
      <c r="BK7" t="s" s="11">
        <f>HYPERLINK("http://dx.doi.org/10.1007/s10278-024-01066-1","http://dx.doi.org/10.1007/s10278-024-01066-1")</f>
        <v>290</v>
      </c>
      <c r="BL7" t="s" s="0">
        <v>81</v>
      </c>
      <c r="BM7" t="s" s="0">
        <v>291</v>
      </c>
      <c r="BN7" t="s" s="0">
        <v>173</v>
      </c>
      <c r="BO7" t="s" s="0">
        <v>292</v>
      </c>
      <c r="BP7" t="s" s="0">
        <v>292</v>
      </c>
      <c r="BQ7" t="s" s="0">
        <v>293</v>
      </c>
      <c r="BR7" t="s" s="0">
        <v>294</v>
      </c>
      <c r="BS7" t="s" s="0">
        <v>295</v>
      </c>
      <c r="BT7" t="s" s="12">
        <f>HYPERLINK("https://www.webofscience.com/wos/woscc/full-record/WOS:001194042800001","View Record in Web of Science")</f>
        <v>113</v>
      </c>
      <c r="BU7" t="s" s="0">
        <v>296</v>
      </c>
      <c r="BV7" t="s" s="0">
        <v>81</v>
      </c>
      <c r="BW7" t="s" s="0">
        <v>81</v>
      </c>
      <c r="BX7" t="s" s="0">
        <v>115</v>
      </c>
    </row>
    <row r="8">
      <c r="A8" t="s" s="0">
        <v>144</v>
      </c>
      <c r="B8" t="s" s="0">
        <v>77</v>
      </c>
      <c r="C8" t="s" s="0">
        <v>144</v>
      </c>
      <c r="D8" t="s" s="0">
        <v>77</v>
      </c>
      <c r="E8" t="s" s="0">
        <v>297</v>
      </c>
      <c r="F8" t="s" s="0">
        <v>298</v>
      </c>
      <c r="G8" t="s" s="0">
        <v>299</v>
      </c>
      <c r="H8" t="s" s="0">
        <v>81</v>
      </c>
      <c r="I8" t="s" s="0">
        <v>82</v>
      </c>
      <c r="J8" t="s" s="0">
        <v>300</v>
      </c>
      <c r="K8" t="s" s="0">
        <v>301</v>
      </c>
      <c r="L8" t="s" s="0">
        <v>302</v>
      </c>
      <c r="M8" t="s" s="0">
        <v>303</v>
      </c>
      <c r="N8" t="s" s="0">
        <v>304</v>
      </c>
      <c r="O8" t="s" s="0">
        <v>305</v>
      </c>
      <c r="P8" t="s" s="0">
        <v>306</v>
      </c>
      <c r="Q8" t="s" s="0">
        <v>87</v>
      </c>
      <c r="R8" t="s" s="0">
        <v>81</v>
      </c>
      <c r="S8" t="s" s="0">
        <v>81</v>
      </c>
      <c r="T8" t="s" s="0">
        <v>81</v>
      </c>
      <c r="U8" t="s" s="0">
        <v>81</v>
      </c>
      <c r="V8" t="s" s="0">
        <v>307</v>
      </c>
      <c r="W8" t="s" s="0">
        <v>308</v>
      </c>
      <c r="X8" t="s" s="0">
        <v>81</v>
      </c>
      <c r="Y8" t="s" s="0">
        <v>81</v>
      </c>
      <c r="Z8" t="s" s="0">
        <v>90</v>
      </c>
      <c r="AA8" t="s" s="0">
        <v>91</v>
      </c>
      <c r="AB8" t="s" s="0">
        <v>81</v>
      </c>
      <c r="AC8" t="s" s="0">
        <v>81</v>
      </c>
      <c r="AD8" t="s" s="0">
        <v>81</v>
      </c>
      <c r="AE8" t="s" s="0">
        <v>81</v>
      </c>
      <c r="AF8" t="s" s="0">
        <v>81</v>
      </c>
      <c r="AG8" t="s" s="0">
        <v>309</v>
      </c>
      <c r="AH8" t="s" s="0">
        <v>310</v>
      </c>
      <c r="AI8" t="s" s="0">
        <v>311</v>
      </c>
      <c r="AJ8" t="s" s="0">
        <v>312</v>
      </c>
      <c r="AK8" t="s" s="0">
        <v>81</v>
      </c>
      <c r="AL8" t="s" s="0">
        <v>276</v>
      </c>
      <c r="AM8" t="s" s="0">
        <v>313</v>
      </c>
      <c r="AN8" t="s" s="0">
        <v>116</v>
      </c>
      <c r="AO8" t="s" s="0">
        <v>313</v>
      </c>
      <c r="AP8" t="s" s="0">
        <v>103</v>
      </c>
      <c r="AQ8" t="s" s="0">
        <v>314</v>
      </c>
      <c r="AR8" t="s" s="0">
        <v>315</v>
      </c>
      <c r="AS8" t="s" s="0">
        <v>316</v>
      </c>
      <c r="AT8" t="s" s="0">
        <v>81</v>
      </c>
      <c r="AU8" t="s" s="0">
        <v>317</v>
      </c>
      <c r="AV8" t="s" s="0">
        <v>81</v>
      </c>
      <c r="AW8" t="s" s="0">
        <v>308</v>
      </c>
      <c r="AX8" t="s" s="0">
        <v>318</v>
      </c>
      <c r="AY8" t="s" s="0">
        <v>319</v>
      </c>
      <c r="AZ8" t="s" s="0">
        <v>142</v>
      </c>
      <c r="BA8" t="s" s="0">
        <v>143</v>
      </c>
      <c r="BB8" t="s" s="0">
        <v>211</v>
      </c>
      <c r="BC8" t="s" s="0">
        <v>81</v>
      </c>
      <c r="BD8" t="s" s="0">
        <v>81</v>
      </c>
      <c r="BE8" t="s" s="0">
        <v>81</v>
      </c>
      <c r="BF8" t="s" s="0">
        <v>81</v>
      </c>
      <c r="BG8" t="s" s="0">
        <v>81</v>
      </c>
      <c r="BH8" t="s" s="0">
        <v>81</v>
      </c>
      <c r="BI8" t="s" s="0">
        <v>320</v>
      </c>
      <c r="BJ8" t="s" s="0">
        <v>321</v>
      </c>
      <c r="BK8" t="s" s="13">
        <f>HYPERLINK("http://dx.doi.org/10.3390/diagnostics15232967","http://dx.doi.org/10.3390/diagnostics15232967")</f>
        <v>322</v>
      </c>
      <c r="BL8" t="s" s="0">
        <v>81</v>
      </c>
      <c r="BM8" t="s" s="0">
        <v>81</v>
      </c>
      <c r="BN8" t="s" s="0">
        <v>323</v>
      </c>
      <c r="BO8" t="s" s="0">
        <v>324</v>
      </c>
      <c r="BP8" t="s" s="0">
        <v>325</v>
      </c>
      <c r="BQ8" t="s" s="0">
        <v>326</v>
      </c>
      <c r="BR8" t="s" s="0">
        <v>327</v>
      </c>
      <c r="BS8" t="s" s="0">
        <v>328</v>
      </c>
      <c r="BT8" t="s" s="14">
        <f>HYPERLINK("https://www.webofscience.com/wos/woscc/full-record/WOS:001635561700001","View Record in Web of Science")</f>
        <v>113</v>
      </c>
      <c r="BU8" t="s" s="0">
        <v>153</v>
      </c>
      <c r="BV8" t="s" s="0">
        <v>81</v>
      </c>
      <c r="BW8" t="s" s="0">
        <v>81</v>
      </c>
      <c r="BX8" t="s" s="0">
        <v>115</v>
      </c>
    </row>
    <row r="9">
      <c r="A9" t="s" s="0">
        <v>77</v>
      </c>
      <c r="B9" t="s" s="0">
        <v>77</v>
      </c>
      <c r="C9" t="s" s="0">
        <v>77</v>
      </c>
      <c r="D9" t="s" s="0">
        <v>77</v>
      </c>
      <c r="E9" t="s" s="0">
        <v>329</v>
      </c>
      <c r="F9" t="s" s="0">
        <v>330</v>
      </c>
      <c r="G9" t="s" s="0">
        <v>331</v>
      </c>
      <c r="H9" t="s" s="0">
        <v>81</v>
      </c>
      <c r="I9" t="s" s="0">
        <v>82</v>
      </c>
      <c r="J9" t="s" s="0">
        <v>332</v>
      </c>
      <c r="K9" t="s" s="0">
        <v>333</v>
      </c>
      <c r="L9" t="s" s="0">
        <v>334</v>
      </c>
      <c r="M9" t="s" s="0">
        <v>335</v>
      </c>
      <c r="N9" t="s" s="0">
        <v>336</v>
      </c>
      <c r="O9" t="s" s="0">
        <v>337</v>
      </c>
      <c r="P9" t="s" s="0">
        <v>338</v>
      </c>
      <c r="Q9" t="s" s="0">
        <v>87</v>
      </c>
      <c r="R9" t="s" s="0">
        <v>81</v>
      </c>
      <c r="S9" t="s" s="0">
        <v>81</v>
      </c>
      <c r="T9" t="s" s="0">
        <v>81</v>
      </c>
      <c r="U9" t="s" s="0">
        <v>81</v>
      </c>
      <c r="V9" t="s" s="0">
        <v>339</v>
      </c>
      <c r="W9" t="s" s="0">
        <v>340</v>
      </c>
      <c r="X9" t="s" s="0">
        <v>81</v>
      </c>
      <c r="Y9" t="s" s="0">
        <v>81</v>
      </c>
      <c r="Z9" t="s" s="0">
        <v>90</v>
      </c>
      <c r="AA9" t="s" s="0">
        <v>91</v>
      </c>
      <c r="AB9" t="s" s="0">
        <v>81</v>
      </c>
      <c r="AC9" t="s" s="0">
        <v>81</v>
      </c>
      <c r="AD9" t="s" s="0">
        <v>81</v>
      </c>
      <c r="AE9" t="s" s="0">
        <v>81</v>
      </c>
      <c r="AF9" t="s" s="0">
        <v>81</v>
      </c>
      <c r="AG9" t="s" s="0">
        <v>341</v>
      </c>
      <c r="AH9" t="s" s="0">
        <v>342</v>
      </c>
      <c r="AI9" t="s" s="0">
        <v>343</v>
      </c>
      <c r="AJ9" t="s" s="0">
        <v>344</v>
      </c>
      <c r="AK9" t="s" s="0">
        <v>81</v>
      </c>
      <c r="AL9" t="s" s="0">
        <v>345</v>
      </c>
      <c r="AM9" t="s" s="0">
        <v>313</v>
      </c>
      <c r="AN9" t="s" s="0">
        <v>313</v>
      </c>
      <c r="AO9" t="s" s="0">
        <v>313</v>
      </c>
      <c r="AP9" t="s" s="0">
        <v>210</v>
      </c>
      <c r="AQ9" t="s" s="0">
        <v>278</v>
      </c>
      <c r="AR9" t="s" s="0">
        <v>247</v>
      </c>
      <c r="AS9" t="s" s="0">
        <v>279</v>
      </c>
      <c r="AT9" t="s" s="0">
        <v>346</v>
      </c>
      <c r="AU9" t="s" s="0">
        <v>81</v>
      </c>
      <c r="AV9" t="s" s="0">
        <v>81</v>
      </c>
      <c r="AW9" t="s" s="0">
        <v>347</v>
      </c>
      <c r="AX9" t="s" s="0">
        <v>348</v>
      </c>
      <c r="AY9" t="s" s="0">
        <v>349</v>
      </c>
      <c r="AZ9" t="s" s="0">
        <v>142</v>
      </c>
      <c r="BA9" t="s" s="0">
        <v>245</v>
      </c>
      <c r="BB9" t="s" s="0">
        <v>144</v>
      </c>
      <c r="BC9" t="s" s="0">
        <v>81</v>
      </c>
      <c r="BD9" t="s" s="0">
        <v>81</v>
      </c>
      <c r="BE9" t="s" s="0">
        <v>81</v>
      </c>
      <c r="BF9" t="s" s="0">
        <v>81</v>
      </c>
      <c r="BG9" t="s" s="0">
        <v>81</v>
      </c>
      <c r="BH9" t="s" s="0">
        <v>81</v>
      </c>
      <c r="BI9" t="s" s="0">
        <v>107</v>
      </c>
      <c r="BJ9" t="s" s="0">
        <v>350</v>
      </c>
      <c r="BK9" t="s" s="15">
        <f>HYPERLINK("http://dx.doi.org/10.1007/s13755-025-00407-w","http://dx.doi.org/10.1007/s13755-025-00407-w")</f>
        <v>351</v>
      </c>
      <c r="BL9" t="s" s="0">
        <v>81</v>
      </c>
      <c r="BM9" t="s" s="0">
        <v>81</v>
      </c>
      <c r="BN9" t="s" s="0">
        <v>143</v>
      </c>
      <c r="BO9" t="s" s="0">
        <v>352</v>
      </c>
      <c r="BP9" t="s" s="0">
        <v>352</v>
      </c>
      <c r="BQ9" t="s" s="0">
        <v>353</v>
      </c>
      <c r="BR9" t="s" s="0">
        <v>354</v>
      </c>
      <c r="BS9" t="s" s="0">
        <v>355</v>
      </c>
      <c r="BT9" t="s" s="16">
        <f>HYPERLINK("https://www.webofscience.com/wos/woscc/full-record/WOS:001632455900001","View Record in Web of Science")</f>
        <v>113</v>
      </c>
      <c r="BU9" t="s" s="0">
        <v>356</v>
      </c>
      <c r="BV9" t="s" s="0">
        <v>81</v>
      </c>
      <c r="BW9" t="s" s="0">
        <v>81</v>
      </c>
      <c r="BX9" t="s" s="0">
        <v>115</v>
      </c>
    </row>
    <row r="10">
      <c r="A10" t="s" s="0">
        <v>77</v>
      </c>
      <c r="B10" t="s" s="0">
        <v>77</v>
      </c>
      <c r="C10" t="s" s="0">
        <v>77</v>
      </c>
      <c r="D10" t="s" s="0">
        <v>77</v>
      </c>
      <c r="E10" t="s" s="0">
        <v>357</v>
      </c>
      <c r="F10" t="s" s="0">
        <v>358</v>
      </c>
      <c r="G10" t="s" s="0">
        <v>359</v>
      </c>
      <c r="H10" t="s" s="0">
        <v>81</v>
      </c>
      <c r="I10" t="s" s="0">
        <v>82</v>
      </c>
      <c r="J10" t="s" s="0">
        <v>360</v>
      </c>
      <c r="K10" t="s" s="0">
        <v>361</v>
      </c>
      <c r="L10" t="s" s="0">
        <v>362</v>
      </c>
      <c r="M10" t="s" s="0">
        <v>363</v>
      </c>
      <c r="N10" t="s" s="0">
        <v>364</v>
      </c>
      <c r="O10" t="s" s="0">
        <v>365</v>
      </c>
      <c r="P10" t="s" s="0">
        <v>366</v>
      </c>
      <c r="Q10" t="s" s="0">
        <v>87</v>
      </c>
      <c r="R10" t="s" s="0">
        <v>81</v>
      </c>
      <c r="S10" t="s" s="0">
        <v>81</v>
      </c>
      <c r="T10" t="s" s="0">
        <v>81</v>
      </c>
      <c r="U10" t="s" s="0">
        <v>81</v>
      </c>
      <c r="V10" t="s" s="0">
        <v>367</v>
      </c>
      <c r="W10" t="s" s="0">
        <v>368</v>
      </c>
      <c r="X10" t="s" s="0">
        <v>81</v>
      </c>
      <c r="Y10" t="s" s="0">
        <v>81</v>
      </c>
      <c r="Z10" t="s" s="0">
        <v>90</v>
      </c>
      <c r="AA10" t="s" s="0">
        <v>91</v>
      </c>
      <c r="AB10" t="s" s="0">
        <v>81</v>
      </c>
      <c r="AC10" t="s" s="0">
        <v>81</v>
      </c>
      <c r="AD10" t="s" s="0">
        <v>81</v>
      </c>
      <c r="AE10" t="s" s="0">
        <v>81</v>
      </c>
      <c r="AF10" t="s" s="0">
        <v>81</v>
      </c>
      <c r="AG10" t="s" s="0">
        <v>369</v>
      </c>
      <c r="AH10" t="s" s="0">
        <v>81</v>
      </c>
      <c r="AI10" t="s" s="0">
        <v>370</v>
      </c>
      <c r="AJ10" t="s" s="0">
        <v>371</v>
      </c>
      <c r="AK10" t="s" s="0">
        <v>81</v>
      </c>
      <c r="AL10" t="s" s="0">
        <v>286</v>
      </c>
      <c r="AM10" t="s" s="0">
        <v>219</v>
      </c>
      <c r="AN10" t="s" s="0">
        <v>219</v>
      </c>
      <c r="AO10" t="s" s="0">
        <v>313</v>
      </c>
      <c r="AP10" t="s" s="0">
        <v>372</v>
      </c>
      <c r="AQ10" t="s" s="0">
        <v>373</v>
      </c>
      <c r="AR10" t="s" s="0">
        <v>374</v>
      </c>
      <c r="AS10" t="s" s="0">
        <v>375</v>
      </c>
      <c r="AT10" t="s" s="0">
        <v>376</v>
      </c>
      <c r="AU10" t="s" s="0">
        <v>377</v>
      </c>
      <c r="AV10" t="s" s="0">
        <v>81</v>
      </c>
      <c r="AW10" t="s" s="0">
        <v>378</v>
      </c>
      <c r="AX10" t="s" s="0">
        <v>379</v>
      </c>
      <c r="AY10" t="s" s="0">
        <v>380</v>
      </c>
      <c r="AZ10" t="s" s="0">
        <v>142</v>
      </c>
      <c r="BA10" t="s" s="0">
        <v>245</v>
      </c>
      <c r="BB10" t="s" s="0">
        <v>172</v>
      </c>
      <c r="BC10" t="s" s="0">
        <v>81</v>
      </c>
      <c r="BD10" t="s" s="0">
        <v>81</v>
      </c>
      <c r="BE10" t="s" s="0">
        <v>81</v>
      </c>
      <c r="BF10" t="s" s="0">
        <v>81</v>
      </c>
      <c r="BG10" t="s" s="0">
        <v>81</v>
      </c>
      <c r="BH10" t="s" s="0">
        <v>81</v>
      </c>
      <c r="BI10" t="s" s="0">
        <v>81</v>
      </c>
      <c r="BJ10" t="s" s="0">
        <v>381</v>
      </c>
      <c r="BK10" t="s" s="17">
        <f>HYPERLINK("http://dx.doi.org/10.21037/gs-2025-183","http://dx.doi.org/10.21037/gs-2025-183")</f>
        <v>382</v>
      </c>
      <c r="BL10" t="s" s="0">
        <v>81</v>
      </c>
      <c r="BM10" t="s" s="0">
        <v>81</v>
      </c>
      <c r="BN10" t="s" s="0">
        <v>323</v>
      </c>
      <c r="BO10" t="s" s="0">
        <v>383</v>
      </c>
      <c r="BP10" t="s" s="0">
        <v>383</v>
      </c>
      <c r="BQ10" t="s" s="0">
        <v>384</v>
      </c>
      <c r="BR10" t="s" s="0">
        <v>385</v>
      </c>
      <c r="BS10" t="s" s="0">
        <v>386</v>
      </c>
      <c r="BT10" t="s" s="18">
        <f>HYPERLINK("https://www.webofscience.com/wos/woscc/full-record/WOS:001570982600014","View Record in Web of Science")</f>
        <v>113</v>
      </c>
      <c r="BU10" t="s" s="0">
        <v>153</v>
      </c>
      <c r="BV10" t="s" s="0">
        <v>81</v>
      </c>
      <c r="BW10" t="s" s="0">
        <v>81</v>
      </c>
      <c r="BX10" t="s" s="0">
        <v>115</v>
      </c>
    </row>
    <row r="11">
      <c r="A11" t="s" s="0">
        <v>77</v>
      </c>
      <c r="B11" t="s" s="0">
        <v>77</v>
      </c>
      <c r="C11" t="s" s="0">
        <v>77</v>
      </c>
      <c r="D11" t="s" s="0">
        <v>77</v>
      </c>
      <c r="E11" t="s" s="0">
        <v>387</v>
      </c>
      <c r="F11" t="s" s="0">
        <v>388</v>
      </c>
      <c r="G11" t="s" s="0">
        <v>389</v>
      </c>
      <c r="H11" t="s" s="0">
        <v>81</v>
      </c>
      <c r="I11" t="s" s="0">
        <v>82</v>
      </c>
      <c r="J11" t="s" s="0">
        <v>390</v>
      </c>
      <c r="K11" t="s" s="0">
        <v>391</v>
      </c>
      <c r="L11" t="s" s="0">
        <v>392</v>
      </c>
      <c r="M11" t="s" s="0">
        <v>393</v>
      </c>
      <c r="N11" t="s" s="0">
        <v>394</v>
      </c>
      <c r="O11" t="s" s="0">
        <v>395</v>
      </c>
      <c r="P11" t="s" s="0">
        <v>396</v>
      </c>
      <c r="Q11" t="s" s="0">
        <v>87</v>
      </c>
      <c r="R11" t="s" s="0">
        <v>81</v>
      </c>
      <c r="S11" t="s" s="0">
        <v>81</v>
      </c>
      <c r="T11" t="s" s="0">
        <v>81</v>
      </c>
      <c r="U11" t="s" s="0">
        <v>81</v>
      </c>
      <c r="V11" t="s" s="0">
        <v>397</v>
      </c>
      <c r="W11" t="s" s="0">
        <v>398</v>
      </c>
      <c r="X11" t="s" s="0">
        <v>81</v>
      </c>
      <c r="Y11" t="s" s="0">
        <v>81</v>
      </c>
      <c r="Z11" t="s" s="0">
        <v>90</v>
      </c>
      <c r="AA11" t="s" s="0">
        <v>91</v>
      </c>
      <c r="AB11" t="s" s="0">
        <v>81</v>
      </c>
      <c r="AC11" t="s" s="0">
        <v>81</v>
      </c>
      <c r="AD11" t="s" s="0">
        <v>81</v>
      </c>
      <c r="AE11" t="s" s="0">
        <v>81</v>
      </c>
      <c r="AF11" t="s" s="0">
        <v>81</v>
      </c>
      <c r="AG11" t="s" s="0">
        <v>399</v>
      </c>
      <c r="AH11" t="s" s="0">
        <v>400</v>
      </c>
      <c r="AI11" t="s" s="0">
        <v>81</v>
      </c>
      <c r="AJ11" t="s" s="0">
        <v>81</v>
      </c>
      <c r="AK11" t="s" s="0">
        <v>81</v>
      </c>
      <c r="AL11" t="s" s="0">
        <v>401</v>
      </c>
      <c r="AM11" t="s" s="0">
        <v>77</v>
      </c>
      <c r="AN11" t="s" s="0">
        <v>77</v>
      </c>
      <c r="AO11" t="s" s="0">
        <v>77</v>
      </c>
      <c r="AP11" t="s" s="0">
        <v>77</v>
      </c>
      <c r="AQ11" t="s" s="0">
        <v>402</v>
      </c>
      <c r="AR11" t="s" s="0">
        <v>403</v>
      </c>
      <c r="AS11" t="s" s="0">
        <v>404</v>
      </c>
      <c r="AT11" t="s" s="0">
        <v>405</v>
      </c>
      <c r="AU11" t="s" s="0">
        <v>81</v>
      </c>
      <c r="AV11" t="s" s="0">
        <v>81</v>
      </c>
      <c r="AW11" t="s" s="0">
        <v>406</v>
      </c>
      <c r="AX11" t="s" s="0">
        <v>407</v>
      </c>
      <c r="AY11" t="s" s="0">
        <v>408</v>
      </c>
      <c r="AZ11" t="s" s="0">
        <v>101</v>
      </c>
      <c r="BA11" t="s" s="0">
        <v>323</v>
      </c>
      <c r="BB11" t="s" s="0">
        <v>81</v>
      </c>
      <c r="BC11" t="s" s="0">
        <v>81</v>
      </c>
      <c r="BD11" t="s" s="0">
        <v>81</v>
      </c>
      <c r="BE11" t="s" s="0">
        <v>81</v>
      </c>
      <c r="BF11" t="s" s="0">
        <v>81</v>
      </c>
      <c r="BG11" t="s" s="0">
        <v>81</v>
      </c>
      <c r="BH11" t="s" s="0">
        <v>81</v>
      </c>
      <c r="BI11" t="s" s="0">
        <v>409</v>
      </c>
      <c r="BJ11" t="s" s="0">
        <v>410</v>
      </c>
      <c r="BK11" t="s" s="19">
        <f>HYPERLINK("http://dx.doi.org/10.3389/fonc.2026.1831252","http://dx.doi.org/10.3389/fonc.2026.1831252")</f>
        <v>411</v>
      </c>
      <c r="BL11" t="s" s="0">
        <v>81</v>
      </c>
      <c r="BM11" t="s" s="0">
        <v>81</v>
      </c>
      <c r="BN11" t="s" s="0">
        <v>245</v>
      </c>
      <c r="BO11" t="s" s="0">
        <v>412</v>
      </c>
      <c r="BP11" t="s" s="0">
        <v>412</v>
      </c>
      <c r="BQ11" t="s" s="0">
        <v>413</v>
      </c>
      <c r="BR11" t="s" s="0">
        <v>81</v>
      </c>
      <c r="BS11" t="s" s="0">
        <v>414</v>
      </c>
      <c r="BT11" t="s" s="20">
        <f>HYPERLINK("https://www.webofscience.com/wos/woscc/full-record/WOS:001853076100001","View Record in Web of Science")</f>
        <v>113</v>
      </c>
      <c r="BU11" t="s" s="0">
        <v>153</v>
      </c>
      <c r="BV11" t="s" s="0">
        <v>81</v>
      </c>
      <c r="BW11" t="s" s="0">
        <v>81</v>
      </c>
      <c r="BX11" t="s" s="0">
        <v>115</v>
      </c>
    </row>
    <row r="12">
      <c r="A12" t="s" s="0">
        <v>77</v>
      </c>
      <c r="B12" t="s" s="0">
        <v>77</v>
      </c>
      <c r="C12" t="s" s="0">
        <v>77</v>
      </c>
      <c r="D12" t="s" s="0">
        <v>77</v>
      </c>
      <c r="E12" t="s" s="0">
        <v>415</v>
      </c>
      <c r="F12" t="s" s="0">
        <v>416</v>
      </c>
      <c r="G12" t="s" s="0">
        <v>417</v>
      </c>
      <c r="H12" t="s" s="0">
        <v>81</v>
      </c>
      <c r="I12" t="s" s="0">
        <v>82</v>
      </c>
      <c r="J12" t="s" s="0">
        <v>418</v>
      </c>
      <c r="K12" t="s" s="0">
        <v>419</v>
      </c>
      <c r="L12" t="s" s="0">
        <v>420</v>
      </c>
      <c r="M12" t="s" s="0">
        <v>421</v>
      </c>
      <c r="N12" t="s" s="0">
        <v>422</v>
      </c>
      <c r="O12" t="s" s="0">
        <v>423</v>
      </c>
      <c r="P12" t="s" s="0">
        <v>270</v>
      </c>
      <c r="Q12" t="s" s="0">
        <v>87</v>
      </c>
      <c r="R12" t="s" s="0">
        <v>81</v>
      </c>
      <c r="S12" t="s" s="0">
        <v>81</v>
      </c>
      <c r="T12" t="s" s="0">
        <v>81</v>
      </c>
      <c r="U12" t="s" s="0">
        <v>81</v>
      </c>
      <c r="V12" t="s" s="0">
        <v>424</v>
      </c>
      <c r="W12" t="s" s="0">
        <v>425</v>
      </c>
      <c r="X12" t="s" s="0">
        <v>81</v>
      </c>
      <c r="Y12" t="s" s="0">
        <v>81</v>
      </c>
      <c r="Z12" t="s" s="0">
        <v>90</v>
      </c>
      <c r="AA12" t="s" s="0">
        <v>91</v>
      </c>
      <c r="AB12" t="s" s="0">
        <v>81</v>
      </c>
      <c r="AC12" t="s" s="0">
        <v>81</v>
      </c>
      <c r="AD12" t="s" s="0">
        <v>81</v>
      </c>
      <c r="AE12" t="s" s="0">
        <v>81</v>
      </c>
      <c r="AF12" t="s" s="0">
        <v>81</v>
      </c>
      <c r="AG12" t="s" s="0">
        <v>426</v>
      </c>
      <c r="AH12" t="s" s="0">
        <v>427</v>
      </c>
      <c r="AI12" t="s" s="0">
        <v>81</v>
      </c>
      <c r="AJ12" t="s" s="0">
        <v>81</v>
      </c>
      <c r="AK12" t="s" s="0">
        <v>81</v>
      </c>
      <c r="AL12" t="s" s="0">
        <v>428</v>
      </c>
      <c r="AM12" t="s" s="0">
        <v>77</v>
      </c>
      <c r="AN12" t="s" s="0">
        <v>77</v>
      </c>
      <c r="AO12" t="s" s="0">
        <v>313</v>
      </c>
      <c r="AP12" t="s" s="0">
        <v>313</v>
      </c>
      <c r="AQ12" t="s" s="0">
        <v>278</v>
      </c>
      <c r="AR12" t="s" s="0">
        <v>247</v>
      </c>
      <c r="AS12" t="s" s="0">
        <v>279</v>
      </c>
      <c r="AT12" t="s" s="0">
        <v>429</v>
      </c>
      <c r="AU12" t="s" s="0">
        <v>430</v>
      </c>
      <c r="AV12" t="s" s="0">
        <v>81</v>
      </c>
      <c r="AW12" t="s" s="0">
        <v>431</v>
      </c>
      <c r="AX12" t="s" s="0">
        <v>432</v>
      </c>
      <c r="AY12" t="s" s="0">
        <v>100</v>
      </c>
      <c r="AZ12" t="s" s="0">
        <v>101</v>
      </c>
      <c r="BA12" t="s" s="0">
        <v>433</v>
      </c>
      <c r="BB12" t="s" s="0">
        <v>103</v>
      </c>
      <c r="BC12" t="s" s="0">
        <v>81</v>
      </c>
      <c r="BD12" t="s" s="0">
        <v>81</v>
      </c>
      <c r="BE12" t="s" s="0">
        <v>81</v>
      </c>
      <c r="BF12" t="s" s="0">
        <v>81</v>
      </c>
      <c r="BG12" t="s" s="0">
        <v>434</v>
      </c>
      <c r="BH12" t="s" s="0">
        <v>435</v>
      </c>
      <c r="BI12" t="s" s="0">
        <v>81</v>
      </c>
      <c r="BJ12" t="s" s="0">
        <v>436</v>
      </c>
      <c r="BK12" t="s" s="21">
        <f>HYPERLINK("http://dx.doi.org/10.1007/s00464-026-12803-8","http://dx.doi.org/10.1007/s00464-026-12803-8")</f>
        <v>437</v>
      </c>
      <c r="BL12" t="s" s="0">
        <v>81</v>
      </c>
      <c r="BM12" t="s" s="0">
        <v>438</v>
      </c>
      <c r="BN12" t="s" s="0">
        <v>323</v>
      </c>
      <c r="BO12" t="s" s="0">
        <v>383</v>
      </c>
      <c r="BP12" t="s" s="0">
        <v>383</v>
      </c>
      <c r="BQ12" t="s" s="0">
        <v>439</v>
      </c>
      <c r="BR12" t="s" s="0">
        <v>440</v>
      </c>
      <c r="BS12" t="s" s="0">
        <v>441</v>
      </c>
      <c r="BT12" t="s" s="22">
        <f>HYPERLINK("https://www.webofscience.com/wos/woscc/full-record/WOS:001744035100001","View Record in Web of Science")</f>
        <v>113</v>
      </c>
      <c r="BU12" t="s" s="0">
        <v>81</v>
      </c>
      <c r="BV12" t="s" s="0">
        <v>81</v>
      </c>
      <c r="BW12" t="s" s="0">
        <v>81</v>
      </c>
      <c r="BX12" t="s" s="0">
        <v>115</v>
      </c>
    </row>
    <row r="13">
      <c r="A13" t="s" s="0">
        <v>144</v>
      </c>
      <c r="B13" t="s" s="0">
        <v>77</v>
      </c>
      <c r="C13" t="s" s="0">
        <v>107</v>
      </c>
      <c r="D13" t="s" s="0">
        <v>77</v>
      </c>
      <c r="E13" t="s" s="0">
        <v>442</v>
      </c>
      <c r="F13" t="s" s="0">
        <v>443</v>
      </c>
      <c r="G13" t="s" s="0">
        <v>444</v>
      </c>
      <c r="H13" t="s" s="0">
        <v>81</v>
      </c>
      <c r="I13" t="s" s="0">
        <v>82</v>
      </c>
      <c r="J13" t="s" s="0">
        <v>445</v>
      </c>
      <c r="K13" t="s" s="0">
        <v>446</v>
      </c>
      <c r="L13" t="s" s="0">
        <v>447</v>
      </c>
      <c r="M13" t="s" s="0">
        <v>448</v>
      </c>
      <c r="N13" t="s" s="0">
        <v>449</v>
      </c>
      <c r="O13" t="s" s="0">
        <v>450</v>
      </c>
      <c r="P13" t="s" s="0">
        <v>451</v>
      </c>
      <c r="Q13" t="s" s="0">
        <v>87</v>
      </c>
      <c r="R13" t="s" s="0">
        <v>81</v>
      </c>
      <c r="S13" t="s" s="0">
        <v>81</v>
      </c>
      <c r="T13" t="s" s="0">
        <v>81</v>
      </c>
      <c r="U13" t="s" s="0">
        <v>81</v>
      </c>
      <c r="V13" t="s" s="0">
        <v>452</v>
      </c>
      <c r="W13" t="s" s="0">
        <v>453</v>
      </c>
      <c r="X13" t="s" s="0">
        <v>81</v>
      </c>
      <c r="Y13" t="s" s="0">
        <v>81</v>
      </c>
      <c r="Z13" t="s" s="0">
        <v>90</v>
      </c>
      <c r="AA13" t="s" s="0">
        <v>91</v>
      </c>
      <c r="AB13" t="s" s="0">
        <v>81</v>
      </c>
      <c r="AC13" t="s" s="0">
        <v>81</v>
      </c>
      <c r="AD13" t="s" s="0">
        <v>81</v>
      </c>
      <c r="AE13" t="s" s="0">
        <v>81</v>
      </c>
      <c r="AF13" t="s" s="0">
        <v>81</v>
      </c>
      <c r="AG13" t="s" s="0">
        <v>454</v>
      </c>
      <c r="AH13" t="s" s="0">
        <v>455</v>
      </c>
      <c r="AI13" t="s" s="0">
        <v>456</v>
      </c>
      <c r="AJ13" t="s" s="0">
        <v>81</v>
      </c>
      <c r="AK13" t="s" s="0">
        <v>81</v>
      </c>
      <c r="AL13" t="s" s="0">
        <v>457</v>
      </c>
      <c r="AM13" t="s" s="0">
        <v>143</v>
      </c>
      <c r="AN13" t="s" s="0">
        <v>277</v>
      </c>
      <c r="AO13" t="s" s="0">
        <v>245</v>
      </c>
      <c r="AP13" t="s" s="0">
        <v>458</v>
      </c>
      <c r="AQ13" t="s" s="0">
        <v>174</v>
      </c>
      <c r="AR13" t="s" s="0">
        <v>175</v>
      </c>
      <c r="AS13" t="s" s="0">
        <v>176</v>
      </c>
      <c r="AT13" t="s" s="0">
        <v>459</v>
      </c>
      <c r="AU13" t="s" s="0">
        <v>460</v>
      </c>
      <c r="AV13" t="s" s="0">
        <v>81</v>
      </c>
      <c r="AW13" t="s" s="0">
        <v>461</v>
      </c>
      <c r="AX13" t="s" s="0">
        <v>462</v>
      </c>
      <c r="AY13" t="s" s="0">
        <v>186</v>
      </c>
      <c r="AZ13" t="s" s="0">
        <v>142</v>
      </c>
      <c r="BA13" t="s" s="0">
        <v>463</v>
      </c>
      <c r="BB13" t="s" s="0">
        <v>81</v>
      </c>
      <c r="BC13" t="s" s="0">
        <v>81</v>
      </c>
      <c r="BD13" t="s" s="0">
        <v>81</v>
      </c>
      <c r="BE13" t="s" s="0">
        <v>81</v>
      </c>
      <c r="BF13" t="s" s="0">
        <v>81</v>
      </c>
      <c r="BG13" t="s" s="0">
        <v>81</v>
      </c>
      <c r="BH13" t="s" s="0">
        <v>81</v>
      </c>
      <c r="BI13" t="s" s="0">
        <v>464</v>
      </c>
      <c r="BJ13" t="s" s="0">
        <v>465</v>
      </c>
      <c r="BK13" t="s" s="23">
        <f>HYPERLINK("http://dx.doi.org/10.1016/j.compag.2025.110031","http://dx.doi.org/10.1016/j.compag.2025.110031")</f>
        <v>466</v>
      </c>
      <c r="BL13" t="s" s="0">
        <v>81</v>
      </c>
      <c r="BM13" t="s" s="0">
        <v>467</v>
      </c>
      <c r="BN13" t="s" s="0">
        <v>468</v>
      </c>
      <c r="BO13" t="s" s="0">
        <v>469</v>
      </c>
      <c r="BP13" t="s" s="0">
        <v>470</v>
      </c>
      <c r="BQ13" t="s" s="0">
        <v>471</v>
      </c>
      <c r="BR13" t="s" s="0">
        <v>81</v>
      </c>
      <c r="BS13" t="s" s="0">
        <v>472</v>
      </c>
      <c r="BT13" t="s" s="24">
        <f>HYPERLINK("https://www.webofscience.com/wos/woscc/full-record/WOS:001420443400001","View Record in Web of Science")</f>
        <v>113</v>
      </c>
      <c r="BU13" t="s" s="0">
        <v>473</v>
      </c>
      <c r="BV13" t="s" s="0">
        <v>81</v>
      </c>
      <c r="BW13" t="s" s="0">
        <v>81</v>
      </c>
      <c r="BX13" t="s" s="0">
        <v>115</v>
      </c>
    </row>
    <row r="14">
      <c r="A14" t="s" s="0">
        <v>144</v>
      </c>
      <c r="B14" t="s" s="0">
        <v>77</v>
      </c>
      <c r="C14" t="s" s="0">
        <v>313</v>
      </c>
      <c r="D14" t="s" s="0">
        <v>77</v>
      </c>
      <c r="E14" t="s" s="0">
        <v>474</v>
      </c>
      <c r="F14" t="s" s="0">
        <v>475</v>
      </c>
      <c r="G14" t="s" s="0">
        <v>476</v>
      </c>
      <c r="H14" t="s" s="0">
        <v>81</v>
      </c>
      <c r="I14" t="s" s="0">
        <v>82</v>
      </c>
      <c r="J14" t="s" s="0">
        <v>477</v>
      </c>
      <c r="K14" t="s" s="0">
        <v>478</v>
      </c>
      <c r="L14" t="s" s="0">
        <v>479</v>
      </c>
      <c r="M14" t="s" s="0">
        <v>480</v>
      </c>
      <c r="N14" t="s" s="0">
        <v>481</v>
      </c>
      <c r="O14" t="s" s="0">
        <v>482</v>
      </c>
      <c r="P14" t="s" s="0">
        <v>483</v>
      </c>
      <c r="Q14" t="s" s="0">
        <v>87</v>
      </c>
      <c r="R14" t="s" s="0">
        <v>81</v>
      </c>
      <c r="S14" t="s" s="0">
        <v>81</v>
      </c>
      <c r="T14" t="s" s="0">
        <v>81</v>
      </c>
      <c r="U14" t="s" s="0">
        <v>81</v>
      </c>
      <c r="V14" t="s" s="0">
        <v>484</v>
      </c>
      <c r="W14" t="s" s="0">
        <v>485</v>
      </c>
      <c r="X14" t="s" s="0">
        <v>81</v>
      </c>
      <c r="Y14" t="s" s="0">
        <v>81</v>
      </c>
      <c r="Z14" t="s" s="0">
        <v>90</v>
      </c>
      <c r="AA14" t="s" s="0">
        <v>91</v>
      </c>
      <c r="AB14" t="s" s="0">
        <v>81</v>
      </c>
      <c r="AC14" t="s" s="0">
        <v>81</v>
      </c>
      <c r="AD14" t="s" s="0">
        <v>81</v>
      </c>
      <c r="AE14" t="s" s="0">
        <v>81</v>
      </c>
      <c r="AF14" t="s" s="0">
        <v>81</v>
      </c>
      <c r="AG14" t="s" s="0">
        <v>486</v>
      </c>
      <c r="AH14" t="s" s="0">
        <v>487</v>
      </c>
      <c r="AI14" t="s" s="0">
        <v>81</v>
      </c>
      <c r="AJ14" t="s" s="0">
        <v>81</v>
      </c>
      <c r="AK14" t="s" s="0">
        <v>81</v>
      </c>
      <c r="AL14" t="s" s="0">
        <v>488</v>
      </c>
      <c r="AM14" t="s" s="0">
        <v>107</v>
      </c>
      <c r="AN14" t="s" s="0">
        <v>187</v>
      </c>
      <c r="AO14" t="s" s="0">
        <v>372</v>
      </c>
      <c r="AP14" t="s" s="0">
        <v>187</v>
      </c>
      <c r="AQ14" t="s" s="0">
        <v>246</v>
      </c>
      <c r="AR14" t="s" s="0">
        <v>247</v>
      </c>
      <c r="AS14" t="s" s="0">
        <v>489</v>
      </c>
      <c r="AT14" t="s" s="0">
        <v>490</v>
      </c>
      <c r="AU14" t="s" s="0">
        <v>491</v>
      </c>
      <c r="AV14" t="s" s="0">
        <v>81</v>
      </c>
      <c r="AW14" t="s" s="0">
        <v>492</v>
      </c>
      <c r="AX14" t="s" s="0">
        <v>493</v>
      </c>
      <c r="AY14" t="s" s="0">
        <v>494</v>
      </c>
      <c r="AZ14" t="s" s="0">
        <v>142</v>
      </c>
      <c r="BA14" t="s" s="0">
        <v>209</v>
      </c>
      <c r="BB14" t="s" s="0">
        <v>103</v>
      </c>
      <c r="BC14" t="s" s="0">
        <v>81</v>
      </c>
      <c r="BD14" t="s" s="0">
        <v>81</v>
      </c>
      <c r="BE14" t="s" s="0">
        <v>81</v>
      </c>
      <c r="BF14" t="s" s="0">
        <v>81</v>
      </c>
      <c r="BG14" t="s" s="0">
        <v>495</v>
      </c>
      <c r="BH14" t="s" s="0">
        <v>496</v>
      </c>
      <c r="BI14" t="s" s="0">
        <v>81</v>
      </c>
      <c r="BJ14" t="s" s="0">
        <v>497</v>
      </c>
      <c r="BK14" t="s" s="25">
        <f>HYPERLINK("http://dx.doi.org/10.1016/j.acra.2024.12.074","http://dx.doi.org/10.1016/j.acra.2024.12.074")</f>
        <v>498</v>
      </c>
      <c r="BL14" t="s" s="0">
        <v>81</v>
      </c>
      <c r="BM14" t="s" s="0">
        <v>499</v>
      </c>
      <c r="BN14" t="s" s="0">
        <v>134</v>
      </c>
      <c r="BO14" t="s" s="0">
        <v>292</v>
      </c>
      <c r="BP14" t="s" s="0">
        <v>292</v>
      </c>
      <c r="BQ14" t="s" s="0">
        <v>500</v>
      </c>
      <c r="BR14" t="s" s="0">
        <v>501</v>
      </c>
      <c r="BS14" t="s" s="0">
        <v>502</v>
      </c>
      <c r="BT14" t="s" s="26">
        <f>HYPERLINK("https://www.webofscience.com/wos/woscc/full-record/WOS:001505161600022","View Record in Web of Science")</f>
        <v>113</v>
      </c>
      <c r="BU14" t="s" s="0">
        <v>81</v>
      </c>
      <c r="BV14" t="s" s="0">
        <v>81</v>
      </c>
      <c r="BW14" t="s" s="0">
        <v>81</v>
      </c>
      <c r="BX14" t="s" s="0">
        <v>115</v>
      </c>
    </row>
    <row r="15">
      <c r="A15" t="s" s="0">
        <v>372</v>
      </c>
      <c r="B15" t="s" s="0">
        <v>77</v>
      </c>
      <c r="C15" t="s" s="0">
        <v>103</v>
      </c>
      <c r="D15" t="s" s="0">
        <v>77</v>
      </c>
      <c r="E15" t="s" s="0">
        <v>503</v>
      </c>
      <c r="F15" t="s" s="0">
        <v>504</v>
      </c>
      <c r="G15" t="s" s="0">
        <v>505</v>
      </c>
      <c r="H15" t="s" s="0">
        <v>81</v>
      </c>
      <c r="I15" t="s" s="0">
        <v>82</v>
      </c>
      <c r="J15" t="s" s="0">
        <v>506</v>
      </c>
      <c r="K15" t="s" s="0">
        <v>507</v>
      </c>
      <c r="L15" t="s" s="0">
        <v>508</v>
      </c>
      <c r="M15" t="s" s="0">
        <v>509</v>
      </c>
      <c r="N15" t="s" s="0">
        <v>510</v>
      </c>
      <c r="O15" t="s" s="0">
        <v>511</v>
      </c>
      <c r="P15" t="s" s="0">
        <v>512</v>
      </c>
      <c r="Q15" t="s" s="0">
        <v>87</v>
      </c>
      <c r="R15" t="s" s="0">
        <v>81</v>
      </c>
      <c r="S15" t="s" s="0">
        <v>81</v>
      </c>
      <c r="T15" t="s" s="0">
        <v>81</v>
      </c>
      <c r="U15" t="s" s="0">
        <v>81</v>
      </c>
      <c r="V15" t="s" s="0">
        <v>513</v>
      </c>
      <c r="W15" t="s" s="0">
        <v>514</v>
      </c>
      <c r="X15" t="s" s="0">
        <v>81</v>
      </c>
      <c r="Y15" t="s" s="0">
        <v>81</v>
      </c>
      <c r="Z15" t="s" s="0">
        <v>90</v>
      </c>
      <c r="AA15" t="s" s="0">
        <v>91</v>
      </c>
      <c r="AB15" t="s" s="0">
        <v>81</v>
      </c>
      <c r="AC15" t="s" s="0">
        <v>81</v>
      </c>
      <c r="AD15" t="s" s="0">
        <v>81</v>
      </c>
      <c r="AE15" t="s" s="0">
        <v>81</v>
      </c>
      <c r="AF15" t="s" s="0">
        <v>81</v>
      </c>
      <c r="AG15" t="s" s="0">
        <v>515</v>
      </c>
      <c r="AH15" t="s" s="0">
        <v>516</v>
      </c>
      <c r="AI15" t="s" s="0">
        <v>517</v>
      </c>
      <c r="AJ15" t="s" s="0">
        <v>518</v>
      </c>
      <c r="AK15" t="s" s="0">
        <v>81</v>
      </c>
      <c r="AL15" t="s" s="0">
        <v>519</v>
      </c>
      <c r="AM15" t="s" s="0">
        <v>488</v>
      </c>
      <c r="AN15" t="s" s="0">
        <v>520</v>
      </c>
      <c r="AO15" t="s" s="0">
        <v>116</v>
      </c>
      <c r="AP15" t="s" s="0">
        <v>521</v>
      </c>
      <c r="AQ15" t="s" s="0">
        <v>522</v>
      </c>
      <c r="AR15" t="s" s="0">
        <v>523</v>
      </c>
      <c r="AS15" t="s" s="0">
        <v>524</v>
      </c>
      <c r="AT15" t="s" s="0">
        <v>525</v>
      </c>
      <c r="AU15" t="s" s="0">
        <v>526</v>
      </c>
      <c r="AV15" t="s" s="0">
        <v>81</v>
      </c>
      <c r="AW15" t="s" s="0">
        <v>527</v>
      </c>
      <c r="AX15" t="s" s="0">
        <v>528</v>
      </c>
      <c r="AY15" t="s" s="0">
        <v>529</v>
      </c>
      <c r="AZ15" t="s" s="0">
        <v>285</v>
      </c>
      <c r="BA15" t="s" s="0">
        <v>530</v>
      </c>
      <c r="BB15" t="s" s="0">
        <v>81</v>
      </c>
      <c r="BC15" t="s" s="0">
        <v>81</v>
      </c>
      <c r="BD15" t="s" s="0">
        <v>81</v>
      </c>
      <c r="BE15" t="s" s="0">
        <v>81</v>
      </c>
      <c r="BF15" t="s" s="0">
        <v>81</v>
      </c>
      <c r="BG15" t="s" s="0">
        <v>81</v>
      </c>
      <c r="BH15" t="s" s="0">
        <v>81</v>
      </c>
      <c r="BI15" t="s" s="0">
        <v>531</v>
      </c>
      <c r="BJ15" t="s" s="0">
        <v>532</v>
      </c>
      <c r="BK15" t="s" s="27">
        <f>HYPERLINK("http://dx.doi.org/10.1016/j.ijmedinf.2024.105341","http://dx.doi.org/10.1016/j.ijmedinf.2024.105341")</f>
        <v>533</v>
      </c>
      <c r="BL15" t="s" s="0">
        <v>81</v>
      </c>
      <c r="BM15" t="s" s="0">
        <v>534</v>
      </c>
      <c r="BN15" t="s" s="0">
        <v>134</v>
      </c>
      <c r="BO15" t="s" s="0">
        <v>535</v>
      </c>
      <c r="BP15" t="s" s="0">
        <v>536</v>
      </c>
      <c r="BQ15" t="s" s="0">
        <v>537</v>
      </c>
      <c r="BR15" t="s" s="0">
        <v>538</v>
      </c>
      <c r="BS15" t="s" s="0">
        <v>539</v>
      </c>
      <c r="BT15" t="s" s="28">
        <f>HYPERLINK("https://www.webofscience.com/wos/woscc/full-record/WOS:001178538400001","View Record in Web of Science")</f>
        <v>113</v>
      </c>
      <c r="BU15" t="s" s="0">
        <v>193</v>
      </c>
      <c r="BV15" t="s" s="0">
        <v>81</v>
      </c>
      <c r="BW15" t="s" s="0">
        <v>81</v>
      </c>
      <c r="BX15" t="s" s="0">
        <v>115</v>
      </c>
    </row>
    <row r="16">
      <c r="A16" t="s" s="0">
        <v>77</v>
      </c>
      <c r="B16" t="s" s="0">
        <v>77</v>
      </c>
      <c r="C16" t="s" s="0">
        <v>77</v>
      </c>
      <c r="D16" t="s" s="0">
        <v>77</v>
      </c>
      <c r="E16" t="s" s="0">
        <v>540</v>
      </c>
      <c r="F16" t="s" s="0">
        <v>541</v>
      </c>
      <c r="G16" t="s" s="0">
        <v>542</v>
      </c>
      <c r="H16" t="s" s="0">
        <v>81</v>
      </c>
      <c r="I16" t="s" s="0">
        <v>543</v>
      </c>
      <c r="J16" t="s" s="0">
        <v>544</v>
      </c>
      <c r="K16" t="s" s="0">
        <v>545</v>
      </c>
      <c r="L16" t="s" s="0">
        <v>546</v>
      </c>
      <c r="M16" t="s" s="0">
        <v>547</v>
      </c>
      <c r="N16" t="s" s="0">
        <v>548</v>
      </c>
      <c r="O16" t="s" s="0">
        <v>549</v>
      </c>
      <c r="P16" t="s" s="0">
        <v>550</v>
      </c>
      <c r="Q16" t="s" s="0">
        <v>87</v>
      </c>
      <c r="R16" t="s" s="0">
        <v>81</v>
      </c>
      <c r="S16" t="s" s="0">
        <v>81</v>
      </c>
      <c r="T16" t="s" s="0">
        <v>81</v>
      </c>
      <c r="U16" t="s" s="0">
        <v>81</v>
      </c>
      <c r="V16" t="s" s="0">
        <v>551</v>
      </c>
      <c r="W16" t="s" s="0">
        <v>552</v>
      </c>
      <c r="X16" t="s" s="0">
        <v>81</v>
      </c>
      <c r="Y16" t="s" s="0">
        <v>81</v>
      </c>
      <c r="Z16" t="s" s="0">
        <v>90</v>
      </c>
      <c r="AA16" t="s" s="0">
        <v>91</v>
      </c>
      <c r="AB16" t="s" s="0">
        <v>81</v>
      </c>
      <c r="AC16" t="s" s="0">
        <v>81</v>
      </c>
      <c r="AD16" t="s" s="0">
        <v>81</v>
      </c>
      <c r="AE16" t="s" s="0">
        <v>81</v>
      </c>
      <c r="AF16" t="s" s="0">
        <v>81</v>
      </c>
      <c r="AG16" t="s" s="0">
        <v>553</v>
      </c>
      <c r="AH16" t="s" s="0">
        <v>554</v>
      </c>
      <c r="AI16" t="s" s="0">
        <v>555</v>
      </c>
      <c r="AJ16" t="s" s="0">
        <v>556</v>
      </c>
      <c r="AK16" t="s" s="0">
        <v>81</v>
      </c>
      <c r="AL16" t="s" s="0">
        <v>401</v>
      </c>
      <c r="AM16" t="s" s="0">
        <v>77</v>
      </c>
      <c r="AN16" t="s" s="0">
        <v>77</v>
      </c>
      <c r="AO16" t="s" s="0">
        <v>144</v>
      </c>
      <c r="AP16" t="s" s="0">
        <v>144</v>
      </c>
      <c r="AQ16" t="s" s="0">
        <v>557</v>
      </c>
      <c r="AR16" t="s" s="0">
        <v>558</v>
      </c>
      <c r="AS16" t="s" s="0">
        <v>559</v>
      </c>
      <c r="AT16" t="s" s="0">
        <v>560</v>
      </c>
      <c r="AU16" t="s" s="0">
        <v>561</v>
      </c>
      <c r="AV16" t="s" s="0">
        <v>81</v>
      </c>
      <c r="AW16" t="s" s="0">
        <v>562</v>
      </c>
      <c r="AX16" t="s" s="0">
        <v>563</v>
      </c>
      <c r="AY16" t="s" s="0">
        <v>438</v>
      </c>
      <c r="AZ16" t="s" s="0">
        <v>101</v>
      </c>
      <c r="BA16" t="s" s="0">
        <v>219</v>
      </c>
      <c r="BB16" t="s" s="0">
        <v>313</v>
      </c>
      <c r="BC16" t="s" s="0">
        <v>81</v>
      </c>
      <c r="BD16" t="s" s="0">
        <v>81</v>
      </c>
      <c r="BE16" t="s" s="0">
        <v>81</v>
      </c>
      <c r="BF16" t="s" s="0">
        <v>81</v>
      </c>
      <c r="BG16" t="s" s="0">
        <v>81</v>
      </c>
      <c r="BH16" t="s" s="0">
        <v>81</v>
      </c>
      <c r="BI16" t="s" s="0">
        <v>81</v>
      </c>
      <c r="BJ16" t="s" s="0">
        <v>564</v>
      </c>
      <c r="BK16" t="s" s="29">
        <f>HYPERLINK("http://dx.doi.org/10.1002/VIW.20250131","http://dx.doi.org/10.1002/VIW.20250131")</f>
        <v>565</v>
      </c>
      <c r="BL16" t="s" s="0">
        <v>81</v>
      </c>
      <c r="BM16" t="s" s="0">
        <v>566</v>
      </c>
      <c r="BN16" t="s" s="0">
        <v>143</v>
      </c>
      <c r="BO16" t="s" s="0">
        <v>567</v>
      </c>
      <c r="BP16" t="s" s="0">
        <v>568</v>
      </c>
      <c r="BQ16" t="s" s="0">
        <v>569</v>
      </c>
      <c r="BR16" t="s" s="0">
        <v>81</v>
      </c>
      <c r="BS16" t="s" s="0">
        <v>570</v>
      </c>
      <c r="BT16" t="s" s="30">
        <f>HYPERLINK("https://www.webofscience.com/wos/woscc/full-record/WOS:001679190400001","View Record in Web of Science")</f>
        <v>113</v>
      </c>
      <c r="BU16" t="s" s="0">
        <v>153</v>
      </c>
      <c r="BV16" t="s" s="0">
        <v>81</v>
      </c>
      <c r="BW16" t="s" s="0">
        <v>81</v>
      </c>
      <c r="BX16" t="s" s="0">
        <v>115</v>
      </c>
    </row>
    <row r="17">
      <c r="A17" t="s" s="0">
        <v>77</v>
      </c>
      <c r="B17" t="s" s="0">
        <v>77</v>
      </c>
      <c r="C17" t="s" s="0">
        <v>77</v>
      </c>
      <c r="D17" t="s" s="0">
        <v>77</v>
      </c>
      <c r="E17" t="s" s="0">
        <v>571</v>
      </c>
      <c r="F17" t="s" s="0">
        <v>572</v>
      </c>
      <c r="G17" t="s" s="0">
        <v>573</v>
      </c>
      <c r="H17" t="s" s="0">
        <v>81</v>
      </c>
      <c r="I17" t="s" s="0">
        <v>82</v>
      </c>
      <c r="J17" t="s" s="0">
        <v>574</v>
      </c>
      <c r="K17" t="s" s="0">
        <v>575</v>
      </c>
      <c r="L17" t="s" s="0">
        <v>576</v>
      </c>
      <c r="M17" t="s" s="0">
        <v>577</v>
      </c>
      <c r="N17" t="s" s="0">
        <v>578</v>
      </c>
      <c r="O17" t="s" s="0">
        <v>579</v>
      </c>
      <c r="P17" t="s" s="0">
        <v>580</v>
      </c>
      <c r="Q17" t="s" s="0">
        <v>87</v>
      </c>
      <c r="R17" t="s" s="0">
        <v>81</v>
      </c>
      <c r="S17" t="s" s="0">
        <v>81</v>
      </c>
      <c r="T17" t="s" s="0">
        <v>81</v>
      </c>
      <c r="U17" t="s" s="0">
        <v>81</v>
      </c>
      <c r="V17" t="s" s="0">
        <v>581</v>
      </c>
      <c r="W17" t="s" s="0">
        <v>582</v>
      </c>
      <c r="X17" t="s" s="0">
        <v>81</v>
      </c>
      <c r="Y17" t="s" s="0">
        <v>81</v>
      </c>
      <c r="Z17" t="s" s="0">
        <v>90</v>
      </c>
      <c r="AA17" t="s" s="0">
        <v>91</v>
      </c>
      <c r="AB17" t="s" s="0">
        <v>81</v>
      </c>
      <c r="AC17" t="s" s="0">
        <v>81</v>
      </c>
      <c r="AD17" t="s" s="0">
        <v>81</v>
      </c>
      <c r="AE17" t="s" s="0">
        <v>81</v>
      </c>
      <c r="AF17" t="s" s="0">
        <v>81</v>
      </c>
      <c r="AG17" t="s" s="0">
        <v>583</v>
      </c>
      <c r="AH17" t="s" s="0">
        <v>584</v>
      </c>
      <c r="AI17" t="s" s="0">
        <v>585</v>
      </c>
      <c r="AJ17" t="s" s="0">
        <v>81</v>
      </c>
      <c r="AK17" t="s" s="0">
        <v>81</v>
      </c>
      <c r="AL17" t="s" s="0">
        <v>286</v>
      </c>
      <c r="AM17" t="s" s="0">
        <v>77</v>
      </c>
      <c r="AN17" t="s" s="0">
        <v>77</v>
      </c>
      <c r="AO17" t="s" s="0">
        <v>77</v>
      </c>
      <c r="AP17" t="s" s="0">
        <v>77</v>
      </c>
      <c r="AQ17" t="s" s="0">
        <v>586</v>
      </c>
      <c r="AR17" t="s" s="0">
        <v>587</v>
      </c>
      <c r="AS17" t="s" s="0">
        <v>588</v>
      </c>
      <c r="AT17" t="s" s="0">
        <v>81</v>
      </c>
      <c r="AU17" t="s" s="0">
        <v>589</v>
      </c>
      <c r="AV17" t="s" s="0">
        <v>81</v>
      </c>
      <c r="AW17" t="s" s="0">
        <v>590</v>
      </c>
      <c r="AX17" t="s" s="0">
        <v>591</v>
      </c>
      <c r="AY17" t="s" s="0">
        <v>101</v>
      </c>
      <c r="AZ17" t="s" s="0">
        <v>101</v>
      </c>
      <c r="BA17" t="s" s="0">
        <v>134</v>
      </c>
      <c r="BB17" t="s" s="0">
        <v>81</v>
      </c>
      <c r="BC17" t="s" s="0">
        <v>81</v>
      </c>
      <c r="BD17" t="s" s="0">
        <v>81</v>
      </c>
      <c r="BE17" t="s" s="0">
        <v>81</v>
      </c>
      <c r="BF17" t="s" s="0">
        <v>81</v>
      </c>
      <c r="BG17" t="s" s="0">
        <v>81</v>
      </c>
      <c r="BH17" t="s" s="0">
        <v>81</v>
      </c>
      <c r="BI17" t="s" s="0">
        <v>592</v>
      </c>
      <c r="BJ17" t="s" s="0">
        <v>593</v>
      </c>
      <c r="BK17" t="s" s="31">
        <f>HYPERLINK("http://dx.doi.org/10.2147/JHC.S613014","http://dx.doi.org/10.2147/JHC.S613014")</f>
        <v>594</v>
      </c>
      <c r="BL17" t="s" s="0">
        <v>81</v>
      </c>
      <c r="BM17" t="s" s="0">
        <v>81</v>
      </c>
      <c r="BN17" t="s" s="0">
        <v>468</v>
      </c>
      <c r="BO17" t="s" s="0">
        <v>412</v>
      </c>
      <c r="BP17" t="s" s="0">
        <v>412</v>
      </c>
      <c r="BQ17" t="s" s="0">
        <v>595</v>
      </c>
      <c r="BR17" t="s" s="0">
        <v>596</v>
      </c>
      <c r="BS17" t="s" s="0">
        <v>597</v>
      </c>
      <c r="BT17" t="s" s="32">
        <f>HYPERLINK("https://www.webofscience.com/wos/woscc/full-record/WOS:001804370000001","View Record in Web of Science")</f>
        <v>113</v>
      </c>
      <c r="BU17" t="s" s="0">
        <v>153</v>
      </c>
      <c r="BV17" t="s" s="0">
        <v>81</v>
      </c>
      <c r="BW17" t="s" s="0">
        <v>81</v>
      </c>
      <c r="BX17" t="s" s="0">
        <v>115</v>
      </c>
    </row>
    <row r="18">
      <c r="A18" t="s" s="0">
        <v>77</v>
      </c>
      <c r="B18" t="s" s="0">
        <v>77</v>
      </c>
      <c r="C18" t="s" s="0">
        <v>144</v>
      </c>
      <c r="D18" t="s" s="0">
        <v>77</v>
      </c>
      <c r="E18" t="s" s="0">
        <v>598</v>
      </c>
      <c r="F18" t="s" s="0">
        <v>599</v>
      </c>
      <c r="G18" t="s" s="0">
        <v>600</v>
      </c>
      <c r="H18" t="s" s="0">
        <v>81</v>
      </c>
      <c r="I18" t="s" s="0">
        <v>82</v>
      </c>
      <c r="J18" t="s" s="0">
        <v>601</v>
      </c>
      <c r="K18" t="s" s="0">
        <v>602</v>
      </c>
      <c r="L18" t="s" s="0">
        <v>603</v>
      </c>
      <c r="M18" t="s" s="0">
        <v>604</v>
      </c>
      <c r="N18" t="s" s="0">
        <v>605</v>
      </c>
      <c r="O18" t="s" s="0">
        <v>606</v>
      </c>
      <c r="P18" t="s" s="0">
        <v>607</v>
      </c>
      <c r="Q18" t="s" s="0">
        <v>87</v>
      </c>
      <c r="R18" t="s" s="0">
        <v>81</v>
      </c>
      <c r="S18" t="s" s="0">
        <v>81</v>
      </c>
      <c r="T18" t="s" s="0">
        <v>81</v>
      </c>
      <c r="U18" t="s" s="0">
        <v>81</v>
      </c>
      <c r="V18" t="s" s="0">
        <v>608</v>
      </c>
      <c r="W18" t="s" s="0">
        <v>609</v>
      </c>
      <c r="X18" t="s" s="0">
        <v>81</v>
      </c>
      <c r="Y18" t="s" s="0">
        <v>81</v>
      </c>
      <c r="Z18" t="s" s="0">
        <v>90</v>
      </c>
      <c r="AA18" t="s" s="0">
        <v>91</v>
      </c>
      <c r="AB18" t="s" s="0">
        <v>81</v>
      </c>
      <c r="AC18" t="s" s="0">
        <v>81</v>
      </c>
      <c r="AD18" t="s" s="0">
        <v>81</v>
      </c>
      <c r="AE18" t="s" s="0">
        <v>81</v>
      </c>
      <c r="AF18" t="s" s="0">
        <v>81</v>
      </c>
      <c r="AG18" t="s" s="0">
        <v>610</v>
      </c>
      <c r="AH18" t="s" s="0">
        <v>611</v>
      </c>
      <c r="AI18" t="s" s="0">
        <v>612</v>
      </c>
      <c r="AJ18" t="s" s="0">
        <v>613</v>
      </c>
      <c r="AK18" t="s" s="0">
        <v>81</v>
      </c>
      <c r="AL18" t="s" s="0">
        <v>614</v>
      </c>
      <c r="AM18" t="s" s="0">
        <v>313</v>
      </c>
      <c r="AN18" t="s" s="0">
        <v>313</v>
      </c>
      <c r="AO18" t="s" s="0">
        <v>488</v>
      </c>
      <c r="AP18" t="s" s="0">
        <v>488</v>
      </c>
      <c r="AQ18" t="s" s="0">
        <v>615</v>
      </c>
      <c r="AR18" t="s" s="0">
        <v>616</v>
      </c>
      <c r="AS18" t="s" s="0">
        <v>617</v>
      </c>
      <c r="AT18" t="s" s="0">
        <v>618</v>
      </c>
      <c r="AU18" t="s" s="0">
        <v>619</v>
      </c>
      <c r="AV18" t="s" s="0">
        <v>81</v>
      </c>
      <c r="AW18" t="s" s="0">
        <v>620</v>
      </c>
      <c r="AX18" t="s" s="0">
        <v>621</v>
      </c>
      <c r="AY18" t="s" s="0">
        <v>622</v>
      </c>
      <c r="AZ18" t="s" s="0">
        <v>101</v>
      </c>
      <c r="BA18" t="s" s="0">
        <v>519</v>
      </c>
      <c r="BB18" t="s" s="0">
        <v>81</v>
      </c>
      <c r="BC18" t="s" s="0">
        <v>81</v>
      </c>
      <c r="BD18" t="s" s="0">
        <v>81</v>
      </c>
      <c r="BE18" t="s" s="0">
        <v>81</v>
      </c>
      <c r="BF18" t="s" s="0">
        <v>81</v>
      </c>
      <c r="BG18" t="s" s="0">
        <v>81</v>
      </c>
      <c r="BH18" t="s" s="0">
        <v>81</v>
      </c>
      <c r="BI18" t="s" s="0">
        <v>623</v>
      </c>
      <c r="BJ18" t="s" s="0">
        <v>624</v>
      </c>
      <c r="BK18" t="s" s="33">
        <f>HYPERLINK("http://dx.doi.org/10.1016/j.jii.2026.101107","http://dx.doi.org/10.1016/j.jii.2026.101107")</f>
        <v>625</v>
      </c>
      <c r="BL18" t="s" s="0">
        <v>81</v>
      </c>
      <c r="BM18" t="s" s="0">
        <v>81</v>
      </c>
      <c r="BN18" t="s" s="0">
        <v>626</v>
      </c>
      <c r="BO18" t="s" s="0">
        <v>627</v>
      </c>
      <c r="BP18" t="s" s="0">
        <v>628</v>
      </c>
      <c r="BQ18" t="s" s="0">
        <v>629</v>
      </c>
      <c r="BR18" t="s" s="0">
        <v>81</v>
      </c>
      <c r="BS18" t="s" s="0">
        <v>630</v>
      </c>
      <c r="BT18" t="s" s="34">
        <f>HYPERLINK("https://www.webofscience.com/wos/woscc/full-record/WOS:001718685100001","View Record in Web of Science")</f>
        <v>113</v>
      </c>
      <c r="BU18" t="s" s="0">
        <v>81</v>
      </c>
      <c r="BV18" t="s" s="0">
        <v>81</v>
      </c>
      <c r="BW18" t="s" s="0">
        <v>81</v>
      </c>
      <c r="BX18" t="s" s="0">
        <v>115</v>
      </c>
    </row>
    <row r="19">
      <c r="A19" t="s" s="0">
        <v>77</v>
      </c>
      <c r="B19" t="s" s="0">
        <v>77</v>
      </c>
      <c r="C19" t="s" s="0">
        <v>77</v>
      </c>
      <c r="D19" t="s" s="0">
        <v>77</v>
      </c>
      <c r="E19" t="s" s="0">
        <v>631</v>
      </c>
      <c r="F19" t="s" s="0">
        <v>632</v>
      </c>
      <c r="G19" t="s" s="0">
        <v>633</v>
      </c>
      <c r="H19" t="s" s="0">
        <v>81</v>
      </c>
      <c r="I19" t="s" s="0">
        <v>82</v>
      </c>
      <c r="J19" t="s" s="0">
        <v>634</v>
      </c>
      <c r="K19" t="s" s="0">
        <v>635</v>
      </c>
      <c r="L19" t="s" s="0">
        <v>636</v>
      </c>
      <c r="M19" t="s" s="0">
        <v>637</v>
      </c>
      <c r="N19" t="s" s="0">
        <v>638</v>
      </c>
      <c r="O19" t="s" s="0">
        <v>639</v>
      </c>
      <c r="P19" t="s" s="0">
        <v>640</v>
      </c>
      <c r="Q19" t="s" s="0">
        <v>87</v>
      </c>
      <c r="R19" t="s" s="0">
        <v>81</v>
      </c>
      <c r="S19" t="s" s="0">
        <v>81</v>
      </c>
      <c r="T19" t="s" s="0">
        <v>81</v>
      </c>
      <c r="U19" t="s" s="0">
        <v>81</v>
      </c>
      <c r="V19" t="s" s="0">
        <v>641</v>
      </c>
      <c r="W19" t="s" s="0">
        <v>642</v>
      </c>
      <c r="X19" t="s" s="0">
        <v>81</v>
      </c>
      <c r="Y19" t="s" s="0">
        <v>81</v>
      </c>
      <c r="Z19" t="s" s="0">
        <v>90</v>
      </c>
      <c r="AA19" t="s" s="0">
        <v>91</v>
      </c>
      <c r="AB19" t="s" s="0">
        <v>81</v>
      </c>
      <c r="AC19" t="s" s="0">
        <v>81</v>
      </c>
      <c r="AD19" t="s" s="0">
        <v>81</v>
      </c>
      <c r="AE19" t="s" s="0">
        <v>81</v>
      </c>
      <c r="AF19" t="s" s="0">
        <v>81</v>
      </c>
      <c r="AG19" t="s" s="0">
        <v>643</v>
      </c>
      <c r="AH19" t="s" s="0">
        <v>81</v>
      </c>
      <c r="AI19" t="s" s="0">
        <v>644</v>
      </c>
      <c r="AJ19" t="s" s="0">
        <v>81</v>
      </c>
      <c r="AK19" t="s" s="0">
        <v>81</v>
      </c>
      <c r="AL19" t="s" s="0">
        <v>488</v>
      </c>
      <c r="AM19" t="s" s="0">
        <v>77</v>
      </c>
      <c r="AN19" t="s" s="0">
        <v>77</v>
      </c>
      <c r="AO19" t="s" s="0">
        <v>77</v>
      </c>
      <c r="AP19" t="s" s="0">
        <v>77</v>
      </c>
      <c r="AQ19" t="s" s="0">
        <v>645</v>
      </c>
      <c r="AR19" t="s" s="0">
        <v>646</v>
      </c>
      <c r="AS19" t="s" s="0">
        <v>647</v>
      </c>
      <c r="AT19" t="s" s="0">
        <v>81</v>
      </c>
      <c r="AU19" t="s" s="0">
        <v>648</v>
      </c>
      <c r="AV19" t="s" s="0">
        <v>81</v>
      </c>
      <c r="AW19" t="s" s="0">
        <v>649</v>
      </c>
      <c r="AX19" t="s" s="0">
        <v>650</v>
      </c>
      <c r="AY19" t="s" s="0">
        <v>651</v>
      </c>
      <c r="AZ19" t="s" s="0">
        <v>101</v>
      </c>
      <c r="BA19" t="s" s="0">
        <v>652</v>
      </c>
      <c r="BB19" t="s" s="0">
        <v>144</v>
      </c>
      <c r="BC19" t="s" s="0">
        <v>81</v>
      </c>
      <c r="BD19" t="s" s="0">
        <v>81</v>
      </c>
      <c r="BE19" t="s" s="0">
        <v>81</v>
      </c>
      <c r="BF19" t="s" s="0">
        <v>81</v>
      </c>
      <c r="BG19" t="s" s="0">
        <v>81</v>
      </c>
      <c r="BH19" t="s" s="0">
        <v>81</v>
      </c>
      <c r="BI19" t="s" s="0">
        <v>653</v>
      </c>
      <c r="BJ19" t="s" s="0">
        <v>654</v>
      </c>
      <c r="BK19" t="s" s="35">
        <f>HYPERLINK("http://dx.doi.org/10.1186/s12967-026-08079-0","http://dx.doi.org/10.1186/s12967-026-08079-0")</f>
        <v>655</v>
      </c>
      <c r="BL19" t="s" s="0">
        <v>81</v>
      </c>
      <c r="BM19" t="s" s="0">
        <v>438</v>
      </c>
      <c r="BN19" t="s" s="0">
        <v>187</v>
      </c>
      <c r="BO19" t="s" s="0">
        <v>656</v>
      </c>
      <c r="BP19" t="s" s="0">
        <v>657</v>
      </c>
      <c r="BQ19" t="s" s="0">
        <v>658</v>
      </c>
      <c r="BR19" t="s" s="0">
        <v>659</v>
      </c>
      <c r="BS19" t="s" s="0">
        <v>660</v>
      </c>
      <c r="BT19" t="s" s="36">
        <f>HYPERLINK("https://www.webofscience.com/wos/woscc/full-record/WOS:001752283100001","View Record in Web of Science")</f>
        <v>113</v>
      </c>
      <c r="BU19" t="s" s="0">
        <v>153</v>
      </c>
      <c r="BV19" t="s" s="0">
        <v>81</v>
      </c>
      <c r="BW19" t="s" s="0">
        <v>81</v>
      </c>
      <c r="BX19" t="s" s="0">
        <v>115</v>
      </c>
    </row>
    <row r="20">
      <c r="A20" t="s" s="0">
        <v>77</v>
      </c>
      <c r="B20" t="s" s="0">
        <v>77</v>
      </c>
      <c r="C20" t="s" s="0">
        <v>144</v>
      </c>
      <c r="D20" t="s" s="0">
        <v>77</v>
      </c>
      <c r="E20" t="s" s="0">
        <v>661</v>
      </c>
      <c r="F20" t="s" s="0">
        <v>662</v>
      </c>
      <c r="G20" t="s" s="0">
        <v>663</v>
      </c>
      <c r="H20" t="s" s="0">
        <v>81</v>
      </c>
      <c r="I20" t="s" s="0">
        <v>82</v>
      </c>
      <c r="J20" t="s" s="0">
        <v>664</v>
      </c>
      <c r="K20" t="s" s="0">
        <v>665</v>
      </c>
      <c r="L20" t="s" s="0">
        <v>666</v>
      </c>
      <c r="M20" t="s" s="0">
        <v>667</v>
      </c>
      <c r="N20" t="s" s="0">
        <v>668</v>
      </c>
      <c r="O20" t="s" s="0">
        <v>669</v>
      </c>
      <c r="P20" t="s" s="0">
        <v>670</v>
      </c>
      <c r="Q20" t="s" s="0">
        <v>87</v>
      </c>
      <c r="R20" t="s" s="0">
        <v>81</v>
      </c>
      <c r="S20" t="s" s="0">
        <v>81</v>
      </c>
      <c r="T20" t="s" s="0">
        <v>81</v>
      </c>
      <c r="U20" t="s" s="0">
        <v>81</v>
      </c>
      <c r="V20" t="s" s="0">
        <v>671</v>
      </c>
      <c r="W20" t="s" s="0">
        <v>672</v>
      </c>
      <c r="X20" t="s" s="0">
        <v>81</v>
      </c>
      <c r="Y20" t="s" s="0">
        <v>81</v>
      </c>
      <c r="Z20" t="s" s="0">
        <v>90</v>
      </c>
      <c r="AA20" t="s" s="0">
        <v>91</v>
      </c>
      <c r="AB20" t="s" s="0">
        <v>81</v>
      </c>
      <c r="AC20" t="s" s="0">
        <v>81</v>
      </c>
      <c r="AD20" t="s" s="0">
        <v>81</v>
      </c>
      <c r="AE20" t="s" s="0">
        <v>81</v>
      </c>
      <c r="AF20" t="s" s="0">
        <v>81</v>
      </c>
      <c r="AG20" t="s" s="0">
        <v>673</v>
      </c>
      <c r="AH20" t="s" s="0">
        <v>674</v>
      </c>
      <c r="AI20" t="s" s="0">
        <v>675</v>
      </c>
      <c r="AJ20" t="s" s="0">
        <v>676</v>
      </c>
      <c r="AK20" t="s" s="0">
        <v>81</v>
      </c>
      <c r="AL20" t="s" s="0">
        <v>520</v>
      </c>
      <c r="AM20" t="s" s="0">
        <v>172</v>
      </c>
      <c r="AN20" t="s" s="0">
        <v>133</v>
      </c>
      <c r="AO20" t="s" s="0">
        <v>313</v>
      </c>
      <c r="AP20" t="s" s="0">
        <v>187</v>
      </c>
      <c r="AQ20" t="s" s="0">
        <v>314</v>
      </c>
      <c r="AR20" t="s" s="0">
        <v>315</v>
      </c>
      <c r="AS20" t="s" s="0">
        <v>316</v>
      </c>
      <c r="AT20" t="s" s="0">
        <v>81</v>
      </c>
      <c r="AU20" t="s" s="0">
        <v>677</v>
      </c>
      <c r="AV20" t="s" s="0">
        <v>81</v>
      </c>
      <c r="AW20" t="s" s="0">
        <v>678</v>
      </c>
      <c r="AX20" t="s" s="0">
        <v>679</v>
      </c>
      <c r="AY20" t="s" s="0">
        <v>680</v>
      </c>
      <c r="AZ20" t="s" s="0">
        <v>142</v>
      </c>
      <c r="BA20" t="s" s="0">
        <v>143</v>
      </c>
      <c r="BB20" t="s" s="0">
        <v>133</v>
      </c>
      <c r="BC20" t="s" s="0">
        <v>81</v>
      </c>
      <c r="BD20" t="s" s="0">
        <v>81</v>
      </c>
      <c r="BE20" t="s" s="0">
        <v>81</v>
      </c>
      <c r="BF20" t="s" s="0">
        <v>81</v>
      </c>
      <c r="BG20" t="s" s="0">
        <v>81</v>
      </c>
      <c r="BH20" t="s" s="0">
        <v>81</v>
      </c>
      <c r="BI20" t="s" s="0">
        <v>681</v>
      </c>
      <c r="BJ20" t="s" s="0">
        <v>682</v>
      </c>
      <c r="BK20" t="s" s="37">
        <f>HYPERLINK("http://dx.doi.org/10.3390/app15095151","http://dx.doi.org/10.3390/app15095151")</f>
        <v>683</v>
      </c>
      <c r="BL20" t="s" s="0">
        <v>81</v>
      </c>
      <c r="BM20" t="s" s="0">
        <v>81</v>
      </c>
      <c r="BN20" t="s" s="0">
        <v>684</v>
      </c>
      <c r="BO20" t="s" s="0">
        <v>685</v>
      </c>
      <c r="BP20" t="s" s="0">
        <v>686</v>
      </c>
      <c r="BQ20" t="s" s="0">
        <v>687</v>
      </c>
      <c r="BR20" t="s" s="0">
        <v>81</v>
      </c>
      <c r="BS20" t="s" s="0">
        <v>688</v>
      </c>
      <c r="BT20" t="s" s="38">
        <f>HYPERLINK("https://www.webofscience.com/wos/woscc/full-record/WOS:001485957800001","View Record in Web of Science")</f>
        <v>113</v>
      </c>
      <c r="BU20" t="s" s="0">
        <v>153</v>
      </c>
      <c r="BV20" t="s" s="0">
        <v>81</v>
      </c>
      <c r="BW20" t="s" s="0">
        <v>81</v>
      </c>
      <c r="BX20" t="s" s="0">
        <v>115</v>
      </c>
    </row>
    <row r="21">
      <c r="A21" t="s" s="0">
        <v>77</v>
      </c>
      <c r="B21" t="s" s="0">
        <v>77</v>
      </c>
      <c r="C21" t="s" s="0">
        <v>210</v>
      </c>
      <c r="D21" t="s" s="0">
        <v>77</v>
      </c>
      <c r="E21" t="s" s="0">
        <v>689</v>
      </c>
      <c r="F21" t="s" s="0">
        <v>690</v>
      </c>
      <c r="G21" t="s" s="0">
        <v>691</v>
      </c>
      <c r="H21" t="s" s="0">
        <v>81</v>
      </c>
      <c r="I21" t="s" s="0">
        <v>82</v>
      </c>
      <c r="J21" t="s" s="0">
        <v>692</v>
      </c>
      <c r="K21" t="s" s="0">
        <v>693</v>
      </c>
      <c r="L21" t="s" s="0">
        <v>694</v>
      </c>
      <c r="M21" t="s" s="0">
        <v>694</v>
      </c>
      <c r="N21" t="s" s="0">
        <v>695</v>
      </c>
      <c r="O21" t="s" s="0">
        <v>696</v>
      </c>
      <c r="P21" t="s" s="0">
        <v>697</v>
      </c>
      <c r="Q21" t="s" s="0">
        <v>87</v>
      </c>
      <c r="R21" t="s" s="0">
        <v>81</v>
      </c>
      <c r="S21" t="s" s="0">
        <v>81</v>
      </c>
      <c r="T21" t="s" s="0">
        <v>81</v>
      </c>
      <c r="U21" t="s" s="0">
        <v>81</v>
      </c>
      <c r="V21" t="s" s="0">
        <v>698</v>
      </c>
      <c r="W21" t="s" s="0">
        <v>699</v>
      </c>
      <c r="X21" t="s" s="0">
        <v>81</v>
      </c>
      <c r="Y21" t="s" s="0">
        <v>81</v>
      </c>
      <c r="Z21" t="s" s="0">
        <v>90</v>
      </c>
      <c r="AA21" t="s" s="0">
        <v>91</v>
      </c>
      <c r="AB21" t="s" s="0">
        <v>81</v>
      </c>
      <c r="AC21" t="s" s="0">
        <v>81</v>
      </c>
      <c r="AD21" t="s" s="0">
        <v>81</v>
      </c>
      <c r="AE21" t="s" s="0">
        <v>81</v>
      </c>
      <c r="AF21" t="s" s="0">
        <v>81</v>
      </c>
      <c r="AG21" t="s" s="0">
        <v>700</v>
      </c>
      <c r="AH21" t="s" s="0">
        <v>701</v>
      </c>
      <c r="AI21" t="s" s="0">
        <v>702</v>
      </c>
      <c r="AJ21" t="s" s="0">
        <v>703</v>
      </c>
      <c r="AK21" t="s" s="0">
        <v>81</v>
      </c>
      <c r="AL21" t="s" s="0">
        <v>704</v>
      </c>
      <c r="AM21" t="s" s="0">
        <v>134</v>
      </c>
      <c r="AN21" t="s" s="0">
        <v>134</v>
      </c>
      <c r="AO21" t="s" s="0">
        <v>313</v>
      </c>
      <c r="AP21" t="s" s="0">
        <v>107</v>
      </c>
      <c r="AQ21" t="s" s="0">
        <v>557</v>
      </c>
      <c r="AR21" t="s" s="0">
        <v>558</v>
      </c>
      <c r="AS21" t="s" s="0">
        <v>559</v>
      </c>
      <c r="AT21" t="s" s="0">
        <v>705</v>
      </c>
      <c r="AU21" t="s" s="0">
        <v>706</v>
      </c>
      <c r="AV21" t="s" s="0">
        <v>81</v>
      </c>
      <c r="AW21" t="s" s="0">
        <v>707</v>
      </c>
      <c r="AX21" t="s" s="0">
        <v>708</v>
      </c>
      <c r="AY21" t="s" s="0">
        <v>499</v>
      </c>
      <c r="AZ21" t="s" s="0">
        <v>142</v>
      </c>
      <c r="BA21" t="s" s="0">
        <v>709</v>
      </c>
      <c r="BB21" t="s" s="0">
        <v>116</v>
      </c>
      <c r="BC21" t="s" s="0">
        <v>81</v>
      </c>
      <c r="BD21" t="s" s="0">
        <v>81</v>
      </c>
      <c r="BE21" t="s" s="0">
        <v>81</v>
      </c>
      <c r="BF21" t="s" s="0">
        <v>81</v>
      </c>
      <c r="BG21" t="s" s="0">
        <v>710</v>
      </c>
      <c r="BH21" t="s" s="0">
        <v>463</v>
      </c>
      <c r="BI21" t="s" s="0">
        <v>81</v>
      </c>
      <c r="BJ21" t="s" s="0">
        <v>711</v>
      </c>
      <c r="BK21" t="s" s="39">
        <f>HYPERLINK("http://dx.doi.org/10.1111/bdi.70011","http://dx.doi.org/10.1111/bdi.70011")</f>
        <v>712</v>
      </c>
      <c r="BL21" t="s" s="0">
        <v>81</v>
      </c>
      <c r="BM21" t="s" s="0">
        <v>713</v>
      </c>
      <c r="BN21" t="s" s="0">
        <v>143</v>
      </c>
      <c r="BO21" t="s" s="0">
        <v>714</v>
      </c>
      <c r="BP21" t="s" s="0">
        <v>715</v>
      </c>
      <c r="BQ21" t="s" s="0">
        <v>716</v>
      </c>
      <c r="BR21" t="s" s="0">
        <v>717</v>
      </c>
      <c r="BS21" t="s" s="0">
        <v>718</v>
      </c>
      <c r="BT21" t="s" s="40">
        <f>HYPERLINK("https://www.webofscience.com/wos/woscc/full-record/WOS:001439101800001","View Record in Web of Science")</f>
        <v>113</v>
      </c>
      <c r="BU21" t="s" s="0">
        <v>719</v>
      </c>
      <c r="BV21" t="s" s="0">
        <v>81</v>
      </c>
      <c r="BW21" t="s" s="0">
        <v>81</v>
      </c>
      <c r="BX21" t="s" s="0">
        <v>115</v>
      </c>
    </row>
    <row r="22">
      <c r="A22" t="s" s="0">
        <v>77</v>
      </c>
      <c r="B22" t="s" s="0">
        <v>77</v>
      </c>
      <c r="C22" t="s" s="0">
        <v>313</v>
      </c>
      <c r="D22" t="s" s="0">
        <v>77</v>
      </c>
      <c r="E22" t="s" s="0">
        <v>720</v>
      </c>
      <c r="F22" t="s" s="0">
        <v>721</v>
      </c>
      <c r="G22" t="s" s="0">
        <v>722</v>
      </c>
      <c r="H22" t="s" s="0">
        <v>81</v>
      </c>
      <c r="I22" t="s" s="0">
        <v>82</v>
      </c>
      <c r="J22" t="s" s="0">
        <v>723</v>
      </c>
      <c r="K22" t="s" s="0">
        <v>724</v>
      </c>
      <c r="L22" t="s" s="0">
        <v>725</v>
      </c>
      <c r="M22" t="s" s="0">
        <v>726</v>
      </c>
      <c r="N22" t="s" s="0">
        <v>727</v>
      </c>
      <c r="O22" t="s" s="0">
        <v>728</v>
      </c>
      <c r="P22" t="s" s="0">
        <v>729</v>
      </c>
      <c r="Q22" t="s" s="0">
        <v>87</v>
      </c>
      <c r="R22" t="s" s="0">
        <v>81</v>
      </c>
      <c r="S22" t="s" s="0">
        <v>81</v>
      </c>
      <c r="T22" t="s" s="0">
        <v>81</v>
      </c>
      <c r="U22" t="s" s="0">
        <v>81</v>
      </c>
      <c r="V22" t="s" s="0">
        <v>730</v>
      </c>
      <c r="W22" t="s" s="0">
        <v>731</v>
      </c>
      <c r="X22" t="s" s="0">
        <v>81</v>
      </c>
      <c r="Y22" t="s" s="0">
        <v>81</v>
      </c>
      <c r="Z22" t="s" s="0">
        <v>90</v>
      </c>
      <c r="AA22" t="s" s="0">
        <v>91</v>
      </c>
      <c r="AB22" t="s" s="0">
        <v>81</v>
      </c>
      <c r="AC22" t="s" s="0">
        <v>81</v>
      </c>
      <c r="AD22" t="s" s="0">
        <v>81</v>
      </c>
      <c r="AE22" t="s" s="0">
        <v>81</v>
      </c>
      <c r="AF22" t="s" s="0">
        <v>81</v>
      </c>
      <c r="AG22" t="s" s="0">
        <v>732</v>
      </c>
      <c r="AH22" t="s" s="0">
        <v>733</v>
      </c>
      <c r="AI22" t="s" s="0">
        <v>734</v>
      </c>
      <c r="AJ22" t="s" s="0">
        <v>735</v>
      </c>
      <c r="AK22" t="s" s="0">
        <v>81</v>
      </c>
      <c r="AL22" t="s" s="0">
        <v>519</v>
      </c>
      <c r="AM22" t="s" s="0">
        <v>173</v>
      </c>
      <c r="AN22" t="s" s="0">
        <v>245</v>
      </c>
      <c r="AO22" t="s" s="0">
        <v>77</v>
      </c>
      <c r="AP22" t="s" s="0">
        <v>134</v>
      </c>
      <c r="AQ22" t="s" s="0">
        <v>736</v>
      </c>
      <c r="AR22" t="s" s="0">
        <v>646</v>
      </c>
      <c r="AS22" t="s" s="0">
        <v>737</v>
      </c>
      <c r="AT22" t="s" s="0">
        <v>738</v>
      </c>
      <c r="AU22" t="s" s="0">
        <v>739</v>
      </c>
      <c r="AV22" t="s" s="0">
        <v>81</v>
      </c>
      <c r="AW22" t="s" s="0">
        <v>740</v>
      </c>
      <c r="AX22" t="s" s="0">
        <v>741</v>
      </c>
      <c r="AY22" t="s" s="0">
        <v>742</v>
      </c>
      <c r="AZ22" t="s" s="0">
        <v>742</v>
      </c>
      <c r="BA22" t="s" s="0">
        <v>743</v>
      </c>
      <c r="BB22" t="s" s="0">
        <v>144</v>
      </c>
      <c r="BC22" t="s" s="0">
        <v>81</v>
      </c>
      <c r="BD22" t="s" s="0">
        <v>81</v>
      </c>
      <c r="BE22" t="s" s="0">
        <v>81</v>
      </c>
      <c r="BF22" t="s" s="0">
        <v>81</v>
      </c>
      <c r="BG22" t="s" s="0">
        <v>744</v>
      </c>
      <c r="BH22" t="s" s="0">
        <v>745</v>
      </c>
      <c r="BI22" t="s" s="0">
        <v>81</v>
      </c>
      <c r="BJ22" t="s" s="0">
        <v>746</v>
      </c>
      <c r="BK22" t="s" s="41">
        <f>HYPERLINK("http://dx.doi.org/10.3233/JAD-230496","http://dx.doi.org/10.3233/JAD-230496")</f>
        <v>747</v>
      </c>
      <c r="BL22" t="s" s="0">
        <v>81</v>
      </c>
      <c r="BM22" t="s" s="0">
        <v>81</v>
      </c>
      <c r="BN22" t="s" s="0">
        <v>107</v>
      </c>
      <c r="BO22" t="s" s="0">
        <v>748</v>
      </c>
      <c r="BP22" t="s" s="0">
        <v>749</v>
      </c>
      <c r="BQ22" t="s" s="0">
        <v>750</v>
      </c>
      <c r="BR22" t="s" s="0">
        <v>751</v>
      </c>
      <c r="BS22" t="s" s="0">
        <v>752</v>
      </c>
      <c r="BT22" t="s" s="42">
        <f>HYPERLINK("https://www.webofscience.com/wos/woscc/full-record/WOS:001092311300024","View Record in Web of Science")</f>
        <v>113</v>
      </c>
      <c r="BU22" t="s" s="0">
        <v>81</v>
      </c>
      <c r="BV22" t="s" s="0">
        <v>81</v>
      </c>
      <c r="BW22" t="s" s="0">
        <v>81</v>
      </c>
      <c r="BX22" t="s" s="0">
        <v>115</v>
      </c>
    </row>
    <row r="23">
      <c r="A23" t="s" s="0">
        <v>77</v>
      </c>
      <c r="B23" t="s" s="0">
        <v>77</v>
      </c>
      <c r="C23" t="s" s="0">
        <v>77</v>
      </c>
      <c r="D23" t="s" s="0">
        <v>77</v>
      </c>
      <c r="E23" t="s" s="0">
        <v>753</v>
      </c>
      <c r="F23" t="s" s="0">
        <v>754</v>
      </c>
      <c r="G23" t="s" s="0">
        <v>755</v>
      </c>
      <c r="H23" t="s" s="0">
        <v>81</v>
      </c>
      <c r="I23" t="s" s="0">
        <v>82</v>
      </c>
      <c r="J23" t="s" s="0">
        <v>756</v>
      </c>
      <c r="K23" t="s" s="0">
        <v>757</v>
      </c>
      <c r="L23" t="s" s="0">
        <v>758</v>
      </c>
      <c r="M23" t="s" s="0">
        <v>267</v>
      </c>
      <c r="N23" t="s" s="0">
        <v>759</v>
      </c>
      <c r="O23" t="s" s="0">
        <v>760</v>
      </c>
      <c r="P23" t="s" s="0">
        <v>761</v>
      </c>
      <c r="Q23" t="s" s="0">
        <v>87</v>
      </c>
      <c r="R23" t="s" s="0">
        <v>81</v>
      </c>
      <c r="S23" t="s" s="0">
        <v>81</v>
      </c>
      <c r="T23" t="s" s="0">
        <v>81</v>
      </c>
      <c r="U23" t="s" s="0">
        <v>81</v>
      </c>
      <c r="V23" t="s" s="0">
        <v>762</v>
      </c>
      <c r="W23" t="s" s="0">
        <v>763</v>
      </c>
      <c r="X23" t="s" s="0">
        <v>81</v>
      </c>
      <c r="Y23" t="s" s="0">
        <v>81</v>
      </c>
      <c r="Z23" t="s" s="0">
        <v>90</v>
      </c>
      <c r="AA23" t="s" s="0">
        <v>91</v>
      </c>
      <c r="AB23" t="s" s="0">
        <v>81</v>
      </c>
      <c r="AC23" t="s" s="0">
        <v>81</v>
      </c>
      <c r="AD23" t="s" s="0">
        <v>81</v>
      </c>
      <c r="AE23" t="s" s="0">
        <v>81</v>
      </c>
      <c r="AF23" t="s" s="0">
        <v>81</v>
      </c>
      <c r="AG23" t="s" s="0">
        <v>764</v>
      </c>
      <c r="AH23" t="s" s="0">
        <v>765</v>
      </c>
      <c r="AI23" t="s" s="0">
        <v>81</v>
      </c>
      <c r="AJ23" t="s" s="0">
        <v>766</v>
      </c>
      <c r="AK23" t="s" s="0">
        <v>81</v>
      </c>
      <c r="AL23" t="s" s="0">
        <v>767</v>
      </c>
      <c r="AM23" t="s" s="0">
        <v>313</v>
      </c>
      <c r="AN23" t="s" s="0">
        <v>313</v>
      </c>
      <c r="AO23" t="s" s="0">
        <v>210</v>
      </c>
      <c r="AP23" t="s" s="0">
        <v>210</v>
      </c>
      <c r="AQ23" t="s" s="0">
        <v>615</v>
      </c>
      <c r="AR23" t="s" s="0">
        <v>616</v>
      </c>
      <c r="AS23" t="s" s="0">
        <v>617</v>
      </c>
      <c r="AT23" t="s" s="0">
        <v>768</v>
      </c>
      <c r="AU23" t="s" s="0">
        <v>769</v>
      </c>
      <c r="AV23" t="s" s="0">
        <v>81</v>
      </c>
      <c r="AW23" t="s" s="0">
        <v>770</v>
      </c>
      <c r="AX23" t="s" s="0">
        <v>771</v>
      </c>
      <c r="AY23" t="s" s="0">
        <v>438</v>
      </c>
      <c r="AZ23" t="s" s="0">
        <v>101</v>
      </c>
      <c r="BA23" t="s" s="0">
        <v>772</v>
      </c>
      <c r="BB23" t="s" s="0">
        <v>313</v>
      </c>
      <c r="BC23" t="s" s="0">
        <v>81</v>
      </c>
      <c r="BD23" t="s" s="0">
        <v>81</v>
      </c>
      <c r="BE23" t="s" s="0">
        <v>81</v>
      </c>
      <c r="BF23" t="s" s="0">
        <v>81</v>
      </c>
      <c r="BG23" t="s" s="0">
        <v>81</v>
      </c>
      <c r="BH23" t="s" s="0">
        <v>81</v>
      </c>
      <c r="BI23" t="s" s="0">
        <v>773</v>
      </c>
      <c r="BJ23" t="s" s="0">
        <v>774</v>
      </c>
      <c r="BK23" t="s" s="43">
        <f>HYPERLINK("http://dx.doi.org/10.1016/j.identj.2026.109420","http://dx.doi.org/10.1016/j.identj.2026.109420")</f>
        <v>775</v>
      </c>
      <c r="BL23" t="s" s="0">
        <v>81</v>
      </c>
      <c r="BM23" t="s" s="0">
        <v>566</v>
      </c>
      <c r="BN23" t="s" s="0">
        <v>134</v>
      </c>
      <c r="BO23" t="s" s="0">
        <v>776</v>
      </c>
      <c r="BP23" t="s" s="0">
        <v>776</v>
      </c>
      <c r="BQ23" t="s" s="0">
        <v>777</v>
      </c>
      <c r="BR23" t="s" s="0">
        <v>778</v>
      </c>
      <c r="BS23" t="s" s="0">
        <v>779</v>
      </c>
      <c r="BT23" t="s" s="44">
        <f>HYPERLINK("https://www.webofscience.com/wos/woscc/full-record/WOS:001686298600001","View Record in Web of Science")</f>
        <v>113</v>
      </c>
      <c r="BU23" t="s" s="0">
        <v>153</v>
      </c>
      <c r="BV23" t="s" s="0">
        <v>81</v>
      </c>
      <c r="BW23" t="s" s="0">
        <v>81</v>
      </c>
      <c r="BX23" t="s" s="0">
        <v>115</v>
      </c>
    </row>
    <row r="24">
      <c r="A24" t="s" s="0">
        <v>144</v>
      </c>
      <c r="B24" t="s" s="0">
        <v>77</v>
      </c>
      <c r="C24" t="s" s="0">
        <v>313</v>
      </c>
      <c r="D24" t="s" s="0">
        <v>77</v>
      </c>
      <c r="E24" t="s" s="0">
        <v>780</v>
      </c>
      <c r="F24" t="s" s="0">
        <v>781</v>
      </c>
      <c r="G24" t="s" s="0">
        <v>782</v>
      </c>
      <c r="H24" t="s" s="0">
        <v>81</v>
      </c>
      <c r="I24" t="s" s="0">
        <v>543</v>
      </c>
      <c r="J24" t="s" s="0">
        <v>783</v>
      </c>
      <c r="K24" t="s" s="0">
        <v>784</v>
      </c>
      <c r="L24" t="s" s="0">
        <v>785</v>
      </c>
      <c r="M24" t="s" s="0">
        <v>786</v>
      </c>
      <c r="N24" t="s" s="0">
        <v>787</v>
      </c>
      <c r="O24" t="s" s="0">
        <v>788</v>
      </c>
      <c r="P24" t="s" s="0">
        <v>789</v>
      </c>
      <c r="Q24" t="s" s="0">
        <v>87</v>
      </c>
      <c r="R24" t="s" s="0">
        <v>81</v>
      </c>
      <c r="S24" t="s" s="0">
        <v>81</v>
      </c>
      <c r="T24" t="s" s="0">
        <v>81</v>
      </c>
      <c r="U24" t="s" s="0">
        <v>81</v>
      </c>
      <c r="V24" t="s" s="0">
        <v>790</v>
      </c>
      <c r="W24" t="s" s="0">
        <v>791</v>
      </c>
      <c r="X24" t="s" s="0">
        <v>81</v>
      </c>
      <c r="Y24" t="s" s="0">
        <v>81</v>
      </c>
      <c r="Z24" t="s" s="0">
        <v>90</v>
      </c>
      <c r="AA24" t="s" s="0">
        <v>91</v>
      </c>
      <c r="AB24" t="s" s="0">
        <v>81</v>
      </c>
      <c r="AC24" t="s" s="0">
        <v>81</v>
      </c>
      <c r="AD24" t="s" s="0">
        <v>81</v>
      </c>
      <c r="AE24" t="s" s="0">
        <v>81</v>
      </c>
      <c r="AF24" t="s" s="0">
        <v>81</v>
      </c>
      <c r="AG24" t="s" s="0">
        <v>792</v>
      </c>
      <c r="AH24" t="s" s="0">
        <v>793</v>
      </c>
      <c r="AI24" t="s" s="0">
        <v>794</v>
      </c>
      <c r="AJ24" t="s" s="0">
        <v>795</v>
      </c>
      <c r="AK24" t="s" s="0">
        <v>81</v>
      </c>
      <c r="AL24" t="s" s="0">
        <v>796</v>
      </c>
      <c r="AM24" t="s" s="0">
        <v>116</v>
      </c>
      <c r="AN24" t="s" s="0">
        <v>372</v>
      </c>
      <c r="AO24" t="s" s="0">
        <v>144</v>
      </c>
      <c r="AP24" t="s" s="0">
        <v>116</v>
      </c>
      <c r="AQ24" t="s" s="0">
        <v>557</v>
      </c>
      <c r="AR24" t="s" s="0">
        <v>558</v>
      </c>
      <c r="AS24" t="s" s="0">
        <v>559</v>
      </c>
      <c r="AT24" t="s" s="0">
        <v>797</v>
      </c>
      <c r="AU24" t="s" s="0">
        <v>798</v>
      </c>
      <c r="AV24" t="s" s="0">
        <v>81</v>
      </c>
      <c r="AW24" t="s" s="0">
        <v>791</v>
      </c>
      <c r="AX24" t="s" s="0">
        <v>799</v>
      </c>
      <c r="AY24" t="s" s="0">
        <v>800</v>
      </c>
      <c r="AZ24" t="s" s="0">
        <v>285</v>
      </c>
      <c r="BA24" t="s" s="0">
        <v>313</v>
      </c>
      <c r="BB24" t="s" s="0">
        <v>372</v>
      </c>
      <c r="BC24" t="s" s="0">
        <v>81</v>
      </c>
      <c r="BD24" t="s" s="0">
        <v>81</v>
      </c>
      <c r="BE24" t="s" s="0">
        <v>81</v>
      </c>
      <c r="BF24" t="s" s="0">
        <v>81</v>
      </c>
      <c r="BG24" t="s" s="0">
        <v>801</v>
      </c>
      <c r="BH24" t="s" s="0">
        <v>802</v>
      </c>
      <c r="BI24" t="s" s="0">
        <v>81</v>
      </c>
      <c r="BJ24" t="s" s="0">
        <v>803</v>
      </c>
      <c r="BK24" t="s" s="45">
        <f>HYPERLINK("http://dx.doi.org/10.1002/ird3.102","http://dx.doi.org/10.1002/ird3.102")</f>
        <v>804</v>
      </c>
      <c r="BL24" t="s" s="0">
        <v>81</v>
      </c>
      <c r="BM24" t="s" s="0">
        <v>81</v>
      </c>
      <c r="BN24" t="s" s="0">
        <v>187</v>
      </c>
      <c r="BO24" t="s" s="0">
        <v>292</v>
      </c>
      <c r="BP24" t="s" s="0">
        <v>292</v>
      </c>
      <c r="BQ24" t="s" s="0">
        <v>805</v>
      </c>
      <c r="BR24" t="s" s="0">
        <v>81</v>
      </c>
      <c r="BS24" t="s" s="0">
        <v>806</v>
      </c>
      <c r="BT24" t="s" s="46">
        <f>HYPERLINK("https://www.webofscience.com/wos/woscc/full-record/WOS:001516961900001","View Record in Web of Science")</f>
        <v>113</v>
      </c>
      <c r="BU24" t="s" s="0">
        <v>153</v>
      </c>
      <c r="BV24" t="s" s="0">
        <v>81</v>
      </c>
      <c r="BW24" t="s" s="0">
        <v>81</v>
      </c>
      <c r="BX24" t="s" s="0">
        <v>115</v>
      </c>
    </row>
    <row r="25">
      <c r="A25" t="s" s="0">
        <v>77</v>
      </c>
      <c r="B25" t="s" s="0">
        <v>77</v>
      </c>
      <c r="C25" t="s" s="0">
        <v>77</v>
      </c>
      <c r="D25" t="s" s="0">
        <v>77</v>
      </c>
      <c r="E25" t="s" s="0">
        <v>807</v>
      </c>
      <c r="F25" t="s" s="0">
        <v>808</v>
      </c>
      <c r="G25" t="s" s="0">
        <v>809</v>
      </c>
      <c r="H25" t="s" s="0">
        <v>81</v>
      </c>
      <c r="I25" t="s" s="0">
        <v>82</v>
      </c>
      <c r="J25" t="s" s="0">
        <v>810</v>
      </c>
      <c r="K25" t="s" s="0">
        <v>811</v>
      </c>
      <c r="L25" t="s" s="0">
        <v>812</v>
      </c>
      <c r="M25" t="s" s="0">
        <v>813</v>
      </c>
      <c r="N25" t="s" s="0">
        <v>814</v>
      </c>
      <c r="O25" t="s" s="0">
        <v>815</v>
      </c>
      <c r="P25" t="s" s="0">
        <v>816</v>
      </c>
      <c r="Q25" t="s" s="0">
        <v>87</v>
      </c>
      <c r="R25" t="s" s="0">
        <v>81</v>
      </c>
      <c r="S25" t="s" s="0">
        <v>81</v>
      </c>
      <c r="T25" t="s" s="0">
        <v>81</v>
      </c>
      <c r="U25" t="s" s="0">
        <v>81</v>
      </c>
      <c r="V25" t="s" s="0">
        <v>817</v>
      </c>
      <c r="W25" t="s" s="0">
        <v>818</v>
      </c>
      <c r="X25" t="s" s="0">
        <v>81</v>
      </c>
      <c r="Y25" t="s" s="0">
        <v>81</v>
      </c>
      <c r="Z25" t="s" s="0">
        <v>90</v>
      </c>
      <c r="AA25" t="s" s="0">
        <v>91</v>
      </c>
      <c r="AB25" t="s" s="0">
        <v>81</v>
      </c>
      <c r="AC25" t="s" s="0">
        <v>81</v>
      </c>
      <c r="AD25" t="s" s="0">
        <v>81</v>
      </c>
      <c r="AE25" t="s" s="0">
        <v>81</v>
      </c>
      <c r="AF25" t="s" s="0">
        <v>81</v>
      </c>
      <c r="AG25" t="s" s="0">
        <v>819</v>
      </c>
      <c r="AH25" t="s" s="0">
        <v>81</v>
      </c>
      <c r="AI25" t="s" s="0">
        <v>820</v>
      </c>
      <c r="AJ25" t="s" s="0">
        <v>821</v>
      </c>
      <c r="AK25" t="s" s="0">
        <v>81</v>
      </c>
      <c r="AL25" t="s" s="0">
        <v>822</v>
      </c>
      <c r="AM25" t="s" s="0">
        <v>77</v>
      </c>
      <c r="AN25" t="s" s="0">
        <v>77</v>
      </c>
      <c r="AO25" t="s" s="0">
        <v>313</v>
      </c>
      <c r="AP25" t="s" s="0">
        <v>313</v>
      </c>
      <c r="AQ25" t="s" s="0">
        <v>278</v>
      </c>
      <c r="AR25" t="s" s="0">
        <v>823</v>
      </c>
      <c r="AS25" t="s" s="0">
        <v>824</v>
      </c>
      <c r="AT25" t="s" s="0">
        <v>825</v>
      </c>
      <c r="AU25" t="s" s="0">
        <v>826</v>
      </c>
      <c r="AV25" t="s" s="0">
        <v>81</v>
      </c>
      <c r="AW25" t="s" s="0">
        <v>827</v>
      </c>
      <c r="AX25" t="s" s="0">
        <v>828</v>
      </c>
      <c r="AY25" t="s" s="0">
        <v>829</v>
      </c>
      <c r="AZ25" t="s" s="0">
        <v>101</v>
      </c>
      <c r="BA25" t="s" s="0">
        <v>830</v>
      </c>
      <c r="BB25" t="s" s="0">
        <v>116</v>
      </c>
      <c r="BC25" t="s" s="0">
        <v>81</v>
      </c>
      <c r="BD25" t="s" s="0">
        <v>81</v>
      </c>
      <c r="BE25" t="s" s="0">
        <v>81</v>
      </c>
      <c r="BF25" t="s" s="0">
        <v>81</v>
      </c>
      <c r="BG25" t="s" s="0">
        <v>81</v>
      </c>
      <c r="BH25" t="s" s="0">
        <v>81</v>
      </c>
      <c r="BI25" t="s" s="0">
        <v>831</v>
      </c>
      <c r="BJ25" t="s" s="0">
        <v>832</v>
      </c>
      <c r="BK25" t="s" s="47">
        <f>HYPERLINK("http://dx.doi.org/10.1007/s11263-025-02696-w","http://dx.doi.org/10.1007/s11263-025-02696-w")</f>
        <v>833</v>
      </c>
      <c r="BL25" t="s" s="0">
        <v>81</v>
      </c>
      <c r="BM25" t="s" s="0">
        <v>81</v>
      </c>
      <c r="BN25" t="s" s="0">
        <v>245</v>
      </c>
      <c r="BO25" t="s" s="0">
        <v>834</v>
      </c>
      <c r="BP25" t="s" s="0">
        <v>835</v>
      </c>
      <c r="BQ25" t="s" s="0">
        <v>836</v>
      </c>
      <c r="BR25" t="s" s="0">
        <v>81</v>
      </c>
      <c r="BS25" t="s" s="0">
        <v>837</v>
      </c>
      <c r="BT25" t="s" s="48">
        <f>HYPERLINK("https://www.webofscience.com/wos/woscc/full-record/WOS:001687640700001","View Record in Web of Science")</f>
        <v>113</v>
      </c>
      <c r="BU25" t="s" s="0">
        <v>81</v>
      </c>
      <c r="BV25" t="s" s="0">
        <v>81</v>
      </c>
      <c r="BW25" t="s" s="0">
        <v>81</v>
      </c>
      <c r="BX25" t="s" s="0">
        <v>115</v>
      </c>
    </row>
    <row r="26">
      <c r="A26" t="s" s="0">
        <v>77</v>
      </c>
      <c r="B26" t="s" s="0">
        <v>77</v>
      </c>
      <c r="C26" t="s" s="0">
        <v>77</v>
      </c>
      <c r="D26" t="s" s="0">
        <v>77</v>
      </c>
      <c r="E26" t="s" s="0">
        <v>838</v>
      </c>
      <c r="F26" t="s" s="0">
        <v>839</v>
      </c>
      <c r="G26" t="s" s="0">
        <v>840</v>
      </c>
      <c r="H26" t="s" s="0">
        <v>81</v>
      </c>
      <c r="I26" t="s" s="0">
        <v>82</v>
      </c>
      <c r="J26" t="s" s="0">
        <v>841</v>
      </c>
      <c r="K26" t="s" s="0">
        <v>842</v>
      </c>
      <c r="L26" t="s" s="0">
        <v>843</v>
      </c>
      <c r="M26" t="s" s="0">
        <v>844</v>
      </c>
      <c r="N26" t="s" s="0">
        <v>845</v>
      </c>
      <c r="O26" t="s" s="0">
        <v>846</v>
      </c>
      <c r="P26" t="s" s="0">
        <v>847</v>
      </c>
      <c r="Q26" t="s" s="0">
        <v>87</v>
      </c>
      <c r="R26" t="s" s="0">
        <v>81</v>
      </c>
      <c r="S26" t="s" s="0">
        <v>81</v>
      </c>
      <c r="T26" t="s" s="0">
        <v>81</v>
      </c>
      <c r="U26" t="s" s="0">
        <v>81</v>
      </c>
      <c r="V26" t="s" s="0">
        <v>848</v>
      </c>
      <c r="W26" t="s" s="0">
        <v>849</v>
      </c>
      <c r="X26" t="s" s="0">
        <v>81</v>
      </c>
      <c r="Y26" t="s" s="0">
        <v>81</v>
      </c>
      <c r="Z26" t="s" s="0">
        <v>90</v>
      </c>
      <c r="AA26" t="s" s="0">
        <v>91</v>
      </c>
      <c r="AB26" t="s" s="0">
        <v>81</v>
      </c>
      <c r="AC26" t="s" s="0">
        <v>81</v>
      </c>
      <c r="AD26" t="s" s="0">
        <v>81</v>
      </c>
      <c r="AE26" t="s" s="0">
        <v>81</v>
      </c>
      <c r="AF26" t="s" s="0">
        <v>81</v>
      </c>
      <c r="AG26" t="s" s="0">
        <v>850</v>
      </c>
      <c r="AH26" t="s" s="0">
        <v>851</v>
      </c>
      <c r="AI26" t="s" s="0">
        <v>852</v>
      </c>
      <c r="AJ26" t="s" s="0">
        <v>853</v>
      </c>
      <c r="AK26" t="s" s="0">
        <v>81</v>
      </c>
      <c r="AL26" t="s" s="0">
        <v>854</v>
      </c>
      <c r="AM26" t="s" s="0">
        <v>144</v>
      </c>
      <c r="AN26" t="s" s="0">
        <v>144</v>
      </c>
      <c r="AO26" t="s" s="0">
        <v>133</v>
      </c>
      <c r="AP26" t="s" s="0">
        <v>209</v>
      </c>
      <c r="AQ26" t="s" s="0">
        <v>174</v>
      </c>
      <c r="AR26" t="s" s="0">
        <v>175</v>
      </c>
      <c r="AS26" t="s" s="0">
        <v>176</v>
      </c>
      <c r="AT26" t="s" s="0">
        <v>855</v>
      </c>
      <c r="AU26" t="s" s="0">
        <v>856</v>
      </c>
      <c r="AV26" t="s" s="0">
        <v>81</v>
      </c>
      <c r="AW26" t="s" s="0">
        <v>857</v>
      </c>
      <c r="AX26" t="s" s="0">
        <v>858</v>
      </c>
      <c r="AY26" t="s" s="0">
        <v>566</v>
      </c>
      <c r="AZ26" t="s" s="0">
        <v>101</v>
      </c>
      <c r="BA26" t="s" s="0">
        <v>859</v>
      </c>
      <c r="BB26" t="s" s="0">
        <v>81</v>
      </c>
      <c r="BC26" t="s" s="0">
        <v>81</v>
      </c>
      <c r="BD26" t="s" s="0">
        <v>860</v>
      </c>
      <c r="BE26" t="s" s="0">
        <v>81</v>
      </c>
      <c r="BF26" t="s" s="0">
        <v>81</v>
      </c>
      <c r="BG26" t="s" s="0">
        <v>81</v>
      </c>
      <c r="BH26" t="s" s="0">
        <v>81</v>
      </c>
      <c r="BI26" t="s" s="0">
        <v>861</v>
      </c>
      <c r="BJ26" t="s" s="0">
        <v>862</v>
      </c>
      <c r="BK26" t="s" s="49">
        <f>HYPERLINK("http://dx.doi.org/10.1016/j.bspc.2025.108538","http://dx.doi.org/10.1016/j.bspc.2025.108538")</f>
        <v>863</v>
      </c>
      <c r="BL26" t="s" s="0">
        <v>81</v>
      </c>
      <c r="BM26" t="s" s="0">
        <v>380</v>
      </c>
      <c r="BN26" t="s" s="0">
        <v>133</v>
      </c>
      <c r="BO26" t="s" s="0">
        <v>864</v>
      </c>
      <c r="BP26" t="s" s="0">
        <v>865</v>
      </c>
      <c r="BQ26" t="s" s="0">
        <v>866</v>
      </c>
      <c r="BR26" t="s" s="0">
        <v>81</v>
      </c>
      <c r="BS26" t="s" s="0">
        <v>867</v>
      </c>
      <c r="BT26" t="s" s="50">
        <f>HYPERLINK("https://www.webofscience.com/wos/woscc/full-record/WOS:001562848800002","View Record in Web of Science")</f>
        <v>113</v>
      </c>
      <c r="BU26" t="s" s="0">
        <v>81</v>
      </c>
      <c r="BV26" t="s" s="0">
        <v>81</v>
      </c>
      <c r="BW26" t="s" s="0">
        <v>81</v>
      </c>
      <c r="BX26" t="s" s="0">
        <v>115</v>
      </c>
    </row>
    <row r="27">
      <c r="A27" t="s" s="0">
        <v>77</v>
      </c>
      <c r="B27" t="s" s="0">
        <v>77</v>
      </c>
      <c r="C27" t="s" s="0">
        <v>77</v>
      </c>
      <c r="D27" t="s" s="0">
        <v>77</v>
      </c>
      <c r="E27" t="s" s="0">
        <v>868</v>
      </c>
      <c r="F27" t="s" s="0">
        <v>869</v>
      </c>
      <c r="G27" t="s" s="0">
        <v>870</v>
      </c>
      <c r="H27" t="s" s="0">
        <v>81</v>
      </c>
      <c r="I27" t="s" s="0">
        <v>82</v>
      </c>
      <c r="J27" t="s" s="0">
        <v>871</v>
      </c>
      <c r="K27" t="s" s="0">
        <v>872</v>
      </c>
      <c r="L27" t="s" s="0">
        <v>873</v>
      </c>
      <c r="M27" t="s" s="0">
        <v>874</v>
      </c>
      <c r="N27" t="s" s="0">
        <v>875</v>
      </c>
      <c r="O27" t="s" s="0">
        <v>876</v>
      </c>
      <c r="P27" t="s" s="0">
        <v>877</v>
      </c>
      <c r="Q27" t="s" s="0">
        <v>87</v>
      </c>
      <c r="R27" t="s" s="0">
        <v>81</v>
      </c>
      <c r="S27" t="s" s="0">
        <v>81</v>
      </c>
      <c r="T27" t="s" s="0">
        <v>81</v>
      </c>
      <c r="U27" t="s" s="0">
        <v>81</v>
      </c>
      <c r="V27" t="s" s="0">
        <v>878</v>
      </c>
      <c r="W27" t="s" s="0">
        <v>879</v>
      </c>
      <c r="X27" t="s" s="0">
        <v>81</v>
      </c>
      <c r="Y27" t="s" s="0">
        <v>81</v>
      </c>
      <c r="Z27" t="s" s="0">
        <v>90</v>
      </c>
      <c r="AA27" t="s" s="0">
        <v>91</v>
      </c>
      <c r="AB27" t="s" s="0">
        <v>81</v>
      </c>
      <c r="AC27" t="s" s="0">
        <v>81</v>
      </c>
      <c r="AD27" t="s" s="0">
        <v>81</v>
      </c>
      <c r="AE27" t="s" s="0">
        <v>81</v>
      </c>
      <c r="AF27" t="s" s="0">
        <v>81</v>
      </c>
      <c r="AG27" t="s" s="0">
        <v>880</v>
      </c>
      <c r="AH27" t="s" s="0">
        <v>881</v>
      </c>
      <c r="AI27" t="s" s="0">
        <v>81</v>
      </c>
      <c r="AJ27" t="s" s="0">
        <v>81</v>
      </c>
      <c r="AK27" t="s" s="0">
        <v>81</v>
      </c>
      <c r="AL27" t="s" s="0">
        <v>93</v>
      </c>
      <c r="AM27" t="s" s="0">
        <v>77</v>
      </c>
      <c r="AN27" t="s" s="0">
        <v>77</v>
      </c>
      <c r="AO27" t="s" s="0">
        <v>77</v>
      </c>
      <c r="AP27" t="s" s="0">
        <v>77</v>
      </c>
      <c r="AQ27" t="s" s="0">
        <v>402</v>
      </c>
      <c r="AR27" t="s" s="0">
        <v>403</v>
      </c>
      <c r="AS27" t="s" s="0">
        <v>404</v>
      </c>
      <c r="AT27" t="s" s="0">
        <v>882</v>
      </c>
      <c r="AU27" t="s" s="0">
        <v>81</v>
      </c>
      <c r="AV27" t="s" s="0">
        <v>81</v>
      </c>
      <c r="AW27" t="s" s="0">
        <v>883</v>
      </c>
      <c r="AX27" t="s" s="0">
        <v>884</v>
      </c>
      <c r="AY27" t="s" s="0">
        <v>408</v>
      </c>
      <c r="AZ27" t="s" s="0">
        <v>101</v>
      </c>
      <c r="BA27" t="s" s="0">
        <v>277</v>
      </c>
      <c r="BB27" t="s" s="0">
        <v>81</v>
      </c>
      <c r="BC27" t="s" s="0">
        <v>81</v>
      </c>
      <c r="BD27" t="s" s="0">
        <v>81</v>
      </c>
      <c r="BE27" t="s" s="0">
        <v>81</v>
      </c>
      <c r="BF27" t="s" s="0">
        <v>81</v>
      </c>
      <c r="BG27" t="s" s="0">
        <v>81</v>
      </c>
      <c r="BH27" t="s" s="0">
        <v>81</v>
      </c>
      <c r="BI27" t="s" s="0">
        <v>885</v>
      </c>
      <c r="BJ27" t="s" s="0">
        <v>886</v>
      </c>
      <c r="BK27" t="s" s="51">
        <f>HYPERLINK("http://dx.doi.org/10.3389/fimmu.2026.1915946","http://dx.doi.org/10.3389/fimmu.2026.1915946")</f>
        <v>887</v>
      </c>
      <c r="BL27" t="s" s="0">
        <v>81</v>
      </c>
      <c r="BM27" t="s" s="0">
        <v>81</v>
      </c>
      <c r="BN27" t="s" s="0">
        <v>134</v>
      </c>
      <c r="BO27" t="s" s="0">
        <v>888</v>
      </c>
      <c r="BP27" t="s" s="0">
        <v>888</v>
      </c>
      <c r="BQ27" t="s" s="0">
        <v>889</v>
      </c>
      <c r="BR27" t="s" s="0">
        <v>890</v>
      </c>
      <c r="BS27" t="s" s="0">
        <v>891</v>
      </c>
      <c r="BT27" t="s" s="52">
        <f>HYPERLINK("https://www.webofscience.com/wos/woscc/full-record/WOS:001853348000001","View Record in Web of Science")</f>
        <v>113</v>
      </c>
      <c r="BU27" t="s" s="0">
        <v>153</v>
      </c>
      <c r="BV27" t="s" s="0">
        <v>81</v>
      </c>
      <c r="BW27" t="s" s="0">
        <v>81</v>
      </c>
      <c r="BX27" t="s" s="0">
        <v>115</v>
      </c>
    </row>
    <row r="28">
      <c r="A28" t="s" s="0">
        <v>77</v>
      </c>
      <c r="B28" t="s" s="0">
        <v>77</v>
      </c>
      <c r="C28" t="s" s="0">
        <v>77</v>
      </c>
      <c r="D28" t="s" s="0">
        <v>77</v>
      </c>
      <c r="E28" t="s" s="0">
        <v>892</v>
      </c>
      <c r="F28" t="s" s="0">
        <v>893</v>
      </c>
      <c r="G28" t="s" s="0">
        <v>894</v>
      </c>
      <c r="H28" t="s" s="0">
        <v>81</v>
      </c>
      <c r="I28" t="s" s="0">
        <v>82</v>
      </c>
      <c r="J28" t="s" s="0">
        <v>895</v>
      </c>
      <c r="K28" t="s" s="0">
        <v>896</v>
      </c>
      <c r="L28" t="s" s="0">
        <v>897</v>
      </c>
      <c r="M28" t="s" s="0">
        <v>898</v>
      </c>
      <c r="N28" t="s" s="0">
        <v>899</v>
      </c>
      <c r="O28" t="s" s="0">
        <v>900</v>
      </c>
      <c r="P28" t="s" s="0">
        <v>901</v>
      </c>
      <c r="Q28" t="s" s="0">
        <v>87</v>
      </c>
      <c r="R28" t="s" s="0">
        <v>81</v>
      </c>
      <c r="S28" t="s" s="0">
        <v>81</v>
      </c>
      <c r="T28" t="s" s="0">
        <v>81</v>
      </c>
      <c r="U28" t="s" s="0">
        <v>81</v>
      </c>
      <c r="V28" t="s" s="0">
        <v>902</v>
      </c>
      <c r="W28" t="s" s="0">
        <v>903</v>
      </c>
      <c r="X28" t="s" s="0">
        <v>81</v>
      </c>
      <c r="Y28" t="s" s="0">
        <v>81</v>
      </c>
      <c r="Z28" t="s" s="0">
        <v>90</v>
      </c>
      <c r="AA28" t="s" s="0">
        <v>91</v>
      </c>
      <c r="AB28" t="s" s="0">
        <v>81</v>
      </c>
      <c r="AC28" t="s" s="0">
        <v>81</v>
      </c>
      <c r="AD28" t="s" s="0">
        <v>81</v>
      </c>
      <c r="AE28" t="s" s="0">
        <v>81</v>
      </c>
      <c r="AF28" t="s" s="0">
        <v>81</v>
      </c>
      <c r="AG28" t="s" s="0">
        <v>904</v>
      </c>
      <c r="AH28" t="s" s="0">
        <v>905</v>
      </c>
      <c r="AI28" t="s" s="0">
        <v>906</v>
      </c>
      <c r="AJ28" t="s" s="0">
        <v>907</v>
      </c>
      <c r="AK28" t="s" s="0">
        <v>81</v>
      </c>
      <c r="AL28" t="s" s="0">
        <v>908</v>
      </c>
      <c r="AM28" t="s" s="0">
        <v>909</v>
      </c>
      <c r="AN28" t="s" s="0">
        <v>910</v>
      </c>
      <c r="AO28" t="s" s="0">
        <v>77</v>
      </c>
      <c r="AP28" t="s" s="0">
        <v>911</v>
      </c>
      <c r="AQ28" t="s" s="0">
        <v>912</v>
      </c>
      <c r="AR28" t="s" s="0">
        <v>913</v>
      </c>
      <c r="AS28" t="s" s="0">
        <v>914</v>
      </c>
      <c r="AT28" t="s" s="0">
        <v>915</v>
      </c>
      <c r="AU28" t="s" s="0">
        <v>916</v>
      </c>
      <c r="AV28" t="s" s="0">
        <v>81</v>
      </c>
      <c r="AW28" t="s" s="0">
        <v>917</v>
      </c>
      <c r="AX28" t="s" s="0">
        <v>918</v>
      </c>
      <c r="AY28" t="s" s="0">
        <v>919</v>
      </c>
      <c r="AZ28" t="s" s="0">
        <v>920</v>
      </c>
      <c r="BA28" t="s" s="0">
        <v>921</v>
      </c>
      <c r="BB28" t="s" s="0">
        <v>144</v>
      </c>
      <c r="BC28" t="s" s="0">
        <v>81</v>
      </c>
      <c r="BD28" t="s" s="0">
        <v>81</v>
      </c>
      <c r="BE28" t="s" s="0">
        <v>81</v>
      </c>
      <c r="BF28" t="s" s="0">
        <v>81</v>
      </c>
      <c r="BG28" t="s" s="0">
        <v>922</v>
      </c>
      <c r="BH28" t="s" s="0">
        <v>923</v>
      </c>
      <c r="BI28" t="s" s="0">
        <v>81</v>
      </c>
      <c r="BJ28" t="s" s="0">
        <v>924</v>
      </c>
      <c r="BK28" t="s" s="53">
        <f>HYPERLINK("http://dx.doi.org/10.1109/TVCG.2021.3114794","http://dx.doi.org/10.1109/TVCG.2021.3114794")</f>
        <v>925</v>
      </c>
      <c r="BL28" t="s" s="0">
        <v>81</v>
      </c>
      <c r="BM28" t="s" s="0">
        <v>81</v>
      </c>
      <c r="BN28" t="s" s="0">
        <v>173</v>
      </c>
      <c r="BO28" t="s" s="0">
        <v>926</v>
      </c>
      <c r="BP28" t="s" s="0">
        <v>835</v>
      </c>
      <c r="BQ28" t="s" s="0">
        <v>927</v>
      </c>
      <c r="BR28" t="s" s="0">
        <v>928</v>
      </c>
      <c r="BS28" t="s" s="0">
        <v>929</v>
      </c>
      <c r="BT28" t="s" s="54">
        <f>HYPERLINK("https://www.webofscience.com/wos/woscc/full-record/WOS:000733959000083","View Record in Web of Science")</f>
        <v>113</v>
      </c>
      <c r="BU28" t="s" s="0">
        <v>296</v>
      </c>
      <c r="BV28" t="s" s="0">
        <v>81</v>
      </c>
      <c r="BW28" t="s" s="0">
        <v>81</v>
      </c>
      <c r="BX28" t="s" s="0">
        <v>115</v>
      </c>
    </row>
    <row r="29">
      <c r="A29" t="s" s="0">
        <v>313</v>
      </c>
      <c r="B29" t="s" s="0">
        <v>77</v>
      </c>
      <c r="C29" t="s" s="0">
        <v>116</v>
      </c>
      <c r="D29" t="s" s="0">
        <v>77</v>
      </c>
      <c r="E29" t="s" s="0">
        <v>930</v>
      </c>
      <c r="F29" t="s" s="0">
        <v>931</v>
      </c>
      <c r="G29" t="s" s="0">
        <v>932</v>
      </c>
      <c r="H29" t="s" s="0">
        <v>81</v>
      </c>
      <c r="I29" t="s" s="0">
        <v>82</v>
      </c>
      <c r="J29" t="s" s="0">
        <v>933</v>
      </c>
      <c r="K29" t="s" s="0">
        <v>934</v>
      </c>
      <c r="L29" t="s" s="0">
        <v>935</v>
      </c>
      <c r="M29" t="s" s="0">
        <v>935</v>
      </c>
      <c r="N29" t="s" s="0">
        <v>936</v>
      </c>
      <c r="O29" t="s" s="0">
        <v>937</v>
      </c>
      <c r="P29" t="s" s="0">
        <v>938</v>
      </c>
      <c r="Q29" t="s" s="0">
        <v>87</v>
      </c>
      <c r="R29" t="s" s="0">
        <v>81</v>
      </c>
      <c r="S29" t="s" s="0">
        <v>81</v>
      </c>
      <c r="T29" t="s" s="0">
        <v>81</v>
      </c>
      <c r="U29" t="s" s="0">
        <v>81</v>
      </c>
      <c r="V29" t="s" s="0">
        <v>939</v>
      </c>
      <c r="W29" t="s" s="0">
        <v>940</v>
      </c>
      <c r="X29" t="s" s="0">
        <v>81</v>
      </c>
      <c r="Y29" t="s" s="0">
        <v>81</v>
      </c>
      <c r="Z29" t="s" s="0">
        <v>90</v>
      </c>
      <c r="AA29" t="s" s="0">
        <v>91</v>
      </c>
      <c r="AB29" t="s" s="0">
        <v>81</v>
      </c>
      <c r="AC29" t="s" s="0">
        <v>81</v>
      </c>
      <c r="AD29" t="s" s="0">
        <v>81</v>
      </c>
      <c r="AE29" t="s" s="0">
        <v>81</v>
      </c>
      <c r="AF29" t="s" s="0">
        <v>81</v>
      </c>
      <c r="AG29" t="s" s="0">
        <v>941</v>
      </c>
      <c r="AH29" t="s" s="0">
        <v>942</v>
      </c>
      <c r="AI29" t="s" s="0">
        <v>81</v>
      </c>
      <c r="AJ29" t="s" s="0">
        <v>81</v>
      </c>
      <c r="AK29" t="s" s="0">
        <v>81</v>
      </c>
      <c r="AL29" t="s" s="0">
        <v>401</v>
      </c>
      <c r="AM29" t="s" s="0">
        <v>103</v>
      </c>
      <c r="AN29" t="s" s="0">
        <v>133</v>
      </c>
      <c r="AO29" t="s" s="0">
        <v>372</v>
      </c>
      <c r="AP29" t="s" s="0">
        <v>187</v>
      </c>
      <c r="AQ29" t="s" s="0">
        <v>278</v>
      </c>
      <c r="AR29" t="s" s="0">
        <v>247</v>
      </c>
      <c r="AS29" t="s" s="0">
        <v>279</v>
      </c>
      <c r="AT29" t="s" s="0">
        <v>943</v>
      </c>
      <c r="AU29" t="s" s="0">
        <v>944</v>
      </c>
      <c r="AV29" t="s" s="0">
        <v>81</v>
      </c>
      <c r="AW29" t="s" s="0">
        <v>945</v>
      </c>
      <c r="AX29" t="s" s="0">
        <v>946</v>
      </c>
      <c r="AY29" t="s" s="0">
        <v>380</v>
      </c>
      <c r="AZ29" t="s" s="0">
        <v>142</v>
      </c>
      <c r="BA29" t="s" s="0">
        <v>428</v>
      </c>
      <c r="BB29" t="s" s="0">
        <v>172</v>
      </c>
      <c r="BC29" t="s" s="0">
        <v>81</v>
      </c>
      <c r="BD29" t="s" s="0">
        <v>81</v>
      </c>
      <c r="BE29" t="s" s="0">
        <v>81</v>
      </c>
      <c r="BF29" t="s" s="0">
        <v>81</v>
      </c>
      <c r="BG29" t="s" s="0">
        <v>947</v>
      </c>
      <c r="BH29" t="s" s="0">
        <v>948</v>
      </c>
      <c r="BI29" t="s" s="0">
        <v>81</v>
      </c>
      <c r="BJ29" t="s" s="0">
        <v>949</v>
      </c>
      <c r="BK29" t="s" s="55">
        <f>HYPERLINK("http://dx.doi.org/10.1007/s00330-025-11450-2","http://dx.doi.org/10.1007/s00330-025-11450-2")</f>
        <v>950</v>
      </c>
      <c r="BL29" t="s" s="0">
        <v>81</v>
      </c>
      <c r="BM29" t="s" s="0">
        <v>951</v>
      </c>
      <c r="BN29" t="s" s="0">
        <v>173</v>
      </c>
      <c r="BO29" t="s" s="0">
        <v>292</v>
      </c>
      <c r="BP29" t="s" s="0">
        <v>292</v>
      </c>
      <c r="BQ29" t="s" s="0">
        <v>952</v>
      </c>
      <c r="BR29" t="s" s="0">
        <v>953</v>
      </c>
      <c r="BS29" t="s" s="0">
        <v>954</v>
      </c>
      <c r="BT29" t="s" s="56">
        <f>HYPERLINK("https://www.webofscience.com/wos/woscc/full-record/WOS:001423008600001","View Record in Web of Science")</f>
        <v>113</v>
      </c>
      <c r="BU29" t="s" s="0">
        <v>955</v>
      </c>
      <c r="BV29" t="s" s="0">
        <v>81</v>
      </c>
      <c r="BW29" t="s" s="0">
        <v>81</v>
      </c>
      <c r="BX29" t="s" s="0">
        <v>115</v>
      </c>
    </row>
    <row r="30">
      <c r="A30" t="s" s="0">
        <v>144</v>
      </c>
      <c r="B30" t="s" s="0">
        <v>77</v>
      </c>
      <c r="C30" t="s" s="0">
        <v>144</v>
      </c>
      <c r="D30" t="s" s="0">
        <v>77</v>
      </c>
      <c r="E30" t="s" s="0">
        <v>956</v>
      </c>
      <c r="F30" t="s" s="0">
        <v>957</v>
      </c>
      <c r="G30" t="s" s="0">
        <v>958</v>
      </c>
      <c r="H30" t="s" s="0">
        <v>81</v>
      </c>
      <c r="I30" t="s" s="0">
        <v>82</v>
      </c>
      <c r="J30" t="s" s="0">
        <v>959</v>
      </c>
      <c r="K30" t="s" s="0">
        <v>960</v>
      </c>
      <c r="L30" t="s" s="0">
        <v>961</v>
      </c>
      <c r="M30" t="s" s="0">
        <v>962</v>
      </c>
      <c r="N30" t="s" s="0">
        <v>963</v>
      </c>
      <c r="O30" t="s" s="0">
        <v>964</v>
      </c>
      <c r="P30" t="s" s="0">
        <v>965</v>
      </c>
      <c r="Q30" t="s" s="0">
        <v>87</v>
      </c>
      <c r="R30" t="s" s="0">
        <v>81</v>
      </c>
      <c r="S30" t="s" s="0">
        <v>81</v>
      </c>
      <c r="T30" t="s" s="0">
        <v>81</v>
      </c>
      <c r="U30" t="s" s="0">
        <v>81</v>
      </c>
      <c r="V30" t="s" s="0">
        <v>966</v>
      </c>
      <c r="W30" t="s" s="0">
        <v>967</v>
      </c>
      <c r="X30" t="s" s="0">
        <v>81</v>
      </c>
      <c r="Y30" t="s" s="0">
        <v>81</v>
      </c>
      <c r="Z30" t="s" s="0">
        <v>90</v>
      </c>
      <c r="AA30" t="s" s="0">
        <v>91</v>
      </c>
      <c r="AB30" t="s" s="0">
        <v>81</v>
      </c>
      <c r="AC30" t="s" s="0">
        <v>81</v>
      </c>
      <c r="AD30" t="s" s="0">
        <v>81</v>
      </c>
      <c r="AE30" t="s" s="0">
        <v>81</v>
      </c>
      <c r="AF30" t="s" s="0">
        <v>81</v>
      </c>
      <c r="AG30" t="s" s="0">
        <v>968</v>
      </c>
      <c r="AH30" t="s" s="0">
        <v>969</v>
      </c>
      <c r="AI30" t="s" s="0">
        <v>970</v>
      </c>
      <c r="AJ30" t="s" s="0">
        <v>971</v>
      </c>
      <c r="AK30" t="s" s="0">
        <v>81</v>
      </c>
      <c r="AL30" t="s" s="0">
        <v>972</v>
      </c>
      <c r="AM30" t="s" s="0">
        <v>245</v>
      </c>
      <c r="AN30" t="s" s="0">
        <v>143</v>
      </c>
      <c r="AO30" t="s" s="0">
        <v>116</v>
      </c>
      <c r="AP30" t="s" s="0">
        <v>521</v>
      </c>
      <c r="AQ30" t="s" s="0">
        <v>973</v>
      </c>
      <c r="AR30" t="s" s="0">
        <v>974</v>
      </c>
      <c r="AS30" t="s" s="0">
        <v>975</v>
      </c>
      <c r="AT30" t="s" s="0">
        <v>976</v>
      </c>
      <c r="AU30" t="s" s="0">
        <v>977</v>
      </c>
      <c r="AV30" t="s" s="0">
        <v>81</v>
      </c>
      <c r="AW30" t="s" s="0">
        <v>967</v>
      </c>
      <c r="AX30" t="s" s="0">
        <v>978</v>
      </c>
      <c r="AY30" t="s" s="0">
        <v>534</v>
      </c>
      <c r="AZ30" t="s" s="0">
        <v>285</v>
      </c>
      <c r="BA30" t="s" s="0">
        <v>979</v>
      </c>
      <c r="BB30" t="s" s="0">
        <v>81</v>
      </c>
      <c r="BC30" t="s" s="0">
        <v>81</v>
      </c>
      <c r="BD30" t="s" s="0">
        <v>81</v>
      </c>
      <c r="BE30" t="s" s="0">
        <v>81</v>
      </c>
      <c r="BF30" t="s" s="0">
        <v>81</v>
      </c>
      <c r="BG30" t="s" s="0">
        <v>81</v>
      </c>
      <c r="BH30" t="s" s="0">
        <v>81</v>
      </c>
      <c r="BI30" t="s" s="0">
        <v>980</v>
      </c>
      <c r="BJ30" t="s" s="0">
        <v>981</v>
      </c>
      <c r="BK30" t="s" s="57">
        <f>HYPERLINK("http://dx.doi.org/10.1016/j.neuroimage.2023.120485","http://dx.doi.org/10.1016/j.neuroimage.2023.120485")</f>
        <v>982</v>
      </c>
      <c r="BL30" t="s" s="0">
        <v>81</v>
      </c>
      <c r="BM30" t="s" s="0">
        <v>983</v>
      </c>
      <c r="BN30" t="s" s="0">
        <v>209</v>
      </c>
      <c r="BO30" t="s" s="0">
        <v>984</v>
      </c>
      <c r="BP30" t="s" s="0">
        <v>985</v>
      </c>
      <c r="BQ30" t="s" s="0">
        <v>986</v>
      </c>
      <c r="BR30" t="s" s="0">
        <v>987</v>
      </c>
      <c r="BS30" t="s" s="0">
        <v>988</v>
      </c>
      <c r="BT30" t="s" s="58">
        <f>HYPERLINK("https://www.webofscience.com/wos/woscc/full-record/WOS:001153377600001","View Record in Web of Science")</f>
        <v>113</v>
      </c>
      <c r="BU30" t="s" s="0">
        <v>153</v>
      </c>
      <c r="BV30" t="s" s="0">
        <v>81</v>
      </c>
      <c r="BW30" t="s" s="0">
        <v>81</v>
      </c>
      <c r="BX30" t="s" s="0">
        <v>115</v>
      </c>
    </row>
    <row r="31">
      <c r="A31" t="s" s="0">
        <v>77</v>
      </c>
      <c r="B31" t="s" s="0">
        <v>77</v>
      </c>
      <c r="C31" t="s" s="0">
        <v>372</v>
      </c>
      <c r="D31" t="s" s="0">
        <v>77</v>
      </c>
      <c r="E31" t="s" s="0">
        <v>989</v>
      </c>
      <c r="F31" t="s" s="0">
        <v>990</v>
      </c>
      <c r="G31" t="s" s="0">
        <v>991</v>
      </c>
      <c r="H31" t="s" s="0">
        <v>81</v>
      </c>
      <c r="I31" t="s" s="0">
        <v>82</v>
      </c>
      <c r="J31" t="s" s="0">
        <v>992</v>
      </c>
      <c r="K31" t="s" s="0">
        <v>993</v>
      </c>
      <c r="L31" t="s" s="0">
        <v>81</v>
      </c>
      <c r="M31" t="s" s="0">
        <v>81</v>
      </c>
      <c r="N31" t="s" s="0">
        <v>81</v>
      </c>
      <c r="O31" t="s" s="0">
        <v>994</v>
      </c>
      <c r="P31" t="s" s="0">
        <v>995</v>
      </c>
      <c r="Q31" t="s" s="0">
        <v>87</v>
      </c>
      <c r="R31" t="s" s="0">
        <v>81</v>
      </c>
      <c r="S31" t="s" s="0">
        <v>81</v>
      </c>
      <c r="T31" t="s" s="0">
        <v>81</v>
      </c>
      <c r="U31" t="s" s="0">
        <v>81</v>
      </c>
      <c r="V31" t="s" s="0">
        <v>996</v>
      </c>
      <c r="W31" t="s" s="0">
        <v>997</v>
      </c>
      <c r="X31" t="s" s="0">
        <v>81</v>
      </c>
      <c r="Y31" t="s" s="0">
        <v>81</v>
      </c>
      <c r="Z31" t="s" s="0">
        <v>90</v>
      </c>
      <c r="AA31" t="s" s="0">
        <v>91</v>
      </c>
      <c r="AB31" t="s" s="0">
        <v>81</v>
      </c>
      <c r="AC31" t="s" s="0">
        <v>81</v>
      </c>
      <c r="AD31" t="s" s="0">
        <v>81</v>
      </c>
      <c r="AE31" t="s" s="0">
        <v>81</v>
      </c>
      <c r="AF31" t="s" s="0">
        <v>81</v>
      </c>
      <c r="AG31" t="s" s="0">
        <v>998</v>
      </c>
      <c r="AH31" t="s" s="0">
        <v>999</v>
      </c>
      <c r="AI31" t="s" s="0">
        <v>81</v>
      </c>
      <c r="AJ31" t="s" s="0">
        <v>1000</v>
      </c>
      <c r="AK31" t="s" s="0">
        <v>81</v>
      </c>
      <c r="AL31" t="s" s="0">
        <v>428</v>
      </c>
      <c r="AM31" t="s" s="0">
        <v>107</v>
      </c>
      <c r="AN31" t="s" s="0">
        <v>107</v>
      </c>
      <c r="AO31" t="s" s="0">
        <v>144</v>
      </c>
      <c r="AP31" t="s" s="0">
        <v>1001</v>
      </c>
      <c r="AQ31" t="s" s="0">
        <v>314</v>
      </c>
      <c r="AR31" t="s" s="0">
        <v>315</v>
      </c>
      <c r="AS31" t="s" s="0">
        <v>1002</v>
      </c>
      <c r="AT31" t="s" s="0">
        <v>81</v>
      </c>
      <c r="AU31" t="s" s="0">
        <v>1003</v>
      </c>
      <c r="AV31" t="s" s="0">
        <v>81</v>
      </c>
      <c r="AW31" t="s" s="0">
        <v>1004</v>
      </c>
      <c r="AX31" t="s" s="0">
        <v>1005</v>
      </c>
      <c r="AY31" t="s" s="0">
        <v>1006</v>
      </c>
      <c r="AZ31" t="s" s="0">
        <v>742</v>
      </c>
      <c r="BA31" t="s" s="0">
        <v>187</v>
      </c>
      <c r="BB31" t="s" s="0">
        <v>219</v>
      </c>
      <c r="BC31" t="s" s="0">
        <v>81</v>
      </c>
      <c r="BD31" t="s" s="0">
        <v>81</v>
      </c>
      <c r="BE31" t="s" s="0">
        <v>81</v>
      </c>
      <c r="BF31" t="s" s="0">
        <v>81</v>
      </c>
      <c r="BG31" t="s" s="0">
        <v>81</v>
      </c>
      <c r="BH31" t="s" s="0">
        <v>81</v>
      </c>
      <c r="BI31" t="s" s="0">
        <v>1007</v>
      </c>
      <c r="BJ31" t="s" s="0">
        <v>1008</v>
      </c>
      <c r="BK31" t="s" s="59">
        <f>HYPERLINK("http://dx.doi.org/10.3390/electronics12071516","http://dx.doi.org/10.3390/electronics12071516")</f>
        <v>1009</v>
      </c>
      <c r="BL31" t="s" s="0">
        <v>81</v>
      </c>
      <c r="BM31" t="s" s="0">
        <v>81</v>
      </c>
      <c r="BN31" t="s" s="0">
        <v>187</v>
      </c>
      <c r="BO31" t="s" s="0">
        <v>1010</v>
      </c>
      <c r="BP31" t="s" s="0">
        <v>1011</v>
      </c>
      <c r="BQ31" t="s" s="0">
        <v>1012</v>
      </c>
      <c r="BR31" t="s" s="0">
        <v>81</v>
      </c>
      <c r="BS31" t="s" s="0">
        <v>1013</v>
      </c>
      <c r="BT31" t="s" s="60">
        <f>HYPERLINK("https://www.webofscience.com/wos/woscc/full-record/WOS:000971794800001","View Record in Web of Science")</f>
        <v>113</v>
      </c>
      <c r="BU31" t="s" s="0">
        <v>153</v>
      </c>
      <c r="BV31" t="s" s="0">
        <v>81</v>
      </c>
      <c r="BW31" t="s" s="0">
        <v>81</v>
      </c>
      <c r="BX31" t="s" s="0">
        <v>115</v>
      </c>
    </row>
    <row r="32">
      <c r="A32" t="s" s="0">
        <v>116</v>
      </c>
      <c r="B32" t="s" s="0">
        <v>77</v>
      </c>
      <c r="C32" t="s" s="0">
        <v>277</v>
      </c>
      <c r="D32" t="s" s="0">
        <v>77</v>
      </c>
      <c r="E32" t="s" s="0">
        <v>1014</v>
      </c>
      <c r="F32" t="s" s="0">
        <v>1015</v>
      </c>
      <c r="G32" t="s" s="0">
        <v>1016</v>
      </c>
      <c r="H32" t="s" s="0">
        <v>81</v>
      </c>
      <c r="I32" t="s" s="0">
        <v>82</v>
      </c>
      <c r="J32" t="s" s="0">
        <v>1017</v>
      </c>
      <c r="K32" t="s" s="0">
        <v>1018</v>
      </c>
      <c r="L32" t="s" s="0">
        <v>1019</v>
      </c>
      <c r="M32" t="s" s="0">
        <v>1020</v>
      </c>
      <c r="N32" t="s" s="0">
        <v>1021</v>
      </c>
      <c r="O32" t="s" s="0">
        <v>1022</v>
      </c>
      <c r="P32" t="s" s="0">
        <v>1023</v>
      </c>
      <c r="Q32" t="s" s="0">
        <v>87</v>
      </c>
      <c r="R32" t="s" s="0">
        <v>81</v>
      </c>
      <c r="S32" t="s" s="0">
        <v>81</v>
      </c>
      <c r="T32" t="s" s="0">
        <v>81</v>
      </c>
      <c r="U32" t="s" s="0">
        <v>81</v>
      </c>
      <c r="V32" t="s" s="0">
        <v>1024</v>
      </c>
      <c r="W32" t="s" s="0">
        <v>1025</v>
      </c>
      <c r="X32" t="s" s="0">
        <v>81</v>
      </c>
      <c r="Y32" t="s" s="0">
        <v>81</v>
      </c>
      <c r="Z32" t="s" s="0">
        <v>90</v>
      </c>
      <c r="AA32" t="s" s="0">
        <v>91</v>
      </c>
      <c r="AB32" t="s" s="0">
        <v>81</v>
      </c>
      <c r="AC32" t="s" s="0">
        <v>81</v>
      </c>
      <c r="AD32" t="s" s="0">
        <v>81</v>
      </c>
      <c r="AE32" t="s" s="0">
        <v>81</v>
      </c>
      <c r="AF32" t="s" s="0">
        <v>81</v>
      </c>
      <c r="AG32" t="s" s="0">
        <v>81</v>
      </c>
      <c r="AH32" t="s" s="0">
        <v>1026</v>
      </c>
      <c r="AI32" t="s" s="0">
        <v>1027</v>
      </c>
      <c r="AJ32" t="s" s="0">
        <v>1028</v>
      </c>
      <c r="AK32" t="s" s="0">
        <v>81</v>
      </c>
      <c r="AL32" t="s" s="0">
        <v>520</v>
      </c>
      <c r="AM32" t="s" s="0">
        <v>1029</v>
      </c>
      <c r="AN32" t="s" s="0">
        <v>1030</v>
      </c>
      <c r="AO32" t="s" s="0">
        <v>144</v>
      </c>
      <c r="AP32" t="s" s="0">
        <v>134</v>
      </c>
      <c r="AQ32" t="s" s="0">
        <v>1031</v>
      </c>
      <c r="AR32" t="s" s="0">
        <v>1032</v>
      </c>
      <c r="AS32" t="s" s="0">
        <v>1033</v>
      </c>
      <c r="AT32" t="s" s="0">
        <v>1034</v>
      </c>
      <c r="AU32" t="s" s="0">
        <v>1035</v>
      </c>
      <c r="AV32" t="s" s="0">
        <v>81</v>
      </c>
      <c r="AW32" t="s" s="0">
        <v>1025</v>
      </c>
      <c r="AX32" t="s" s="0">
        <v>1036</v>
      </c>
      <c r="AY32" t="s" s="0">
        <v>1037</v>
      </c>
      <c r="AZ32" t="s" s="0">
        <v>742</v>
      </c>
      <c r="BA32" t="s" s="0">
        <v>1038</v>
      </c>
      <c r="BB32" t="s" s="0">
        <v>144</v>
      </c>
      <c r="BC32" t="s" s="0">
        <v>81</v>
      </c>
      <c r="BD32" t="s" s="0">
        <v>81</v>
      </c>
      <c r="BE32" t="s" s="0">
        <v>81</v>
      </c>
      <c r="BF32" t="s" s="0">
        <v>81</v>
      </c>
      <c r="BG32" t="s" s="0">
        <v>81</v>
      </c>
      <c r="BH32" t="s" s="0">
        <v>81</v>
      </c>
      <c r="BI32" t="s" s="0">
        <v>1039</v>
      </c>
      <c r="BJ32" t="s" s="0">
        <v>1040</v>
      </c>
      <c r="BK32" t="s" s="61">
        <f>HYPERLINK("http://dx.doi.org/10.1148/radiol.230806","http://dx.doi.org/10.1148/radiol.230806")</f>
        <v>1041</v>
      </c>
      <c r="BL32" t="s" s="0">
        <v>81</v>
      </c>
      <c r="BM32" t="s" s="0">
        <v>81</v>
      </c>
      <c r="BN32" t="s" s="0">
        <v>134</v>
      </c>
      <c r="BO32" t="s" s="0">
        <v>292</v>
      </c>
      <c r="BP32" t="s" s="0">
        <v>292</v>
      </c>
      <c r="BQ32" t="s" s="0">
        <v>1042</v>
      </c>
      <c r="BR32" t="s" s="0">
        <v>1043</v>
      </c>
      <c r="BS32" t="s" s="0">
        <v>1044</v>
      </c>
      <c r="BT32" t="s" s="62">
        <f>HYPERLINK("https://www.webofscience.com/wos/woscc/full-record/WOS:001111028800010","View Record in Web of Science")</f>
        <v>113</v>
      </c>
      <c r="BU32" t="s" s="0">
        <v>81</v>
      </c>
      <c r="BV32" t="s" s="0">
        <v>81</v>
      </c>
      <c r="BW32" t="s" s="0">
        <v>81</v>
      </c>
      <c r="BX32" t="s" s="0">
        <v>115</v>
      </c>
    </row>
    <row r="33">
      <c r="A33" t="s" s="0">
        <v>77</v>
      </c>
      <c r="B33" t="s" s="0">
        <v>77</v>
      </c>
      <c r="C33" t="s" s="0">
        <v>77</v>
      </c>
      <c r="D33" t="s" s="0">
        <v>77</v>
      </c>
      <c r="E33" t="s" s="0">
        <v>1045</v>
      </c>
      <c r="F33" t="s" s="0">
        <v>1046</v>
      </c>
      <c r="G33" t="s" s="0">
        <v>1047</v>
      </c>
      <c r="H33" t="s" s="0">
        <v>81</v>
      </c>
      <c r="I33" t="s" s="0">
        <v>543</v>
      </c>
      <c r="J33" t="s" s="0">
        <v>1048</v>
      </c>
      <c r="K33" t="s" s="0">
        <v>1049</v>
      </c>
      <c r="L33" t="s" s="0">
        <v>81</v>
      </c>
      <c r="M33" t="s" s="0">
        <v>81</v>
      </c>
      <c r="N33" t="s" s="0">
        <v>81</v>
      </c>
      <c r="O33" t="s" s="0">
        <v>1050</v>
      </c>
      <c r="P33" t="s" s="0">
        <v>1051</v>
      </c>
      <c r="Q33" t="s" s="0">
        <v>87</v>
      </c>
      <c r="R33" t="s" s="0">
        <v>81</v>
      </c>
      <c r="S33" t="s" s="0">
        <v>81</v>
      </c>
      <c r="T33" t="s" s="0">
        <v>81</v>
      </c>
      <c r="U33" t="s" s="0">
        <v>81</v>
      </c>
      <c r="V33" t="s" s="0">
        <v>1052</v>
      </c>
      <c r="W33" t="s" s="0">
        <v>1053</v>
      </c>
      <c r="X33" t="s" s="0">
        <v>81</v>
      </c>
      <c r="Y33" t="s" s="0">
        <v>81</v>
      </c>
      <c r="Z33" t="s" s="0">
        <v>90</v>
      </c>
      <c r="AA33" t="s" s="0">
        <v>91</v>
      </c>
      <c r="AB33" t="s" s="0">
        <v>81</v>
      </c>
      <c r="AC33" t="s" s="0">
        <v>81</v>
      </c>
      <c r="AD33" t="s" s="0">
        <v>81</v>
      </c>
      <c r="AE33" t="s" s="0">
        <v>81</v>
      </c>
      <c r="AF33" t="s" s="0">
        <v>81</v>
      </c>
      <c r="AG33" t="s" s="0">
        <v>1054</v>
      </c>
      <c r="AH33" t="s" s="0">
        <v>81</v>
      </c>
      <c r="AI33" t="s" s="0">
        <v>1055</v>
      </c>
      <c r="AJ33" t="s" s="0">
        <v>81</v>
      </c>
      <c r="AK33" t="s" s="0">
        <v>81</v>
      </c>
      <c r="AL33" t="s" s="0">
        <v>93</v>
      </c>
      <c r="AM33" t="s" s="0">
        <v>116</v>
      </c>
      <c r="AN33" t="s" s="0">
        <v>116</v>
      </c>
      <c r="AO33" t="s" s="0">
        <v>77</v>
      </c>
      <c r="AP33" t="s" s="0">
        <v>77</v>
      </c>
      <c r="AQ33" t="s" s="0">
        <v>402</v>
      </c>
      <c r="AR33" t="s" s="0">
        <v>403</v>
      </c>
      <c r="AS33" t="s" s="0">
        <v>404</v>
      </c>
      <c r="AT33" t="s" s="0">
        <v>81</v>
      </c>
      <c r="AU33" t="s" s="0">
        <v>1056</v>
      </c>
      <c r="AV33" t="s" s="0">
        <v>81</v>
      </c>
      <c r="AW33" t="s" s="0">
        <v>1057</v>
      </c>
      <c r="AX33" t="s" s="0">
        <v>1058</v>
      </c>
      <c r="AY33" t="s" s="0">
        <v>1059</v>
      </c>
      <c r="AZ33" t="s" s="0">
        <v>142</v>
      </c>
      <c r="BA33" t="s" s="0">
        <v>372</v>
      </c>
      <c r="BB33" t="s" s="0">
        <v>81</v>
      </c>
      <c r="BC33" t="s" s="0">
        <v>81</v>
      </c>
      <c r="BD33" t="s" s="0">
        <v>81</v>
      </c>
      <c r="BE33" t="s" s="0">
        <v>81</v>
      </c>
      <c r="BF33" t="s" s="0">
        <v>81</v>
      </c>
      <c r="BG33" t="s" s="0">
        <v>81</v>
      </c>
      <c r="BH33" t="s" s="0">
        <v>81</v>
      </c>
      <c r="BI33" t="s" s="0">
        <v>1060</v>
      </c>
      <c r="BJ33" t="s" s="0">
        <v>1061</v>
      </c>
      <c r="BK33" t="s" s="63">
        <f>HYPERLINK("http://dx.doi.org/10.3389/fradi.2025.1698680","http://dx.doi.org/10.3389/fradi.2025.1698680")</f>
        <v>1062</v>
      </c>
      <c r="BL33" t="s" s="0">
        <v>81</v>
      </c>
      <c r="BM33" t="s" s="0">
        <v>81</v>
      </c>
      <c r="BN33" t="s" s="0">
        <v>107</v>
      </c>
      <c r="BO33" t="s" s="0">
        <v>292</v>
      </c>
      <c r="BP33" t="s" s="0">
        <v>292</v>
      </c>
      <c r="BQ33" t="s" s="0">
        <v>1063</v>
      </c>
      <c r="BR33" t="s" s="0">
        <v>1064</v>
      </c>
      <c r="BS33" t="s" s="0">
        <v>1065</v>
      </c>
      <c r="BT33" t="s" s="64">
        <f>HYPERLINK("https://www.webofscience.com/wos/woscc/full-record/WOS:001632714500001","View Record in Web of Science")</f>
        <v>113</v>
      </c>
      <c r="BU33" t="s" s="0">
        <v>153</v>
      </c>
      <c r="BV33" t="s" s="0">
        <v>81</v>
      </c>
      <c r="BW33" t="s" s="0">
        <v>81</v>
      </c>
      <c r="BX33" t="s" s="0">
        <v>115</v>
      </c>
    </row>
    <row r="34">
      <c r="A34" t="s" s="0">
        <v>313</v>
      </c>
      <c r="B34" t="s" s="0">
        <v>77</v>
      </c>
      <c r="C34" t="s" s="0">
        <v>1001</v>
      </c>
      <c r="D34" t="s" s="0">
        <v>77</v>
      </c>
      <c r="E34" t="s" s="0">
        <v>1066</v>
      </c>
      <c r="F34" t="s" s="0">
        <v>1067</v>
      </c>
      <c r="G34" t="s" s="0">
        <v>1068</v>
      </c>
      <c r="H34" t="s" s="0">
        <v>81</v>
      </c>
      <c r="I34" t="s" s="0">
        <v>82</v>
      </c>
      <c r="J34" t="s" s="0">
        <v>1069</v>
      </c>
      <c r="K34" t="s" s="0">
        <v>1070</v>
      </c>
      <c r="L34" t="s" s="0">
        <v>1071</v>
      </c>
      <c r="M34" t="s" s="0">
        <v>1072</v>
      </c>
      <c r="N34" t="s" s="0">
        <v>1073</v>
      </c>
      <c r="O34" t="s" s="0">
        <v>1074</v>
      </c>
      <c r="P34" t="s" s="0">
        <v>1075</v>
      </c>
      <c r="Q34" t="s" s="0">
        <v>87</v>
      </c>
      <c r="R34" t="s" s="0">
        <v>81</v>
      </c>
      <c r="S34" t="s" s="0">
        <v>81</v>
      </c>
      <c r="T34" t="s" s="0">
        <v>81</v>
      </c>
      <c r="U34" t="s" s="0">
        <v>81</v>
      </c>
      <c r="V34" t="s" s="0">
        <v>1076</v>
      </c>
      <c r="W34" t="s" s="0">
        <v>1077</v>
      </c>
      <c r="X34" t="s" s="0">
        <v>81</v>
      </c>
      <c r="Y34" t="s" s="0">
        <v>81</v>
      </c>
      <c r="Z34" t="s" s="0">
        <v>90</v>
      </c>
      <c r="AA34" t="s" s="0">
        <v>91</v>
      </c>
      <c r="AB34" t="s" s="0">
        <v>81</v>
      </c>
      <c r="AC34" t="s" s="0">
        <v>81</v>
      </c>
      <c r="AD34" t="s" s="0">
        <v>81</v>
      </c>
      <c r="AE34" t="s" s="0">
        <v>81</v>
      </c>
      <c r="AF34" t="s" s="0">
        <v>81</v>
      </c>
      <c r="AG34" t="s" s="0">
        <v>1078</v>
      </c>
      <c r="AH34" t="s" s="0">
        <v>1079</v>
      </c>
      <c r="AI34" t="s" s="0">
        <v>1080</v>
      </c>
      <c r="AJ34" t="s" s="0">
        <v>1081</v>
      </c>
      <c r="AK34" t="s" s="0">
        <v>81</v>
      </c>
      <c r="AL34" t="s" s="0">
        <v>102</v>
      </c>
      <c r="AM34" t="s" s="0">
        <v>401</v>
      </c>
      <c r="AN34" t="s" s="0">
        <v>767</v>
      </c>
      <c r="AO34" t="s" s="0">
        <v>144</v>
      </c>
      <c r="AP34" t="s" s="0">
        <v>187</v>
      </c>
      <c r="AQ34" t="s" s="0">
        <v>246</v>
      </c>
      <c r="AR34" t="s" s="0">
        <v>247</v>
      </c>
      <c r="AS34" t="s" s="0">
        <v>489</v>
      </c>
      <c r="AT34" t="s" s="0">
        <v>1082</v>
      </c>
      <c r="AU34" t="s" s="0">
        <v>1083</v>
      </c>
      <c r="AV34" t="s" s="0">
        <v>81</v>
      </c>
      <c r="AW34" t="s" s="0">
        <v>1077</v>
      </c>
      <c r="AX34" t="s" s="0">
        <v>1084</v>
      </c>
      <c r="AY34" t="s" s="0">
        <v>1085</v>
      </c>
      <c r="AZ34" t="s" s="0">
        <v>920</v>
      </c>
      <c r="BA34" t="s" s="0">
        <v>1086</v>
      </c>
      <c r="BB34" t="s" s="0">
        <v>219</v>
      </c>
      <c r="BC34" t="s" s="0">
        <v>81</v>
      </c>
      <c r="BD34" t="s" s="0">
        <v>81</v>
      </c>
      <c r="BE34" t="s" s="0">
        <v>81</v>
      </c>
      <c r="BF34" t="s" s="0">
        <v>81</v>
      </c>
      <c r="BG34" t="s" s="0">
        <v>1087</v>
      </c>
      <c r="BH34" t="s" s="0">
        <v>1088</v>
      </c>
      <c r="BI34" t="s" s="0">
        <v>81</v>
      </c>
      <c r="BJ34" t="s" s="0">
        <v>1089</v>
      </c>
      <c r="BK34" t="s" s="65">
        <f>HYPERLINK("http://dx.doi.org/10.1016/j.ophtha.2022.02.017","http://dx.doi.org/10.1016/j.ophtha.2022.02.017")</f>
        <v>1090</v>
      </c>
      <c r="BL34" t="s" s="0">
        <v>81</v>
      </c>
      <c r="BM34" t="s" s="0">
        <v>81</v>
      </c>
      <c r="BN34" t="s" s="0">
        <v>173</v>
      </c>
      <c r="BO34" t="s" s="0">
        <v>1084</v>
      </c>
      <c r="BP34" t="s" s="0">
        <v>1084</v>
      </c>
      <c r="BQ34" t="s" s="0">
        <v>1091</v>
      </c>
      <c r="BR34" t="s" s="0">
        <v>1092</v>
      </c>
      <c r="BS34" t="s" s="0">
        <v>1093</v>
      </c>
      <c r="BT34" t="s" s="66">
        <f>HYPERLINK("https://www.webofscience.com/wos/woscc/full-record/WOS:000885754600012","View Record in Web of Science")</f>
        <v>113</v>
      </c>
      <c r="BU34" t="s" s="0">
        <v>296</v>
      </c>
      <c r="BV34" t="s" s="0">
        <v>81</v>
      </c>
      <c r="BW34" t="s" s="0">
        <v>81</v>
      </c>
      <c r="BX34" t="s" s="0">
        <v>115</v>
      </c>
    </row>
    <row r="35">
      <c r="A35" t="s" s="0">
        <v>77</v>
      </c>
      <c r="B35" t="s" s="0">
        <v>77</v>
      </c>
      <c r="C35" t="s" s="0">
        <v>144</v>
      </c>
      <c r="D35" t="s" s="0">
        <v>77</v>
      </c>
      <c r="E35" t="s" s="0">
        <v>1094</v>
      </c>
      <c r="F35" t="s" s="0">
        <v>1095</v>
      </c>
      <c r="G35" t="s" s="0">
        <v>1096</v>
      </c>
      <c r="H35" t="s" s="0">
        <v>81</v>
      </c>
      <c r="I35" t="s" s="0">
        <v>157</v>
      </c>
      <c r="J35" t="s" s="0">
        <v>1097</v>
      </c>
      <c r="K35" t="s" s="0">
        <v>1098</v>
      </c>
      <c r="L35" t="s" s="0">
        <v>1099</v>
      </c>
      <c r="M35" t="s" s="0">
        <v>1100</v>
      </c>
      <c r="N35" t="s" s="0">
        <v>1101</v>
      </c>
      <c r="O35" t="s" s="0">
        <v>1102</v>
      </c>
      <c r="P35" t="s" s="0">
        <v>1103</v>
      </c>
      <c r="Q35" t="s" s="0">
        <v>87</v>
      </c>
      <c r="R35" t="s" s="0">
        <v>81</v>
      </c>
      <c r="S35" t="s" s="0">
        <v>81</v>
      </c>
      <c r="T35" t="s" s="0">
        <v>81</v>
      </c>
      <c r="U35" t="s" s="0">
        <v>81</v>
      </c>
      <c r="V35" t="s" s="0">
        <v>1104</v>
      </c>
      <c r="W35" t="s" s="0">
        <v>1105</v>
      </c>
      <c r="X35" t="s" s="0">
        <v>81</v>
      </c>
      <c r="Y35" t="s" s="0">
        <v>81</v>
      </c>
      <c r="Z35" t="s" s="0">
        <v>90</v>
      </c>
      <c r="AA35" t="s" s="0">
        <v>91</v>
      </c>
      <c r="AB35" t="s" s="0">
        <v>81</v>
      </c>
      <c r="AC35" t="s" s="0">
        <v>81</v>
      </c>
      <c r="AD35" t="s" s="0">
        <v>81</v>
      </c>
      <c r="AE35" t="s" s="0">
        <v>81</v>
      </c>
      <c r="AF35" t="s" s="0">
        <v>81</v>
      </c>
      <c r="AG35" t="s" s="0">
        <v>1106</v>
      </c>
      <c r="AH35" t="s" s="0">
        <v>81</v>
      </c>
      <c r="AI35" t="s" s="0">
        <v>1107</v>
      </c>
      <c r="AJ35" t="s" s="0">
        <v>81</v>
      </c>
      <c r="AK35" t="s" s="0">
        <v>81</v>
      </c>
      <c r="AL35" t="s" s="0">
        <v>209</v>
      </c>
      <c r="AM35" t="s" s="0">
        <v>116</v>
      </c>
      <c r="AN35" t="s" s="0">
        <v>116</v>
      </c>
      <c r="AO35" t="s" s="0">
        <v>116</v>
      </c>
      <c r="AP35" t="s" s="0">
        <v>116</v>
      </c>
      <c r="AQ35" t="s" s="0">
        <v>402</v>
      </c>
      <c r="AR35" t="s" s="0">
        <v>403</v>
      </c>
      <c r="AS35" t="s" s="0">
        <v>404</v>
      </c>
      <c r="AT35" t="s" s="0">
        <v>81</v>
      </c>
      <c r="AU35" t="s" s="0">
        <v>1108</v>
      </c>
      <c r="AV35" t="s" s="0">
        <v>81</v>
      </c>
      <c r="AW35" t="s" s="0">
        <v>1109</v>
      </c>
      <c r="AX35" t="s" s="0">
        <v>1110</v>
      </c>
      <c r="AY35" t="s" s="0">
        <v>1111</v>
      </c>
      <c r="AZ35" t="s" s="0">
        <v>101</v>
      </c>
      <c r="BA35" t="s" s="0">
        <v>134</v>
      </c>
      <c r="BB35" t="s" s="0">
        <v>81</v>
      </c>
      <c r="BC35" t="s" s="0">
        <v>81</v>
      </c>
      <c r="BD35" t="s" s="0">
        <v>81</v>
      </c>
      <c r="BE35" t="s" s="0">
        <v>81</v>
      </c>
      <c r="BF35" t="s" s="0">
        <v>81</v>
      </c>
      <c r="BG35" t="s" s="0">
        <v>81</v>
      </c>
      <c r="BH35" t="s" s="0">
        <v>81</v>
      </c>
      <c r="BI35" t="s" s="0">
        <v>1112</v>
      </c>
      <c r="BJ35" t="s" s="0">
        <v>1113</v>
      </c>
      <c r="BK35" t="s" s="67">
        <f>HYPERLINK("http://dx.doi.org/10.3389/fpubh.2025.1687335","http://dx.doi.org/10.3389/fpubh.2025.1687335")</f>
        <v>1114</v>
      </c>
      <c r="BL35" t="s" s="0">
        <v>81</v>
      </c>
      <c r="BM35" t="s" s="0">
        <v>81</v>
      </c>
      <c r="BN35" t="s" s="0">
        <v>277</v>
      </c>
      <c r="BO35" t="s" s="0">
        <v>1115</v>
      </c>
      <c r="BP35" t="s" s="0">
        <v>1115</v>
      </c>
      <c r="BQ35" t="s" s="0">
        <v>1116</v>
      </c>
      <c r="BR35" t="s" s="0">
        <v>1117</v>
      </c>
      <c r="BS35" t="s" s="0">
        <v>1118</v>
      </c>
      <c r="BT35" t="s" s="68">
        <f>HYPERLINK("https://www.webofscience.com/wos/woscc/full-record/WOS:001663671900001","View Record in Web of Science")</f>
        <v>113</v>
      </c>
      <c r="BU35" t="s" s="0">
        <v>153</v>
      </c>
      <c r="BV35" t="s" s="0">
        <v>81</v>
      </c>
      <c r="BW35" t="s" s="0">
        <v>81</v>
      </c>
      <c r="BX35" t="s" s="0">
        <v>115</v>
      </c>
    </row>
    <row r="36">
      <c r="A36" t="s" s="0">
        <v>77</v>
      </c>
      <c r="B36" t="s" s="0">
        <v>77</v>
      </c>
      <c r="C36" t="s" s="0">
        <v>77</v>
      </c>
      <c r="D36" t="s" s="0">
        <v>77</v>
      </c>
      <c r="E36" t="s" s="0">
        <v>1119</v>
      </c>
      <c r="F36" t="s" s="0">
        <v>1120</v>
      </c>
      <c r="G36" t="s" s="0">
        <v>1121</v>
      </c>
      <c r="H36" t="s" s="0">
        <v>81</v>
      </c>
      <c r="I36" t="s" s="0">
        <v>543</v>
      </c>
      <c r="J36" t="s" s="0">
        <v>1122</v>
      </c>
      <c r="K36" t="s" s="0">
        <v>1123</v>
      </c>
      <c r="L36" t="s" s="0">
        <v>1124</v>
      </c>
      <c r="M36" t="s" s="0">
        <v>1125</v>
      </c>
      <c r="N36" t="s" s="0">
        <v>1126</v>
      </c>
      <c r="O36" t="s" s="0">
        <v>1127</v>
      </c>
      <c r="P36" t="s" s="0">
        <v>1128</v>
      </c>
      <c r="Q36" t="s" s="0">
        <v>87</v>
      </c>
      <c r="R36" t="s" s="0">
        <v>81</v>
      </c>
      <c r="S36" t="s" s="0">
        <v>81</v>
      </c>
      <c r="T36" t="s" s="0">
        <v>81</v>
      </c>
      <c r="U36" t="s" s="0">
        <v>81</v>
      </c>
      <c r="V36" t="s" s="0">
        <v>1129</v>
      </c>
      <c r="W36" t="s" s="0">
        <v>1130</v>
      </c>
      <c r="X36" t="s" s="0">
        <v>81</v>
      </c>
      <c r="Y36" t="s" s="0">
        <v>81</v>
      </c>
      <c r="Z36" t="s" s="0">
        <v>90</v>
      </c>
      <c r="AA36" t="s" s="0">
        <v>91</v>
      </c>
      <c r="AB36" t="s" s="0">
        <v>81</v>
      </c>
      <c r="AC36" t="s" s="0">
        <v>81</v>
      </c>
      <c r="AD36" t="s" s="0">
        <v>81</v>
      </c>
      <c r="AE36" t="s" s="0">
        <v>81</v>
      </c>
      <c r="AF36" t="s" s="0">
        <v>81</v>
      </c>
      <c r="AG36" t="s" s="0">
        <v>1131</v>
      </c>
      <c r="AH36" t="s" s="0">
        <v>81</v>
      </c>
      <c r="AI36" t="s" s="0">
        <v>1132</v>
      </c>
      <c r="AJ36" t="s" s="0">
        <v>1133</v>
      </c>
      <c r="AK36" t="s" s="0">
        <v>81</v>
      </c>
      <c r="AL36" t="s" s="0">
        <v>428</v>
      </c>
      <c r="AM36" t="s" s="0">
        <v>144</v>
      </c>
      <c r="AN36" t="s" s="0">
        <v>144</v>
      </c>
      <c r="AO36" t="s" s="0">
        <v>77</v>
      </c>
      <c r="AP36" t="s" s="0">
        <v>77</v>
      </c>
      <c r="AQ36" t="s" s="0">
        <v>615</v>
      </c>
      <c r="AR36" t="s" s="0">
        <v>616</v>
      </c>
      <c r="AS36" t="s" s="0">
        <v>617</v>
      </c>
      <c r="AT36" t="s" s="0">
        <v>1134</v>
      </c>
      <c r="AU36" t="s" s="0">
        <v>81</v>
      </c>
      <c r="AV36" t="s" s="0">
        <v>81</v>
      </c>
      <c r="AW36" t="s" s="0">
        <v>1135</v>
      </c>
      <c r="AX36" t="s" s="0">
        <v>1136</v>
      </c>
      <c r="AY36" t="s" s="0">
        <v>566</v>
      </c>
      <c r="AZ36" t="s" s="0">
        <v>101</v>
      </c>
      <c r="BA36" t="s" s="0">
        <v>103</v>
      </c>
      <c r="BB36" t="s" s="0">
        <v>313</v>
      </c>
      <c r="BC36" t="s" s="0">
        <v>81</v>
      </c>
      <c r="BD36" t="s" s="0">
        <v>81</v>
      </c>
      <c r="BE36" t="s" s="0">
        <v>81</v>
      </c>
      <c r="BF36" t="s" s="0">
        <v>81</v>
      </c>
      <c r="BG36" t="s" s="0">
        <v>81</v>
      </c>
      <c r="BH36" t="s" s="0">
        <v>81</v>
      </c>
      <c r="BI36" t="s" s="0">
        <v>1137</v>
      </c>
      <c r="BJ36" t="s" s="0">
        <v>1138</v>
      </c>
      <c r="BK36" t="s" s="69">
        <f>HYPERLINK("http://dx.doi.org/10.1016/j.xops.2025.100985","http://dx.doi.org/10.1016/j.xops.2025.100985")</f>
        <v>1139</v>
      </c>
      <c r="BL36" t="s" s="0">
        <v>81</v>
      </c>
      <c r="BM36" t="s" s="0">
        <v>1140</v>
      </c>
      <c r="BN36" t="s" s="0">
        <v>172</v>
      </c>
      <c r="BO36" t="s" s="0">
        <v>1084</v>
      </c>
      <c r="BP36" t="s" s="0">
        <v>1084</v>
      </c>
      <c r="BQ36" t="s" s="0">
        <v>1141</v>
      </c>
      <c r="BR36" t="s" s="0">
        <v>1142</v>
      </c>
      <c r="BS36" t="s" s="0">
        <v>1143</v>
      </c>
      <c r="BT36" t="s" s="70">
        <f>HYPERLINK("https://www.webofscience.com/wos/woscc/full-record/WOS:001634635400001","View Record in Web of Science")</f>
        <v>113</v>
      </c>
      <c r="BU36" t="s" s="0">
        <v>153</v>
      </c>
      <c r="BV36" t="s" s="0">
        <v>81</v>
      </c>
      <c r="BW36" t="s" s="0">
        <v>81</v>
      </c>
      <c r="BX36" t="s" s="0">
        <v>115</v>
      </c>
    </row>
    <row r="37">
      <c r="A37" t="s" s="0">
        <v>116</v>
      </c>
      <c r="B37" t="s" s="0">
        <v>77</v>
      </c>
      <c r="C37" t="s" s="0">
        <v>143</v>
      </c>
      <c r="D37" t="s" s="0">
        <v>77</v>
      </c>
      <c r="E37" t="s" s="0">
        <v>1144</v>
      </c>
      <c r="F37" t="s" s="0">
        <v>1145</v>
      </c>
      <c r="G37" t="s" s="0">
        <v>1146</v>
      </c>
      <c r="H37" t="s" s="0">
        <v>81</v>
      </c>
      <c r="I37" t="s" s="0">
        <v>82</v>
      </c>
      <c r="J37" t="s" s="0">
        <v>1147</v>
      </c>
      <c r="K37" t="s" s="0">
        <v>1148</v>
      </c>
      <c r="L37" t="s" s="0">
        <v>1149</v>
      </c>
      <c r="M37" t="s" s="0">
        <v>1150</v>
      </c>
      <c r="N37" t="s" s="0">
        <v>1151</v>
      </c>
      <c r="O37" t="s" s="0">
        <v>1152</v>
      </c>
      <c r="P37" t="s" s="0">
        <v>1153</v>
      </c>
      <c r="Q37" t="s" s="0">
        <v>87</v>
      </c>
      <c r="R37" t="s" s="0">
        <v>81</v>
      </c>
      <c r="S37" t="s" s="0">
        <v>81</v>
      </c>
      <c r="T37" t="s" s="0">
        <v>81</v>
      </c>
      <c r="U37" t="s" s="0">
        <v>81</v>
      </c>
      <c r="V37" t="s" s="0">
        <v>1154</v>
      </c>
      <c r="W37" t="s" s="0">
        <v>1155</v>
      </c>
      <c r="X37" t="s" s="0">
        <v>81</v>
      </c>
      <c r="Y37" t="s" s="0">
        <v>81</v>
      </c>
      <c r="Z37" t="s" s="0">
        <v>90</v>
      </c>
      <c r="AA37" t="s" s="0">
        <v>91</v>
      </c>
      <c r="AB37" t="s" s="0">
        <v>81</v>
      </c>
      <c r="AC37" t="s" s="0">
        <v>81</v>
      </c>
      <c r="AD37" t="s" s="0">
        <v>81</v>
      </c>
      <c r="AE37" t="s" s="0">
        <v>81</v>
      </c>
      <c r="AF37" t="s" s="0">
        <v>81</v>
      </c>
      <c r="AG37" t="s" s="0">
        <v>1156</v>
      </c>
      <c r="AH37" t="s" s="0">
        <v>1157</v>
      </c>
      <c r="AI37" t="s" s="0">
        <v>1158</v>
      </c>
      <c r="AJ37" t="s" s="0">
        <v>1159</v>
      </c>
      <c r="AK37" t="s" s="0">
        <v>81</v>
      </c>
      <c r="AL37" t="s" s="0">
        <v>1160</v>
      </c>
      <c r="AM37" t="s" s="0">
        <v>286</v>
      </c>
      <c r="AN37" t="s" s="0">
        <v>345</v>
      </c>
      <c r="AO37" t="s" s="0">
        <v>116</v>
      </c>
      <c r="AP37" t="s" s="0">
        <v>1161</v>
      </c>
      <c r="AQ37" t="s" s="0">
        <v>1162</v>
      </c>
      <c r="AR37" t="s" s="0">
        <v>95</v>
      </c>
      <c r="AS37" t="s" s="0">
        <v>1163</v>
      </c>
      <c r="AT37" t="s" s="0">
        <v>1164</v>
      </c>
      <c r="AU37" t="s" s="0">
        <v>1165</v>
      </c>
      <c r="AV37" t="s" s="0">
        <v>81</v>
      </c>
      <c r="AW37" t="s" s="0">
        <v>1166</v>
      </c>
      <c r="AX37" t="s" s="0">
        <v>1167</v>
      </c>
      <c r="AY37" t="s" s="0">
        <v>291</v>
      </c>
      <c r="AZ37" t="s" s="0">
        <v>285</v>
      </c>
      <c r="BA37" t="s" s="0">
        <v>1168</v>
      </c>
      <c r="BB37" t="s" s="0">
        <v>81</v>
      </c>
      <c r="BC37" t="s" s="0">
        <v>81</v>
      </c>
      <c r="BD37" t="s" s="0">
        <v>81</v>
      </c>
      <c r="BE37" t="s" s="0">
        <v>81</v>
      </c>
      <c r="BF37" t="s" s="0">
        <v>81</v>
      </c>
      <c r="BG37" t="s" s="0">
        <v>81</v>
      </c>
      <c r="BH37" t="s" s="0">
        <v>81</v>
      </c>
      <c r="BI37" t="s" s="0">
        <v>1169</v>
      </c>
      <c r="BJ37" t="s" s="0">
        <v>1170</v>
      </c>
      <c r="BK37" t="s" s="71">
        <f>HYPERLINK("http://dx.doi.org/10.1016/j.compbiomed.2024.108035","http://dx.doi.org/10.1016/j.compbiomed.2024.108035")</f>
        <v>1171</v>
      </c>
      <c r="BL37" t="s" s="0">
        <v>81</v>
      </c>
      <c r="BM37" t="s" s="0">
        <v>1172</v>
      </c>
      <c r="BN37" t="s" s="0">
        <v>921</v>
      </c>
      <c r="BO37" t="s" s="0">
        <v>1173</v>
      </c>
      <c r="BP37" t="s" s="0">
        <v>1174</v>
      </c>
      <c r="BQ37" t="s" s="0">
        <v>1175</v>
      </c>
      <c r="BR37" t="s" s="0">
        <v>1176</v>
      </c>
      <c r="BS37" t="s" s="0">
        <v>1177</v>
      </c>
      <c r="BT37" t="s" s="72">
        <f>HYPERLINK("https://www.webofscience.com/wos/woscc/full-record/WOS:001175135900001","View Record in Web of Science")</f>
        <v>113</v>
      </c>
      <c r="BU37" t="s" s="0">
        <v>81</v>
      </c>
      <c r="BV37" t="s" s="0">
        <v>81</v>
      </c>
      <c r="BW37" t="s" s="0">
        <v>81</v>
      </c>
      <c r="BX37" t="s" s="0">
        <v>115</v>
      </c>
    </row>
    <row r="38">
      <c r="A38" t="s" s="0">
        <v>77</v>
      </c>
      <c r="B38" t="s" s="0">
        <v>77</v>
      </c>
      <c r="C38" t="s" s="0">
        <v>77</v>
      </c>
      <c r="D38" t="s" s="0">
        <v>77</v>
      </c>
      <c r="E38" t="s" s="0">
        <v>1178</v>
      </c>
      <c r="F38" t="s" s="0">
        <v>1179</v>
      </c>
      <c r="G38" t="s" s="0">
        <v>1180</v>
      </c>
      <c r="H38" t="s" s="0">
        <v>81</v>
      </c>
      <c r="I38" t="s" s="0">
        <v>82</v>
      </c>
      <c r="J38" t="s" s="0">
        <v>1181</v>
      </c>
      <c r="K38" t="s" s="0">
        <v>1182</v>
      </c>
      <c r="L38" t="s" s="0">
        <v>1183</v>
      </c>
      <c r="M38" t="s" s="0">
        <v>1184</v>
      </c>
      <c r="N38" t="s" s="0">
        <v>1185</v>
      </c>
      <c r="O38" t="s" s="0">
        <v>1186</v>
      </c>
      <c r="P38" t="s" s="0">
        <v>1187</v>
      </c>
      <c r="Q38" t="s" s="0">
        <v>87</v>
      </c>
      <c r="R38" t="s" s="0">
        <v>81</v>
      </c>
      <c r="S38" t="s" s="0">
        <v>81</v>
      </c>
      <c r="T38" t="s" s="0">
        <v>81</v>
      </c>
      <c r="U38" t="s" s="0">
        <v>81</v>
      </c>
      <c r="V38" t="s" s="0">
        <v>1188</v>
      </c>
      <c r="W38" t="s" s="0">
        <v>1189</v>
      </c>
      <c r="X38" t="s" s="0">
        <v>81</v>
      </c>
      <c r="Y38" t="s" s="0">
        <v>81</v>
      </c>
      <c r="Z38" t="s" s="0">
        <v>90</v>
      </c>
      <c r="AA38" t="s" s="0">
        <v>91</v>
      </c>
      <c r="AB38" t="s" s="0">
        <v>81</v>
      </c>
      <c r="AC38" t="s" s="0">
        <v>81</v>
      </c>
      <c r="AD38" t="s" s="0">
        <v>81</v>
      </c>
      <c r="AE38" t="s" s="0">
        <v>81</v>
      </c>
      <c r="AF38" t="s" s="0">
        <v>81</v>
      </c>
      <c r="AG38" t="s" s="0">
        <v>1190</v>
      </c>
      <c r="AH38" t="s" s="0">
        <v>1191</v>
      </c>
      <c r="AI38" t="s" s="0">
        <v>1192</v>
      </c>
      <c r="AJ38" t="s" s="0">
        <v>1193</v>
      </c>
      <c r="AK38" t="s" s="0">
        <v>81</v>
      </c>
      <c r="AL38" t="s" s="0">
        <v>1194</v>
      </c>
      <c r="AM38" t="s" s="0">
        <v>77</v>
      </c>
      <c r="AN38" t="s" s="0">
        <v>77</v>
      </c>
      <c r="AO38" t="s" s="0">
        <v>116</v>
      </c>
      <c r="AP38" t="s" s="0">
        <v>107</v>
      </c>
      <c r="AQ38" t="s" s="0">
        <v>1195</v>
      </c>
      <c r="AR38" t="s" s="0">
        <v>1196</v>
      </c>
      <c r="AS38" t="s" s="0">
        <v>1197</v>
      </c>
      <c r="AT38" t="s" s="0">
        <v>1198</v>
      </c>
      <c r="AU38" t="s" s="0">
        <v>81</v>
      </c>
      <c r="AV38" t="s" s="0">
        <v>81</v>
      </c>
      <c r="AW38" t="s" s="0">
        <v>1189</v>
      </c>
      <c r="AX38" t="s" s="0">
        <v>1199</v>
      </c>
      <c r="AY38" t="s" s="0">
        <v>142</v>
      </c>
      <c r="AZ38" t="s" s="0">
        <v>142</v>
      </c>
      <c r="BA38" t="s" s="0">
        <v>134</v>
      </c>
      <c r="BB38" t="s" s="0">
        <v>81</v>
      </c>
      <c r="BC38" t="s" s="0">
        <v>81</v>
      </c>
      <c r="BD38" t="s" s="0">
        <v>81</v>
      </c>
      <c r="BE38" t="s" s="0">
        <v>81</v>
      </c>
      <c r="BF38" t="s" s="0">
        <v>81</v>
      </c>
      <c r="BG38" t="s" s="0">
        <v>1200</v>
      </c>
      <c r="BH38" t="s" s="0">
        <v>1201</v>
      </c>
      <c r="BI38" t="s" s="0">
        <v>81</v>
      </c>
      <c r="BJ38" t="s" s="0">
        <v>1202</v>
      </c>
      <c r="BK38" t="s" s="73">
        <f>HYPERLINK("http://dx.doi.org/10.1109/ACCESS.2025.3582242","http://dx.doi.org/10.1109/ACCESS.2025.3582242")</f>
        <v>1203</v>
      </c>
      <c r="BL38" t="s" s="0">
        <v>81</v>
      </c>
      <c r="BM38" t="s" s="0">
        <v>81</v>
      </c>
      <c r="BN38" t="s" s="0">
        <v>245</v>
      </c>
      <c r="BO38" t="s" s="0">
        <v>1204</v>
      </c>
      <c r="BP38" t="s" s="0">
        <v>1205</v>
      </c>
      <c r="BQ38" t="s" s="0">
        <v>1206</v>
      </c>
      <c r="BR38" t="s" s="0">
        <v>81</v>
      </c>
      <c r="BS38" t="s" s="0">
        <v>1207</v>
      </c>
      <c r="BT38" t="s" s="74">
        <f>HYPERLINK("https://www.webofscience.com/wos/woscc/full-record/WOS:001518758800017","View Record in Web of Science")</f>
        <v>113</v>
      </c>
      <c r="BU38" t="s" s="0">
        <v>153</v>
      </c>
      <c r="BV38" t="s" s="0">
        <v>81</v>
      </c>
      <c r="BW38" t="s" s="0">
        <v>81</v>
      </c>
      <c r="BX38" t="s" s="0">
        <v>115</v>
      </c>
    </row>
    <row r="39">
      <c r="A39" t="s" s="0">
        <v>313</v>
      </c>
      <c r="B39" t="s" s="0">
        <v>77</v>
      </c>
      <c r="C39" t="s" s="0">
        <v>77</v>
      </c>
      <c r="D39" t="s" s="0">
        <v>77</v>
      </c>
      <c r="E39" t="s" s="0">
        <v>1208</v>
      </c>
      <c r="F39" t="s" s="0">
        <v>1209</v>
      </c>
      <c r="G39" t="s" s="0">
        <v>1210</v>
      </c>
      <c r="H39" t="s" s="0">
        <v>81</v>
      </c>
      <c r="I39" t="s" s="0">
        <v>82</v>
      </c>
      <c r="J39" t="s" s="0">
        <v>1211</v>
      </c>
      <c r="K39" t="s" s="0">
        <v>1212</v>
      </c>
      <c r="L39" t="s" s="0">
        <v>1213</v>
      </c>
      <c r="M39" t="s" s="0">
        <v>1214</v>
      </c>
      <c r="N39" t="s" s="0">
        <v>1215</v>
      </c>
      <c r="O39" t="s" s="0">
        <v>1216</v>
      </c>
      <c r="P39" t="s" s="0">
        <v>1217</v>
      </c>
      <c r="Q39" t="s" s="0">
        <v>87</v>
      </c>
      <c r="R39" t="s" s="0">
        <v>81</v>
      </c>
      <c r="S39" t="s" s="0">
        <v>81</v>
      </c>
      <c r="T39" t="s" s="0">
        <v>81</v>
      </c>
      <c r="U39" t="s" s="0">
        <v>81</v>
      </c>
      <c r="V39" t="s" s="0">
        <v>1218</v>
      </c>
      <c r="W39" t="s" s="0">
        <v>1219</v>
      </c>
      <c r="X39" t="s" s="0">
        <v>81</v>
      </c>
      <c r="Y39" t="s" s="0">
        <v>81</v>
      </c>
      <c r="Z39" t="s" s="0">
        <v>90</v>
      </c>
      <c r="AA39" t="s" s="0">
        <v>91</v>
      </c>
      <c r="AB39" t="s" s="0">
        <v>81</v>
      </c>
      <c r="AC39" t="s" s="0">
        <v>81</v>
      </c>
      <c r="AD39" t="s" s="0">
        <v>81</v>
      </c>
      <c r="AE39" t="s" s="0">
        <v>81</v>
      </c>
      <c r="AF39" t="s" s="0">
        <v>81</v>
      </c>
      <c r="AG39" t="s" s="0">
        <v>1220</v>
      </c>
      <c r="AH39" t="s" s="0">
        <v>1221</v>
      </c>
      <c r="AI39" t="s" s="0">
        <v>1222</v>
      </c>
      <c r="AJ39" t="s" s="0">
        <v>81</v>
      </c>
      <c r="AK39" t="s" s="0">
        <v>81</v>
      </c>
      <c r="AL39" t="s" s="0">
        <v>1223</v>
      </c>
      <c r="AM39" t="s" s="0">
        <v>468</v>
      </c>
      <c r="AN39" t="s" s="0">
        <v>1001</v>
      </c>
      <c r="AO39" t="s" s="0">
        <v>77</v>
      </c>
      <c r="AP39" t="s" s="0">
        <v>1224</v>
      </c>
      <c r="AQ39" t="s" s="0">
        <v>1225</v>
      </c>
      <c r="AR39" t="s" s="0">
        <v>1226</v>
      </c>
      <c r="AS39" t="s" s="0">
        <v>1227</v>
      </c>
      <c r="AT39" t="s" s="0">
        <v>1228</v>
      </c>
      <c r="AU39" t="s" s="0">
        <v>1229</v>
      </c>
      <c r="AV39" t="s" s="0">
        <v>81</v>
      </c>
      <c r="AW39" t="s" s="0">
        <v>1230</v>
      </c>
      <c r="AX39" t="s" s="0">
        <v>1231</v>
      </c>
      <c r="AY39" t="s" s="0">
        <v>1232</v>
      </c>
      <c r="AZ39" t="s" s="0">
        <v>920</v>
      </c>
      <c r="BA39" t="s" s="0">
        <v>323</v>
      </c>
      <c r="BB39" t="s" s="0">
        <v>144</v>
      </c>
      <c r="BC39" t="s" s="0">
        <v>81</v>
      </c>
      <c r="BD39" t="s" s="0">
        <v>81</v>
      </c>
      <c r="BE39" t="s" s="0">
        <v>81</v>
      </c>
      <c r="BF39" t="s" s="0">
        <v>81</v>
      </c>
      <c r="BG39" t="s" s="0">
        <v>81</v>
      </c>
      <c r="BH39" t="s" s="0">
        <v>81</v>
      </c>
      <c r="BI39" t="s" s="0">
        <v>1233</v>
      </c>
      <c r="BJ39" t="s" s="0">
        <v>1234</v>
      </c>
      <c r="BK39" t="s" s="75">
        <f>HYPERLINK("http://dx.doi.org/10.1007/s11704-021-0611-6","http://dx.doi.org/10.1007/s11704-021-0611-6")</f>
        <v>1235</v>
      </c>
      <c r="BL39" t="s" s="0">
        <v>81</v>
      </c>
      <c r="BM39" t="s" s="0">
        <v>81</v>
      </c>
      <c r="BN39" t="s" s="0">
        <v>173</v>
      </c>
      <c r="BO39" t="s" s="0">
        <v>1236</v>
      </c>
      <c r="BP39" t="s" s="0">
        <v>835</v>
      </c>
      <c r="BQ39" t="s" s="0">
        <v>1237</v>
      </c>
      <c r="BR39" t="s" s="0">
        <v>81</v>
      </c>
      <c r="BS39" t="s" s="0">
        <v>1238</v>
      </c>
      <c r="BT39" t="s" s="76">
        <f>HYPERLINK("https://www.webofscience.com/wos/woscc/full-record/WOS:000695131600004","View Record in Web of Science")</f>
        <v>113</v>
      </c>
      <c r="BU39" t="s" s="0">
        <v>81</v>
      </c>
      <c r="BV39" t="s" s="0">
        <v>81</v>
      </c>
      <c r="BW39" t="s" s="0">
        <v>81</v>
      </c>
      <c r="BX39" t="s" s="0">
        <v>115</v>
      </c>
    </row>
    <row r="40">
      <c r="A40" t="s" s="0">
        <v>210</v>
      </c>
      <c r="B40" t="s" s="0">
        <v>77</v>
      </c>
      <c r="C40" t="s" s="0">
        <v>116</v>
      </c>
      <c r="D40" t="s" s="0">
        <v>77</v>
      </c>
      <c r="E40" t="s" s="0">
        <v>1239</v>
      </c>
      <c r="F40" t="s" s="0">
        <v>1240</v>
      </c>
      <c r="G40" t="s" s="0">
        <v>1241</v>
      </c>
      <c r="H40" t="s" s="0">
        <v>81</v>
      </c>
      <c r="I40" t="s" s="0">
        <v>82</v>
      </c>
      <c r="J40" t="s" s="0">
        <v>1242</v>
      </c>
      <c r="K40" t="s" s="0">
        <v>1243</v>
      </c>
      <c r="L40" t="s" s="0">
        <v>1244</v>
      </c>
      <c r="M40" t="s" s="0">
        <v>1244</v>
      </c>
      <c r="N40" t="s" s="0">
        <v>1245</v>
      </c>
      <c r="O40" t="s" s="0">
        <v>1246</v>
      </c>
      <c r="P40" t="s" s="0">
        <v>1247</v>
      </c>
      <c r="Q40" t="s" s="0">
        <v>87</v>
      </c>
      <c r="R40" t="s" s="0">
        <v>81</v>
      </c>
      <c r="S40" t="s" s="0">
        <v>81</v>
      </c>
      <c r="T40" t="s" s="0">
        <v>81</v>
      </c>
      <c r="U40" t="s" s="0">
        <v>81</v>
      </c>
      <c r="V40" t="s" s="0">
        <v>1248</v>
      </c>
      <c r="W40" t="s" s="0">
        <v>1249</v>
      </c>
      <c r="X40" t="s" s="0">
        <v>81</v>
      </c>
      <c r="Y40" t="s" s="0">
        <v>81</v>
      </c>
      <c r="Z40" t="s" s="0">
        <v>90</v>
      </c>
      <c r="AA40" t="s" s="0">
        <v>91</v>
      </c>
      <c r="AB40" t="s" s="0">
        <v>81</v>
      </c>
      <c r="AC40" t="s" s="0">
        <v>81</v>
      </c>
      <c r="AD40" t="s" s="0">
        <v>81</v>
      </c>
      <c r="AE40" t="s" s="0">
        <v>81</v>
      </c>
      <c r="AF40" t="s" s="0">
        <v>81</v>
      </c>
      <c r="AG40" t="s" s="0">
        <v>1250</v>
      </c>
      <c r="AH40" t="s" s="0">
        <v>1251</v>
      </c>
      <c r="AI40" t="s" s="0">
        <v>1252</v>
      </c>
      <c r="AJ40" t="s" s="0">
        <v>81</v>
      </c>
      <c r="AK40" t="s" s="0">
        <v>81</v>
      </c>
      <c r="AL40" t="s" s="0">
        <v>1253</v>
      </c>
      <c r="AM40" t="s" s="0">
        <v>134</v>
      </c>
      <c r="AN40" t="s" s="0">
        <v>277</v>
      </c>
      <c r="AO40" t="s" s="0">
        <v>210</v>
      </c>
      <c r="AP40" t="s" s="0">
        <v>626</v>
      </c>
      <c r="AQ40" t="s" s="0">
        <v>1254</v>
      </c>
      <c r="AR40" t="s" s="0">
        <v>1255</v>
      </c>
      <c r="AS40" t="s" s="0">
        <v>1256</v>
      </c>
      <c r="AT40" t="s" s="0">
        <v>1257</v>
      </c>
      <c r="AU40" t="s" s="0">
        <v>1258</v>
      </c>
      <c r="AV40" t="s" s="0">
        <v>81</v>
      </c>
      <c r="AW40" t="s" s="0">
        <v>1259</v>
      </c>
      <c r="AX40" t="s" s="0">
        <v>1260</v>
      </c>
      <c r="AY40" t="s" s="0">
        <v>1261</v>
      </c>
      <c r="AZ40" t="s" s="0">
        <v>285</v>
      </c>
      <c r="BA40" t="s" s="0">
        <v>1262</v>
      </c>
      <c r="BB40" t="s" s="0">
        <v>103</v>
      </c>
      <c r="BC40" t="s" s="0">
        <v>81</v>
      </c>
      <c r="BD40" t="s" s="0">
        <v>81</v>
      </c>
      <c r="BE40" t="s" s="0">
        <v>81</v>
      </c>
      <c r="BF40" t="s" s="0">
        <v>81</v>
      </c>
      <c r="BG40" t="s" s="0">
        <v>1263</v>
      </c>
      <c r="BH40" t="s" s="0">
        <v>1264</v>
      </c>
      <c r="BI40" t="s" s="0">
        <v>81</v>
      </c>
      <c r="BJ40" t="s" s="0">
        <v>1265</v>
      </c>
      <c r="BK40" t="s" s="77">
        <f>HYPERLINK("http://dx.doi.org/10.1097/JS9.0000000000001241","http://dx.doi.org/10.1097/JS9.0000000000001241")</f>
        <v>1266</v>
      </c>
      <c r="BL40" t="s" s="0">
        <v>81</v>
      </c>
      <c r="BM40" t="s" s="0">
        <v>81</v>
      </c>
      <c r="BN40" t="s" s="0">
        <v>187</v>
      </c>
      <c r="BO40" t="s" s="0">
        <v>383</v>
      </c>
      <c r="BP40" t="s" s="0">
        <v>383</v>
      </c>
      <c r="BQ40" t="s" s="0">
        <v>1267</v>
      </c>
      <c r="BR40" t="s" s="0">
        <v>1268</v>
      </c>
      <c r="BS40" t="s" s="0">
        <v>1269</v>
      </c>
      <c r="BT40" t="s" s="78">
        <f>HYPERLINK("https://www.webofscience.com/wos/woscc/full-record/WOS:001248212000009","View Record in Web of Science")</f>
        <v>113</v>
      </c>
      <c r="BU40" t="s" s="0">
        <v>719</v>
      </c>
      <c r="BV40" t="s" s="0">
        <v>81</v>
      </c>
      <c r="BW40" t="s" s="0">
        <v>81</v>
      </c>
      <c r="BX40" t="s" s="0">
        <v>115</v>
      </c>
    </row>
    <row r="41">
      <c r="A41" t="s" s="0">
        <v>77</v>
      </c>
      <c r="B41" t="s" s="0">
        <v>77</v>
      </c>
      <c r="C41" t="s" s="0">
        <v>77</v>
      </c>
      <c r="D41" t="s" s="0">
        <v>77</v>
      </c>
      <c r="E41" t="s" s="0">
        <v>1270</v>
      </c>
      <c r="F41" t="s" s="0">
        <v>1271</v>
      </c>
      <c r="G41" t="s" s="0">
        <v>1272</v>
      </c>
      <c r="H41" t="s" s="0">
        <v>81</v>
      </c>
      <c r="I41" t="s" s="0">
        <v>82</v>
      </c>
      <c r="J41" t="s" s="0">
        <v>1273</v>
      </c>
      <c r="K41" t="s" s="0">
        <v>1274</v>
      </c>
      <c r="L41" t="s" s="0">
        <v>1275</v>
      </c>
      <c r="M41" t="s" s="0">
        <v>1276</v>
      </c>
      <c r="N41" t="s" s="0">
        <v>1277</v>
      </c>
      <c r="O41" t="s" s="0">
        <v>1278</v>
      </c>
      <c r="P41" t="s" s="0">
        <v>1279</v>
      </c>
      <c r="Q41" t="s" s="0">
        <v>87</v>
      </c>
      <c r="R41" t="s" s="0">
        <v>81</v>
      </c>
      <c r="S41" t="s" s="0">
        <v>81</v>
      </c>
      <c r="T41" t="s" s="0">
        <v>81</v>
      </c>
      <c r="U41" t="s" s="0">
        <v>81</v>
      </c>
      <c r="V41" t="s" s="0">
        <v>1280</v>
      </c>
      <c r="W41" t="s" s="0">
        <v>1281</v>
      </c>
      <c r="X41" t="s" s="0">
        <v>81</v>
      </c>
      <c r="Y41" t="s" s="0">
        <v>81</v>
      </c>
      <c r="Z41" t="s" s="0">
        <v>90</v>
      </c>
      <c r="AA41" t="s" s="0">
        <v>91</v>
      </c>
      <c r="AB41" t="s" s="0">
        <v>81</v>
      </c>
      <c r="AC41" t="s" s="0">
        <v>81</v>
      </c>
      <c r="AD41" t="s" s="0">
        <v>81</v>
      </c>
      <c r="AE41" t="s" s="0">
        <v>81</v>
      </c>
      <c r="AF41" t="s" s="0">
        <v>81</v>
      </c>
      <c r="AG41" t="s" s="0">
        <v>1282</v>
      </c>
      <c r="AH41" t="s" s="0">
        <v>1283</v>
      </c>
      <c r="AI41" t="s" s="0">
        <v>81</v>
      </c>
      <c r="AJ41" t="s" s="0">
        <v>81</v>
      </c>
      <c r="AK41" t="s" s="0">
        <v>81</v>
      </c>
      <c r="AL41" t="s" s="0">
        <v>1284</v>
      </c>
      <c r="AM41" t="s" s="0">
        <v>77</v>
      </c>
      <c r="AN41" t="s" s="0">
        <v>77</v>
      </c>
      <c r="AO41" t="s" s="0">
        <v>313</v>
      </c>
      <c r="AP41" t="s" s="0">
        <v>116</v>
      </c>
      <c r="AQ41" t="s" s="0">
        <v>557</v>
      </c>
      <c r="AR41" t="s" s="0">
        <v>558</v>
      </c>
      <c r="AS41" t="s" s="0">
        <v>559</v>
      </c>
      <c r="AT41" t="s" s="0">
        <v>1285</v>
      </c>
      <c r="AU41" t="s" s="0">
        <v>81</v>
      </c>
      <c r="AV41" t="s" s="0">
        <v>81</v>
      </c>
      <c r="AW41" t="s" s="0">
        <v>1286</v>
      </c>
      <c r="AX41" t="s" s="0">
        <v>1287</v>
      </c>
      <c r="AY41" t="s" s="0">
        <v>1288</v>
      </c>
      <c r="AZ41" t="s" s="0">
        <v>101</v>
      </c>
      <c r="BA41" t="s" s="0">
        <v>709</v>
      </c>
      <c r="BB41" t="s" s="0">
        <v>144</v>
      </c>
      <c r="BC41" t="s" s="0">
        <v>81</v>
      </c>
      <c r="BD41" t="s" s="0">
        <v>81</v>
      </c>
      <c r="BE41" t="s" s="0">
        <v>81</v>
      </c>
      <c r="BF41" t="s" s="0">
        <v>81</v>
      </c>
      <c r="BG41" t="s" s="0">
        <v>81</v>
      </c>
      <c r="BH41" t="s" s="0">
        <v>81</v>
      </c>
      <c r="BI41" t="s" s="0">
        <v>1289</v>
      </c>
      <c r="BJ41" t="s" s="0">
        <v>1290</v>
      </c>
      <c r="BK41" t="s" s="79">
        <f>HYPERLINK("http://dx.doi.org/10.1002/acm2.70464","http://dx.doi.org/10.1002/acm2.70464")</f>
        <v>1291</v>
      </c>
      <c r="BL41" t="s" s="0">
        <v>81</v>
      </c>
      <c r="BM41" t="s" s="0">
        <v>81</v>
      </c>
      <c r="BN41" t="s" s="0">
        <v>134</v>
      </c>
      <c r="BO41" t="s" s="0">
        <v>292</v>
      </c>
      <c r="BP41" t="s" s="0">
        <v>292</v>
      </c>
      <c r="BQ41" t="s" s="0">
        <v>1292</v>
      </c>
      <c r="BR41" t="s" s="0">
        <v>1293</v>
      </c>
      <c r="BS41" t="s" s="0">
        <v>1294</v>
      </c>
      <c r="BT41" t="s" s="80">
        <f>HYPERLINK("https://www.webofscience.com/wos/woscc/full-record/WOS:001664131700001","View Record in Web of Science")</f>
        <v>113</v>
      </c>
      <c r="BU41" t="s" s="0">
        <v>153</v>
      </c>
      <c r="BV41" t="s" s="0">
        <v>81</v>
      </c>
      <c r="BW41" t="s" s="0">
        <v>81</v>
      </c>
      <c r="BX41" t="s" s="0">
        <v>115</v>
      </c>
    </row>
    <row r="42">
      <c r="A42" t="s" s="0">
        <v>77</v>
      </c>
      <c r="B42" t="s" s="0">
        <v>77</v>
      </c>
      <c r="C42" t="s" s="0">
        <v>77</v>
      </c>
      <c r="D42" t="s" s="0">
        <v>77</v>
      </c>
      <c r="E42" t="s" s="0">
        <v>1295</v>
      </c>
      <c r="F42" t="s" s="0">
        <v>1296</v>
      </c>
      <c r="G42" t="s" s="0">
        <v>1297</v>
      </c>
      <c r="H42" t="s" s="0">
        <v>81</v>
      </c>
      <c r="I42" t="s" s="0">
        <v>543</v>
      </c>
      <c r="J42" t="s" s="0">
        <v>1298</v>
      </c>
      <c r="K42" t="s" s="0">
        <v>1299</v>
      </c>
      <c r="L42" t="s" s="0">
        <v>1300</v>
      </c>
      <c r="M42" t="s" s="0">
        <v>267</v>
      </c>
      <c r="N42" t="s" s="0">
        <v>1301</v>
      </c>
      <c r="O42" t="s" s="0">
        <v>1302</v>
      </c>
      <c r="P42" t="s" s="0">
        <v>1303</v>
      </c>
      <c r="Q42" t="s" s="0">
        <v>87</v>
      </c>
      <c r="R42" t="s" s="0">
        <v>81</v>
      </c>
      <c r="S42" t="s" s="0">
        <v>81</v>
      </c>
      <c r="T42" t="s" s="0">
        <v>81</v>
      </c>
      <c r="U42" t="s" s="0">
        <v>81</v>
      </c>
      <c r="V42" t="s" s="0">
        <v>1304</v>
      </c>
      <c r="W42" t="s" s="0">
        <v>1305</v>
      </c>
      <c r="X42" t="s" s="0">
        <v>81</v>
      </c>
      <c r="Y42" t="s" s="0">
        <v>81</v>
      </c>
      <c r="Z42" t="s" s="0">
        <v>90</v>
      </c>
      <c r="AA42" t="s" s="0">
        <v>91</v>
      </c>
      <c r="AB42" t="s" s="0">
        <v>81</v>
      </c>
      <c r="AC42" t="s" s="0">
        <v>81</v>
      </c>
      <c r="AD42" t="s" s="0">
        <v>81</v>
      </c>
      <c r="AE42" t="s" s="0">
        <v>81</v>
      </c>
      <c r="AF42" t="s" s="0">
        <v>81</v>
      </c>
      <c r="AG42" t="s" s="0">
        <v>1306</v>
      </c>
      <c r="AH42" t="s" s="0">
        <v>81</v>
      </c>
      <c r="AI42" t="s" s="0">
        <v>1307</v>
      </c>
      <c r="AJ42" t="s" s="0">
        <v>81</v>
      </c>
      <c r="AK42" t="s" s="0">
        <v>81</v>
      </c>
      <c r="AL42" t="s" s="0">
        <v>433</v>
      </c>
      <c r="AM42" t="s" s="0">
        <v>77</v>
      </c>
      <c r="AN42" t="s" s="0">
        <v>77</v>
      </c>
      <c r="AO42" t="s" s="0">
        <v>77</v>
      </c>
      <c r="AP42" t="s" s="0">
        <v>77</v>
      </c>
      <c r="AQ42" t="s" s="0">
        <v>314</v>
      </c>
      <c r="AR42" t="s" s="0">
        <v>315</v>
      </c>
      <c r="AS42" t="s" s="0">
        <v>316</v>
      </c>
      <c r="AT42" t="s" s="0">
        <v>81</v>
      </c>
      <c r="AU42" t="s" s="0">
        <v>1308</v>
      </c>
      <c r="AV42" t="s" s="0">
        <v>81</v>
      </c>
      <c r="AW42" t="s" s="0">
        <v>1305</v>
      </c>
      <c r="AX42" t="s" s="0">
        <v>1309</v>
      </c>
      <c r="AY42" t="s" s="0">
        <v>1310</v>
      </c>
      <c r="AZ42" t="s" s="0">
        <v>101</v>
      </c>
      <c r="BA42" t="s" s="0">
        <v>245</v>
      </c>
      <c r="BB42" t="s" s="0">
        <v>219</v>
      </c>
      <c r="BC42" t="s" s="0">
        <v>81</v>
      </c>
      <c r="BD42" t="s" s="0">
        <v>81</v>
      </c>
      <c r="BE42" t="s" s="0">
        <v>81</v>
      </c>
      <c r="BF42" t="s" s="0">
        <v>81</v>
      </c>
      <c r="BG42" t="s" s="0">
        <v>81</v>
      </c>
      <c r="BH42" t="s" s="0">
        <v>81</v>
      </c>
      <c r="BI42" t="s" s="0">
        <v>1311</v>
      </c>
      <c r="BJ42" t="s" s="0">
        <v>1312</v>
      </c>
      <c r="BK42" t="s" s="81">
        <f>HYPERLINK("http://dx.doi.org/10.3390/technologies14070441","http://dx.doi.org/10.3390/technologies14070441")</f>
        <v>1313</v>
      </c>
      <c r="BL42" t="s" s="0">
        <v>81</v>
      </c>
      <c r="BM42" t="s" s="0">
        <v>81</v>
      </c>
      <c r="BN42" t="s" s="0">
        <v>684</v>
      </c>
      <c r="BO42" t="s" s="0">
        <v>1314</v>
      </c>
      <c r="BP42" t="s" s="0">
        <v>865</v>
      </c>
      <c r="BQ42" t="s" s="0">
        <v>1315</v>
      </c>
      <c r="BR42" t="s" s="0">
        <v>81</v>
      </c>
      <c r="BS42" t="s" s="0">
        <v>1316</v>
      </c>
      <c r="BT42" t="s" s="82">
        <f>HYPERLINK("https://www.webofscience.com/wos/woscc/full-record/WOS:001831722800001","View Record in Web of Science")</f>
        <v>113</v>
      </c>
      <c r="BU42" t="s" s="0">
        <v>1317</v>
      </c>
      <c r="BV42" t="s" s="0">
        <v>81</v>
      </c>
      <c r="BW42" t="s" s="0">
        <v>81</v>
      </c>
      <c r="BX42" t="s" s="0">
        <v>115</v>
      </c>
    </row>
    <row r="43">
      <c r="A43" t="s" s="0">
        <v>77</v>
      </c>
      <c r="B43" t="s" s="0">
        <v>77</v>
      </c>
      <c r="C43" t="s" s="0">
        <v>144</v>
      </c>
      <c r="D43" t="s" s="0">
        <v>77</v>
      </c>
      <c r="E43" t="s" s="0">
        <v>1318</v>
      </c>
      <c r="F43" t="s" s="0">
        <v>1319</v>
      </c>
      <c r="G43" t="s" s="0">
        <v>1320</v>
      </c>
      <c r="H43" t="s" s="0">
        <v>81</v>
      </c>
      <c r="I43" t="s" s="0">
        <v>543</v>
      </c>
      <c r="J43" t="s" s="0">
        <v>1321</v>
      </c>
      <c r="K43" t="s" s="0">
        <v>1322</v>
      </c>
      <c r="L43" t="s" s="0">
        <v>1323</v>
      </c>
      <c r="M43" t="s" s="0">
        <v>1324</v>
      </c>
      <c r="N43" t="s" s="0">
        <v>1325</v>
      </c>
      <c r="O43" t="s" s="0">
        <v>1326</v>
      </c>
      <c r="P43" t="s" s="0">
        <v>1327</v>
      </c>
      <c r="Q43" t="s" s="0">
        <v>87</v>
      </c>
      <c r="R43" t="s" s="0">
        <v>81</v>
      </c>
      <c r="S43" t="s" s="0">
        <v>81</v>
      </c>
      <c r="T43" t="s" s="0">
        <v>81</v>
      </c>
      <c r="U43" t="s" s="0">
        <v>81</v>
      </c>
      <c r="V43" t="s" s="0">
        <v>1328</v>
      </c>
      <c r="W43" t="s" s="0">
        <v>552</v>
      </c>
      <c r="X43" t="s" s="0">
        <v>81</v>
      </c>
      <c r="Y43" t="s" s="0">
        <v>81</v>
      </c>
      <c r="Z43" t="s" s="0">
        <v>90</v>
      </c>
      <c r="AA43" t="s" s="0">
        <v>91</v>
      </c>
      <c r="AB43" t="s" s="0">
        <v>81</v>
      </c>
      <c r="AC43" t="s" s="0">
        <v>81</v>
      </c>
      <c r="AD43" t="s" s="0">
        <v>81</v>
      </c>
      <c r="AE43" t="s" s="0">
        <v>81</v>
      </c>
      <c r="AF43" t="s" s="0">
        <v>81</v>
      </c>
      <c r="AG43" t="s" s="0">
        <v>1329</v>
      </c>
      <c r="AH43" t="s" s="0">
        <v>1330</v>
      </c>
      <c r="AI43" t="s" s="0">
        <v>1331</v>
      </c>
      <c r="AJ43" t="s" s="0">
        <v>1332</v>
      </c>
      <c r="AK43" t="s" s="0">
        <v>81</v>
      </c>
      <c r="AL43" t="s" s="0">
        <v>433</v>
      </c>
      <c r="AM43" t="s" s="0">
        <v>210</v>
      </c>
      <c r="AN43" t="s" s="0">
        <v>210</v>
      </c>
      <c r="AO43" t="s" s="0">
        <v>144</v>
      </c>
      <c r="AP43" t="s" s="0">
        <v>313</v>
      </c>
      <c r="AQ43" t="s" s="0">
        <v>557</v>
      </c>
      <c r="AR43" t="s" s="0">
        <v>558</v>
      </c>
      <c r="AS43" t="s" s="0">
        <v>559</v>
      </c>
      <c r="AT43" t="s" s="0">
        <v>560</v>
      </c>
      <c r="AU43" t="s" s="0">
        <v>561</v>
      </c>
      <c r="AV43" t="s" s="0">
        <v>81</v>
      </c>
      <c r="AW43" t="s" s="0">
        <v>562</v>
      </c>
      <c r="AX43" t="s" s="0">
        <v>563</v>
      </c>
      <c r="AY43" t="s" s="0">
        <v>566</v>
      </c>
      <c r="AZ43" t="s" s="0">
        <v>101</v>
      </c>
      <c r="BA43" t="s" s="0">
        <v>219</v>
      </c>
      <c r="BB43" t="s" s="0">
        <v>144</v>
      </c>
      <c r="BC43" t="s" s="0">
        <v>81</v>
      </c>
      <c r="BD43" t="s" s="0">
        <v>81</v>
      </c>
      <c r="BE43" t="s" s="0">
        <v>81</v>
      </c>
      <c r="BF43" t="s" s="0">
        <v>81</v>
      </c>
      <c r="BG43" t="s" s="0">
        <v>81</v>
      </c>
      <c r="BH43" t="s" s="0">
        <v>81</v>
      </c>
      <c r="BI43" t="s" s="0">
        <v>1333</v>
      </c>
      <c r="BJ43" t="s" s="0">
        <v>1334</v>
      </c>
      <c r="BK43" t="s" s="83">
        <f>HYPERLINK("http://dx.doi.org/10.1002/VIW.20250157","http://dx.doi.org/10.1002/VIW.20250157")</f>
        <v>1335</v>
      </c>
      <c r="BL43" t="s" s="0">
        <v>81</v>
      </c>
      <c r="BM43" t="s" s="0">
        <v>253</v>
      </c>
      <c r="BN43" t="s" s="0">
        <v>143</v>
      </c>
      <c r="BO43" t="s" s="0">
        <v>567</v>
      </c>
      <c r="BP43" t="s" s="0">
        <v>568</v>
      </c>
      <c r="BQ43" t="s" s="0">
        <v>1336</v>
      </c>
      <c r="BR43" t="s" s="0">
        <v>81</v>
      </c>
      <c r="BS43" t="s" s="0">
        <v>1337</v>
      </c>
      <c r="BT43" t="s" s="84">
        <f>HYPERLINK("https://www.webofscience.com/wos/woscc/full-record/WOS:001625246800001","View Record in Web of Science")</f>
        <v>113</v>
      </c>
      <c r="BU43" t="s" s="0">
        <v>153</v>
      </c>
      <c r="BV43" t="s" s="0">
        <v>81</v>
      </c>
      <c r="BW43" t="s" s="0">
        <v>81</v>
      </c>
      <c r="BX43" t="s" s="0">
        <v>115</v>
      </c>
    </row>
    <row r="44">
      <c r="A44" t="s" s="0">
        <v>313</v>
      </c>
      <c r="B44" t="s" s="0">
        <v>77</v>
      </c>
      <c r="C44" t="s" s="0">
        <v>173</v>
      </c>
      <c r="D44" t="s" s="0">
        <v>77</v>
      </c>
      <c r="E44" t="s" s="0">
        <v>1338</v>
      </c>
      <c r="F44" t="s" s="0">
        <v>1339</v>
      </c>
      <c r="G44" t="s" s="0">
        <v>1340</v>
      </c>
      <c r="H44" t="s" s="0">
        <v>81</v>
      </c>
      <c r="I44" t="s" s="0">
        <v>82</v>
      </c>
      <c r="J44" t="s" s="0">
        <v>1341</v>
      </c>
      <c r="K44" t="s" s="0">
        <v>1342</v>
      </c>
      <c r="L44" t="s" s="0">
        <v>1343</v>
      </c>
      <c r="M44" t="s" s="0">
        <v>1344</v>
      </c>
      <c r="N44" t="s" s="0">
        <v>1345</v>
      </c>
      <c r="O44" t="s" s="0">
        <v>1346</v>
      </c>
      <c r="P44" t="s" s="0">
        <v>1347</v>
      </c>
      <c r="Q44" t="s" s="0">
        <v>87</v>
      </c>
      <c r="R44" t="s" s="0">
        <v>81</v>
      </c>
      <c r="S44" t="s" s="0">
        <v>81</v>
      </c>
      <c r="T44" t="s" s="0">
        <v>81</v>
      </c>
      <c r="U44" t="s" s="0">
        <v>81</v>
      </c>
      <c r="V44" t="s" s="0">
        <v>1348</v>
      </c>
      <c r="W44" t="s" s="0">
        <v>1349</v>
      </c>
      <c r="X44" t="s" s="0">
        <v>81</v>
      </c>
      <c r="Y44" t="s" s="0">
        <v>81</v>
      </c>
      <c r="Z44" t="s" s="0">
        <v>90</v>
      </c>
      <c r="AA44" t="s" s="0">
        <v>91</v>
      </c>
      <c r="AB44" t="s" s="0">
        <v>81</v>
      </c>
      <c r="AC44" t="s" s="0">
        <v>81</v>
      </c>
      <c r="AD44" t="s" s="0">
        <v>81</v>
      </c>
      <c r="AE44" t="s" s="0">
        <v>81</v>
      </c>
      <c r="AF44" t="s" s="0">
        <v>81</v>
      </c>
      <c r="AG44" t="s" s="0">
        <v>1350</v>
      </c>
      <c r="AH44" t="s" s="0">
        <v>1351</v>
      </c>
      <c r="AI44" t="s" s="0">
        <v>1352</v>
      </c>
      <c r="AJ44" t="s" s="0">
        <v>1353</v>
      </c>
      <c r="AK44" t="s" s="0">
        <v>81</v>
      </c>
      <c r="AL44" t="s" s="0">
        <v>854</v>
      </c>
      <c r="AM44" t="s" s="0">
        <v>187</v>
      </c>
      <c r="AN44" t="s" s="0">
        <v>245</v>
      </c>
      <c r="AO44" t="s" s="0">
        <v>219</v>
      </c>
      <c r="AP44" t="s" s="0">
        <v>1354</v>
      </c>
      <c r="AQ44" t="s" s="0">
        <v>1355</v>
      </c>
      <c r="AR44" t="s" s="0">
        <v>1356</v>
      </c>
      <c r="AS44" t="s" s="0">
        <v>1357</v>
      </c>
      <c r="AT44" t="s" s="0">
        <v>1358</v>
      </c>
      <c r="AU44" t="s" s="0">
        <v>1359</v>
      </c>
      <c r="AV44" t="s" s="0">
        <v>81</v>
      </c>
      <c r="AW44" t="s" s="0">
        <v>1360</v>
      </c>
      <c r="AX44" t="s" s="0">
        <v>1361</v>
      </c>
      <c r="AY44" t="s" s="0">
        <v>1362</v>
      </c>
      <c r="AZ44" t="s" s="0">
        <v>285</v>
      </c>
      <c r="BA44" t="s" s="0">
        <v>1363</v>
      </c>
      <c r="BB44" t="s" s="0">
        <v>210</v>
      </c>
      <c r="BC44" t="s" s="0">
        <v>81</v>
      </c>
      <c r="BD44" t="s" s="0">
        <v>81</v>
      </c>
      <c r="BE44" t="s" s="0">
        <v>81</v>
      </c>
      <c r="BF44" t="s" s="0">
        <v>81</v>
      </c>
      <c r="BG44" t="s" s="0">
        <v>1364</v>
      </c>
      <c r="BH44" t="s" s="0">
        <v>1365</v>
      </c>
      <c r="BI44" t="s" s="0">
        <v>81</v>
      </c>
      <c r="BJ44" t="s" s="0">
        <v>1366</v>
      </c>
      <c r="BK44" t="s" s="85">
        <f>HYPERLINK("http://dx.doi.org/10.1021/acs.est.3c08016","http://dx.doi.org/10.1021/acs.est.3c08016")</f>
        <v>1367</v>
      </c>
      <c r="BL44" t="s" s="0">
        <v>81</v>
      </c>
      <c r="BM44" t="s" s="0">
        <v>81</v>
      </c>
      <c r="BN44" t="s" s="0">
        <v>107</v>
      </c>
      <c r="BO44" t="s" s="0">
        <v>1368</v>
      </c>
      <c r="BP44" t="s" s="0">
        <v>1369</v>
      </c>
      <c r="BQ44" t="s" s="0">
        <v>1370</v>
      </c>
      <c r="BR44" t="s" s="0">
        <v>1371</v>
      </c>
      <c r="BS44" t="s" s="0">
        <v>1372</v>
      </c>
      <c r="BT44" t="s" s="86">
        <f>HYPERLINK("https://www.webofscience.com/wos/woscc/full-record/WOS:001154822700001","View Record in Web of Science")</f>
        <v>113</v>
      </c>
      <c r="BU44" t="s" s="0">
        <v>81</v>
      </c>
      <c r="BV44" t="s" s="0">
        <v>81</v>
      </c>
      <c r="BW44" t="s" s="0">
        <v>81</v>
      </c>
      <c r="BX44" t="s" s="0">
        <v>115</v>
      </c>
    </row>
    <row r="45">
      <c r="A45" t="s" s="0">
        <v>77</v>
      </c>
      <c r="B45" t="s" s="0">
        <v>77</v>
      </c>
      <c r="C45" t="s" s="0">
        <v>77</v>
      </c>
      <c r="D45" t="s" s="0">
        <v>77</v>
      </c>
      <c r="E45" t="s" s="0">
        <v>1373</v>
      </c>
      <c r="F45" t="s" s="0">
        <v>1374</v>
      </c>
      <c r="G45" t="s" s="0">
        <v>1375</v>
      </c>
      <c r="H45" t="s" s="0">
        <v>81</v>
      </c>
      <c r="I45" t="s" s="0">
        <v>82</v>
      </c>
      <c r="J45" t="s" s="0">
        <v>1376</v>
      </c>
      <c r="K45" t="s" s="0">
        <v>1377</v>
      </c>
      <c r="L45" t="s" s="0">
        <v>1378</v>
      </c>
      <c r="M45" t="s" s="0">
        <v>1379</v>
      </c>
      <c r="N45" t="s" s="0">
        <v>1380</v>
      </c>
      <c r="O45" t="s" s="0">
        <v>1381</v>
      </c>
      <c r="P45" t="s" s="0">
        <v>1382</v>
      </c>
      <c r="Q45" t="s" s="0">
        <v>87</v>
      </c>
      <c r="R45" t="s" s="0">
        <v>81</v>
      </c>
      <c r="S45" t="s" s="0">
        <v>81</v>
      </c>
      <c r="T45" t="s" s="0">
        <v>81</v>
      </c>
      <c r="U45" t="s" s="0">
        <v>81</v>
      </c>
      <c r="V45" t="s" s="0">
        <v>1383</v>
      </c>
      <c r="W45" t="s" s="0">
        <v>1384</v>
      </c>
      <c r="X45" t="s" s="0">
        <v>81</v>
      </c>
      <c r="Y45" t="s" s="0">
        <v>81</v>
      </c>
      <c r="Z45" t="s" s="0">
        <v>90</v>
      </c>
      <c r="AA45" t="s" s="0">
        <v>91</v>
      </c>
      <c r="AB45" t="s" s="0">
        <v>81</v>
      </c>
      <c r="AC45" t="s" s="0">
        <v>81</v>
      </c>
      <c r="AD45" t="s" s="0">
        <v>81</v>
      </c>
      <c r="AE45" t="s" s="0">
        <v>81</v>
      </c>
      <c r="AF45" t="s" s="0">
        <v>81</v>
      </c>
      <c r="AG45" t="s" s="0">
        <v>1385</v>
      </c>
      <c r="AH45" t="s" s="0">
        <v>1386</v>
      </c>
      <c r="AI45" t="s" s="0">
        <v>1387</v>
      </c>
      <c r="AJ45" t="s" s="0">
        <v>1388</v>
      </c>
      <c r="AK45" t="s" s="0">
        <v>81</v>
      </c>
      <c r="AL45" t="s" s="0">
        <v>1389</v>
      </c>
      <c r="AM45" t="s" s="0">
        <v>144</v>
      </c>
      <c r="AN45" t="s" s="0">
        <v>313</v>
      </c>
      <c r="AO45" t="s" s="0">
        <v>107</v>
      </c>
      <c r="AP45" t="s" s="0">
        <v>684</v>
      </c>
      <c r="AQ45" t="s" s="0">
        <v>94</v>
      </c>
      <c r="AR45" t="s" s="0">
        <v>95</v>
      </c>
      <c r="AS45" t="s" s="0">
        <v>96</v>
      </c>
      <c r="AT45" t="s" s="0">
        <v>1390</v>
      </c>
      <c r="AU45" t="s" s="0">
        <v>1391</v>
      </c>
      <c r="AV45" t="s" s="0">
        <v>81</v>
      </c>
      <c r="AW45" t="s" s="0">
        <v>1392</v>
      </c>
      <c r="AX45" t="s" s="0">
        <v>1393</v>
      </c>
      <c r="AY45" t="s" s="0">
        <v>253</v>
      </c>
      <c r="AZ45" t="s" s="0">
        <v>142</v>
      </c>
      <c r="BA45" t="s" s="0">
        <v>1253</v>
      </c>
      <c r="BB45" t="s" s="0">
        <v>103</v>
      </c>
      <c r="BC45" t="s" s="0">
        <v>81</v>
      </c>
      <c r="BD45" t="s" s="0">
        <v>81</v>
      </c>
      <c r="BE45" t="s" s="0">
        <v>81</v>
      </c>
      <c r="BF45" t="s" s="0">
        <v>81</v>
      </c>
      <c r="BG45" t="s" s="0">
        <v>81</v>
      </c>
      <c r="BH45" t="s" s="0">
        <v>81</v>
      </c>
      <c r="BI45" t="s" s="0">
        <v>1394</v>
      </c>
      <c r="BJ45" t="s" s="0">
        <v>1395</v>
      </c>
      <c r="BK45" t="s" s="87">
        <f>HYPERLINK("http://dx.doi.org/10.1093/bib/bbaf590","http://dx.doi.org/10.1093/bib/bbaf590")</f>
        <v>1396</v>
      </c>
      <c r="BL45" t="s" s="0">
        <v>81</v>
      </c>
      <c r="BM45" t="s" s="0">
        <v>81</v>
      </c>
      <c r="BN45" t="s" s="0">
        <v>133</v>
      </c>
      <c r="BO45" t="s" s="0">
        <v>1397</v>
      </c>
      <c r="BP45" t="s" s="0">
        <v>1398</v>
      </c>
      <c r="BQ45" t="s" s="0">
        <v>1399</v>
      </c>
      <c r="BR45" t="s" s="0">
        <v>1400</v>
      </c>
      <c r="BS45" t="s" s="0">
        <v>1401</v>
      </c>
      <c r="BT45" t="s" s="88">
        <f>HYPERLINK("https://www.webofscience.com/wos/woscc/full-record/WOS:001612959200001","View Record in Web of Science")</f>
        <v>113</v>
      </c>
      <c r="BU45" t="s" s="0">
        <v>153</v>
      </c>
      <c r="BV45" t="s" s="0">
        <v>81</v>
      </c>
      <c r="BW45" t="s" s="0">
        <v>81</v>
      </c>
      <c r="BX45" t="s" s="0">
        <v>115</v>
      </c>
    </row>
    <row r="46">
      <c r="A46" t="s" s="0">
        <v>77</v>
      </c>
      <c r="B46" t="s" s="0">
        <v>77</v>
      </c>
      <c r="C46" t="s" s="0">
        <v>77</v>
      </c>
      <c r="D46" t="s" s="0">
        <v>77</v>
      </c>
      <c r="E46" t="s" s="0">
        <v>1402</v>
      </c>
      <c r="F46" t="s" s="0">
        <v>1403</v>
      </c>
      <c r="G46" t="s" s="0">
        <v>1404</v>
      </c>
      <c r="H46" t="s" s="0">
        <v>81</v>
      </c>
      <c r="I46" t="s" s="0">
        <v>82</v>
      </c>
      <c r="J46" t="s" s="0">
        <v>1405</v>
      </c>
      <c r="K46" t="s" s="0">
        <v>1406</v>
      </c>
      <c r="L46" t="s" s="0">
        <v>1407</v>
      </c>
      <c r="M46" t="s" s="0">
        <v>1408</v>
      </c>
      <c r="N46" t="s" s="0">
        <v>1409</v>
      </c>
      <c r="O46" t="s" s="0">
        <v>1410</v>
      </c>
      <c r="P46" t="s" s="0">
        <v>1411</v>
      </c>
      <c r="Q46" t="s" s="0">
        <v>87</v>
      </c>
      <c r="R46" t="s" s="0">
        <v>81</v>
      </c>
      <c r="S46" t="s" s="0">
        <v>81</v>
      </c>
      <c r="T46" t="s" s="0">
        <v>81</v>
      </c>
      <c r="U46" t="s" s="0">
        <v>81</v>
      </c>
      <c r="V46" t="s" s="0">
        <v>1412</v>
      </c>
      <c r="W46" t="s" s="0">
        <v>672</v>
      </c>
      <c r="X46" t="s" s="0">
        <v>81</v>
      </c>
      <c r="Y46" t="s" s="0">
        <v>81</v>
      </c>
      <c r="Z46" t="s" s="0">
        <v>90</v>
      </c>
      <c r="AA46" t="s" s="0">
        <v>91</v>
      </c>
      <c r="AB46" t="s" s="0">
        <v>81</v>
      </c>
      <c r="AC46" t="s" s="0">
        <v>81</v>
      </c>
      <c r="AD46" t="s" s="0">
        <v>81</v>
      </c>
      <c r="AE46" t="s" s="0">
        <v>81</v>
      </c>
      <c r="AF46" t="s" s="0">
        <v>81</v>
      </c>
      <c r="AG46" t="s" s="0">
        <v>1413</v>
      </c>
      <c r="AH46" t="s" s="0">
        <v>1221</v>
      </c>
      <c r="AI46" t="s" s="0">
        <v>1414</v>
      </c>
      <c r="AJ46" t="s" s="0">
        <v>1415</v>
      </c>
      <c r="AK46" t="s" s="0">
        <v>81</v>
      </c>
      <c r="AL46" t="s" s="0">
        <v>401</v>
      </c>
      <c r="AM46" t="s" s="0">
        <v>187</v>
      </c>
      <c r="AN46" t="s" s="0">
        <v>134</v>
      </c>
      <c r="AO46" t="s" s="0">
        <v>626</v>
      </c>
      <c r="AP46" t="s" s="0">
        <v>909</v>
      </c>
      <c r="AQ46" t="s" s="0">
        <v>314</v>
      </c>
      <c r="AR46" t="s" s="0">
        <v>315</v>
      </c>
      <c r="AS46" t="s" s="0">
        <v>316</v>
      </c>
      <c r="AT46" t="s" s="0">
        <v>81</v>
      </c>
      <c r="AU46" t="s" s="0">
        <v>677</v>
      </c>
      <c r="AV46" t="s" s="0">
        <v>81</v>
      </c>
      <c r="AW46" t="s" s="0">
        <v>678</v>
      </c>
      <c r="AX46" t="s" s="0">
        <v>679</v>
      </c>
      <c r="AY46" t="s" s="0">
        <v>1416</v>
      </c>
      <c r="AZ46" t="s" s="0">
        <v>142</v>
      </c>
      <c r="BA46" t="s" s="0">
        <v>143</v>
      </c>
      <c r="BB46" t="s" s="0">
        <v>133</v>
      </c>
      <c r="BC46" t="s" s="0">
        <v>81</v>
      </c>
      <c r="BD46" t="s" s="0">
        <v>81</v>
      </c>
      <c r="BE46" t="s" s="0">
        <v>81</v>
      </c>
      <c r="BF46" t="s" s="0">
        <v>81</v>
      </c>
      <c r="BG46" t="s" s="0">
        <v>81</v>
      </c>
      <c r="BH46" t="s" s="0">
        <v>81</v>
      </c>
      <c r="BI46" t="s" s="0">
        <v>1417</v>
      </c>
      <c r="BJ46" t="s" s="0">
        <v>1418</v>
      </c>
      <c r="BK46" t="s" s="89">
        <f>HYPERLINK("http://dx.doi.org/10.3390/app15094828","http://dx.doi.org/10.3390/app15094828")</f>
        <v>1419</v>
      </c>
      <c r="BL46" t="s" s="0">
        <v>81</v>
      </c>
      <c r="BM46" t="s" s="0">
        <v>81</v>
      </c>
      <c r="BN46" t="s" s="0">
        <v>626</v>
      </c>
      <c r="BO46" t="s" s="0">
        <v>685</v>
      </c>
      <c r="BP46" t="s" s="0">
        <v>686</v>
      </c>
      <c r="BQ46" t="s" s="0">
        <v>1420</v>
      </c>
      <c r="BR46" t="s" s="0">
        <v>81</v>
      </c>
      <c r="BS46" t="s" s="0">
        <v>1421</v>
      </c>
      <c r="BT46" t="s" s="90">
        <f>HYPERLINK("https://www.webofscience.com/wos/woscc/full-record/WOS:001486143900001","View Record in Web of Science")</f>
        <v>113</v>
      </c>
      <c r="BU46" t="s" s="0">
        <v>153</v>
      </c>
      <c r="BV46" t="s" s="0">
        <v>81</v>
      </c>
      <c r="BW46" t="s" s="0">
        <v>81</v>
      </c>
      <c r="BX46" t="s" s="0">
        <v>115</v>
      </c>
    </row>
    <row r="47">
      <c r="A47" t="s" s="0">
        <v>77</v>
      </c>
      <c r="B47" t="s" s="0">
        <v>77</v>
      </c>
      <c r="C47" t="s" s="0">
        <v>103</v>
      </c>
      <c r="D47" t="s" s="0">
        <v>77</v>
      </c>
      <c r="E47" t="s" s="0">
        <v>1422</v>
      </c>
      <c r="F47" t="s" s="0">
        <v>1423</v>
      </c>
      <c r="G47" t="s" s="0">
        <v>1424</v>
      </c>
      <c r="H47" t="s" s="0">
        <v>81</v>
      </c>
      <c r="I47" t="s" s="0">
        <v>82</v>
      </c>
      <c r="J47" t="s" s="0">
        <v>1425</v>
      </c>
      <c r="K47" t="s" s="0">
        <v>1426</v>
      </c>
      <c r="L47" t="s" s="0">
        <v>1427</v>
      </c>
      <c r="M47" t="s" s="0">
        <v>1428</v>
      </c>
      <c r="N47" t="s" s="0">
        <v>268</v>
      </c>
      <c r="O47" t="s" s="0">
        <v>1429</v>
      </c>
      <c r="P47" t="s" s="0">
        <v>1430</v>
      </c>
      <c r="Q47" t="s" s="0">
        <v>87</v>
      </c>
      <c r="R47" t="s" s="0">
        <v>81</v>
      </c>
      <c r="S47" t="s" s="0">
        <v>81</v>
      </c>
      <c r="T47" t="s" s="0">
        <v>81</v>
      </c>
      <c r="U47" t="s" s="0">
        <v>81</v>
      </c>
      <c r="V47" t="s" s="0">
        <v>1431</v>
      </c>
      <c r="W47" t="s" s="0">
        <v>1432</v>
      </c>
      <c r="X47" t="s" s="0">
        <v>81</v>
      </c>
      <c r="Y47" t="s" s="0">
        <v>81</v>
      </c>
      <c r="Z47" t="s" s="0">
        <v>90</v>
      </c>
      <c r="AA47" t="s" s="0">
        <v>91</v>
      </c>
      <c r="AB47" t="s" s="0">
        <v>81</v>
      </c>
      <c r="AC47" t="s" s="0">
        <v>81</v>
      </c>
      <c r="AD47" t="s" s="0">
        <v>81</v>
      </c>
      <c r="AE47" t="s" s="0">
        <v>81</v>
      </c>
      <c r="AF47" t="s" s="0">
        <v>81</v>
      </c>
      <c r="AG47" t="s" s="0">
        <v>1433</v>
      </c>
      <c r="AH47" t="s" s="0">
        <v>1434</v>
      </c>
      <c r="AI47" t="s" s="0">
        <v>1435</v>
      </c>
      <c r="AJ47" t="s" s="0">
        <v>1436</v>
      </c>
      <c r="AK47" t="s" s="0">
        <v>81</v>
      </c>
      <c r="AL47" t="s" s="0">
        <v>433</v>
      </c>
      <c r="AM47" t="s" s="0">
        <v>187</v>
      </c>
      <c r="AN47" t="s" s="0">
        <v>187</v>
      </c>
      <c r="AO47" t="s" s="0">
        <v>103</v>
      </c>
      <c r="AP47" t="s" s="0">
        <v>652</v>
      </c>
      <c r="AQ47" t="s" s="0">
        <v>278</v>
      </c>
      <c r="AR47" t="s" s="0">
        <v>247</v>
      </c>
      <c r="AS47" t="s" s="0">
        <v>279</v>
      </c>
      <c r="AT47" t="s" s="0">
        <v>1437</v>
      </c>
      <c r="AU47" t="s" s="0">
        <v>1438</v>
      </c>
      <c r="AV47" t="s" s="0">
        <v>81</v>
      </c>
      <c r="AW47" t="s" s="0">
        <v>1439</v>
      </c>
      <c r="AX47" t="s" s="0">
        <v>1440</v>
      </c>
      <c r="AY47" t="s" s="0">
        <v>1441</v>
      </c>
      <c r="AZ47" t="s" s="0">
        <v>285</v>
      </c>
      <c r="BA47" t="s" s="0">
        <v>767</v>
      </c>
      <c r="BB47" t="s" s="0">
        <v>372</v>
      </c>
      <c r="BC47" t="s" s="0">
        <v>81</v>
      </c>
      <c r="BD47" t="s" s="0">
        <v>81</v>
      </c>
      <c r="BE47" t="s" s="0">
        <v>81</v>
      </c>
      <c r="BF47" t="s" s="0">
        <v>81</v>
      </c>
      <c r="BG47" t="s" s="0">
        <v>1442</v>
      </c>
      <c r="BH47" t="s" s="0">
        <v>1443</v>
      </c>
      <c r="BI47" t="s" s="0">
        <v>81</v>
      </c>
      <c r="BJ47" t="s" s="0">
        <v>1444</v>
      </c>
      <c r="BK47" t="s" s="91">
        <f>HYPERLINK("http://dx.doi.org/10.1007/s00261-024-04202-1","http://dx.doi.org/10.1007/s00261-024-04202-1")</f>
        <v>1445</v>
      </c>
      <c r="BL47" t="s" s="0">
        <v>81</v>
      </c>
      <c r="BM47" t="s" s="0">
        <v>291</v>
      </c>
      <c r="BN47" t="s" s="0">
        <v>245</v>
      </c>
      <c r="BO47" t="s" s="0">
        <v>292</v>
      </c>
      <c r="BP47" t="s" s="0">
        <v>292</v>
      </c>
      <c r="BQ47" t="s" s="0">
        <v>1446</v>
      </c>
      <c r="BR47" t="s" s="0">
        <v>1447</v>
      </c>
      <c r="BS47" t="s" s="0">
        <v>1448</v>
      </c>
      <c r="BT47" t="s" s="92">
        <f>HYPERLINK("https://www.webofscience.com/wos/woscc/full-record/WOS:001174830300001","View Record in Web of Science")</f>
        <v>113</v>
      </c>
      <c r="BU47" t="s" s="0">
        <v>81</v>
      </c>
      <c r="BV47" t="s" s="0">
        <v>81</v>
      </c>
      <c r="BW47" t="s" s="0">
        <v>81</v>
      </c>
      <c r="BX47" t="s" s="0">
        <v>115</v>
      </c>
    </row>
    <row r="48">
      <c r="A48" t="s" s="0">
        <v>77</v>
      </c>
      <c r="B48" t="s" s="0">
        <v>77</v>
      </c>
      <c r="C48" t="s" s="0">
        <v>77</v>
      </c>
      <c r="D48" t="s" s="0">
        <v>77</v>
      </c>
      <c r="E48" t="s" s="0">
        <v>1449</v>
      </c>
      <c r="F48" t="s" s="0">
        <v>1450</v>
      </c>
      <c r="G48" t="s" s="0">
        <v>1451</v>
      </c>
      <c r="H48" t="s" s="0">
        <v>81</v>
      </c>
      <c r="I48" t="s" s="0">
        <v>82</v>
      </c>
      <c r="J48" t="s" s="0">
        <v>1452</v>
      </c>
      <c r="K48" t="s" s="0">
        <v>1453</v>
      </c>
      <c r="L48" t="s" s="0">
        <v>1454</v>
      </c>
      <c r="M48" t="s" s="0">
        <v>1455</v>
      </c>
      <c r="N48" t="s" s="0">
        <v>1456</v>
      </c>
      <c r="O48" t="s" s="0">
        <v>1457</v>
      </c>
      <c r="P48" t="s" s="0">
        <v>81</v>
      </c>
      <c r="Q48" t="s" s="0">
        <v>87</v>
      </c>
      <c r="R48" t="s" s="0">
        <v>81</v>
      </c>
      <c r="S48" t="s" s="0">
        <v>81</v>
      </c>
      <c r="T48" t="s" s="0">
        <v>81</v>
      </c>
      <c r="U48" t="s" s="0">
        <v>81</v>
      </c>
      <c r="V48" t="s" s="0">
        <v>1458</v>
      </c>
      <c r="W48" t="s" s="0">
        <v>1459</v>
      </c>
      <c r="X48" t="s" s="0">
        <v>81</v>
      </c>
      <c r="Y48" t="s" s="0">
        <v>81</v>
      </c>
      <c r="Z48" t="s" s="0">
        <v>90</v>
      </c>
      <c r="AA48" t="s" s="0">
        <v>91</v>
      </c>
      <c r="AB48" t="s" s="0">
        <v>81</v>
      </c>
      <c r="AC48" t="s" s="0">
        <v>81</v>
      </c>
      <c r="AD48" t="s" s="0">
        <v>81</v>
      </c>
      <c r="AE48" t="s" s="0">
        <v>81</v>
      </c>
      <c r="AF48" t="s" s="0">
        <v>81</v>
      </c>
      <c r="AG48" t="s" s="0">
        <v>1460</v>
      </c>
      <c r="AH48" t="s" s="0">
        <v>81</v>
      </c>
      <c r="AI48" t="s" s="0">
        <v>1461</v>
      </c>
      <c r="AJ48" t="s" s="0">
        <v>1462</v>
      </c>
      <c r="AK48" t="s" s="0">
        <v>81</v>
      </c>
      <c r="AL48" t="s" s="0">
        <v>520</v>
      </c>
      <c r="AM48" t="s" s="0">
        <v>77</v>
      </c>
      <c r="AN48" t="s" s="0">
        <v>144</v>
      </c>
      <c r="AO48" t="s" s="0">
        <v>372</v>
      </c>
      <c r="AP48" t="s" s="0">
        <v>323</v>
      </c>
      <c r="AQ48" t="s" s="0">
        <v>1463</v>
      </c>
      <c r="AR48" t="s" s="0">
        <v>1464</v>
      </c>
      <c r="AS48" t="s" s="0">
        <v>1465</v>
      </c>
      <c r="AT48" t="s" s="0">
        <v>1466</v>
      </c>
      <c r="AU48" t="s" s="0">
        <v>1467</v>
      </c>
      <c r="AV48" t="s" s="0">
        <v>81</v>
      </c>
      <c r="AW48" t="s" s="0">
        <v>1468</v>
      </c>
      <c r="AX48" t="s" s="0">
        <v>1469</v>
      </c>
      <c r="AY48" t="s" s="0">
        <v>1470</v>
      </c>
      <c r="AZ48" t="s" s="0">
        <v>142</v>
      </c>
      <c r="BA48" t="s" s="0">
        <v>520</v>
      </c>
      <c r="BB48" t="s" s="0">
        <v>1471</v>
      </c>
      <c r="BC48" t="s" s="0">
        <v>81</v>
      </c>
      <c r="BD48" t="s" s="0">
        <v>81</v>
      </c>
      <c r="BE48" t="s" s="0">
        <v>81</v>
      </c>
      <c r="BF48" t="s" s="0">
        <v>81</v>
      </c>
      <c r="BG48" t="s" s="0">
        <v>81</v>
      </c>
      <c r="BH48" t="s" s="0">
        <v>81</v>
      </c>
      <c r="BI48" t="s" s="0">
        <v>81</v>
      </c>
      <c r="BJ48" t="s" s="0">
        <v>1472</v>
      </c>
      <c r="BK48" t="s" s="93">
        <f>HYPERLINK("http://dx.doi.org/10.1142/S0218126625501737","http://dx.doi.org/10.1142/S0218126625501737")</f>
        <v>1473</v>
      </c>
      <c r="BL48" t="s" s="0">
        <v>81</v>
      </c>
      <c r="BM48" t="s" s="0">
        <v>951</v>
      </c>
      <c r="BN48" t="s" s="0">
        <v>143</v>
      </c>
      <c r="BO48" t="s" s="0">
        <v>1474</v>
      </c>
      <c r="BP48" t="s" s="0">
        <v>628</v>
      </c>
      <c r="BQ48" t="s" s="0">
        <v>1475</v>
      </c>
      <c r="BR48" t="s" s="0">
        <v>81</v>
      </c>
      <c r="BS48" t="s" s="0">
        <v>1476</v>
      </c>
      <c r="BT48" t="s" s="94">
        <f>HYPERLINK("https://www.webofscience.com/wos/woscc/full-record/WOS:001467353700001","View Record in Web of Science")</f>
        <v>113</v>
      </c>
      <c r="BU48" t="s" s="0">
        <v>81</v>
      </c>
      <c r="BV48" t="s" s="0">
        <v>81</v>
      </c>
      <c r="BW48" t="s" s="0">
        <v>81</v>
      </c>
      <c r="BX48" t="s" s="0">
        <v>115</v>
      </c>
    </row>
    <row r="49">
      <c r="A49" t="s" s="0">
        <v>77</v>
      </c>
      <c r="B49" t="s" s="0">
        <v>77</v>
      </c>
      <c r="C49" t="s" s="0">
        <v>77</v>
      </c>
      <c r="D49" t="s" s="0">
        <v>77</v>
      </c>
      <c r="E49" t="s" s="0">
        <v>1477</v>
      </c>
      <c r="F49" t="s" s="0">
        <v>1478</v>
      </c>
      <c r="G49" t="s" s="0">
        <v>1479</v>
      </c>
      <c r="H49" t="s" s="0">
        <v>81</v>
      </c>
      <c r="I49" t="s" s="0">
        <v>82</v>
      </c>
      <c r="J49" t="s" s="0">
        <v>1480</v>
      </c>
      <c r="K49" t="s" s="0">
        <v>1481</v>
      </c>
      <c r="L49" t="s" s="0">
        <v>1482</v>
      </c>
      <c r="M49" t="s" s="0">
        <v>1483</v>
      </c>
      <c r="N49" t="s" s="0">
        <v>1484</v>
      </c>
      <c r="O49" t="s" s="0">
        <v>1485</v>
      </c>
      <c r="P49" t="s" s="0">
        <v>1486</v>
      </c>
      <c r="Q49" t="s" s="0">
        <v>87</v>
      </c>
      <c r="R49" t="s" s="0">
        <v>81</v>
      </c>
      <c r="S49" t="s" s="0">
        <v>81</v>
      </c>
      <c r="T49" t="s" s="0">
        <v>81</v>
      </c>
      <c r="U49" t="s" s="0">
        <v>81</v>
      </c>
      <c r="V49" t="s" s="0">
        <v>1487</v>
      </c>
      <c r="W49" t="s" s="0">
        <v>1488</v>
      </c>
      <c r="X49" t="s" s="0">
        <v>81</v>
      </c>
      <c r="Y49" t="s" s="0">
        <v>81</v>
      </c>
      <c r="Z49" t="s" s="0">
        <v>90</v>
      </c>
      <c r="AA49" t="s" s="0">
        <v>91</v>
      </c>
      <c r="AB49" t="s" s="0">
        <v>81</v>
      </c>
      <c r="AC49" t="s" s="0">
        <v>81</v>
      </c>
      <c r="AD49" t="s" s="0">
        <v>81</v>
      </c>
      <c r="AE49" t="s" s="0">
        <v>81</v>
      </c>
      <c r="AF49" t="s" s="0">
        <v>81</v>
      </c>
      <c r="AG49" t="s" s="0">
        <v>1489</v>
      </c>
      <c r="AH49" t="s" s="0">
        <v>1490</v>
      </c>
      <c r="AI49" t="s" s="0">
        <v>1491</v>
      </c>
      <c r="AJ49" t="s" s="0">
        <v>1492</v>
      </c>
      <c r="AK49" t="s" s="0">
        <v>81</v>
      </c>
      <c r="AL49" t="s" s="0">
        <v>1493</v>
      </c>
      <c r="AM49" t="s" s="0">
        <v>144</v>
      </c>
      <c r="AN49" t="s" s="0">
        <v>144</v>
      </c>
      <c r="AO49" t="s" s="0">
        <v>172</v>
      </c>
      <c r="AP49" t="s" s="0">
        <v>172</v>
      </c>
      <c r="AQ49" t="s" s="0">
        <v>1254</v>
      </c>
      <c r="AR49" t="s" s="0">
        <v>1255</v>
      </c>
      <c r="AS49" t="s" s="0">
        <v>1256</v>
      </c>
      <c r="AT49" t="s" s="0">
        <v>1494</v>
      </c>
      <c r="AU49" t="s" s="0">
        <v>1495</v>
      </c>
      <c r="AV49" t="s" s="0">
        <v>81</v>
      </c>
      <c r="AW49" t="s" s="0">
        <v>1496</v>
      </c>
      <c r="AX49" t="s" s="0">
        <v>1497</v>
      </c>
      <c r="AY49" t="s" s="0">
        <v>1498</v>
      </c>
      <c r="AZ49" t="s" s="0">
        <v>142</v>
      </c>
      <c r="BA49" t="s" s="0">
        <v>245</v>
      </c>
      <c r="BB49" t="s" s="0">
        <v>372</v>
      </c>
      <c r="BC49" t="s" s="0">
        <v>81</v>
      </c>
      <c r="BD49" t="s" s="0">
        <v>81</v>
      </c>
      <c r="BE49" t="s" s="0">
        <v>81</v>
      </c>
      <c r="BF49" t="s" s="0">
        <v>81</v>
      </c>
      <c r="BG49" t="s" s="0">
        <v>1499</v>
      </c>
      <c r="BH49" t="s" s="0">
        <v>1500</v>
      </c>
      <c r="BI49" t="s" s="0">
        <v>81</v>
      </c>
      <c r="BJ49" t="s" s="0">
        <v>1501</v>
      </c>
      <c r="BK49" t="s" s="95">
        <f>HYPERLINK("http://dx.doi.org/10.1097/eus.0000000000000145","http://dx.doi.org/10.1097/eus.0000000000000145")</f>
        <v>1502</v>
      </c>
      <c r="BL49" t="s" s="0">
        <v>81</v>
      </c>
      <c r="BM49" t="s" s="0">
        <v>81</v>
      </c>
      <c r="BN49" t="s" s="0">
        <v>172</v>
      </c>
      <c r="BO49" t="s" s="0">
        <v>1503</v>
      </c>
      <c r="BP49" t="s" s="0">
        <v>1503</v>
      </c>
      <c r="BQ49" t="s" s="0">
        <v>1504</v>
      </c>
      <c r="BR49" t="s" s="0">
        <v>1505</v>
      </c>
      <c r="BS49" t="s" s="0">
        <v>1506</v>
      </c>
      <c r="BT49" t="s" s="96">
        <f>HYPERLINK("https://www.webofscience.com/wos/woscc/full-record/WOS:001615849600003","View Record in Web of Science")</f>
        <v>113</v>
      </c>
      <c r="BU49" t="s" s="0">
        <v>719</v>
      </c>
      <c r="BV49" t="s" s="0">
        <v>81</v>
      </c>
      <c r="BW49" t="s" s="0">
        <v>81</v>
      </c>
      <c r="BX49" t="s" s="0">
        <v>115</v>
      </c>
    </row>
    <row r="50">
      <c r="A50" t="s" s="0">
        <v>77</v>
      </c>
      <c r="B50" t="s" s="0">
        <v>77</v>
      </c>
      <c r="C50" t="s" s="0">
        <v>77</v>
      </c>
      <c r="D50" t="s" s="0">
        <v>77</v>
      </c>
      <c r="E50" t="s" s="0">
        <v>1507</v>
      </c>
      <c r="F50" t="s" s="0">
        <v>1508</v>
      </c>
      <c r="G50" t="s" s="0">
        <v>1509</v>
      </c>
      <c r="H50" t="s" s="0">
        <v>81</v>
      </c>
      <c r="I50" t="s" s="0">
        <v>82</v>
      </c>
      <c r="J50" t="s" s="0">
        <v>1510</v>
      </c>
      <c r="K50" t="s" s="0">
        <v>1511</v>
      </c>
      <c r="L50" t="s" s="0">
        <v>1512</v>
      </c>
      <c r="M50" t="s" s="0">
        <v>1513</v>
      </c>
      <c r="N50" t="s" s="0">
        <v>1514</v>
      </c>
      <c r="O50" t="s" s="0">
        <v>1515</v>
      </c>
      <c r="P50" t="s" s="0">
        <v>1516</v>
      </c>
      <c r="Q50" t="s" s="0">
        <v>87</v>
      </c>
      <c r="R50" t="s" s="0">
        <v>81</v>
      </c>
      <c r="S50" t="s" s="0">
        <v>81</v>
      </c>
      <c r="T50" t="s" s="0">
        <v>81</v>
      </c>
      <c r="U50" t="s" s="0">
        <v>81</v>
      </c>
      <c r="V50" t="s" s="0">
        <v>1517</v>
      </c>
      <c r="W50" t="s" s="0">
        <v>1518</v>
      </c>
      <c r="X50" t="s" s="0">
        <v>81</v>
      </c>
      <c r="Y50" t="s" s="0">
        <v>81</v>
      </c>
      <c r="Z50" t="s" s="0">
        <v>90</v>
      </c>
      <c r="AA50" t="s" s="0">
        <v>91</v>
      </c>
      <c r="AB50" t="s" s="0">
        <v>81</v>
      </c>
      <c r="AC50" t="s" s="0">
        <v>81</v>
      </c>
      <c r="AD50" t="s" s="0">
        <v>81</v>
      </c>
      <c r="AE50" t="s" s="0">
        <v>81</v>
      </c>
      <c r="AF50" t="s" s="0">
        <v>81</v>
      </c>
      <c r="AG50" t="s" s="0">
        <v>1519</v>
      </c>
      <c r="AH50" t="s" s="0">
        <v>81</v>
      </c>
      <c r="AI50" t="s" s="0">
        <v>81</v>
      </c>
      <c r="AJ50" t="s" s="0">
        <v>81</v>
      </c>
      <c r="AK50" t="s" s="0">
        <v>81</v>
      </c>
      <c r="AL50" t="s" s="0">
        <v>767</v>
      </c>
      <c r="AM50" t="s" s="0">
        <v>77</v>
      </c>
      <c r="AN50" t="s" s="0">
        <v>77</v>
      </c>
      <c r="AO50" t="s" s="0">
        <v>144</v>
      </c>
      <c r="AP50" t="s" s="0">
        <v>144</v>
      </c>
      <c r="AQ50" t="s" s="0">
        <v>1520</v>
      </c>
      <c r="AR50" t="s" s="0">
        <v>646</v>
      </c>
      <c r="AS50" t="s" s="0">
        <v>1521</v>
      </c>
      <c r="AT50" t="s" s="0">
        <v>81</v>
      </c>
      <c r="AU50" t="s" s="0">
        <v>1522</v>
      </c>
      <c r="AV50" t="s" s="0">
        <v>81</v>
      </c>
      <c r="AW50" t="s" s="0">
        <v>1523</v>
      </c>
      <c r="AX50" t="s" s="0">
        <v>1524</v>
      </c>
      <c r="AY50" t="s" s="0">
        <v>651</v>
      </c>
      <c r="AZ50" t="s" s="0">
        <v>101</v>
      </c>
      <c r="BA50" t="s" s="0">
        <v>187</v>
      </c>
      <c r="BB50" t="s" s="0">
        <v>81</v>
      </c>
      <c r="BC50" t="s" s="0">
        <v>81</v>
      </c>
      <c r="BD50" t="s" s="0">
        <v>81</v>
      </c>
      <c r="BE50" t="s" s="0">
        <v>81</v>
      </c>
      <c r="BF50" t="s" s="0">
        <v>81</v>
      </c>
      <c r="BG50" t="s" s="0">
        <v>81</v>
      </c>
      <c r="BH50" t="s" s="0">
        <v>81</v>
      </c>
      <c r="BI50" t="s" s="0">
        <v>1525</v>
      </c>
      <c r="BJ50" t="s" s="0">
        <v>1526</v>
      </c>
      <c r="BK50" t="s" s="97">
        <f>HYPERLINK("http://dx.doi.org/10.7717/peerj-cs.3671","http://dx.doi.org/10.7717/peerj-cs.3671")</f>
        <v>1527</v>
      </c>
      <c r="BL50" t="s" s="0">
        <v>81</v>
      </c>
      <c r="BM50" t="s" s="0">
        <v>438</v>
      </c>
      <c r="BN50" t="s" s="0">
        <v>93</v>
      </c>
      <c r="BO50" t="s" s="0">
        <v>1528</v>
      </c>
      <c r="BP50" t="s" s="0">
        <v>835</v>
      </c>
      <c r="BQ50" t="s" s="0">
        <v>1529</v>
      </c>
      <c r="BR50" t="s" s="0">
        <v>81</v>
      </c>
      <c r="BS50" t="s" s="0">
        <v>1530</v>
      </c>
      <c r="BT50" t="s" s="98">
        <f>HYPERLINK("https://www.webofscience.com/wos/woscc/full-record/WOS:001739104300001","View Record in Web of Science")</f>
        <v>113</v>
      </c>
      <c r="BU50" t="s" s="0">
        <v>1317</v>
      </c>
      <c r="BV50" t="s" s="0">
        <v>81</v>
      </c>
      <c r="BW50" t="s" s="0">
        <v>81</v>
      </c>
      <c r="BX50" t="s" s="0">
        <v>115</v>
      </c>
    </row>
    <row r="51">
      <c r="A51" t="s" s="0">
        <v>77</v>
      </c>
      <c r="B51" t="s" s="0">
        <v>77</v>
      </c>
      <c r="C51" t="s" s="0">
        <v>144</v>
      </c>
      <c r="D51" t="s" s="0">
        <v>77</v>
      </c>
      <c r="E51" t="s" s="0">
        <v>1531</v>
      </c>
      <c r="F51" t="s" s="0">
        <v>1532</v>
      </c>
      <c r="G51" t="s" s="0">
        <v>1533</v>
      </c>
      <c r="H51" t="s" s="0">
        <v>81</v>
      </c>
      <c r="I51" t="s" s="0">
        <v>82</v>
      </c>
      <c r="J51" t="s" s="0">
        <v>1534</v>
      </c>
      <c r="K51" t="s" s="0">
        <v>1535</v>
      </c>
      <c r="L51" t="s" s="0">
        <v>81</v>
      </c>
      <c r="M51" t="s" s="0">
        <v>81</v>
      </c>
      <c r="N51" t="s" s="0">
        <v>81</v>
      </c>
      <c r="O51" t="s" s="0">
        <v>1536</v>
      </c>
      <c r="P51" t="s" s="0">
        <v>1537</v>
      </c>
      <c r="Q51" t="s" s="0">
        <v>87</v>
      </c>
      <c r="R51" t="s" s="0">
        <v>81</v>
      </c>
      <c r="S51" t="s" s="0">
        <v>81</v>
      </c>
      <c r="T51" t="s" s="0">
        <v>81</v>
      </c>
      <c r="U51" t="s" s="0">
        <v>81</v>
      </c>
      <c r="V51" t="s" s="0">
        <v>1538</v>
      </c>
      <c r="W51" t="s" s="0">
        <v>1539</v>
      </c>
      <c r="X51" t="s" s="0">
        <v>81</v>
      </c>
      <c r="Y51" t="s" s="0">
        <v>81</v>
      </c>
      <c r="Z51" t="s" s="0">
        <v>90</v>
      </c>
      <c r="AA51" t="s" s="0">
        <v>91</v>
      </c>
      <c r="AB51" t="s" s="0">
        <v>81</v>
      </c>
      <c r="AC51" t="s" s="0">
        <v>81</v>
      </c>
      <c r="AD51" t="s" s="0">
        <v>81</v>
      </c>
      <c r="AE51" t="s" s="0">
        <v>81</v>
      </c>
      <c r="AF51" t="s" s="0">
        <v>81</v>
      </c>
      <c r="AG51" t="s" s="0">
        <v>1540</v>
      </c>
      <c r="AH51" t="s" s="0">
        <v>1541</v>
      </c>
      <c r="AI51" t="s" s="0">
        <v>81</v>
      </c>
      <c r="AJ51" t="s" s="0">
        <v>81</v>
      </c>
      <c r="AK51" t="s" s="0">
        <v>81</v>
      </c>
      <c r="AL51" t="s" s="0">
        <v>1542</v>
      </c>
      <c r="AM51" t="s" s="0">
        <v>103</v>
      </c>
      <c r="AN51" t="s" s="0">
        <v>133</v>
      </c>
      <c r="AO51" t="s" s="0">
        <v>77</v>
      </c>
      <c r="AP51" t="s" s="0">
        <v>103</v>
      </c>
      <c r="AQ51" t="s" s="0">
        <v>1543</v>
      </c>
      <c r="AR51" t="s" s="0">
        <v>1544</v>
      </c>
      <c r="AS51" t="s" s="0">
        <v>1545</v>
      </c>
      <c r="AT51" t="s" s="0">
        <v>81</v>
      </c>
      <c r="AU51" t="s" s="0">
        <v>1546</v>
      </c>
      <c r="AV51" t="s" s="0">
        <v>81</v>
      </c>
      <c r="AW51" t="s" s="0">
        <v>1539</v>
      </c>
      <c r="AX51" t="s" s="0">
        <v>1547</v>
      </c>
      <c r="AY51" t="s" s="0">
        <v>1548</v>
      </c>
      <c r="AZ51" t="s" s="0">
        <v>742</v>
      </c>
      <c r="BA51" t="s" s="0">
        <v>133</v>
      </c>
      <c r="BB51" t="s" s="0">
        <v>103</v>
      </c>
      <c r="BC51" t="s" s="0">
        <v>81</v>
      </c>
      <c r="BD51" t="s" s="0">
        <v>81</v>
      </c>
      <c r="BE51" t="s" s="0">
        <v>81</v>
      </c>
      <c r="BF51" t="s" s="0">
        <v>81</v>
      </c>
      <c r="BG51" t="s" s="0">
        <v>81</v>
      </c>
      <c r="BH51" t="s" s="0">
        <v>81</v>
      </c>
      <c r="BI51" t="s" s="0">
        <v>1549</v>
      </c>
      <c r="BJ51" t="s" s="0">
        <v>1550</v>
      </c>
      <c r="BK51" t="s" s="99">
        <f>HYPERLINK("http://dx.doi.org/10.1016/j.heliyon.2023.e16552","http://dx.doi.org/10.1016/j.heliyon.2023.e16552")</f>
        <v>1551</v>
      </c>
      <c r="BL51" t="s" s="0">
        <v>81</v>
      </c>
      <c r="BM51" t="s" s="0">
        <v>1552</v>
      </c>
      <c r="BN51" t="s" s="0">
        <v>626</v>
      </c>
      <c r="BO51" t="s" s="0">
        <v>148</v>
      </c>
      <c r="BP51" t="s" s="0">
        <v>149</v>
      </c>
      <c r="BQ51" t="s" s="0">
        <v>1553</v>
      </c>
      <c r="BR51" t="s" s="0">
        <v>1554</v>
      </c>
      <c r="BS51" t="s" s="0">
        <v>1555</v>
      </c>
      <c r="BT51" t="s" s="100">
        <f>HYPERLINK("https://www.webofscience.com/wos/woscc/full-record/WOS:001022048000001","View Record in Web of Science")</f>
        <v>113</v>
      </c>
      <c r="BU51" t="s" s="0">
        <v>153</v>
      </c>
      <c r="BV51" t="s" s="0">
        <v>81</v>
      </c>
      <c r="BW51" t="s" s="0">
        <v>81</v>
      </c>
      <c r="BX51" t="s" s="0">
        <v>115</v>
      </c>
    </row>
    <row r="52">
      <c r="A52" t="s" s="0">
        <v>77</v>
      </c>
      <c r="B52" t="s" s="0">
        <v>77</v>
      </c>
      <c r="C52" t="s" s="0">
        <v>77</v>
      </c>
      <c r="D52" t="s" s="0">
        <v>77</v>
      </c>
      <c r="E52" t="s" s="0">
        <v>1556</v>
      </c>
      <c r="F52" t="s" s="0">
        <v>1557</v>
      </c>
      <c r="G52" t="s" s="0">
        <v>1558</v>
      </c>
      <c r="H52" t="s" s="0">
        <v>81</v>
      </c>
      <c r="I52" t="s" s="0">
        <v>82</v>
      </c>
      <c r="J52" t="s" s="0">
        <v>1559</v>
      </c>
      <c r="K52" t="s" s="0">
        <v>1560</v>
      </c>
      <c r="L52" t="s" s="0">
        <v>1561</v>
      </c>
      <c r="M52" t="s" s="0">
        <v>1562</v>
      </c>
      <c r="N52" t="s" s="0">
        <v>1563</v>
      </c>
      <c r="O52" t="s" s="0">
        <v>1564</v>
      </c>
      <c r="P52" t="s" s="0">
        <v>1565</v>
      </c>
      <c r="Q52" t="s" s="0">
        <v>87</v>
      </c>
      <c r="R52" t="s" s="0">
        <v>81</v>
      </c>
      <c r="S52" t="s" s="0">
        <v>81</v>
      </c>
      <c r="T52" t="s" s="0">
        <v>81</v>
      </c>
      <c r="U52" t="s" s="0">
        <v>81</v>
      </c>
      <c r="V52" t="s" s="0">
        <v>1566</v>
      </c>
      <c r="W52" t="s" s="0">
        <v>1567</v>
      </c>
      <c r="X52" t="s" s="0">
        <v>81</v>
      </c>
      <c r="Y52" t="s" s="0">
        <v>81</v>
      </c>
      <c r="Z52" t="s" s="0">
        <v>90</v>
      </c>
      <c r="AA52" t="s" s="0">
        <v>91</v>
      </c>
      <c r="AB52" t="s" s="0">
        <v>81</v>
      </c>
      <c r="AC52" t="s" s="0">
        <v>81</v>
      </c>
      <c r="AD52" t="s" s="0">
        <v>81</v>
      </c>
      <c r="AE52" t="s" s="0">
        <v>81</v>
      </c>
      <c r="AF52" t="s" s="0">
        <v>81</v>
      </c>
      <c r="AG52" t="s" s="0">
        <v>81</v>
      </c>
      <c r="AH52" t="s" s="0">
        <v>1568</v>
      </c>
      <c r="AI52" t="s" s="0">
        <v>81</v>
      </c>
      <c r="AJ52" t="s" s="0">
        <v>81</v>
      </c>
      <c r="AK52" t="s" s="0">
        <v>81</v>
      </c>
      <c r="AL52" t="s" s="0">
        <v>822</v>
      </c>
      <c r="AM52" t="s" s="0">
        <v>313</v>
      </c>
      <c r="AN52" t="s" s="0">
        <v>313</v>
      </c>
      <c r="AO52" t="s" s="0">
        <v>372</v>
      </c>
      <c r="AP52" t="s" s="0">
        <v>372</v>
      </c>
      <c r="AQ52" t="s" s="0">
        <v>135</v>
      </c>
      <c r="AR52" t="s" s="0">
        <v>136</v>
      </c>
      <c r="AS52" t="s" s="0">
        <v>137</v>
      </c>
      <c r="AT52" t="s" s="0">
        <v>1569</v>
      </c>
      <c r="AU52" t="s" s="0">
        <v>81</v>
      </c>
      <c r="AV52" t="s" s="0">
        <v>81</v>
      </c>
      <c r="AW52" t="s" s="0">
        <v>1570</v>
      </c>
      <c r="AX52" t="s" s="0">
        <v>1571</v>
      </c>
      <c r="AY52" t="s" s="0">
        <v>1572</v>
      </c>
      <c r="AZ52" t="s" s="0">
        <v>142</v>
      </c>
      <c r="BA52" t="s" s="0">
        <v>133</v>
      </c>
      <c r="BB52" t="s" s="0">
        <v>144</v>
      </c>
      <c r="BC52" t="s" s="0">
        <v>81</v>
      </c>
      <c r="BD52" t="s" s="0">
        <v>81</v>
      </c>
      <c r="BE52" t="s" s="0">
        <v>81</v>
      </c>
      <c r="BF52" t="s" s="0">
        <v>81</v>
      </c>
      <c r="BG52" t="s" s="0">
        <v>81</v>
      </c>
      <c r="BH52" t="s" s="0">
        <v>81</v>
      </c>
      <c r="BI52" t="s" s="0">
        <v>1573</v>
      </c>
      <c r="BJ52" t="s" s="0">
        <v>1574</v>
      </c>
      <c r="BK52" t="s" s="101">
        <f>HYPERLINK("http://dx.doi.org/10.1038/s41746-025-02232-7","http://dx.doi.org/10.1038/s41746-025-02232-7")</f>
        <v>1575</v>
      </c>
      <c r="BL52" t="s" s="0">
        <v>81</v>
      </c>
      <c r="BM52" t="s" s="0">
        <v>81</v>
      </c>
      <c r="BN52" t="s" s="0">
        <v>277</v>
      </c>
      <c r="BO52" t="s" s="0">
        <v>1576</v>
      </c>
      <c r="BP52" t="s" s="0">
        <v>1576</v>
      </c>
      <c r="BQ52" t="s" s="0">
        <v>1577</v>
      </c>
      <c r="BR52" t="s" s="0">
        <v>1578</v>
      </c>
      <c r="BS52" t="s" s="0">
        <v>1579</v>
      </c>
      <c r="BT52" t="s" s="102">
        <f>HYPERLINK("https://www.webofscience.com/wos/woscc/full-record/WOS:001664829500001","View Record in Web of Science")</f>
        <v>113</v>
      </c>
      <c r="BU52" t="s" s="0">
        <v>153</v>
      </c>
      <c r="BV52" t="s" s="0">
        <v>81</v>
      </c>
      <c r="BW52" t="s" s="0">
        <v>81</v>
      </c>
      <c r="BX52" t="s" s="0">
        <v>115</v>
      </c>
    </row>
    <row r="53">
      <c r="A53" t="s" s="0">
        <v>77</v>
      </c>
      <c r="B53" t="s" s="0">
        <v>77</v>
      </c>
      <c r="C53" t="s" s="0">
        <v>77</v>
      </c>
      <c r="D53" t="s" s="0">
        <v>77</v>
      </c>
      <c r="E53" t="s" s="0">
        <v>1580</v>
      </c>
      <c r="F53" t="s" s="0">
        <v>1581</v>
      </c>
      <c r="G53" t="s" s="0">
        <v>1582</v>
      </c>
      <c r="H53" t="s" s="0">
        <v>81</v>
      </c>
      <c r="I53" t="s" s="0">
        <v>543</v>
      </c>
      <c r="J53" t="s" s="0">
        <v>1583</v>
      </c>
      <c r="K53" t="s" s="0">
        <v>1584</v>
      </c>
      <c r="L53" t="s" s="0">
        <v>81</v>
      </c>
      <c r="M53" t="s" s="0">
        <v>81</v>
      </c>
      <c r="N53" t="s" s="0">
        <v>81</v>
      </c>
      <c r="O53" t="s" s="0">
        <v>1585</v>
      </c>
      <c r="P53" t="s" s="0">
        <v>81</v>
      </c>
      <c r="Q53" t="s" s="0">
        <v>87</v>
      </c>
      <c r="R53" t="s" s="0">
        <v>81</v>
      </c>
      <c r="S53" t="s" s="0">
        <v>81</v>
      </c>
      <c r="T53" t="s" s="0">
        <v>81</v>
      </c>
      <c r="U53" t="s" s="0">
        <v>81</v>
      </c>
      <c r="V53" t="s" s="0">
        <v>1586</v>
      </c>
      <c r="W53" t="s" s="0">
        <v>1587</v>
      </c>
      <c r="X53" t="s" s="0">
        <v>81</v>
      </c>
      <c r="Y53" t="s" s="0">
        <v>81</v>
      </c>
      <c r="Z53" t="s" s="0">
        <v>90</v>
      </c>
      <c r="AA53" t="s" s="0">
        <v>91</v>
      </c>
      <c r="AB53" t="s" s="0">
        <v>81</v>
      </c>
      <c r="AC53" t="s" s="0">
        <v>81</v>
      </c>
      <c r="AD53" t="s" s="0">
        <v>81</v>
      </c>
      <c r="AE53" t="s" s="0">
        <v>81</v>
      </c>
      <c r="AF53" t="s" s="0">
        <v>81</v>
      </c>
      <c r="AG53" t="s" s="0">
        <v>1588</v>
      </c>
      <c r="AH53" t="s" s="0">
        <v>81</v>
      </c>
      <c r="AI53" t="s" s="0">
        <v>81</v>
      </c>
      <c r="AJ53" t="s" s="0">
        <v>81</v>
      </c>
      <c r="AK53" t="s" s="0">
        <v>81</v>
      </c>
      <c r="AL53" t="s" s="0">
        <v>210</v>
      </c>
      <c r="AM53" t="s" s="0">
        <v>77</v>
      </c>
      <c r="AN53" t="s" s="0">
        <v>77</v>
      </c>
      <c r="AO53" t="s" s="0">
        <v>144</v>
      </c>
      <c r="AP53" t="s" s="0">
        <v>313</v>
      </c>
      <c r="AQ53" t="s" s="0">
        <v>1254</v>
      </c>
      <c r="AR53" t="s" s="0">
        <v>1255</v>
      </c>
      <c r="AS53" t="s" s="0">
        <v>1256</v>
      </c>
      <c r="AT53" t="s" s="0">
        <v>1589</v>
      </c>
      <c r="AU53" t="s" s="0">
        <v>81</v>
      </c>
      <c r="AV53" t="s" s="0">
        <v>81</v>
      </c>
      <c r="AW53" t="s" s="0">
        <v>1590</v>
      </c>
      <c r="AX53" t="s" s="0">
        <v>1591</v>
      </c>
      <c r="AY53" t="s" s="0">
        <v>1140</v>
      </c>
      <c r="AZ53" t="s" s="0">
        <v>142</v>
      </c>
      <c r="BA53" t="s" s="0">
        <v>1224</v>
      </c>
      <c r="BB53" t="s" s="0">
        <v>187</v>
      </c>
      <c r="BC53" t="s" s="0">
        <v>81</v>
      </c>
      <c r="BD53" t="s" s="0">
        <v>81</v>
      </c>
      <c r="BE53" t="s" s="0">
        <v>81</v>
      </c>
      <c r="BF53" t="s" s="0">
        <v>81</v>
      </c>
      <c r="BG53" t="s" s="0">
        <v>1592</v>
      </c>
      <c r="BH53" t="s" s="0">
        <v>1593</v>
      </c>
      <c r="BI53" t="s" s="0">
        <v>81</v>
      </c>
      <c r="BJ53" t="s" s="0">
        <v>1594</v>
      </c>
      <c r="BK53" t="s" s="103">
        <f>HYPERLINK("http://dx.doi.org/10.1097/MS9.0000000000004249","http://dx.doi.org/10.1097/MS9.0000000000004249")</f>
        <v>1595</v>
      </c>
      <c r="BL53" t="s" s="0">
        <v>81</v>
      </c>
      <c r="BM53" t="s" s="0">
        <v>81</v>
      </c>
      <c r="BN53" t="s" s="0">
        <v>313</v>
      </c>
      <c r="BO53" t="s" s="0">
        <v>324</v>
      </c>
      <c r="BP53" t="s" s="0">
        <v>325</v>
      </c>
      <c r="BQ53" t="s" s="0">
        <v>1596</v>
      </c>
      <c r="BR53" t="s" s="0">
        <v>1597</v>
      </c>
      <c r="BS53" t="s" s="0">
        <v>1598</v>
      </c>
      <c r="BT53" t="s" s="104">
        <f>HYPERLINK("https://www.webofscience.com/wos/woscc/full-record/WOS:001632809900007","View Record in Web of Science")</f>
        <v>113</v>
      </c>
      <c r="BU53" t="s" s="0">
        <v>153</v>
      </c>
      <c r="BV53" t="s" s="0">
        <v>81</v>
      </c>
      <c r="BW53" t="s" s="0">
        <v>81</v>
      </c>
      <c r="BX53" t="s" s="0">
        <v>115</v>
      </c>
    </row>
    <row r="54">
      <c r="A54" t="s" s="0">
        <v>77</v>
      </c>
      <c r="B54" t="s" s="0">
        <v>77</v>
      </c>
      <c r="C54" t="s" s="0">
        <v>77</v>
      </c>
      <c r="D54" t="s" s="0">
        <v>77</v>
      </c>
      <c r="E54" t="s" s="0">
        <v>1599</v>
      </c>
      <c r="F54" t="s" s="0">
        <v>1600</v>
      </c>
      <c r="G54" t="s" s="0">
        <v>1601</v>
      </c>
      <c r="H54" t="s" s="0">
        <v>81</v>
      </c>
      <c r="I54" t="s" s="0">
        <v>543</v>
      </c>
      <c r="J54" t="s" s="0">
        <v>1602</v>
      </c>
      <c r="K54" t="s" s="0">
        <v>1603</v>
      </c>
      <c r="L54" t="s" s="0">
        <v>1604</v>
      </c>
      <c r="M54" t="s" s="0">
        <v>1604</v>
      </c>
      <c r="N54" t="s" s="0">
        <v>1605</v>
      </c>
      <c r="O54" t="s" s="0">
        <v>1606</v>
      </c>
      <c r="P54" t="s" s="0">
        <v>1607</v>
      </c>
      <c r="Q54" t="s" s="0">
        <v>87</v>
      </c>
      <c r="R54" t="s" s="0">
        <v>81</v>
      </c>
      <c r="S54" t="s" s="0">
        <v>81</v>
      </c>
      <c r="T54" t="s" s="0">
        <v>81</v>
      </c>
      <c r="U54" t="s" s="0">
        <v>81</v>
      </c>
      <c r="V54" t="s" s="0">
        <v>1608</v>
      </c>
      <c r="W54" t="s" s="0">
        <v>1609</v>
      </c>
      <c r="X54" t="s" s="0">
        <v>81</v>
      </c>
      <c r="Y54" t="s" s="0">
        <v>81</v>
      </c>
      <c r="Z54" t="s" s="0">
        <v>90</v>
      </c>
      <c r="AA54" t="s" s="0">
        <v>91</v>
      </c>
      <c r="AB54" t="s" s="0">
        <v>81</v>
      </c>
      <c r="AC54" t="s" s="0">
        <v>81</v>
      </c>
      <c r="AD54" t="s" s="0">
        <v>81</v>
      </c>
      <c r="AE54" t="s" s="0">
        <v>81</v>
      </c>
      <c r="AF54" t="s" s="0">
        <v>81</v>
      </c>
      <c r="AG54" t="s" s="0">
        <v>1610</v>
      </c>
      <c r="AH54" t="s" s="0">
        <v>81</v>
      </c>
      <c r="AI54" t="s" s="0">
        <v>1611</v>
      </c>
      <c r="AJ54" t="s" s="0">
        <v>1612</v>
      </c>
      <c r="AK54" t="s" s="0">
        <v>81</v>
      </c>
      <c r="AL54" t="s" s="0">
        <v>211</v>
      </c>
      <c r="AM54" t="s" s="0">
        <v>313</v>
      </c>
      <c r="AN54" t="s" s="0">
        <v>313</v>
      </c>
      <c r="AO54" t="s" s="0">
        <v>77</v>
      </c>
      <c r="AP54" t="s" s="0">
        <v>103</v>
      </c>
      <c r="AQ54" t="s" s="0">
        <v>1195</v>
      </c>
      <c r="AR54" t="s" s="0">
        <v>1196</v>
      </c>
      <c r="AS54" t="s" s="0">
        <v>1197</v>
      </c>
      <c r="AT54" t="s" s="0">
        <v>81</v>
      </c>
      <c r="AU54" t="s" s="0">
        <v>1613</v>
      </c>
      <c r="AV54" t="s" s="0">
        <v>81</v>
      </c>
      <c r="AW54" t="s" s="0">
        <v>1614</v>
      </c>
      <c r="AX54" t="s" s="0">
        <v>1615</v>
      </c>
      <c r="AY54" t="s" s="0">
        <v>285</v>
      </c>
      <c r="AZ54" t="s" s="0">
        <v>285</v>
      </c>
      <c r="BA54" t="s" s="0">
        <v>372</v>
      </c>
      <c r="BB54" t="s" s="0">
        <v>81</v>
      </c>
      <c r="BC54" t="s" s="0">
        <v>81</v>
      </c>
      <c r="BD54" t="s" s="0">
        <v>81</v>
      </c>
      <c r="BE54" t="s" s="0">
        <v>81</v>
      </c>
      <c r="BF54" t="s" s="0">
        <v>81</v>
      </c>
      <c r="BG54" t="s" s="0">
        <v>1616</v>
      </c>
      <c r="BH54" t="s" s="0">
        <v>1617</v>
      </c>
      <c r="BI54" t="s" s="0">
        <v>81</v>
      </c>
      <c r="BJ54" t="s" s="0">
        <v>1618</v>
      </c>
      <c r="BK54" t="s" s="105">
        <f>HYPERLINK("http://dx.doi.org/10.1109/OJEMB.2024.3403948","http://dx.doi.org/10.1109/OJEMB.2024.3403948")</f>
        <v>1619</v>
      </c>
      <c r="BL54" t="s" s="0">
        <v>81</v>
      </c>
      <c r="BM54" t="s" s="0">
        <v>81</v>
      </c>
      <c r="BN54" t="s" s="0">
        <v>133</v>
      </c>
      <c r="BO54" t="s" s="0">
        <v>864</v>
      </c>
      <c r="BP54" t="s" s="0">
        <v>865</v>
      </c>
      <c r="BQ54" t="s" s="0">
        <v>1620</v>
      </c>
      <c r="BR54" t="s" s="0">
        <v>1621</v>
      </c>
      <c r="BS54" t="s" s="0">
        <v>1622</v>
      </c>
      <c r="BT54" t="s" s="106">
        <f>HYPERLINK("https://www.webofscience.com/wos/woscc/full-record/WOS:001351909400003","View Record in Web of Science")</f>
        <v>113</v>
      </c>
      <c r="BU54" t="s" s="0">
        <v>153</v>
      </c>
      <c r="BV54" t="s" s="0">
        <v>81</v>
      </c>
      <c r="BW54" t="s" s="0">
        <v>81</v>
      </c>
      <c r="BX54" t="s" s="0">
        <v>115</v>
      </c>
    </row>
    <row r="55">
      <c r="A55" t="s" s="0">
        <v>77</v>
      </c>
      <c r="B55" t="s" s="0">
        <v>77</v>
      </c>
      <c r="C55" t="s" s="0">
        <v>144</v>
      </c>
      <c r="D55" t="s" s="0">
        <v>77</v>
      </c>
      <c r="E55" t="s" s="0">
        <v>1623</v>
      </c>
      <c r="F55" t="s" s="0">
        <v>1624</v>
      </c>
      <c r="G55" t="s" s="0">
        <v>1625</v>
      </c>
      <c r="H55" t="s" s="0">
        <v>81</v>
      </c>
      <c r="I55" t="s" s="0">
        <v>82</v>
      </c>
      <c r="J55" t="s" s="0">
        <v>1626</v>
      </c>
      <c r="K55" t="s" s="0">
        <v>1627</v>
      </c>
      <c r="L55" t="s" s="0">
        <v>81</v>
      </c>
      <c r="M55" t="s" s="0">
        <v>81</v>
      </c>
      <c r="N55" t="s" s="0">
        <v>81</v>
      </c>
      <c r="O55" t="s" s="0">
        <v>1628</v>
      </c>
      <c r="P55" t="s" s="0">
        <v>1629</v>
      </c>
      <c r="Q55" t="s" s="0">
        <v>87</v>
      </c>
      <c r="R55" t="s" s="0">
        <v>81</v>
      </c>
      <c r="S55" t="s" s="0">
        <v>81</v>
      </c>
      <c r="T55" t="s" s="0">
        <v>81</v>
      </c>
      <c r="U55" t="s" s="0">
        <v>81</v>
      </c>
      <c r="V55" t="s" s="0">
        <v>1630</v>
      </c>
      <c r="W55" t="s" s="0">
        <v>1631</v>
      </c>
      <c r="X55" t="s" s="0">
        <v>81</v>
      </c>
      <c r="Y55" t="s" s="0">
        <v>81</v>
      </c>
      <c r="Z55" t="s" s="0">
        <v>90</v>
      </c>
      <c r="AA55" t="s" s="0">
        <v>91</v>
      </c>
      <c r="AB55" t="s" s="0">
        <v>81</v>
      </c>
      <c r="AC55" t="s" s="0">
        <v>81</v>
      </c>
      <c r="AD55" t="s" s="0">
        <v>81</v>
      </c>
      <c r="AE55" t="s" s="0">
        <v>81</v>
      </c>
      <c r="AF55" t="s" s="0">
        <v>81</v>
      </c>
      <c r="AG55" t="s" s="0">
        <v>1632</v>
      </c>
      <c r="AH55" t="s" s="0">
        <v>1633</v>
      </c>
      <c r="AI55" t="s" s="0">
        <v>1634</v>
      </c>
      <c r="AJ55" t="s" s="0">
        <v>1635</v>
      </c>
      <c r="AK55" t="s" s="0">
        <v>81</v>
      </c>
      <c r="AL55" t="s" s="0">
        <v>1636</v>
      </c>
      <c r="AM55" t="s" s="0">
        <v>372</v>
      </c>
      <c r="AN55" t="s" s="0">
        <v>372</v>
      </c>
      <c r="AO55" t="s" s="0">
        <v>116</v>
      </c>
      <c r="AP55" t="s" s="0">
        <v>107</v>
      </c>
      <c r="AQ55" t="s" s="0">
        <v>278</v>
      </c>
      <c r="AR55" t="s" s="0">
        <v>247</v>
      </c>
      <c r="AS55" t="s" s="0">
        <v>279</v>
      </c>
      <c r="AT55" t="s" s="0">
        <v>1637</v>
      </c>
      <c r="AU55" t="s" s="0">
        <v>1638</v>
      </c>
      <c r="AV55" t="s" s="0">
        <v>81</v>
      </c>
      <c r="AW55" t="s" s="0">
        <v>1639</v>
      </c>
      <c r="AX55" t="s" s="0">
        <v>1640</v>
      </c>
      <c r="AY55" t="s" s="0">
        <v>1641</v>
      </c>
      <c r="AZ55" t="s" s="0">
        <v>142</v>
      </c>
      <c r="BA55" t="s" s="0">
        <v>245</v>
      </c>
      <c r="BB55" t="s" s="0">
        <v>313</v>
      </c>
      <c r="BC55" t="s" s="0">
        <v>81</v>
      </c>
      <c r="BD55" t="s" s="0">
        <v>81</v>
      </c>
      <c r="BE55" t="s" s="0">
        <v>81</v>
      </c>
      <c r="BF55" t="s" s="0">
        <v>81</v>
      </c>
      <c r="BG55" t="s" s="0">
        <v>81</v>
      </c>
      <c r="BH55" t="s" s="0">
        <v>81</v>
      </c>
      <c r="BI55" t="s" s="0">
        <v>143</v>
      </c>
      <c r="BJ55" t="s" s="0">
        <v>1642</v>
      </c>
      <c r="BK55" t="s" s="107">
        <f>HYPERLINK("http://dx.doi.org/10.1007/s13735-025-00363-x","http://dx.doi.org/10.1007/s13735-025-00363-x")</f>
        <v>1643</v>
      </c>
      <c r="BL55" t="s" s="0">
        <v>81</v>
      </c>
      <c r="BM55" t="s" s="0">
        <v>81</v>
      </c>
      <c r="BN55" t="s" s="0">
        <v>468</v>
      </c>
      <c r="BO55" t="s" s="0">
        <v>1644</v>
      </c>
      <c r="BP55" t="s" s="0">
        <v>835</v>
      </c>
      <c r="BQ55" t="s" s="0">
        <v>1645</v>
      </c>
      <c r="BR55" t="s" s="0">
        <v>81</v>
      </c>
      <c r="BS55" t="s" s="0">
        <v>1646</v>
      </c>
      <c r="BT55" t="s" s="108">
        <f>HYPERLINK("https://www.webofscience.com/wos/woscc/full-record/WOS:001467268200001","View Record in Web of Science")</f>
        <v>113</v>
      </c>
      <c r="BU55" t="s" s="0">
        <v>81</v>
      </c>
      <c r="BV55" t="s" s="0">
        <v>81</v>
      </c>
      <c r="BW55" t="s" s="0">
        <v>81</v>
      </c>
      <c r="BX55" t="s" s="0">
        <v>115</v>
      </c>
    </row>
    <row r="56">
      <c r="A56" t="s" s="0">
        <v>77</v>
      </c>
      <c r="B56" t="s" s="0">
        <v>77</v>
      </c>
      <c r="C56" t="s" s="0">
        <v>210</v>
      </c>
      <c r="D56" t="s" s="0">
        <v>77</v>
      </c>
      <c r="E56" t="s" s="0">
        <v>1647</v>
      </c>
      <c r="F56" t="s" s="0">
        <v>1648</v>
      </c>
      <c r="G56" t="s" s="0">
        <v>1649</v>
      </c>
      <c r="H56" t="s" s="0">
        <v>81</v>
      </c>
      <c r="I56" t="s" s="0">
        <v>82</v>
      </c>
      <c r="J56" t="s" s="0">
        <v>1650</v>
      </c>
      <c r="K56" t="s" s="0">
        <v>1651</v>
      </c>
      <c r="L56" t="s" s="0">
        <v>1652</v>
      </c>
      <c r="M56" t="s" s="0">
        <v>1653</v>
      </c>
      <c r="N56" t="s" s="0">
        <v>1654</v>
      </c>
      <c r="O56" t="s" s="0">
        <v>1655</v>
      </c>
      <c r="P56" t="s" s="0">
        <v>1656</v>
      </c>
      <c r="Q56" t="s" s="0">
        <v>87</v>
      </c>
      <c r="R56" t="s" s="0">
        <v>81</v>
      </c>
      <c r="S56" t="s" s="0">
        <v>81</v>
      </c>
      <c r="T56" t="s" s="0">
        <v>81</v>
      </c>
      <c r="U56" t="s" s="0">
        <v>81</v>
      </c>
      <c r="V56" t="s" s="0">
        <v>1657</v>
      </c>
      <c r="W56" t="s" s="0">
        <v>1658</v>
      </c>
      <c r="X56" t="s" s="0">
        <v>81</v>
      </c>
      <c r="Y56" t="s" s="0">
        <v>81</v>
      </c>
      <c r="Z56" t="s" s="0">
        <v>90</v>
      </c>
      <c r="AA56" t="s" s="0">
        <v>91</v>
      </c>
      <c r="AB56" t="s" s="0">
        <v>81</v>
      </c>
      <c r="AC56" t="s" s="0">
        <v>81</v>
      </c>
      <c r="AD56" t="s" s="0">
        <v>81</v>
      </c>
      <c r="AE56" t="s" s="0">
        <v>81</v>
      </c>
      <c r="AF56" t="s" s="0">
        <v>81</v>
      </c>
      <c r="AG56" t="s" s="0">
        <v>1659</v>
      </c>
      <c r="AH56" t="s" s="0">
        <v>1660</v>
      </c>
      <c r="AI56" t="s" s="0">
        <v>1661</v>
      </c>
      <c r="AJ56" t="s" s="0">
        <v>1662</v>
      </c>
      <c r="AK56" t="s" s="0">
        <v>81</v>
      </c>
      <c r="AL56" t="s" s="0">
        <v>1663</v>
      </c>
      <c r="AM56" t="s" s="0">
        <v>323</v>
      </c>
      <c r="AN56" t="s" s="0">
        <v>277</v>
      </c>
      <c r="AO56" t="s" s="0">
        <v>372</v>
      </c>
      <c r="AP56" t="s" s="0">
        <v>488</v>
      </c>
      <c r="AQ56" t="s" s="0">
        <v>973</v>
      </c>
      <c r="AR56" t="s" s="0">
        <v>974</v>
      </c>
      <c r="AS56" t="s" s="0">
        <v>975</v>
      </c>
      <c r="AT56" t="s" s="0">
        <v>1664</v>
      </c>
      <c r="AU56" t="s" s="0">
        <v>1665</v>
      </c>
      <c r="AV56" t="s" s="0">
        <v>81</v>
      </c>
      <c r="AW56" t="s" s="0">
        <v>1666</v>
      </c>
      <c r="AX56" t="s" s="0">
        <v>1667</v>
      </c>
      <c r="AY56" t="s" s="0">
        <v>1261</v>
      </c>
      <c r="AZ56" t="s" s="0">
        <v>285</v>
      </c>
      <c r="BA56" t="s" s="0">
        <v>1668</v>
      </c>
      <c r="BB56" t="s" s="0">
        <v>81</v>
      </c>
      <c r="BC56" t="s" s="0">
        <v>81</v>
      </c>
      <c r="BD56" t="s" s="0">
        <v>81</v>
      </c>
      <c r="BE56" t="s" s="0">
        <v>81</v>
      </c>
      <c r="BF56" t="s" s="0">
        <v>81</v>
      </c>
      <c r="BG56" t="s" s="0">
        <v>81</v>
      </c>
      <c r="BH56" t="s" s="0">
        <v>81</v>
      </c>
      <c r="BI56" t="s" s="0">
        <v>1669</v>
      </c>
      <c r="BJ56" t="s" s="0">
        <v>1670</v>
      </c>
      <c r="BK56" t="s" s="109">
        <f>HYPERLINK("http://dx.doi.org/10.1016/j.jbi.2024.104648","http://dx.doi.org/10.1016/j.jbi.2024.104648")</f>
        <v>1671</v>
      </c>
      <c r="BL56" t="s" s="0">
        <v>81</v>
      </c>
      <c r="BM56" t="s" s="0">
        <v>1261</v>
      </c>
      <c r="BN56" t="s" s="0">
        <v>107</v>
      </c>
      <c r="BO56" t="s" s="0">
        <v>1672</v>
      </c>
      <c r="BP56" t="s" s="0">
        <v>1673</v>
      </c>
      <c r="BQ56" t="s" s="0">
        <v>1674</v>
      </c>
      <c r="BR56" t="s" s="0">
        <v>1675</v>
      </c>
      <c r="BS56" t="s" s="0">
        <v>1676</v>
      </c>
      <c r="BT56" t="s" s="110">
        <f>HYPERLINK("https://www.webofscience.com/wos/woscc/full-record/WOS:001237786500001","View Record in Web of Science")</f>
        <v>113</v>
      </c>
      <c r="BU56" t="s" s="0">
        <v>296</v>
      </c>
      <c r="BV56" t="s" s="0">
        <v>81</v>
      </c>
      <c r="BW56" t="s" s="0">
        <v>81</v>
      </c>
      <c r="BX56" t="s" s="0">
        <v>115</v>
      </c>
    </row>
    <row r="57">
      <c r="A57" t="s" s="0">
        <v>77</v>
      </c>
      <c r="B57" t="s" s="0">
        <v>77</v>
      </c>
      <c r="C57" t="s" s="0">
        <v>372</v>
      </c>
      <c r="D57" t="s" s="0">
        <v>77</v>
      </c>
      <c r="E57" t="s" s="0">
        <v>1677</v>
      </c>
      <c r="F57" t="s" s="0">
        <v>1678</v>
      </c>
      <c r="G57" t="s" s="0">
        <v>1679</v>
      </c>
      <c r="H57" t="s" s="0">
        <v>81</v>
      </c>
      <c r="I57" t="s" s="0">
        <v>82</v>
      </c>
      <c r="J57" t="s" s="0">
        <v>1680</v>
      </c>
      <c r="K57" t="s" s="0">
        <v>1681</v>
      </c>
      <c r="L57" t="s" s="0">
        <v>81</v>
      </c>
      <c r="M57" t="s" s="0">
        <v>81</v>
      </c>
      <c r="N57" t="s" s="0">
        <v>81</v>
      </c>
      <c r="O57" t="s" s="0">
        <v>1682</v>
      </c>
      <c r="P57" t="s" s="0">
        <v>1683</v>
      </c>
      <c r="Q57" t="s" s="0">
        <v>87</v>
      </c>
      <c r="R57" t="s" s="0">
        <v>81</v>
      </c>
      <c r="S57" t="s" s="0">
        <v>81</v>
      </c>
      <c r="T57" t="s" s="0">
        <v>81</v>
      </c>
      <c r="U57" t="s" s="0">
        <v>81</v>
      </c>
      <c r="V57" t="s" s="0">
        <v>1684</v>
      </c>
      <c r="W57" t="s" s="0">
        <v>1685</v>
      </c>
      <c r="X57" t="s" s="0">
        <v>81</v>
      </c>
      <c r="Y57" t="s" s="0">
        <v>81</v>
      </c>
      <c r="Z57" t="s" s="0">
        <v>90</v>
      </c>
      <c r="AA57" t="s" s="0">
        <v>91</v>
      </c>
      <c r="AB57" t="s" s="0">
        <v>81</v>
      </c>
      <c r="AC57" t="s" s="0">
        <v>81</v>
      </c>
      <c r="AD57" t="s" s="0">
        <v>81</v>
      </c>
      <c r="AE57" t="s" s="0">
        <v>81</v>
      </c>
      <c r="AF57" t="s" s="0">
        <v>81</v>
      </c>
      <c r="AG57" t="s" s="0">
        <v>81</v>
      </c>
      <c r="AH57" t="s" s="0">
        <v>1686</v>
      </c>
      <c r="AI57" t="s" s="0">
        <v>81</v>
      </c>
      <c r="AJ57" t="s" s="0">
        <v>1687</v>
      </c>
      <c r="AK57" t="s" s="0">
        <v>81</v>
      </c>
      <c r="AL57" t="s" s="0">
        <v>276</v>
      </c>
      <c r="AM57" t="s" s="0">
        <v>133</v>
      </c>
      <c r="AN57" t="s" s="0">
        <v>107</v>
      </c>
      <c r="AO57" t="s" s="0">
        <v>313</v>
      </c>
      <c r="AP57" t="s" s="0">
        <v>107</v>
      </c>
      <c r="AQ57" t="s" s="0">
        <v>1355</v>
      </c>
      <c r="AR57" t="s" s="0">
        <v>1356</v>
      </c>
      <c r="AS57" t="s" s="0">
        <v>1357</v>
      </c>
      <c r="AT57" t="s" s="0">
        <v>1688</v>
      </c>
      <c r="AU57" t="s" s="0">
        <v>1689</v>
      </c>
      <c r="AV57" t="s" s="0">
        <v>81</v>
      </c>
      <c r="AW57" t="s" s="0">
        <v>1690</v>
      </c>
      <c r="AX57" t="s" s="0">
        <v>1691</v>
      </c>
      <c r="AY57" t="s" s="0">
        <v>1692</v>
      </c>
      <c r="AZ57" t="s" s="0">
        <v>142</v>
      </c>
      <c r="BA57" t="s" s="0">
        <v>1693</v>
      </c>
      <c r="BB57" t="s" s="0">
        <v>219</v>
      </c>
      <c r="BC57" t="s" s="0">
        <v>81</v>
      </c>
      <c r="BD57" t="s" s="0">
        <v>81</v>
      </c>
      <c r="BE57" t="s" s="0">
        <v>81</v>
      </c>
      <c r="BF57" t="s" s="0">
        <v>81</v>
      </c>
      <c r="BG57" t="s" s="0">
        <v>1694</v>
      </c>
      <c r="BH57" t="s" s="0">
        <v>1695</v>
      </c>
      <c r="BI57" t="s" s="0">
        <v>81</v>
      </c>
      <c r="BJ57" t="s" s="0">
        <v>1696</v>
      </c>
      <c r="BK57" t="s" s="111">
        <f>HYPERLINK("http://dx.doi.org/10.1021/acs.jcim.5c00022","http://dx.doi.org/10.1021/acs.jcim.5c00022")</f>
        <v>1697</v>
      </c>
      <c r="BL57" t="s" s="0">
        <v>81</v>
      </c>
      <c r="BM57" t="s" s="0">
        <v>713</v>
      </c>
      <c r="BN57" t="s" s="0">
        <v>187</v>
      </c>
      <c r="BO57" t="s" s="0">
        <v>1698</v>
      </c>
      <c r="BP57" t="s" s="0">
        <v>1699</v>
      </c>
      <c r="BQ57" t="s" s="0">
        <v>1700</v>
      </c>
      <c r="BR57" t="s" s="0">
        <v>1701</v>
      </c>
      <c r="BS57" t="s" s="0">
        <v>1702</v>
      </c>
      <c r="BT57" t="s" s="112">
        <f>HYPERLINK("https://www.webofscience.com/wos/woscc/full-record/WOS:001454557200001","View Record in Web of Science")</f>
        <v>113</v>
      </c>
      <c r="BU57" t="s" s="0">
        <v>81</v>
      </c>
      <c r="BV57" t="s" s="0">
        <v>81</v>
      </c>
      <c r="BW57" t="s" s="0">
        <v>81</v>
      </c>
      <c r="BX57" t="s" s="0">
        <v>115</v>
      </c>
    </row>
    <row r="58">
      <c r="A58" t="s" s="0">
        <v>77</v>
      </c>
      <c r="B58" t="s" s="0">
        <v>77</v>
      </c>
      <c r="C58" t="s" s="0">
        <v>313</v>
      </c>
      <c r="D58" t="s" s="0">
        <v>77</v>
      </c>
      <c r="E58" t="s" s="0">
        <v>1703</v>
      </c>
      <c r="F58" t="s" s="0">
        <v>1704</v>
      </c>
      <c r="G58" t="s" s="0">
        <v>1705</v>
      </c>
      <c r="H58" t="s" s="0">
        <v>81</v>
      </c>
      <c r="I58" t="s" s="0">
        <v>82</v>
      </c>
      <c r="J58" t="s" s="0">
        <v>1706</v>
      </c>
      <c r="K58" t="s" s="0">
        <v>1707</v>
      </c>
      <c r="L58" t="s" s="0">
        <v>1708</v>
      </c>
      <c r="M58" t="s" s="0">
        <v>1709</v>
      </c>
      <c r="N58" t="s" s="0">
        <v>1710</v>
      </c>
      <c r="O58" t="s" s="0">
        <v>1711</v>
      </c>
      <c r="P58" t="s" s="0">
        <v>1712</v>
      </c>
      <c r="Q58" t="s" s="0">
        <v>87</v>
      </c>
      <c r="R58" t="s" s="0">
        <v>81</v>
      </c>
      <c r="S58" t="s" s="0">
        <v>81</v>
      </c>
      <c r="T58" t="s" s="0">
        <v>81</v>
      </c>
      <c r="U58" t="s" s="0">
        <v>81</v>
      </c>
      <c r="V58" t="s" s="0">
        <v>1713</v>
      </c>
      <c r="W58" t="s" s="0">
        <v>1567</v>
      </c>
      <c r="X58" t="s" s="0">
        <v>81</v>
      </c>
      <c r="Y58" t="s" s="0">
        <v>81</v>
      </c>
      <c r="Z58" t="s" s="0">
        <v>90</v>
      </c>
      <c r="AA58" t="s" s="0">
        <v>91</v>
      </c>
      <c r="AB58" t="s" s="0">
        <v>81</v>
      </c>
      <c r="AC58" t="s" s="0">
        <v>81</v>
      </c>
      <c r="AD58" t="s" s="0">
        <v>81</v>
      </c>
      <c r="AE58" t="s" s="0">
        <v>81</v>
      </c>
      <c r="AF58" t="s" s="0">
        <v>81</v>
      </c>
      <c r="AG58" t="s" s="0">
        <v>81</v>
      </c>
      <c r="AH58" t="s" s="0">
        <v>1714</v>
      </c>
      <c r="AI58" t="s" s="0">
        <v>1715</v>
      </c>
      <c r="AJ58" t="s" s="0">
        <v>1716</v>
      </c>
      <c r="AK58" t="s" s="0">
        <v>81</v>
      </c>
      <c r="AL58" t="s" s="0">
        <v>743</v>
      </c>
      <c r="AM58" t="s" s="0">
        <v>134</v>
      </c>
      <c r="AN58" t="s" s="0">
        <v>134</v>
      </c>
      <c r="AO58" t="s" s="0">
        <v>210</v>
      </c>
      <c r="AP58" t="s" s="0">
        <v>173</v>
      </c>
      <c r="AQ58" t="s" s="0">
        <v>135</v>
      </c>
      <c r="AR58" t="s" s="0">
        <v>136</v>
      </c>
      <c r="AS58" t="s" s="0">
        <v>137</v>
      </c>
      <c r="AT58" t="s" s="0">
        <v>1569</v>
      </c>
      <c r="AU58" t="s" s="0">
        <v>81</v>
      </c>
      <c r="AV58" t="s" s="0">
        <v>81</v>
      </c>
      <c r="AW58" t="s" s="0">
        <v>1570</v>
      </c>
      <c r="AX58" t="s" s="0">
        <v>1571</v>
      </c>
      <c r="AY58" t="s" s="0">
        <v>1717</v>
      </c>
      <c r="AZ58" t="s" s="0">
        <v>142</v>
      </c>
      <c r="BA58" t="s" s="0">
        <v>172</v>
      </c>
      <c r="BB58" t="s" s="0">
        <v>144</v>
      </c>
      <c r="BC58" t="s" s="0">
        <v>81</v>
      </c>
      <c r="BD58" t="s" s="0">
        <v>81</v>
      </c>
      <c r="BE58" t="s" s="0">
        <v>81</v>
      </c>
      <c r="BF58" t="s" s="0">
        <v>81</v>
      </c>
      <c r="BG58" t="s" s="0">
        <v>81</v>
      </c>
      <c r="BH58" t="s" s="0">
        <v>81</v>
      </c>
      <c r="BI58" t="s" s="0">
        <v>1718</v>
      </c>
      <c r="BJ58" t="s" s="0">
        <v>1719</v>
      </c>
      <c r="BK58" t="s" s="113">
        <f>HYPERLINK("http://dx.doi.org/10.1038/s41746-025-02003-4","http://dx.doi.org/10.1038/s41746-025-02003-4")</f>
        <v>1720</v>
      </c>
      <c r="BL58" t="s" s="0">
        <v>81</v>
      </c>
      <c r="BM58" t="s" s="0">
        <v>81</v>
      </c>
      <c r="BN58" t="s" s="0">
        <v>277</v>
      </c>
      <c r="BO58" t="s" s="0">
        <v>1576</v>
      </c>
      <c r="BP58" t="s" s="0">
        <v>1576</v>
      </c>
      <c r="BQ58" t="s" s="0">
        <v>1721</v>
      </c>
      <c r="BR58" t="s" s="0">
        <v>1722</v>
      </c>
      <c r="BS58" t="s" s="0">
        <v>1723</v>
      </c>
      <c r="BT58" t="s" s="114">
        <f>HYPERLINK("https://www.webofscience.com/wos/woscc/full-record/WOS:001600458800003","View Record in Web of Science")</f>
        <v>113</v>
      </c>
      <c r="BU58" t="s" s="0">
        <v>153</v>
      </c>
      <c r="BV58" t="s" s="0">
        <v>81</v>
      </c>
      <c r="BW58" t="s" s="0">
        <v>81</v>
      </c>
      <c r="BX58" t="s" s="0">
        <v>115</v>
      </c>
    </row>
    <row r="59">
      <c r="A59" t="s" s="0">
        <v>77</v>
      </c>
      <c r="B59" t="s" s="0">
        <v>77</v>
      </c>
      <c r="C59" t="s" s="0">
        <v>77</v>
      </c>
      <c r="D59" t="s" s="0">
        <v>77</v>
      </c>
      <c r="E59" t="s" s="0">
        <v>1724</v>
      </c>
      <c r="F59" t="s" s="0">
        <v>1725</v>
      </c>
      <c r="G59" t="s" s="0">
        <v>1726</v>
      </c>
      <c r="H59" t="s" s="0">
        <v>81</v>
      </c>
      <c r="I59" t="s" s="0">
        <v>543</v>
      </c>
      <c r="J59" t="s" s="0">
        <v>1727</v>
      </c>
      <c r="K59" t="s" s="0">
        <v>1728</v>
      </c>
      <c r="L59" t="s" s="0">
        <v>1729</v>
      </c>
      <c r="M59" t="s" s="0">
        <v>1730</v>
      </c>
      <c r="N59" t="s" s="0">
        <v>1731</v>
      </c>
      <c r="O59" t="s" s="0">
        <v>1732</v>
      </c>
      <c r="P59" t="s" s="0">
        <v>1733</v>
      </c>
      <c r="Q59" t="s" s="0">
        <v>87</v>
      </c>
      <c r="R59" t="s" s="0">
        <v>81</v>
      </c>
      <c r="S59" t="s" s="0">
        <v>81</v>
      </c>
      <c r="T59" t="s" s="0">
        <v>81</v>
      </c>
      <c r="U59" t="s" s="0">
        <v>81</v>
      </c>
      <c r="V59" t="s" s="0">
        <v>1734</v>
      </c>
      <c r="W59" t="s" s="0">
        <v>1735</v>
      </c>
      <c r="X59" t="s" s="0">
        <v>81</v>
      </c>
      <c r="Y59" t="s" s="0">
        <v>81</v>
      </c>
      <c r="Z59" t="s" s="0">
        <v>90</v>
      </c>
      <c r="AA59" t="s" s="0">
        <v>91</v>
      </c>
      <c r="AB59" t="s" s="0">
        <v>81</v>
      </c>
      <c r="AC59" t="s" s="0">
        <v>81</v>
      </c>
      <c r="AD59" t="s" s="0">
        <v>81</v>
      </c>
      <c r="AE59" t="s" s="0">
        <v>81</v>
      </c>
      <c r="AF59" t="s" s="0">
        <v>81</v>
      </c>
      <c r="AG59" t="s" s="0">
        <v>1736</v>
      </c>
      <c r="AH59" t="s" s="0">
        <v>1737</v>
      </c>
      <c r="AI59" t="s" s="0">
        <v>81</v>
      </c>
      <c r="AJ59" t="s" s="0">
        <v>1738</v>
      </c>
      <c r="AK59" t="s" s="0">
        <v>81</v>
      </c>
      <c r="AL59" t="s" s="0">
        <v>1739</v>
      </c>
      <c r="AM59" t="s" s="0">
        <v>144</v>
      </c>
      <c r="AN59" t="s" s="0">
        <v>144</v>
      </c>
      <c r="AO59" t="s" s="0">
        <v>144</v>
      </c>
      <c r="AP59" t="s" s="0">
        <v>144</v>
      </c>
      <c r="AQ59" t="s" s="0">
        <v>736</v>
      </c>
      <c r="AR59" t="s" s="0">
        <v>646</v>
      </c>
      <c r="AS59" t="s" s="0">
        <v>737</v>
      </c>
      <c r="AT59" t="s" s="0">
        <v>81</v>
      </c>
      <c r="AU59" t="s" s="0">
        <v>1740</v>
      </c>
      <c r="AV59" t="s" s="0">
        <v>81</v>
      </c>
      <c r="AW59" t="s" s="0">
        <v>1741</v>
      </c>
      <c r="AX59" t="s" s="0">
        <v>1742</v>
      </c>
      <c r="AY59" t="s" s="0">
        <v>622</v>
      </c>
      <c r="AZ59" t="s" s="0">
        <v>101</v>
      </c>
      <c r="BA59" t="s" s="0">
        <v>488</v>
      </c>
      <c r="BB59" t="s" s="0">
        <v>81</v>
      </c>
      <c r="BC59" t="s" s="0">
        <v>81</v>
      </c>
      <c r="BD59" t="s" s="0">
        <v>81</v>
      </c>
      <c r="BE59" t="s" s="0">
        <v>81</v>
      </c>
      <c r="BF59" t="s" s="0">
        <v>81</v>
      </c>
      <c r="BG59" t="s" s="0">
        <v>81</v>
      </c>
      <c r="BH59" t="s" s="0">
        <v>81</v>
      </c>
      <c r="BI59" t="s" s="0">
        <v>1743</v>
      </c>
      <c r="BJ59" t="s" s="0">
        <v>1744</v>
      </c>
      <c r="BK59" t="s" s="115">
        <f>HYPERLINK("http://dx.doi.org/10.1177/11769351261434523","http://dx.doi.org/10.1177/11769351261434523")</f>
        <v>1745</v>
      </c>
      <c r="BL59" t="s" s="0">
        <v>81</v>
      </c>
      <c r="BM59" t="s" s="0">
        <v>81</v>
      </c>
      <c r="BN59" t="s" s="0">
        <v>211</v>
      </c>
      <c r="BO59" t="s" s="0">
        <v>1746</v>
      </c>
      <c r="BP59" t="s" s="0">
        <v>1746</v>
      </c>
      <c r="BQ59" t="s" s="0">
        <v>1747</v>
      </c>
      <c r="BR59" t="s" s="0">
        <v>1748</v>
      </c>
      <c r="BS59" t="s" s="0">
        <v>1749</v>
      </c>
      <c r="BT59" t="s" s="116">
        <f>HYPERLINK("https://www.webofscience.com/wos/woscc/full-record/WOS:001762752700001","View Record in Web of Science")</f>
        <v>113</v>
      </c>
      <c r="BU59" t="s" s="0">
        <v>153</v>
      </c>
      <c r="BV59" t="s" s="0">
        <v>81</v>
      </c>
      <c r="BW59" t="s" s="0">
        <v>81</v>
      </c>
      <c r="BX59" t="s" s="0">
        <v>115</v>
      </c>
    </row>
    <row r="60">
      <c r="A60" t="s" s="0">
        <v>77</v>
      </c>
      <c r="B60" t="s" s="0">
        <v>77</v>
      </c>
      <c r="C60" t="s" s="0">
        <v>77</v>
      </c>
      <c r="D60" t="s" s="0">
        <v>77</v>
      </c>
      <c r="E60" t="s" s="0">
        <v>1750</v>
      </c>
      <c r="F60" t="s" s="0">
        <v>1751</v>
      </c>
      <c r="G60" t="s" s="0">
        <v>1752</v>
      </c>
      <c r="H60" t="s" s="0">
        <v>81</v>
      </c>
      <c r="I60" t="s" s="0">
        <v>82</v>
      </c>
      <c r="J60" t="s" s="0">
        <v>1753</v>
      </c>
      <c r="K60" t="s" s="0">
        <v>1754</v>
      </c>
      <c r="L60" t="s" s="0">
        <v>1755</v>
      </c>
      <c r="M60" t="s" s="0">
        <v>1756</v>
      </c>
      <c r="N60" t="s" s="0">
        <v>1757</v>
      </c>
      <c r="O60" t="s" s="0">
        <v>1758</v>
      </c>
      <c r="P60" t="s" s="0">
        <v>1759</v>
      </c>
      <c r="Q60" t="s" s="0">
        <v>87</v>
      </c>
      <c r="R60" t="s" s="0">
        <v>81</v>
      </c>
      <c r="S60" t="s" s="0">
        <v>81</v>
      </c>
      <c r="T60" t="s" s="0">
        <v>81</v>
      </c>
      <c r="U60" t="s" s="0">
        <v>81</v>
      </c>
      <c r="V60" t="s" s="0">
        <v>1760</v>
      </c>
      <c r="W60" t="s" s="0">
        <v>1761</v>
      </c>
      <c r="X60" t="s" s="0">
        <v>81</v>
      </c>
      <c r="Y60" t="s" s="0">
        <v>81</v>
      </c>
      <c r="Z60" t="s" s="0">
        <v>90</v>
      </c>
      <c r="AA60" t="s" s="0">
        <v>91</v>
      </c>
      <c r="AB60" t="s" s="0">
        <v>81</v>
      </c>
      <c r="AC60" t="s" s="0">
        <v>81</v>
      </c>
      <c r="AD60" t="s" s="0">
        <v>81</v>
      </c>
      <c r="AE60" t="s" s="0">
        <v>81</v>
      </c>
      <c r="AF60" t="s" s="0">
        <v>81</v>
      </c>
      <c r="AG60" t="s" s="0">
        <v>1762</v>
      </c>
      <c r="AH60" t="s" s="0">
        <v>1763</v>
      </c>
      <c r="AI60" t="s" s="0">
        <v>81</v>
      </c>
      <c r="AJ60" t="s" s="0">
        <v>81</v>
      </c>
      <c r="AK60" t="s" s="0">
        <v>81</v>
      </c>
      <c r="AL60" t="s" s="0">
        <v>1001</v>
      </c>
      <c r="AM60" t="s" s="0">
        <v>77</v>
      </c>
      <c r="AN60" t="s" s="0">
        <v>77</v>
      </c>
      <c r="AO60" t="s" s="0">
        <v>144</v>
      </c>
      <c r="AP60" t="s" s="0">
        <v>144</v>
      </c>
      <c r="AQ60" t="s" s="0">
        <v>1764</v>
      </c>
      <c r="AR60" t="s" s="0">
        <v>1765</v>
      </c>
      <c r="AS60" t="s" s="0">
        <v>1766</v>
      </c>
      <c r="AT60" t="s" s="0">
        <v>1767</v>
      </c>
      <c r="AU60" t="s" s="0">
        <v>81</v>
      </c>
      <c r="AV60" t="s" s="0">
        <v>81</v>
      </c>
      <c r="AW60" t="s" s="0">
        <v>1768</v>
      </c>
      <c r="AX60" t="s" s="0">
        <v>1769</v>
      </c>
      <c r="AY60" t="s" s="0">
        <v>1770</v>
      </c>
      <c r="AZ60" t="s" s="0">
        <v>101</v>
      </c>
      <c r="BA60" t="s" s="0">
        <v>211</v>
      </c>
      <c r="BB60" t="s" s="0">
        <v>116</v>
      </c>
      <c r="BC60" t="s" s="0">
        <v>81</v>
      </c>
      <c r="BD60" t="s" s="0">
        <v>81</v>
      </c>
      <c r="BE60" t="s" s="0">
        <v>81</v>
      </c>
      <c r="BF60" t="s" s="0">
        <v>81</v>
      </c>
      <c r="BG60" t="s" s="0">
        <v>1771</v>
      </c>
      <c r="BH60" t="s" s="0">
        <v>1772</v>
      </c>
      <c r="BI60" t="s" s="0">
        <v>81</v>
      </c>
      <c r="BJ60" t="s" s="0">
        <v>1773</v>
      </c>
      <c r="BK60" t="s" s="117">
        <f>HYPERLINK("http://dx.doi.org/10.20892/j.issn.2095-3941.2025.0771","http://dx.doi.org/10.20892/j.issn.2095-3941.2025.0771")</f>
        <v>1774</v>
      </c>
      <c r="BL60" t="s" s="0">
        <v>81</v>
      </c>
      <c r="BM60" t="s" s="0">
        <v>81</v>
      </c>
      <c r="BN60" t="s" s="0">
        <v>1001</v>
      </c>
      <c r="BO60" t="s" s="0">
        <v>1775</v>
      </c>
      <c r="BP60" t="s" s="0">
        <v>1776</v>
      </c>
      <c r="BQ60" t="s" s="0">
        <v>1777</v>
      </c>
      <c r="BR60" t="s" s="0">
        <v>1778</v>
      </c>
      <c r="BS60" t="s" s="0">
        <v>1779</v>
      </c>
      <c r="BT60" t="s" s="118">
        <f>HYPERLINK("https://www.webofscience.com/wos/woscc/full-record/WOS:001739009200011","View Record in Web of Science")</f>
        <v>113</v>
      </c>
      <c r="BU60" t="s" s="0">
        <v>153</v>
      </c>
      <c r="BV60" t="s" s="0">
        <v>81</v>
      </c>
      <c r="BW60" t="s" s="0">
        <v>81</v>
      </c>
      <c r="BX60" t="s" s="0">
        <v>115</v>
      </c>
    </row>
    <row r="61">
      <c r="A61" t="s" s="0">
        <v>77</v>
      </c>
      <c r="B61" t="s" s="0">
        <v>77</v>
      </c>
      <c r="C61" t="s" s="0">
        <v>77</v>
      </c>
      <c r="D61" t="s" s="0">
        <v>77</v>
      </c>
      <c r="E61" t="s" s="0">
        <v>1780</v>
      </c>
      <c r="F61" t="s" s="0">
        <v>1781</v>
      </c>
      <c r="G61" t="s" s="0">
        <v>1782</v>
      </c>
      <c r="H61" t="s" s="0">
        <v>81</v>
      </c>
      <c r="I61" t="s" s="0">
        <v>543</v>
      </c>
      <c r="J61" t="s" s="0">
        <v>1783</v>
      </c>
      <c r="K61" t="s" s="0">
        <v>1784</v>
      </c>
      <c r="L61" t="s" s="0">
        <v>1785</v>
      </c>
      <c r="M61" t="s" s="0">
        <v>1786</v>
      </c>
      <c r="N61" t="s" s="0">
        <v>1787</v>
      </c>
      <c r="O61" t="s" s="0">
        <v>1788</v>
      </c>
      <c r="P61" t="s" s="0">
        <v>1789</v>
      </c>
      <c r="Q61" t="s" s="0">
        <v>87</v>
      </c>
      <c r="R61" t="s" s="0">
        <v>81</v>
      </c>
      <c r="S61" t="s" s="0">
        <v>81</v>
      </c>
      <c r="T61" t="s" s="0">
        <v>81</v>
      </c>
      <c r="U61" t="s" s="0">
        <v>81</v>
      </c>
      <c r="V61" t="s" s="0">
        <v>1790</v>
      </c>
      <c r="W61" t="s" s="0">
        <v>1791</v>
      </c>
      <c r="X61" t="s" s="0">
        <v>81</v>
      </c>
      <c r="Y61" t="s" s="0">
        <v>81</v>
      </c>
      <c r="Z61" t="s" s="0">
        <v>90</v>
      </c>
      <c r="AA61" t="s" s="0">
        <v>91</v>
      </c>
      <c r="AB61" t="s" s="0">
        <v>81</v>
      </c>
      <c r="AC61" t="s" s="0">
        <v>81</v>
      </c>
      <c r="AD61" t="s" s="0">
        <v>81</v>
      </c>
      <c r="AE61" t="s" s="0">
        <v>81</v>
      </c>
      <c r="AF61" t="s" s="0">
        <v>81</v>
      </c>
      <c r="AG61" t="s" s="0">
        <v>1792</v>
      </c>
      <c r="AH61" t="s" s="0">
        <v>1793</v>
      </c>
      <c r="AI61" t="s" s="0">
        <v>1794</v>
      </c>
      <c r="AJ61" t="s" s="0">
        <v>81</v>
      </c>
      <c r="AK61" t="s" s="0">
        <v>81</v>
      </c>
      <c r="AL61" t="s" s="0">
        <v>767</v>
      </c>
      <c r="AM61" t="s" s="0">
        <v>144</v>
      </c>
      <c r="AN61" t="s" s="0">
        <v>144</v>
      </c>
      <c r="AO61" t="s" s="0">
        <v>144</v>
      </c>
      <c r="AP61" t="s" s="0">
        <v>372</v>
      </c>
      <c r="AQ61" t="s" s="0">
        <v>615</v>
      </c>
      <c r="AR61" t="s" s="0">
        <v>616</v>
      </c>
      <c r="AS61" t="s" s="0">
        <v>617</v>
      </c>
      <c r="AT61" t="s" s="0">
        <v>81</v>
      </c>
      <c r="AU61" t="s" s="0">
        <v>1795</v>
      </c>
      <c r="AV61" t="s" s="0">
        <v>81</v>
      </c>
      <c r="AW61" t="s" s="0">
        <v>1796</v>
      </c>
      <c r="AX61" t="s" s="0">
        <v>1797</v>
      </c>
      <c r="AY61" t="s" s="0">
        <v>1140</v>
      </c>
      <c r="AZ61" t="s" s="0">
        <v>142</v>
      </c>
      <c r="BA61" t="s" s="0">
        <v>187</v>
      </c>
      <c r="BB61" t="s" s="0">
        <v>81</v>
      </c>
      <c r="BC61" t="s" s="0">
        <v>81</v>
      </c>
      <c r="BD61" t="s" s="0">
        <v>81</v>
      </c>
      <c r="BE61" t="s" s="0">
        <v>81</v>
      </c>
      <c r="BF61" t="s" s="0">
        <v>81</v>
      </c>
      <c r="BG61" t="s" s="0">
        <v>81</v>
      </c>
      <c r="BH61" t="s" s="0">
        <v>81</v>
      </c>
      <c r="BI61" t="s" s="0">
        <v>1798</v>
      </c>
      <c r="BJ61" t="s" s="0">
        <v>1799</v>
      </c>
      <c r="BK61" t="s" s="119">
        <f>HYPERLINK("http://dx.doi.org/10.1016/j.atech.2025.101279","http://dx.doi.org/10.1016/j.atech.2025.101279")</f>
        <v>1800</v>
      </c>
      <c r="BL61" t="s" s="0">
        <v>81</v>
      </c>
      <c r="BM61" t="s" s="0">
        <v>380</v>
      </c>
      <c r="BN61" t="s" s="0">
        <v>684</v>
      </c>
      <c r="BO61" t="s" s="0">
        <v>1801</v>
      </c>
      <c r="BP61" t="s" s="0">
        <v>1802</v>
      </c>
      <c r="BQ61" t="s" s="0">
        <v>1803</v>
      </c>
      <c r="BR61" t="s" s="0">
        <v>81</v>
      </c>
      <c r="BS61" t="s" s="0">
        <v>1804</v>
      </c>
      <c r="BT61" t="s" s="120">
        <f>HYPERLINK("https://www.webofscience.com/wos/woscc/full-record/WOS:001548023000001","View Record in Web of Science")</f>
        <v>113</v>
      </c>
      <c r="BU61" t="s" s="0">
        <v>1317</v>
      </c>
      <c r="BV61" t="s" s="0">
        <v>81</v>
      </c>
      <c r="BW61" t="s" s="0">
        <v>81</v>
      </c>
      <c r="BX61" t="s" s="0">
        <v>115</v>
      </c>
    </row>
    <row r="62">
      <c r="A62" t="s" s="0">
        <v>77</v>
      </c>
      <c r="B62" t="s" s="0">
        <v>77</v>
      </c>
      <c r="C62" t="s" s="0">
        <v>144</v>
      </c>
      <c r="D62" t="s" s="0">
        <v>77</v>
      </c>
      <c r="E62" t="s" s="0">
        <v>1805</v>
      </c>
      <c r="F62" t="s" s="0">
        <v>1806</v>
      </c>
      <c r="G62" t="s" s="0">
        <v>1807</v>
      </c>
      <c r="H62" t="s" s="0">
        <v>81</v>
      </c>
      <c r="I62" t="s" s="0">
        <v>82</v>
      </c>
      <c r="J62" t="s" s="0">
        <v>1808</v>
      </c>
      <c r="K62" t="s" s="0">
        <v>1809</v>
      </c>
      <c r="L62" t="s" s="0">
        <v>1810</v>
      </c>
      <c r="M62" t="s" s="0">
        <v>1811</v>
      </c>
      <c r="N62" t="s" s="0">
        <v>1812</v>
      </c>
      <c r="O62" t="s" s="0">
        <v>1813</v>
      </c>
      <c r="P62" t="s" s="0">
        <v>1814</v>
      </c>
      <c r="Q62" t="s" s="0">
        <v>87</v>
      </c>
      <c r="R62" t="s" s="0">
        <v>81</v>
      </c>
      <c r="S62" t="s" s="0">
        <v>81</v>
      </c>
      <c r="T62" t="s" s="0">
        <v>81</v>
      </c>
      <c r="U62" t="s" s="0">
        <v>81</v>
      </c>
      <c r="V62" t="s" s="0">
        <v>1815</v>
      </c>
      <c r="W62" t="s" s="0">
        <v>1816</v>
      </c>
      <c r="X62" t="s" s="0">
        <v>81</v>
      </c>
      <c r="Y62" t="s" s="0">
        <v>81</v>
      </c>
      <c r="Z62" t="s" s="0">
        <v>90</v>
      </c>
      <c r="AA62" t="s" s="0">
        <v>91</v>
      </c>
      <c r="AB62" t="s" s="0">
        <v>81</v>
      </c>
      <c r="AC62" t="s" s="0">
        <v>81</v>
      </c>
      <c r="AD62" t="s" s="0">
        <v>81</v>
      </c>
      <c r="AE62" t="s" s="0">
        <v>81</v>
      </c>
      <c r="AF62" t="s" s="0">
        <v>81</v>
      </c>
      <c r="AG62" t="s" s="0">
        <v>1817</v>
      </c>
      <c r="AH62" t="s" s="0">
        <v>1818</v>
      </c>
      <c r="AI62" t="s" s="0">
        <v>1819</v>
      </c>
      <c r="AJ62" t="s" s="0">
        <v>1820</v>
      </c>
      <c r="AK62" t="s" s="0">
        <v>81</v>
      </c>
      <c r="AL62" t="s" s="0">
        <v>132</v>
      </c>
      <c r="AM62" t="s" s="0">
        <v>211</v>
      </c>
      <c r="AN62" t="s" s="0">
        <v>211</v>
      </c>
      <c r="AO62" t="s" s="0">
        <v>77</v>
      </c>
      <c r="AP62" t="s" s="0">
        <v>245</v>
      </c>
      <c r="AQ62" t="s" s="0">
        <v>1821</v>
      </c>
      <c r="AR62" t="s" s="0">
        <v>1822</v>
      </c>
      <c r="AS62" t="s" s="0">
        <v>1823</v>
      </c>
      <c r="AT62" t="s" s="0">
        <v>1824</v>
      </c>
      <c r="AU62" t="s" s="0">
        <v>1825</v>
      </c>
      <c r="AV62" t="s" s="0">
        <v>81</v>
      </c>
      <c r="AW62" t="s" s="0">
        <v>1826</v>
      </c>
      <c r="AX62" t="s" s="0">
        <v>1827</v>
      </c>
      <c r="AY62" t="s" s="0">
        <v>1552</v>
      </c>
      <c r="AZ62" t="s" s="0">
        <v>742</v>
      </c>
      <c r="BA62" t="s" s="0">
        <v>1828</v>
      </c>
      <c r="BB62" t="s" s="0">
        <v>372</v>
      </c>
      <c r="BC62" t="s" s="0">
        <v>81</v>
      </c>
      <c r="BD62" t="s" s="0">
        <v>81</v>
      </c>
      <c r="BE62" t="s" s="0">
        <v>81</v>
      </c>
      <c r="BF62" t="s" s="0">
        <v>81</v>
      </c>
      <c r="BG62" t="s" s="0">
        <v>1829</v>
      </c>
      <c r="BH62" t="s" s="0">
        <v>1830</v>
      </c>
      <c r="BI62" t="s" s="0">
        <v>81</v>
      </c>
      <c r="BJ62" t="s" s="0">
        <v>1831</v>
      </c>
      <c r="BK62" t="s" s="121">
        <f>HYPERLINK("http://dx.doi.org/10.1177/03611981221130026","http://dx.doi.org/10.1177/03611981221130026")</f>
        <v>1832</v>
      </c>
      <c r="BL62" t="s" s="0">
        <v>81</v>
      </c>
      <c r="BM62" t="s" s="0">
        <v>1833</v>
      </c>
      <c r="BN62" t="s" s="0">
        <v>134</v>
      </c>
      <c r="BO62" t="s" s="0">
        <v>1834</v>
      </c>
      <c r="BP62" t="s" s="0">
        <v>1835</v>
      </c>
      <c r="BQ62" t="s" s="0">
        <v>1836</v>
      </c>
      <c r="BR62" t="s" s="0">
        <v>81</v>
      </c>
      <c r="BS62" t="s" s="0">
        <v>1837</v>
      </c>
      <c r="BT62" t="s" s="122">
        <f>HYPERLINK("https://www.webofscience.com/wos/woscc/full-record/WOS:000884987100001","View Record in Web of Science")</f>
        <v>113</v>
      </c>
      <c r="BU62" t="s" s="0">
        <v>81</v>
      </c>
      <c r="BV62" t="s" s="0">
        <v>81</v>
      </c>
      <c r="BW62" t="s" s="0">
        <v>81</v>
      </c>
      <c r="BX62" t="s" s="0">
        <v>115</v>
      </c>
    </row>
    <row r="63">
      <c r="A63" t="s" s="0">
        <v>144</v>
      </c>
      <c r="B63" t="s" s="0">
        <v>77</v>
      </c>
      <c r="C63" t="s" s="0">
        <v>144</v>
      </c>
      <c r="D63" t="s" s="0">
        <v>77</v>
      </c>
      <c r="E63" t="s" s="0">
        <v>1838</v>
      </c>
      <c r="F63" t="s" s="0">
        <v>1839</v>
      </c>
      <c r="G63" t="s" s="0">
        <v>1840</v>
      </c>
      <c r="H63" t="s" s="0">
        <v>81</v>
      </c>
      <c r="I63" t="s" s="0">
        <v>82</v>
      </c>
      <c r="J63" t="s" s="0">
        <v>1841</v>
      </c>
      <c r="K63" t="s" s="0">
        <v>1842</v>
      </c>
      <c r="L63" t="s" s="0">
        <v>1843</v>
      </c>
      <c r="M63" t="s" s="0">
        <v>1844</v>
      </c>
      <c r="N63" t="s" s="0">
        <v>1845</v>
      </c>
      <c r="O63" t="s" s="0">
        <v>1846</v>
      </c>
      <c r="P63" t="s" s="0">
        <v>1847</v>
      </c>
      <c r="Q63" t="s" s="0">
        <v>87</v>
      </c>
      <c r="R63" t="s" s="0">
        <v>81</v>
      </c>
      <c r="S63" t="s" s="0">
        <v>81</v>
      </c>
      <c r="T63" t="s" s="0">
        <v>81</v>
      </c>
      <c r="U63" t="s" s="0">
        <v>81</v>
      </c>
      <c r="V63" t="s" s="0">
        <v>1848</v>
      </c>
      <c r="W63" t="s" s="0">
        <v>1849</v>
      </c>
      <c r="X63" t="s" s="0">
        <v>81</v>
      </c>
      <c r="Y63" t="s" s="0">
        <v>81</v>
      </c>
      <c r="Z63" t="s" s="0">
        <v>90</v>
      </c>
      <c r="AA63" t="s" s="0">
        <v>91</v>
      </c>
      <c r="AB63" t="s" s="0">
        <v>81</v>
      </c>
      <c r="AC63" t="s" s="0">
        <v>81</v>
      </c>
      <c r="AD63" t="s" s="0">
        <v>81</v>
      </c>
      <c r="AE63" t="s" s="0">
        <v>81</v>
      </c>
      <c r="AF63" t="s" s="0">
        <v>81</v>
      </c>
      <c r="AG63" t="s" s="0">
        <v>1850</v>
      </c>
      <c r="AH63" t="s" s="0">
        <v>1851</v>
      </c>
      <c r="AI63" t="s" s="0">
        <v>81</v>
      </c>
      <c r="AJ63" t="s" s="0">
        <v>81</v>
      </c>
      <c r="AK63" t="s" s="0">
        <v>81</v>
      </c>
      <c r="AL63" t="s" s="0">
        <v>614</v>
      </c>
      <c r="AM63" t="s" s="0">
        <v>245</v>
      </c>
      <c r="AN63" t="s" s="0">
        <v>468</v>
      </c>
      <c r="AO63" t="s" s="0">
        <v>313</v>
      </c>
      <c r="AP63" t="s" s="0">
        <v>173</v>
      </c>
      <c r="AQ63" t="s" s="0">
        <v>402</v>
      </c>
      <c r="AR63" t="s" s="0">
        <v>403</v>
      </c>
      <c r="AS63" t="s" s="0">
        <v>404</v>
      </c>
      <c r="AT63" t="s" s="0">
        <v>81</v>
      </c>
      <c r="AU63" t="s" s="0">
        <v>1852</v>
      </c>
      <c r="AV63" t="s" s="0">
        <v>81</v>
      </c>
      <c r="AW63" t="s" s="0">
        <v>1853</v>
      </c>
      <c r="AX63" t="s" s="0">
        <v>1854</v>
      </c>
      <c r="AY63" t="s" s="0">
        <v>1855</v>
      </c>
      <c r="AZ63" t="s" s="0">
        <v>142</v>
      </c>
      <c r="BA63" t="s" s="0">
        <v>187</v>
      </c>
      <c r="BB63" t="s" s="0">
        <v>81</v>
      </c>
      <c r="BC63" t="s" s="0">
        <v>81</v>
      </c>
      <c r="BD63" t="s" s="0">
        <v>81</v>
      </c>
      <c r="BE63" t="s" s="0">
        <v>81</v>
      </c>
      <c r="BF63" t="s" s="0">
        <v>81</v>
      </c>
      <c r="BG63" t="s" s="0">
        <v>81</v>
      </c>
      <c r="BH63" t="s" s="0">
        <v>81</v>
      </c>
      <c r="BI63" t="s" s="0">
        <v>1856</v>
      </c>
      <c r="BJ63" t="s" s="0">
        <v>1857</v>
      </c>
      <c r="BK63" t="s" s="123">
        <f>HYPERLINK("http://dx.doi.org/10.3389/fmed.2025.1583514","http://dx.doi.org/10.3389/fmed.2025.1583514")</f>
        <v>1858</v>
      </c>
      <c r="BL63" t="s" s="0">
        <v>81</v>
      </c>
      <c r="BM63" t="s" s="0">
        <v>81</v>
      </c>
      <c r="BN63" t="s" s="0">
        <v>684</v>
      </c>
      <c r="BO63" t="s" s="0">
        <v>324</v>
      </c>
      <c r="BP63" t="s" s="0">
        <v>325</v>
      </c>
      <c r="BQ63" t="s" s="0">
        <v>1859</v>
      </c>
      <c r="BR63" t="s" s="0">
        <v>1860</v>
      </c>
      <c r="BS63" t="s" s="0">
        <v>1861</v>
      </c>
      <c r="BT63" t="s" s="124">
        <f>HYPERLINK("https://www.webofscience.com/wos/woscc/full-record/WOS:001503726400001","View Record in Web of Science")</f>
        <v>113</v>
      </c>
      <c r="BU63" t="s" s="0">
        <v>153</v>
      </c>
      <c r="BV63" t="s" s="0">
        <v>81</v>
      </c>
      <c r="BW63" t="s" s="0">
        <v>81</v>
      </c>
      <c r="BX63" t="s" s="0">
        <v>115</v>
      </c>
    </row>
    <row r="64">
      <c r="A64" t="s" s="0">
        <v>77</v>
      </c>
      <c r="B64" t="s" s="0">
        <v>77</v>
      </c>
      <c r="C64" t="s" s="0">
        <v>77</v>
      </c>
      <c r="D64" t="s" s="0">
        <v>77</v>
      </c>
      <c r="E64" t="s" s="0">
        <v>1862</v>
      </c>
      <c r="F64" t="s" s="0">
        <v>1863</v>
      </c>
      <c r="G64" t="s" s="0">
        <v>1864</v>
      </c>
      <c r="H64" t="s" s="0">
        <v>81</v>
      </c>
      <c r="I64" t="s" s="0">
        <v>543</v>
      </c>
      <c r="J64" t="s" s="0">
        <v>1865</v>
      </c>
      <c r="K64" t="s" s="0">
        <v>1866</v>
      </c>
      <c r="L64" t="s" s="0">
        <v>1867</v>
      </c>
      <c r="M64" t="s" s="0">
        <v>1868</v>
      </c>
      <c r="N64" t="s" s="0">
        <v>1869</v>
      </c>
      <c r="O64" t="s" s="0">
        <v>1870</v>
      </c>
      <c r="P64" t="s" s="0">
        <v>1871</v>
      </c>
      <c r="Q64" t="s" s="0">
        <v>87</v>
      </c>
      <c r="R64" t="s" s="0">
        <v>81</v>
      </c>
      <c r="S64" t="s" s="0">
        <v>81</v>
      </c>
      <c r="T64" t="s" s="0">
        <v>81</v>
      </c>
      <c r="U64" t="s" s="0">
        <v>81</v>
      </c>
      <c r="V64" t="s" s="0">
        <v>1872</v>
      </c>
      <c r="W64" t="s" s="0">
        <v>1873</v>
      </c>
      <c r="X64" t="s" s="0">
        <v>81</v>
      </c>
      <c r="Y64" t="s" s="0">
        <v>81</v>
      </c>
      <c r="Z64" t="s" s="0">
        <v>90</v>
      </c>
      <c r="AA64" t="s" s="0">
        <v>91</v>
      </c>
      <c r="AB64" t="s" s="0">
        <v>81</v>
      </c>
      <c r="AC64" t="s" s="0">
        <v>81</v>
      </c>
      <c r="AD64" t="s" s="0">
        <v>81</v>
      </c>
      <c r="AE64" t="s" s="0">
        <v>81</v>
      </c>
      <c r="AF64" t="s" s="0">
        <v>81</v>
      </c>
      <c r="AG64" t="s" s="0">
        <v>1874</v>
      </c>
      <c r="AH64" t="s" s="0">
        <v>1221</v>
      </c>
      <c r="AI64" t="s" s="0">
        <v>1875</v>
      </c>
      <c r="AJ64" t="s" s="0">
        <v>1876</v>
      </c>
      <c r="AK64" t="s" s="0">
        <v>81</v>
      </c>
      <c r="AL64" t="s" s="0">
        <v>102</v>
      </c>
      <c r="AM64" t="s" s="0">
        <v>144</v>
      </c>
      <c r="AN64" t="s" s="0">
        <v>144</v>
      </c>
      <c r="AO64" t="s" s="0">
        <v>103</v>
      </c>
      <c r="AP64" t="s" s="0">
        <v>134</v>
      </c>
      <c r="AQ64" t="s" s="0">
        <v>1877</v>
      </c>
      <c r="AR64" t="s" s="0">
        <v>1878</v>
      </c>
      <c r="AS64" t="s" s="0">
        <v>1879</v>
      </c>
      <c r="AT64" t="s" s="0">
        <v>1880</v>
      </c>
      <c r="AU64" t="s" s="0">
        <v>81</v>
      </c>
      <c r="AV64" t="s" s="0">
        <v>81</v>
      </c>
      <c r="AW64" t="s" s="0">
        <v>1881</v>
      </c>
      <c r="AX64" t="s" s="0">
        <v>1882</v>
      </c>
      <c r="AY64" t="s" s="0">
        <v>1883</v>
      </c>
      <c r="AZ64" t="s" s="0">
        <v>142</v>
      </c>
      <c r="BA64" t="s" s="0">
        <v>219</v>
      </c>
      <c r="BB64" t="s" s="0">
        <v>210</v>
      </c>
      <c r="BC64" t="s" s="0">
        <v>81</v>
      </c>
      <c r="BD64" t="s" s="0">
        <v>81</v>
      </c>
      <c r="BE64" t="s" s="0">
        <v>81</v>
      </c>
      <c r="BF64" t="s" s="0">
        <v>81</v>
      </c>
      <c r="BG64" t="s" s="0">
        <v>81</v>
      </c>
      <c r="BH64" t="s" s="0">
        <v>81</v>
      </c>
      <c r="BI64" t="s" s="0">
        <v>1884</v>
      </c>
      <c r="BJ64" t="s" s="0">
        <v>1885</v>
      </c>
      <c r="BK64" t="s" s="125">
        <f>HYPERLINK("http://dx.doi.org/10.1088/2631-8695/ae1278","http://dx.doi.org/10.1088/2631-8695/ae1278")</f>
        <v>1886</v>
      </c>
      <c r="BL64" t="s" s="0">
        <v>81</v>
      </c>
      <c r="BM64" t="s" s="0">
        <v>81</v>
      </c>
      <c r="BN64" t="s" s="0">
        <v>1887</v>
      </c>
      <c r="BO64" t="s" s="0">
        <v>1314</v>
      </c>
      <c r="BP64" t="s" s="0">
        <v>865</v>
      </c>
      <c r="BQ64" t="s" s="0">
        <v>1888</v>
      </c>
      <c r="BR64" t="s" s="0">
        <v>81</v>
      </c>
      <c r="BS64" t="s" s="0">
        <v>1889</v>
      </c>
      <c r="BT64" t="s" s="126">
        <f>HYPERLINK("https://www.webofscience.com/wos/woscc/full-record/WOS:001599546600001","View Record in Web of Science")</f>
        <v>113</v>
      </c>
      <c r="BU64" t="s" s="0">
        <v>81</v>
      </c>
      <c r="BV64" t="s" s="0">
        <v>81</v>
      </c>
      <c r="BW64" t="s" s="0">
        <v>81</v>
      </c>
      <c r="BX64" t="s" s="0">
        <v>115</v>
      </c>
    </row>
    <row r="65">
      <c r="A65" t="s" s="0">
        <v>77</v>
      </c>
      <c r="B65" t="s" s="0">
        <v>77</v>
      </c>
      <c r="C65" t="s" s="0">
        <v>77</v>
      </c>
      <c r="D65" t="s" s="0">
        <v>77</v>
      </c>
      <c r="E65" t="s" s="0">
        <v>1890</v>
      </c>
      <c r="F65" t="s" s="0">
        <v>1891</v>
      </c>
      <c r="G65" t="s" s="0">
        <v>1892</v>
      </c>
      <c r="H65" t="s" s="0">
        <v>81</v>
      </c>
      <c r="I65" t="s" s="0">
        <v>543</v>
      </c>
      <c r="J65" t="s" s="0">
        <v>1893</v>
      </c>
      <c r="K65" t="s" s="0">
        <v>1894</v>
      </c>
      <c r="L65" t="s" s="0">
        <v>81</v>
      </c>
      <c r="M65" t="s" s="0">
        <v>81</v>
      </c>
      <c r="N65" t="s" s="0">
        <v>81</v>
      </c>
      <c r="O65" t="s" s="0">
        <v>1895</v>
      </c>
      <c r="P65" t="s" s="0">
        <v>1896</v>
      </c>
      <c r="Q65" t="s" s="0">
        <v>87</v>
      </c>
      <c r="R65" t="s" s="0">
        <v>81</v>
      </c>
      <c r="S65" t="s" s="0">
        <v>81</v>
      </c>
      <c r="T65" t="s" s="0">
        <v>81</v>
      </c>
      <c r="U65" t="s" s="0">
        <v>81</v>
      </c>
      <c r="V65" t="s" s="0">
        <v>1897</v>
      </c>
      <c r="W65" t="s" s="0">
        <v>1898</v>
      </c>
      <c r="X65" t="s" s="0">
        <v>81</v>
      </c>
      <c r="Y65" t="s" s="0">
        <v>81</v>
      </c>
      <c r="Z65" t="s" s="0">
        <v>90</v>
      </c>
      <c r="AA65" t="s" s="0">
        <v>91</v>
      </c>
      <c r="AB65" t="s" s="0">
        <v>81</v>
      </c>
      <c r="AC65" t="s" s="0">
        <v>81</v>
      </c>
      <c r="AD65" t="s" s="0">
        <v>81</v>
      </c>
      <c r="AE65" t="s" s="0">
        <v>81</v>
      </c>
      <c r="AF65" t="s" s="0">
        <v>81</v>
      </c>
      <c r="AG65" t="s" s="0">
        <v>1899</v>
      </c>
      <c r="AH65" t="s" s="0">
        <v>1900</v>
      </c>
      <c r="AI65" t="s" s="0">
        <v>1901</v>
      </c>
      <c r="AJ65" t="s" s="0">
        <v>1902</v>
      </c>
      <c r="AK65" t="s" s="0">
        <v>81</v>
      </c>
      <c r="AL65" t="s" s="0">
        <v>1493</v>
      </c>
      <c r="AM65" t="s" s="0">
        <v>313</v>
      </c>
      <c r="AN65" t="s" s="0">
        <v>116</v>
      </c>
      <c r="AO65" t="s" s="0">
        <v>77</v>
      </c>
      <c r="AP65" t="s" s="0">
        <v>172</v>
      </c>
      <c r="AQ65" t="s" s="0">
        <v>1903</v>
      </c>
      <c r="AR65" t="s" s="0">
        <v>1904</v>
      </c>
      <c r="AS65" t="s" s="0">
        <v>1905</v>
      </c>
      <c r="AT65" t="s" s="0">
        <v>81</v>
      </c>
      <c r="AU65" t="s" s="0">
        <v>1906</v>
      </c>
      <c r="AV65" t="s" s="0">
        <v>81</v>
      </c>
      <c r="AW65" t="s" s="0">
        <v>1907</v>
      </c>
      <c r="AX65" t="s" s="0">
        <v>1908</v>
      </c>
      <c r="AY65" t="s" s="0">
        <v>285</v>
      </c>
      <c r="AZ65" t="s" s="0">
        <v>285</v>
      </c>
      <c r="BA65" t="s" s="0">
        <v>684</v>
      </c>
      <c r="BB65" t="s" s="0">
        <v>313</v>
      </c>
      <c r="BC65" t="s" s="0">
        <v>81</v>
      </c>
      <c r="BD65" t="s" s="0">
        <v>81</v>
      </c>
      <c r="BE65" t="s" s="0">
        <v>81</v>
      </c>
      <c r="BF65" t="s" s="0">
        <v>81</v>
      </c>
      <c r="BG65" t="s" s="0">
        <v>1909</v>
      </c>
      <c r="BH65" t="s" s="0">
        <v>1910</v>
      </c>
      <c r="BI65" t="s" s="0">
        <v>81</v>
      </c>
      <c r="BJ65" t="s" s="0">
        <v>1911</v>
      </c>
      <c r="BK65" t="s" s="127">
        <f>HYPERLINK("http://dx.doi.org/10.3991/ijoe.v20i02.43795","http://dx.doi.org/10.3991/ijoe.v20i02.43795")</f>
        <v>1912</v>
      </c>
      <c r="BL65" t="s" s="0">
        <v>81</v>
      </c>
      <c r="BM65" t="s" s="0">
        <v>81</v>
      </c>
      <c r="BN65" t="s" s="0">
        <v>277</v>
      </c>
      <c r="BO65" t="s" s="0">
        <v>1913</v>
      </c>
      <c r="BP65" t="s" s="0">
        <v>835</v>
      </c>
      <c r="BQ65" t="s" s="0">
        <v>1914</v>
      </c>
      <c r="BR65" t="s" s="0">
        <v>81</v>
      </c>
      <c r="BS65" t="s" s="0">
        <v>1915</v>
      </c>
      <c r="BT65" t="s" s="128">
        <f>HYPERLINK("https://www.webofscience.com/wos/woscc/full-record/WOS:001162801400008","View Record in Web of Science")</f>
        <v>113</v>
      </c>
      <c r="BU65" t="s" s="0">
        <v>1317</v>
      </c>
      <c r="BV65" t="s" s="0">
        <v>81</v>
      </c>
      <c r="BW65" t="s" s="0">
        <v>81</v>
      </c>
      <c r="BX65" t="s" s="0">
        <v>115</v>
      </c>
    </row>
    <row r="66">
      <c r="A66" t="s" s="0">
        <v>144</v>
      </c>
      <c r="B66" t="s" s="0">
        <v>77</v>
      </c>
      <c r="C66" t="s" s="0">
        <v>116</v>
      </c>
      <c r="D66" t="s" s="0">
        <v>77</v>
      </c>
      <c r="E66" t="s" s="0">
        <v>1916</v>
      </c>
      <c r="F66" t="s" s="0">
        <v>1917</v>
      </c>
      <c r="G66" t="s" s="0">
        <v>1918</v>
      </c>
      <c r="H66" t="s" s="0">
        <v>81</v>
      </c>
      <c r="I66" t="s" s="0">
        <v>82</v>
      </c>
      <c r="J66" t="s" s="0">
        <v>1919</v>
      </c>
      <c r="K66" t="s" s="0">
        <v>1920</v>
      </c>
      <c r="L66" t="s" s="0">
        <v>1921</v>
      </c>
      <c r="M66" t="s" s="0">
        <v>1921</v>
      </c>
      <c r="N66" t="s" s="0">
        <v>1922</v>
      </c>
      <c r="O66" t="s" s="0">
        <v>1923</v>
      </c>
      <c r="P66" t="s" s="0">
        <v>1924</v>
      </c>
      <c r="Q66" t="s" s="0">
        <v>87</v>
      </c>
      <c r="R66" t="s" s="0">
        <v>81</v>
      </c>
      <c r="S66" t="s" s="0">
        <v>81</v>
      </c>
      <c r="T66" t="s" s="0">
        <v>81</v>
      </c>
      <c r="U66" t="s" s="0">
        <v>81</v>
      </c>
      <c r="V66" t="s" s="0">
        <v>1925</v>
      </c>
      <c r="W66" t="s" s="0">
        <v>1926</v>
      </c>
      <c r="X66" t="s" s="0">
        <v>81</v>
      </c>
      <c r="Y66" t="s" s="0">
        <v>81</v>
      </c>
      <c r="Z66" t="s" s="0">
        <v>90</v>
      </c>
      <c r="AA66" t="s" s="0">
        <v>91</v>
      </c>
      <c r="AB66" t="s" s="0">
        <v>81</v>
      </c>
      <c r="AC66" t="s" s="0">
        <v>81</v>
      </c>
      <c r="AD66" t="s" s="0">
        <v>81</v>
      </c>
      <c r="AE66" t="s" s="0">
        <v>81</v>
      </c>
      <c r="AF66" t="s" s="0">
        <v>81</v>
      </c>
      <c r="AG66" t="s" s="0">
        <v>1927</v>
      </c>
      <c r="AH66" t="s" s="0">
        <v>1928</v>
      </c>
      <c r="AI66" t="s" s="0">
        <v>1929</v>
      </c>
      <c r="AJ66" t="s" s="0">
        <v>1930</v>
      </c>
      <c r="AK66" t="s" s="0">
        <v>81</v>
      </c>
      <c r="AL66" t="s" s="0">
        <v>910</v>
      </c>
      <c r="AM66" t="s" s="0">
        <v>684</v>
      </c>
      <c r="AN66" t="s" s="0">
        <v>796</v>
      </c>
      <c r="AO66" t="s" s="0">
        <v>313</v>
      </c>
      <c r="AP66" t="s" s="0">
        <v>323</v>
      </c>
      <c r="AQ66" t="s" s="0">
        <v>645</v>
      </c>
      <c r="AR66" t="s" s="0">
        <v>646</v>
      </c>
      <c r="AS66" t="s" s="0">
        <v>647</v>
      </c>
      <c r="AT66" t="s" s="0">
        <v>81</v>
      </c>
      <c r="AU66" t="s" s="0">
        <v>1931</v>
      </c>
      <c r="AV66" t="s" s="0">
        <v>81</v>
      </c>
      <c r="AW66" t="s" s="0">
        <v>1932</v>
      </c>
      <c r="AX66" t="s" s="0">
        <v>1933</v>
      </c>
      <c r="AY66" t="s" s="0">
        <v>1934</v>
      </c>
      <c r="AZ66" t="s" s="0">
        <v>142</v>
      </c>
      <c r="BA66" t="s" s="0">
        <v>277</v>
      </c>
      <c r="BB66" t="s" s="0">
        <v>144</v>
      </c>
      <c r="BC66" t="s" s="0">
        <v>81</v>
      </c>
      <c r="BD66" t="s" s="0">
        <v>81</v>
      </c>
      <c r="BE66" t="s" s="0">
        <v>81</v>
      </c>
      <c r="BF66" t="s" s="0">
        <v>81</v>
      </c>
      <c r="BG66" t="s" s="0">
        <v>81</v>
      </c>
      <c r="BH66" t="s" s="0">
        <v>81</v>
      </c>
      <c r="BI66" t="s" s="0">
        <v>626</v>
      </c>
      <c r="BJ66" t="s" s="0">
        <v>1935</v>
      </c>
      <c r="BK66" t="s" s="129">
        <f>HYPERLINK("http://dx.doi.org/10.1186/s13195-024-01668-5","http://dx.doi.org/10.1186/s13195-024-01668-5")</f>
        <v>1936</v>
      </c>
      <c r="BL66" t="s" s="0">
        <v>81</v>
      </c>
      <c r="BM66" t="s" s="0">
        <v>81</v>
      </c>
      <c r="BN66" t="s" s="0">
        <v>187</v>
      </c>
      <c r="BO66" t="s" s="0">
        <v>1937</v>
      </c>
      <c r="BP66" t="s" s="0">
        <v>749</v>
      </c>
      <c r="BQ66" t="s" s="0">
        <v>1938</v>
      </c>
      <c r="BR66" t="s" s="0">
        <v>1939</v>
      </c>
      <c r="BS66" t="s" s="0">
        <v>1940</v>
      </c>
      <c r="BT66" t="s" s="130">
        <f>HYPERLINK("https://www.webofscience.com/wos/woscc/full-record/WOS:001396032500002","View Record in Web of Science")</f>
        <v>113</v>
      </c>
      <c r="BU66" t="s" s="0">
        <v>153</v>
      </c>
      <c r="BV66" t="s" s="0">
        <v>81</v>
      </c>
      <c r="BW66" t="s" s="0">
        <v>81</v>
      </c>
      <c r="BX66" t="s" s="0">
        <v>115</v>
      </c>
    </row>
    <row r="67">
      <c r="A67" t="s" s="0">
        <v>77</v>
      </c>
      <c r="B67" t="s" s="0">
        <v>77</v>
      </c>
      <c r="C67" t="s" s="0">
        <v>209</v>
      </c>
      <c r="D67" t="s" s="0">
        <v>77</v>
      </c>
      <c r="E67" t="s" s="0">
        <v>1941</v>
      </c>
      <c r="F67" t="s" s="0">
        <v>1942</v>
      </c>
      <c r="G67" t="s" s="0">
        <v>1943</v>
      </c>
      <c r="H67" t="s" s="0">
        <v>81</v>
      </c>
      <c r="I67" t="s" s="0">
        <v>82</v>
      </c>
      <c r="J67" t="s" s="0">
        <v>1944</v>
      </c>
      <c r="K67" t="s" s="0">
        <v>1945</v>
      </c>
      <c r="L67" t="s" s="0">
        <v>1946</v>
      </c>
      <c r="M67" t="s" s="0">
        <v>1946</v>
      </c>
      <c r="N67" t="s" s="0">
        <v>1947</v>
      </c>
      <c r="O67" t="s" s="0">
        <v>1948</v>
      </c>
      <c r="P67" t="s" s="0">
        <v>1949</v>
      </c>
      <c r="Q67" t="s" s="0">
        <v>87</v>
      </c>
      <c r="R67" t="s" s="0">
        <v>81</v>
      </c>
      <c r="S67" t="s" s="0">
        <v>81</v>
      </c>
      <c r="T67" t="s" s="0">
        <v>81</v>
      </c>
      <c r="U67" t="s" s="0">
        <v>81</v>
      </c>
      <c r="V67" t="s" s="0">
        <v>1950</v>
      </c>
      <c r="W67" t="s" s="0">
        <v>1951</v>
      </c>
      <c r="X67" t="s" s="0">
        <v>81</v>
      </c>
      <c r="Y67" t="s" s="0">
        <v>81</v>
      </c>
      <c r="Z67" t="s" s="0">
        <v>90</v>
      </c>
      <c r="AA67" t="s" s="0">
        <v>91</v>
      </c>
      <c r="AB67" t="s" s="0">
        <v>81</v>
      </c>
      <c r="AC67" t="s" s="0">
        <v>81</v>
      </c>
      <c r="AD67" t="s" s="0">
        <v>81</v>
      </c>
      <c r="AE67" t="s" s="0">
        <v>81</v>
      </c>
      <c r="AF67" t="s" s="0">
        <v>81</v>
      </c>
      <c r="AG67" t="s" s="0">
        <v>1952</v>
      </c>
      <c r="AH67" t="s" s="0">
        <v>1953</v>
      </c>
      <c r="AI67" t="s" s="0">
        <v>1954</v>
      </c>
      <c r="AJ67" t="s" s="0">
        <v>81</v>
      </c>
      <c r="AK67" t="s" s="0">
        <v>81</v>
      </c>
      <c r="AL67" t="s" s="0">
        <v>1955</v>
      </c>
      <c r="AM67" t="s" s="0">
        <v>1956</v>
      </c>
      <c r="AN67" t="s" s="0">
        <v>1957</v>
      </c>
      <c r="AO67" t="s" s="0">
        <v>219</v>
      </c>
      <c r="AP67" t="s" s="0">
        <v>520</v>
      </c>
      <c r="AQ67" t="s" s="0">
        <v>278</v>
      </c>
      <c r="AR67" t="s" s="0">
        <v>823</v>
      </c>
      <c r="AS67" t="s" s="0">
        <v>824</v>
      </c>
      <c r="AT67" t="s" s="0">
        <v>1958</v>
      </c>
      <c r="AU67" t="s" s="0">
        <v>1959</v>
      </c>
      <c r="AV67" t="s" s="0">
        <v>81</v>
      </c>
      <c r="AW67" t="s" s="0">
        <v>1960</v>
      </c>
      <c r="AX67" t="s" s="0">
        <v>1961</v>
      </c>
      <c r="AY67" t="s" s="0">
        <v>1962</v>
      </c>
      <c r="AZ67" t="s" s="0">
        <v>285</v>
      </c>
      <c r="BA67" t="s" s="0">
        <v>1963</v>
      </c>
      <c r="BB67" t="s" s="0">
        <v>187</v>
      </c>
      <c r="BC67" t="s" s="0">
        <v>81</v>
      </c>
      <c r="BD67" t="s" s="0">
        <v>81</v>
      </c>
      <c r="BE67" t="s" s="0">
        <v>81</v>
      </c>
      <c r="BF67" t="s" s="0">
        <v>81</v>
      </c>
      <c r="BG67" t="s" s="0">
        <v>81</v>
      </c>
      <c r="BH67" t="s" s="0">
        <v>81</v>
      </c>
      <c r="BI67" t="s" s="0">
        <v>1964</v>
      </c>
      <c r="BJ67" t="s" s="0">
        <v>1965</v>
      </c>
      <c r="BK67" t="s" s="131">
        <f>HYPERLINK("http://dx.doi.org/10.1007/s10462-024-10984-z","http://dx.doi.org/10.1007/s10462-024-10984-z")</f>
        <v>1966</v>
      </c>
      <c r="BL67" t="s" s="0">
        <v>81</v>
      </c>
      <c r="BM67" t="s" s="0">
        <v>81</v>
      </c>
      <c r="BN67" t="s" s="0">
        <v>1573</v>
      </c>
      <c r="BO67" t="s" s="0">
        <v>834</v>
      </c>
      <c r="BP67" t="s" s="0">
        <v>835</v>
      </c>
      <c r="BQ67" t="s" s="0">
        <v>1967</v>
      </c>
      <c r="BR67" t="s" s="0">
        <v>81</v>
      </c>
      <c r="BS67" t="s" s="0">
        <v>1968</v>
      </c>
      <c r="BT67" t="s" s="132">
        <f>HYPERLINK("https://www.webofscience.com/wos/woscc/full-record/WOS:001336421600004","View Record in Web of Science")</f>
        <v>113</v>
      </c>
      <c r="BU67" t="s" s="0">
        <v>193</v>
      </c>
      <c r="BV67" t="s" s="0">
        <v>1969</v>
      </c>
      <c r="BW67" t="s" s="0">
        <v>1970</v>
      </c>
      <c r="BX67" t="s" s="0">
        <v>115</v>
      </c>
    </row>
    <row r="68">
      <c r="A68" t="s" s="0">
        <v>77</v>
      </c>
      <c r="B68" t="s" s="0">
        <v>77</v>
      </c>
      <c r="C68" t="s" s="0">
        <v>77</v>
      </c>
      <c r="D68" t="s" s="0">
        <v>77</v>
      </c>
      <c r="E68" t="s" s="0">
        <v>1971</v>
      </c>
      <c r="F68" t="s" s="0">
        <v>1972</v>
      </c>
      <c r="G68" t="s" s="0">
        <v>1973</v>
      </c>
      <c r="H68" t="s" s="0">
        <v>81</v>
      </c>
      <c r="I68" t="s" s="0">
        <v>82</v>
      </c>
      <c r="J68" t="s" s="0">
        <v>1974</v>
      </c>
      <c r="K68" t="s" s="0">
        <v>1975</v>
      </c>
      <c r="L68" t="s" s="0">
        <v>81</v>
      </c>
      <c r="M68" t="s" s="0">
        <v>81</v>
      </c>
      <c r="N68" t="s" s="0">
        <v>81</v>
      </c>
      <c r="O68" t="s" s="0">
        <v>1976</v>
      </c>
      <c r="P68" t="s" s="0">
        <v>1977</v>
      </c>
      <c r="Q68" t="s" s="0">
        <v>87</v>
      </c>
      <c r="R68" t="s" s="0">
        <v>81</v>
      </c>
      <c r="S68" t="s" s="0">
        <v>81</v>
      </c>
      <c r="T68" t="s" s="0">
        <v>81</v>
      </c>
      <c r="U68" t="s" s="0">
        <v>81</v>
      </c>
      <c r="V68" t="s" s="0">
        <v>1978</v>
      </c>
      <c r="W68" t="s" s="0">
        <v>1849</v>
      </c>
      <c r="X68" t="s" s="0">
        <v>81</v>
      </c>
      <c r="Y68" t="s" s="0">
        <v>81</v>
      </c>
      <c r="Z68" t="s" s="0">
        <v>90</v>
      </c>
      <c r="AA68" t="s" s="0">
        <v>91</v>
      </c>
      <c r="AB68" t="s" s="0">
        <v>81</v>
      </c>
      <c r="AC68" t="s" s="0">
        <v>81</v>
      </c>
      <c r="AD68" t="s" s="0">
        <v>81</v>
      </c>
      <c r="AE68" t="s" s="0">
        <v>81</v>
      </c>
      <c r="AF68" t="s" s="0">
        <v>81</v>
      </c>
      <c r="AG68" t="s" s="0">
        <v>1979</v>
      </c>
      <c r="AH68" t="s" s="0">
        <v>1980</v>
      </c>
      <c r="AI68" t="s" s="0">
        <v>81</v>
      </c>
      <c r="AJ68" t="s" s="0">
        <v>81</v>
      </c>
      <c r="AK68" t="s" s="0">
        <v>81</v>
      </c>
      <c r="AL68" t="s" s="0">
        <v>433</v>
      </c>
      <c r="AM68" t="s" s="0">
        <v>77</v>
      </c>
      <c r="AN68" t="s" s="0">
        <v>77</v>
      </c>
      <c r="AO68" t="s" s="0">
        <v>77</v>
      </c>
      <c r="AP68" t="s" s="0">
        <v>77</v>
      </c>
      <c r="AQ68" t="s" s="0">
        <v>402</v>
      </c>
      <c r="AR68" t="s" s="0">
        <v>403</v>
      </c>
      <c r="AS68" t="s" s="0">
        <v>404</v>
      </c>
      <c r="AT68" t="s" s="0">
        <v>81</v>
      </c>
      <c r="AU68" t="s" s="0">
        <v>1852</v>
      </c>
      <c r="AV68" t="s" s="0">
        <v>81</v>
      </c>
      <c r="AW68" t="s" s="0">
        <v>1853</v>
      </c>
      <c r="AX68" t="s" s="0">
        <v>1854</v>
      </c>
      <c r="AY68" t="s" s="0">
        <v>1981</v>
      </c>
      <c r="AZ68" t="s" s="0">
        <v>101</v>
      </c>
      <c r="BA68" t="s" s="0">
        <v>134</v>
      </c>
      <c r="BB68" t="s" s="0">
        <v>81</v>
      </c>
      <c r="BC68" t="s" s="0">
        <v>81</v>
      </c>
      <c r="BD68" t="s" s="0">
        <v>81</v>
      </c>
      <c r="BE68" t="s" s="0">
        <v>81</v>
      </c>
      <c r="BF68" t="s" s="0">
        <v>81</v>
      </c>
      <c r="BG68" t="s" s="0">
        <v>81</v>
      </c>
      <c r="BH68" t="s" s="0">
        <v>81</v>
      </c>
      <c r="BI68" t="s" s="0">
        <v>1982</v>
      </c>
      <c r="BJ68" t="s" s="0">
        <v>1983</v>
      </c>
      <c r="BK68" t="s" s="133">
        <f>HYPERLINK("http://dx.doi.org/10.3389/fmed.2026.1848064","http://dx.doi.org/10.3389/fmed.2026.1848064")</f>
        <v>1984</v>
      </c>
      <c r="BL68" t="s" s="0">
        <v>81</v>
      </c>
      <c r="BM68" t="s" s="0">
        <v>81</v>
      </c>
      <c r="BN68" t="s" s="0">
        <v>684</v>
      </c>
      <c r="BO68" t="s" s="0">
        <v>324</v>
      </c>
      <c r="BP68" t="s" s="0">
        <v>325</v>
      </c>
      <c r="BQ68" t="s" s="0">
        <v>1985</v>
      </c>
      <c r="BR68" t="s" s="0">
        <v>81</v>
      </c>
      <c r="BS68" t="s" s="0">
        <v>1986</v>
      </c>
      <c r="BT68" t="s" s="134">
        <f>HYPERLINK("https://www.webofscience.com/wos/woscc/full-record/WOS:001848556000001","View Record in Web of Science")</f>
        <v>113</v>
      </c>
      <c r="BU68" t="s" s="0">
        <v>153</v>
      </c>
      <c r="BV68" t="s" s="0">
        <v>81</v>
      </c>
      <c r="BW68" t="s" s="0">
        <v>81</v>
      </c>
      <c r="BX68" t="s" s="0">
        <v>115</v>
      </c>
    </row>
    <row r="69">
      <c r="A69" t="s" s="0">
        <v>77</v>
      </c>
      <c r="B69" t="s" s="0">
        <v>77</v>
      </c>
      <c r="C69" t="s" s="0">
        <v>77</v>
      </c>
      <c r="D69" t="s" s="0">
        <v>77</v>
      </c>
      <c r="E69" t="s" s="0">
        <v>1987</v>
      </c>
      <c r="F69" t="s" s="0">
        <v>1988</v>
      </c>
      <c r="G69" t="s" s="0">
        <v>1989</v>
      </c>
      <c r="H69" t="s" s="0">
        <v>81</v>
      </c>
      <c r="I69" t="s" s="0">
        <v>82</v>
      </c>
      <c r="J69" t="s" s="0">
        <v>1990</v>
      </c>
      <c r="K69" t="s" s="0">
        <v>1991</v>
      </c>
      <c r="L69" t="s" s="0">
        <v>1992</v>
      </c>
      <c r="M69" t="s" s="0">
        <v>1993</v>
      </c>
      <c r="N69" t="s" s="0">
        <v>1994</v>
      </c>
      <c r="O69" t="s" s="0">
        <v>1995</v>
      </c>
      <c r="P69" t="s" s="0">
        <v>1996</v>
      </c>
      <c r="Q69" t="s" s="0">
        <v>87</v>
      </c>
      <c r="R69" t="s" s="0">
        <v>81</v>
      </c>
      <c r="S69" t="s" s="0">
        <v>81</v>
      </c>
      <c r="T69" t="s" s="0">
        <v>81</v>
      </c>
      <c r="U69" t="s" s="0">
        <v>81</v>
      </c>
      <c r="V69" t="s" s="0">
        <v>1997</v>
      </c>
      <c r="W69" t="s" s="0">
        <v>1998</v>
      </c>
      <c r="X69" t="s" s="0">
        <v>81</v>
      </c>
      <c r="Y69" t="s" s="0">
        <v>81</v>
      </c>
      <c r="Z69" t="s" s="0">
        <v>90</v>
      </c>
      <c r="AA69" t="s" s="0">
        <v>91</v>
      </c>
      <c r="AB69" t="s" s="0">
        <v>81</v>
      </c>
      <c r="AC69" t="s" s="0">
        <v>81</v>
      </c>
      <c r="AD69" t="s" s="0">
        <v>81</v>
      </c>
      <c r="AE69" t="s" s="0">
        <v>81</v>
      </c>
      <c r="AF69" t="s" s="0">
        <v>81</v>
      </c>
      <c r="AG69" t="s" s="0">
        <v>1999</v>
      </c>
      <c r="AH69" t="s" s="0">
        <v>81</v>
      </c>
      <c r="AI69" t="s" s="0">
        <v>81</v>
      </c>
      <c r="AJ69" t="s" s="0">
        <v>81</v>
      </c>
      <c r="AK69" t="s" s="0">
        <v>81</v>
      </c>
      <c r="AL69" t="s" s="0">
        <v>286</v>
      </c>
      <c r="AM69" t="s" s="0">
        <v>77</v>
      </c>
      <c r="AN69" t="s" s="0">
        <v>77</v>
      </c>
      <c r="AO69" t="s" s="0">
        <v>77</v>
      </c>
      <c r="AP69" t="s" s="0">
        <v>77</v>
      </c>
      <c r="AQ69" t="s" s="0">
        <v>402</v>
      </c>
      <c r="AR69" t="s" s="0">
        <v>403</v>
      </c>
      <c r="AS69" t="s" s="0">
        <v>404</v>
      </c>
      <c r="AT69" t="s" s="0">
        <v>2000</v>
      </c>
      <c r="AU69" t="s" s="0">
        <v>81</v>
      </c>
      <c r="AV69" t="s" s="0">
        <v>81</v>
      </c>
      <c r="AW69" t="s" s="0">
        <v>2001</v>
      </c>
      <c r="AX69" t="s" s="0">
        <v>2002</v>
      </c>
      <c r="AY69" t="s" s="0">
        <v>2003</v>
      </c>
      <c r="AZ69" t="s" s="0">
        <v>101</v>
      </c>
      <c r="BA69" t="s" s="0">
        <v>684</v>
      </c>
      <c r="BB69" t="s" s="0">
        <v>81</v>
      </c>
      <c r="BC69" t="s" s="0">
        <v>81</v>
      </c>
      <c r="BD69" t="s" s="0">
        <v>81</v>
      </c>
      <c r="BE69" t="s" s="0">
        <v>81</v>
      </c>
      <c r="BF69" t="s" s="0">
        <v>81</v>
      </c>
      <c r="BG69" t="s" s="0">
        <v>81</v>
      </c>
      <c r="BH69" t="s" s="0">
        <v>81</v>
      </c>
      <c r="BI69" t="s" s="0">
        <v>2004</v>
      </c>
      <c r="BJ69" t="s" s="0">
        <v>2005</v>
      </c>
      <c r="BK69" t="s" s="135">
        <f>HYPERLINK("http://dx.doi.org/10.3389/fnhum.2026.1858163","http://dx.doi.org/10.3389/fnhum.2026.1858163")</f>
        <v>2006</v>
      </c>
      <c r="BL69" t="s" s="0">
        <v>81</v>
      </c>
      <c r="BM69" t="s" s="0">
        <v>100</v>
      </c>
      <c r="BN69" t="s" s="0">
        <v>626</v>
      </c>
      <c r="BO69" t="s" s="0">
        <v>2007</v>
      </c>
      <c r="BP69" t="s" s="0">
        <v>2008</v>
      </c>
      <c r="BQ69" t="s" s="0">
        <v>2009</v>
      </c>
      <c r="BR69" t="s" s="0">
        <v>2010</v>
      </c>
      <c r="BS69" t="s" s="0">
        <v>2011</v>
      </c>
      <c r="BT69" t="s" s="136">
        <f>HYPERLINK("https://www.webofscience.com/wos/woscc/full-record/WOS:001806353300001","View Record in Web of Science")</f>
        <v>113</v>
      </c>
      <c r="BU69" t="s" s="0">
        <v>153</v>
      </c>
      <c r="BV69" t="s" s="0">
        <v>81</v>
      </c>
      <c r="BW69" t="s" s="0">
        <v>81</v>
      </c>
      <c r="BX69" t="s" s="0">
        <v>115</v>
      </c>
    </row>
    <row r="70">
      <c r="A70" t="s" s="0">
        <v>77</v>
      </c>
      <c r="B70" t="s" s="0">
        <v>77</v>
      </c>
      <c r="C70" t="s" s="0">
        <v>77</v>
      </c>
      <c r="D70" t="s" s="0">
        <v>77</v>
      </c>
      <c r="E70" t="s" s="0">
        <v>2012</v>
      </c>
      <c r="F70" t="s" s="0">
        <v>2013</v>
      </c>
      <c r="G70" t="s" s="0">
        <v>2014</v>
      </c>
      <c r="H70" t="s" s="0">
        <v>81</v>
      </c>
      <c r="I70" t="s" s="0">
        <v>82</v>
      </c>
      <c r="J70" t="s" s="0">
        <v>2015</v>
      </c>
      <c r="K70" t="s" s="0">
        <v>2016</v>
      </c>
      <c r="L70" t="s" s="0">
        <v>2017</v>
      </c>
      <c r="M70" t="s" s="0">
        <v>2018</v>
      </c>
      <c r="N70" t="s" s="0">
        <v>2019</v>
      </c>
      <c r="O70" t="s" s="0">
        <v>2020</v>
      </c>
      <c r="P70" t="s" s="0">
        <v>2021</v>
      </c>
      <c r="Q70" t="s" s="0">
        <v>87</v>
      </c>
      <c r="R70" t="s" s="0">
        <v>81</v>
      </c>
      <c r="S70" t="s" s="0">
        <v>81</v>
      </c>
      <c r="T70" t="s" s="0">
        <v>81</v>
      </c>
      <c r="U70" t="s" s="0">
        <v>81</v>
      </c>
      <c r="V70" t="s" s="0">
        <v>2022</v>
      </c>
      <c r="W70" t="s" s="0">
        <v>2023</v>
      </c>
      <c r="X70" t="s" s="0">
        <v>81</v>
      </c>
      <c r="Y70" t="s" s="0">
        <v>81</v>
      </c>
      <c r="Z70" t="s" s="0">
        <v>90</v>
      </c>
      <c r="AA70" t="s" s="0">
        <v>91</v>
      </c>
      <c r="AB70" t="s" s="0">
        <v>81</v>
      </c>
      <c r="AC70" t="s" s="0">
        <v>81</v>
      </c>
      <c r="AD70" t="s" s="0">
        <v>81</v>
      </c>
      <c r="AE70" t="s" s="0">
        <v>81</v>
      </c>
      <c r="AF70" t="s" s="0">
        <v>81</v>
      </c>
      <c r="AG70" t="s" s="0">
        <v>2024</v>
      </c>
      <c r="AH70" t="s" s="0">
        <v>2025</v>
      </c>
      <c r="AI70" t="s" s="0">
        <v>81</v>
      </c>
      <c r="AJ70" t="s" s="0">
        <v>81</v>
      </c>
      <c r="AK70" t="s" s="0">
        <v>81</v>
      </c>
      <c r="AL70" t="s" s="0">
        <v>2026</v>
      </c>
      <c r="AM70" t="s" s="0">
        <v>77</v>
      </c>
      <c r="AN70" t="s" s="0">
        <v>77</v>
      </c>
      <c r="AO70" t="s" s="0">
        <v>77</v>
      </c>
      <c r="AP70" t="s" s="0">
        <v>77</v>
      </c>
      <c r="AQ70" t="s" s="0">
        <v>1162</v>
      </c>
      <c r="AR70" t="s" s="0">
        <v>95</v>
      </c>
      <c r="AS70" t="s" s="0">
        <v>1163</v>
      </c>
      <c r="AT70" t="s" s="0">
        <v>2027</v>
      </c>
      <c r="AU70" t="s" s="0">
        <v>2028</v>
      </c>
      <c r="AV70" t="s" s="0">
        <v>81</v>
      </c>
      <c r="AW70" t="s" s="0">
        <v>2029</v>
      </c>
      <c r="AX70" t="s" s="0">
        <v>2030</v>
      </c>
      <c r="AY70" t="s" s="0">
        <v>2031</v>
      </c>
      <c r="AZ70" t="s" s="0">
        <v>101</v>
      </c>
      <c r="BA70" t="s" s="0">
        <v>2032</v>
      </c>
      <c r="BB70" t="s" s="0">
        <v>81</v>
      </c>
      <c r="BC70" t="s" s="0">
        <v>81</v>
      </c>
      <c r="BD70" t="s" s="0">
        <v>2033</v>
      </c>
      <c r="BE70" t="s" s="0">
        <v>81</v>
      </c>
      <c r="BF70" t="s" s="0">
        <v>81</v>
      </c>
      <c r="BG70" t="s" s="0">
        <v>81</v>
      </c>
      <c r="BH70" t="s" s="0">
        <v>81</v>
      </c>
      <c r="BI70" t="s" s="0">
        <v>2034</v>
      </c>
      <c r="BJ70" t="s" s="0">
        <v>2035</v>
      </c>
      <c r="BK70" t="s" s="137">
        <f>HYPERLINK("http://dx.doi.org/10.1016/j.buildenv.2026.115079","http://dx.doi.org/10.1016/j.buildenv.2026.115079")</f>
        <v>2036</v>
      </c>
      <c r="BL70" t="s" s="0">
        <v>81</v>
      </c>
      <c r="BM70" t="s" s="0">
        <v>81</v>
      </c>
      <c r="BN70" t="s" s="0">
        <v>323</v>
      </c>
      <c r="BO70" t="s" s="0">
        <v>2037</v>
      </c>
      <c r="BP70" t="s" s="0">
        <v>2038</v>
      </c>
      <c r="BQ70" t="s" s="0">
        <v>2039</v>
      </c>
      <c r="BR70" t="s" s="0">
        <v>81</v>
      </c>
      <c r="BS70" t="s" s="0">
        <v>2040</v>
      </c>
      <c r="BT70" t="s" s="138">
        <f>HYPERLINK("https://www.webofscience.com/wos/woscc/full-record/WOS:001846275100001","View Record in Web of Science")</f>
        <v>113</v>
      </c>
      <c r="BU70" t="s" s="0">
        <v>81</v>
      </c>
      <c r="BV70" t="s" s="0">
        <v>81</v>
      </c>
      <c r="BW70" t="s" s="0">
        <v>81</v>
      </c>
      <c r="BX70" t="s" s="0">
        <v>115</v>
      </c>
    </row>
    <row r="71">
      <c r="A71" t="s" s="0">
        <v>77</v>
      </c>
      <c r="B71" t="s" s="0">
        <v>77</v>
      </c>
      <c r="C71" t="s" s="0">
        <v>77</v>
      </c>
      <c r="D71" t="s" s="0">
        <v>77</v>
      </c>
      <c r="E71" t="s" s="0">
        <v>2041</v>
      </c>
      <c r="F71" t="s" s="0">
        <v>2042</v>
      </c>
      <c r="G71" t="s" s="0">
        <v>2043</v>
      </c>
      <c r="H71" t="s" s="0">
        <v>81</v>
      </c>
      <c r="I71" t="s" s="0">
        <v>82</v>
      </c>
      <c r="J71" t="s" s="0">
        <v>2044</v>
      </c>
      <c r="K71" t="s" s="0">
        <v>2045</v>
      </c>
      <c r="L71" t="s" s="0">
        <v>2046</v>
      </c>
      <c r="M71" t="s" s="0">
        <v>2047</v>
      </c>
      <c r="N71" t="s" s="0">
        <v>2048</v>
      </c>
      <c r="O71" t="s" s="0">
        <v>2049</v>
      </c>
      <c r="P71" t="s" s="0">
        <v>2050</v>
      </c>
      <c r="Q71" t="s" s="0">
        <v>87</v>
      </c>
      <c r="R71" t="s" s="0">
        <v>81</v>
      </c>
      <c r="S71" t="s" s="0">
        <v>81</v>
      </c>
      <c r="T71" t="s" s="0">
        <v>81</v>
      </c>
      <c r="U71" t="s" s="0">
        <v>81</v>
      </c>
      <c r="V71" t="s" s="0">
        <v>2051</v>
      </c>
      <c r="W71" t="s" s="0">
        <v>2052</v>
      </c>
      <c r="X71" t="s" s="0">
        <v>81</v>
      </c>
      <c r="Y71" t="s" s="0">
        <v>81</v>
      </c>
      <c r="Z71" t="s" s="0">
        <v>90</v>
      </c>
      <c r="AA71" t="s" s="0">
        <v>91</v>
      </c>
      <c r="AB71" t="s" s="0">
        <v>81</v>
      </c>
      <c r="AC71" t="s" s="0">
        <v>81</v>
      </c>
      <c r="AD71" t="s" s="0">
        <v>81</v>
      </c>
      <c r="AE71" t="s" s="0">
        <v>81</v>
      </c>
      <c r="AF71" t="s" s="0">
        <v>81</v>
      </c>
      <c r="AG71" t="s" s="0">
        <v>81</v>
      </c>
      <c r="AH71" t="s" s="0">
        <v>2053</v>
      </c>
      <c r="AI71" t="s" s="0">
        <v>81</v>
      </c>
      <c r="AJ71" t="s" s="0">
        <v>81</v>
      </c>
      <c r="AK71" t="s" s="0">
        <v>81</v>
      </c>
      <c r="AL71" t="s" s="0">
        <v>2054</v>
      </c>
      <c r="AM71" t="s" s="0">
        <v>77</v>
      </c>
      <c r="AN71" t="s" s="0">
        <v>77</v>
      </c>
      <c r="AO71" t="s" s="0">
        <v>77</v>
      </c>
      <c r="AP71" t="s" s="0">
        <v>77</v>
      </c>
      <c r="AQ71" t="s" s="0">
        <v>135</v>
      </c>
      <c r="AR71" t="s" s="0">
        <v>136</v>
      </c>
      <c r="AS71" t="s" s="0">
        <v>137</v>
      </c>
      <c r="AT71" t="s" s="0">
        <v>81</v>
      </c>
      <c r="AU71" t="s" s="0">
        <v>2055</v>
      </c>
      <c r="AV71" t="s" s="0">
        <v>81</v>
      </c>
      <c r="AW71" t="s" s="0">
        <v>2056</v>
      </c>
      <c r="AX71" t="s" s="0">
        <v>2057</v>
      </c>
      <c r="AY71" t="s" s="0">
        <v>2058</v>
      </c>
      <c r="AZ71" t="s" s="0">
        <v>101</v>
      </c>
      <c r="BA71" t="s" s="0">
        <v>187</v>
      </c>
      <c r="BB71" t="s" s="0">
        <v>144</v>
      </c>
      <c r="BC71" t="s" s="0">
        <v>81</v>
      </c>
      <c r="BD71" t="s" s="0">
        <v>81</v>
      </c>
      <c r="BE71" t="s" s="0">
        <v>81</v>
      </c>
      <c r="BF71" t="s" s="0">
        <v>81</v>
      </c>
      <c r="BG71" t="s" s="0">
        <v>81</v>
      </c>
      <c r="BH71" t="s" s="0">
        <v>81</v>
      </c>
      <c r="BI71" t="s" s="0">
        <v>2059</v>
      </c>
      <c r="BJ71" t="s" s="0">
        <v>2060</v>
      </c>
      <c r="BK71" t="s" s="139">
        <f>HYPERLINK("http://dx.doi.org/10.1038/s41531-026-01344-5","http://dx.doi.org/10.1038/s41531-026-01344-5")</f>
        <v>2061</v>
      </c>
      <c r="BL71" t="s" s="0">
        <v>81</v>
      </c>
      <c r="BM71" t="s" s="0">
        <v>438</v>
      </c>
      <c r="BN71" t="s" s="0">
        <v>187</v>
      </c>
      <c r="BO71" t="s" s="0">
        <v>748</v>
      </c>
      <c r="BP71" t="s" s="0">
        <v>749</v>
      </c>
      <c r="BQ71" t="s" s="0">
        <v>2062</v>
      </c>
      <c r="BR71" t="s" s="0">
        <v>2063</v>
      </c>
      <c r="BS71" t="s" s="0">
        <v>2064</v>
      </c>
      <c r="BT71" t="s" s="140">
        <f>HYPERLINK("https://www.webofscience.com/wos/woscc/full-record/WOS:001810967500001","View Record in Web of Science")</f>
        <v>113</v>
      </c>
      <c r="BU71" t="s" s="0">
        <v>153</v>
      </c>
      <c r="BV71" t="s" s="0">
        <v>81</v>
      </c>
      <c r="BW71" t="s" s="0">
        <v>81</v>
      </c>
      <c r="BX71" t="s" s="0">
        <v>115</v>
      </c>
    </row>
    <row r="72">
      <c r="A72" t="s" s="0">
        <v>77</v>
      </c>
      <c r="B72" t="s" s="0">
        <v>77</v>
      </c>
      <c r="C72" t="s" s="0">
        <v>313</v>
      </c>
      <c r="D72" t="s" s="0">
        <v>77</v>
      </c>
      <c r="E72" t="s" s="0">
        <v>2065</v>
      </c>
      <c r="F72" t="s" s="0">
        <v>2066</v>
      </c>
      <c r="G72" t="s" s="0">
        <v>2067</v>
      </c>
      <c r="H72" t="s" s="0">
        <v>81</v>
      </c>
      <c r="I72" t="s" s="0">
        <v>82</v>
      </c>
      <c r="J72" t="s" s="0">
        <v>2068</v>
      </c>
      <c r="K72" t="s" s="0">
        <v>2069</v>
      </c>
      <c r="L72" t="s" s="0">
        <v>81</v>
      </c>
      <c r="M72" t="s" s="0">
        <v>81</v>
      </c>
      <c r="N72" t="s" s="0">
        <v>81</v>
      </c>
      <c r="O72" t="s" s="0">
        <v>2070</v>
      </c>
      <c r="P72" t="s" s="0">
        <v>2071</v>
      </c>
      <c r="Q72" t="s" s="0">
        <v>87</v>
      </c>
      <c r="R72" t="s" s="0">
        <v>81</v>
      </c>
      <c r="S72" t="s" s="0">
        <v>81</v>
      </c>
      <c r="T72" t="s" s="0">
        <v>81</v>
      </c>
      <c r="U72" t="s" s="0">
        <v>81</v>
      </c>
      <c r="V72" t="s" s="0">
        <v>2072</v>
      </c>
      <c r="W72" t="s" s="0">
        <v>2073</v>
      </c>
      <c r="X72" t="s" s="0">
        <v>81</v>
      </c>
      <c r="Y72" t="s" s="0">
        <v>81</v>
      </c>
      <c r="Z72" t="s" s="0">
        <v>90</v>
      </c>
      <c r="AA72" t="s" s="0">
        <v>91</v>
      </c>
      <c r="AB72" t="s" s="0">
        <v>81</v>
      </c>
      <c r="AC72" t="s" s="0">
        <v>81</v>
      </c>
      <c r="AD72" t="s" s="0">
        <v>81</v>
      </c>
      <c r="AE72" t="s" s="0">
        <v>81</v>
      </c>
      <c r="AF72" t="s" s="0">
        <v>81</v>
      </c>
      <c r="AG72" t="s" s="0">
        <v>2074</v>
      </c>
      <c r="AH72" t="s" s="0">
        <v>2075</v>
      </c>
      <c r="AI72" t="s" s="0">
        <v>2076</v>
      </c>
      <c r="AJ72" t="s" s="0">
        <v>2077</v>
      </c>
      <c r="AK72" t="s" s="0">
        <v>81</v>
      </c>
      <c r="AL72" t="s" s="0">
        <v>102</v>
      </c>
      <c r="AM72" t="s" s="0">
        <v>313</v>
      </c>
      <c r="AN72" t="s" s="0">
        <v>313</v>
      </c>
      <c r="AO72" t="s" s="0">
        <v>144</v>
      </c>
      <c r="AP72" t="s" s="0">
        <v>144</v>
      </c>
      <c r="AQ72" t="s" s="0">
        <v>278</v>
      </c>
      <c r="AR72" t="s" s="0">
        <v>823</v>
      </c>
      <c r="AS72" t="s" s="0">
        <v>824</v>
      </c>
      <c r="AT72" t="s" s="0">
        <v>2078</v>
      </c>
      <c r="AU72" t="s" s="0">
        <v>2079</v>
      </c>
      <c r="AV72" t="s" s="0">
        <v>81</v>
      </c>
      <c r="AW72" t="s" s="0">
        <v>2080</v>
      </c>
      <c r="AX72" t="s" s="0">
        <v>2081</v>
      </c>
      <c r="AY72" t="s" s="0">
        <v>2082</v>
      </c>
      <c r="AZ72" t="s" s="0">
        <v>101</v>
      </c>
      <c r="BA72" t="s" s="0">
        <v>433</v>
      </c>
      <c r="BB72" t="s" s="0">
        <v>144</v>
      </c>
      <c r="BC72" t="s" s="0">
        <v>81</v>
      </c>
      <c r="BD72" t="s" s="0">
        <v>81</v>
      </c>
      <c r="BE72" t="s" s="0">
        <v>81</v>
      </c>
      <c r="BF72" t="s" s="0">
        <v>81</v>
      </c>
      <c r="BG72" t="s" s="0">
        <v>81</v>
      </c>
      <c r="BH72" t="s" s="0">
        <v>81</v>
      </c>
      <c r="BI72" t="s" s="0">
        <v>2083</v>
      </c>
      <c r="BJ72" t="s" s="0">
        <v>2084</v>
      </c>
      <c r="BK72" t="s" s="141">
        <f>HYPERLINK("http://dx.doi.org/10.1007/s10822-026-00796-4","http://dx.doi.org/10.1007/s10822-026-00796-4")</f>
        <v>2085</v>
      </c>
      <c r="BL72" t="s" s="0">
        <v>81</v>
      </c>
      <c r="BM72" t="s" s="0">
        <v>81</v>
      </c>
      <c r="BN72" t="s" s="0">
        <v>134</v>
      </c>
      <c r="BO72" t="s" s="0">
        <v>2086</v>
      </c>
      <c r="BP72" t="s" s="0">
        <v>2087</v>
      </c>
      <c r="BQ72" t="s" s="0">
        <v>2088</v>
      </c>
      <c r="BR72" t="s" s="0">
        <v>2089</v>
      </c>
      <c r="BS72" t="s" s="0">
        <v>2090</v>
      </c>
      <c r="BT72" t="s" s="142">
        <f>HYPERLINK("https://www.webofscience.com/wos/woscc/full-record/WOS:001723022900002","View Record in Web of Science")</f>
        <v>113</v>
      </c>
      <c r="BU72" t="s" s="0">
        <v>81</v>
      </c>
      <c r="BV72" t="s" s="0">
        <v>81</v>
      </c>
      <c r="BW72" t="s" s="0">
        <v>81</v>
      </c>
      <c r="BX72" t="s" s="0">
        <v>115</v>
      </c>
    </row>
    <row r="73">
      <c r="A73" t="s" s="0">
        <v>144</v>
      </c>
      <c r="B73" t="s" s="0">
        <v>77</v>
      </c>
      <c r="C73" t="s" s="0">
        <v>116</v>
      </c>
      <c r="D73" t="s" s="0">
        <v>77</v>
      </c>
      <c r="E73" t="s" s="0">
        <v>2091</v>
      </c>
      <c r="F73" t="s" s="0">
        <v>2092</v>
      </c>
      <c r="G73" t="s" s="0">
        <v>2093</v>
      </c>
      <c r="H73" t="s" s="0">
        <v>81</v>
      </c>
      <c r="I73" t="s" s="0">
        <v>82</v>
      </c>
      <c r="J73" t="s" s="0">
        <v>2094</v>
      </c>
      <c r="K73" t="s" s="0">
        <v>2095</v>
      </c>
      <c r="L73" t="s" s="0">
        <v>2096</v>
      </c>
      <c r="M73" t="s" s="0">
        <v>2096</v>
      </c>
      <c r="N73" t="s" s="0">
        <v>2097</v>
      </c>
      <c r="O73" t="s" s="0">
        <v>2098</v>
      </c>
      <c r="P73" t="s" s="0">
        <v>2099</v>
      </c>
      <c r="Q73" t="s" s="0">
        <v>87</v>
      </c>
      <c r="R73" t="s" s="0">
        <v>81</v>
      </c>
      <c r="S73" t="s" s="0">
        <v>81</v>
      </c>
      <c r="T73" t="s" s="0">
        <v>81</v>
      </c>
      <c r="U73" t="s" s="0">
        <v>81</v>
      </c>
      <c r="V73" t="s" s="0">
        <v>2100</v>
      </c>
      <c r="W73" t="s" s="0">
        <v>2101</v>
      </c>
      <c r="X73" t="s" s="0">
        <v>81</v>
      </c>
      <c r="Y73" t="s" s="0">
        <v>81</v>
      </c>
      <c r="Z73" t="s" s="0">
        <v>90</v>
      </c>
      <c r="AA73" t="s" s="0">
        <v>91</v>
      </c>
      <c r="AB73" t="s" s="0">
        <v>81</v>
      </c>
      <c r="AC73" t="s" s="0">
        <v>81</v>
      </c>
      <c r="AD73" t="s" s="0">
        <v>81</v>
      </c>
      <c r="AE73" t="s" s="0">
        <v>81</v>
      </c>
      <c r="AF73" t="s" s="0">
        <v>81</v>
      </c>
      <c r="AG73" t="s" s="0">
        <v>2102</v>
      </c>
      <c r="AH73" t="s" s="0">
        <v>2103</v>
      </c>
      <c r="AI73" t="s" s="0">
        <v>2104</v>
      </c>
      <c r="AJ73" t="s" s="0">
        <v>2105</v>
      </c>
      <c r="AK73" t="s" s="0">
        <v>81</v>
      </c>
      <c r="AL73" t="s" s="0">
        <v>2106</v>
      </c>
      <c r="AM73" t="s" s="0">
        <v>219</v>
      </c>
      <c r="AN73" t="s" s="0">
        <v>172</v>
      </c>
      <c r="AO73" t="s" s="0">
        <v>372</v>
      </c>
      <c r="AP73" t="s" s="0">
        <v>796</v>
      </c>
      <c r="AQ73" t="s" s="0">
        <v>212</v>
      </c>
      <c r="AR73" t="s" s="0">
        <v>213</v>
      </c>
      <c r="AS73" t="s" s="0">
        <v>214</v>
      </c>
      <c r="AT73" t="s" s="0">
        <v>81</v>
      </c>
      <c r="AU73" t="s" s="0">
        <v>2107</v>
      </c>
      <c r="AV73" t="s" s="0">
        <v>81</v>
      </c>
      <c r="AW73" t="s" s="0">
        <v>2108</v>
      </c>
      <c r="AX73" t="s" s="0">
        <v>2109</v>
      </c>
      <c r="AY73" t="s" s="0">
        <v>380</v>
      </c>
      <c r="AZ73" t="s" s="0">
        <v>142</v>
      </c>
      <c r="BA73" t="s" s="0">
        <v>187</v>
      </c>
      <c r="BB73" t="s" s="0">
        <v>132</v>
      </c>
      <c r="BC73" t="s" s="0">
        <v>81</v>
      </c>
      <c r="BD73" t="s" s="0">
        <v>81</v>
      </c>
      <c r="BE73" t="s" s="0">
        <v>81</v>
      </c>
      <c r="BF73" t="s" s="0">
        <v>81</v>
      </c>
      <c r="BG73" t="s" s="0">
        <v>81</v>
      </c>
      <c r="BH73" t="s" s="0">
        <v>81</v>
      </c>
      <c r="BI73" t="s" s="0">
        <v>2110</v>
      </c>
      <c r="BJ73" t="s" s="0">
        <v>2111</v>
      </c>
      <c r="BK73" t="s" s="143">
        <f>HYPERLINK("http://dx.doi.org/10.1002/advs.202502833","http://dx.doi.org/10.1002/advs.202502833")</f>
        <v>2112</v>
      </c>
      <c r="BL73" t="s" s="0">
        <v>81</v>
      </c>
      <c r="BM73" t="s" s="0">
        <v>499</v>
      </c>
      <c r="BN73" t="s" s="0">
        <v>245</v>
      </c>
      <c r="BO73" t="s" s="0">
        <v>2113</v>
      </c>
      <c r="BP73" t="s" s="0">
        <v>2114</v>
      </c>
      <c r="BQ73" t="s" s="0">
        <v>2115</v>
      </c>
      <c r="BR73" t="s" s="0">
        <v>2116</v>
      </c>
      <c r="BS73" t="s" s="0">
        <v>2117</v>
      </c>
      <c r="BT73" t="s" s="144">
        <f>HYPERLINK("https://www.webofscience.com/wos/woscc/full-record/WOS:001498606600001","View Record in Web of Science")</f>
        <v>113</v>
      </c>
      <c r="BU73" t="s" s="0">
        <v>153</v>
      </c>
      <c r="BV73" t="s" s="0">
        <v>81</v>
      </c>
      <c r="BW73" t="s" s="0">
        <v>81</v>
      </c>
      <c r="BX73" t="s" s="0">
        <v>115</v>
      </c>
    </row>
    <row r="74">
      <c r="A74" t="s" s="0">
        <v>77</v>
      </c>
      <c r="B74" t="s" s="0">
        <v>77</v>
      </c>
      <c r="C74" t="s" s="0">
        <v>77</v>
      </c>
      <c r="D74" t="s" s="0">
        <v>77</v>
      </c>
      <c r="E74" t="s" s="0">
        <v>2118</v>
      </c>
      <c r="F74" t="s" s="0">
        <v>2119</v>
      </c>
      <c r="G74" t="s" s="0">
        <v>2120</v>
      </c>
      <c r="H74" t="s" s="0">
        <v>81</v>
      </c>
      <c r="I74" t="s" s="0">
        <v>82</v>
      </c>
      <c r="J74" t="s" s="0">
        <v>2121</v>
      </c>
      <c r="K74" t="s" s="0">
        <v>2122</v>
      </c>
      <c r="L74" t="s" s="0">
        <v>81</v>
      </c>
      <c r="M74" t="s" s="0">
        <v>81</v>
      </c>
      <c r="N74" t="s" s="0">
        <v>2123</v>
      </c>
      <c r="O74" t="s" s="0">
        <v>2124</v>
      </c>
      <c r="P74" t="s" s="0">
        <v>2125</v>
      </c>
      <c r="Q74" t="s" s="0">
        <v>87</v>
      </c>
      <c r="R74" t="s" s="0">
        <v>81</v>
      </c>
      <c r="S74" t="s" s="0">
        <v>81</v>
      </c>
      <c r="T74" t="s" s="0">
        <v>81</v>
      </c>
      <c r="U74" t="s" s="0">
        <v>81</v>
      </c>
      <c r="V74" t="s" s="0">
        <v>2126</v>
      </c>
      <c r="W74" t="s" s="0">
        <v>2127</v>
      </c>
      <c r="X74" t="s" s="0">
        <v>81</v>
      </c>
      <c r="Y74" t="s" s="0">
        <v>81</v>
      </c>
      <c r="Z74" t="s" s="0">
        <v>90</v>
      </c>
      <c r="AA74" t="s" s="0">
        <v>91</v>
      </c>
      <c r="AB74" t="s" s="0">
        <v>81</v>
      </c>
      <c r="AC74" t="s" s="0">
        <v>81</v>
      </c>
      <c r="AD74" t="s" s="0">
        <v>81</v>
      </c>
      <c r="AE74" t="s" s="0">
        <v>81</v>
      </c>
      <c r="AF74" t="s" s="0">
        <v>81</v>
      </c>
      <c r="AG74" t="s" s="0">
        <v>2128</v>
      </c>
      <c r="AH74" t="s" s="0">
        <v>81</v>
      </c>
      <c r="AI74" t="s" s="0">
        <v>81</v>
      </c>
      <c r="AJ74" t="s" s="0">
        <v>81</v>
      </c>
      <c r="AK74" t="s" s="0">
        <v>81</v>
      </c>
      <c r="AL74" t="s" s="0">
        <v>767</v>
      </c>
      <c r="AM74" t="s" s="0">
        <v>372</v>
      </c>
      <c r="AN74" t="s" s="0">
        <v>372</v>
      </c>
      <c r="AO74" t="s" s="0">
        <v>107</v>
      </c>
      <c r="AP74" t="s" s="0">
        <v>488</v>
      </c>
      <c r="AQ74" t="s" s="0">
        <v>402</v>
      </c>
      <c r="AR74" t="s" s="0">
        <v>403</v>
      </c>
      <c r="AS74" t="s" s="0">
        <v>404</v>
      </c>
      <c r="AT74" t="s" s="0">
        <v>81</v>
      </c>
      <c r="AU74" t="s" s="0">
        <v>2129</v>
      </c>
      <c r="AV74" t="s" s="0">
        <v>81</v>
      </c>
      <c r="AW74" t="s" s="0">
        <v>2130</v>
      </c>
      <c r="AX74" t="s" s="0">
        <v>2131</v>
      </c>
      <c r="AY74" t="s" s="0">
        <v>2132</v>
      </c>
      <c r="AZ74" t="s" s="0">
        <v>142</v>
      </c>
      <c r="BA74" t="s" s="0">
        <v>187</v>
      </c>
      <c r="BB74" t="s" s="0">
        <v>81</v>
      </c>
      <c r="BC74" t="s" s="0">
        <v>81</v>
      </c>
      <c r="BD74" t="s" s="0">
        <v>81</v>
      </c>
      <c r="BE74" t="s" s="0">
        <v>81</v>
      </c>
      <c r="BF74" t="s" s="0">
        <v>81</v>
      </c>
      <c r="BG74" t="s" s="0">
        <v>81</v>
      </c>
      <c r="BH74" t="s" s="0">
        <v>81</v>
      </c>
      <c r="BI74" t="s" s="0">
        <v>2133</v>
      </c>
      <c r="BJ74" t="s" s="0">
        <v>2134</v>
      </c>
      <c r="BK74" t="s" s="145">
        <f>HYPERLINK("http://dx.doi.org/10.3389/fvets.2025.1660745","http://dx.doi.org/10.3389/fvets.2025.1660745")</f>
        <v>2135</v>
      </c>
      <c r="BL74" t="s" s="0">
        <v>81</v>
      </c>
      <c r="BM74" t="s" s="0">
        <v>81</v>
      </c>
      <c r="BN74" t="s" s="0">
        <v>143</v>
      </c>
      <c r="BO74" t="s" s="0">
        <v>2136</v>
      </c>
      <c r="BP74" t="s" s="0">
        <v>2136</v>
      </c>
      <c r="BQ74" t="s" s="0">
        <v>2137</v>
      </c>
      <c r="BR74" t="s" s="0">
        <v>2138</v>
      </c>
      <c r="BS74" t="s" s="0">
        <v>2139</v>
      </c>
      <c r="BT74" t="s" s="146">
        <f>HYPERLINK("https://www.webofscience.com/wos/woscc/full-record/WOS:001573875000001","View Record in Web of Science")</f>
        <v>113</v>
      </c>
      <c r="BU74" t="s" s="0">
        <v>153</v>
      </c>
      <c r="BV74" t="s" s="0">
        <v>81</v>
      </c>
      <c r="BW74" t="s" s="0">
        <v>81</v>
      </c>
      <c r="BX74" t="s" s="0">
        <v>115</v>
      </c>
    </row>
    <row r="75">
      <c r="A75" t="s" s="0">
        <v>77</v>
      </c>
      <c r="B75" t="s" s="0">
        <v>77</v>
      </c>
      <c r="C75" t="s" s="0">
        <v>144</v>
      </c>
      <c r="D75" t="s" s="0">
        <v>77</v>
      </c>
      <c r="E75" t="s" s="0">
        <v>2140</v>
      </c>
      <c r="F75" t="s" s="0">
        <v>2141</v>
      </c>
      <c r="G75" t="s" s="0">
        <v>2142</v>
      </c>
      <c r="H75" t="s" s="0">
        <v>81</v>
      </c>
      <c r="I75" t="s" s="0">
        <v>543</v>
      </c>
      <c r="J75" t="s" s="0">
        <v>2143</v>
      </c>
      <c r="K75" t="s" s="0">
        <v>2144</v>
      </c>
      <c r="L75" t="s" s="0">
        <v>2145</v>
      </c>
      <c r="M75" t="s" s="0">
        <v>2146</v>
      </c>
      <c r="N75" t="s" s="0">
        <v>2147</v>
      </c>
      <c r="O75" t="s" s="0">
        <v>2148</v>
      </c>
      <c r="P75" t="s" s="0">
        <v>2149</v>
      </c>
      <c r="Q75" t="s" s="0">
        <v>87</v>
      </c>
      <c r="R75" t="s" s="0">
        <v>81</v>
      </c>
      <c r="S75" t="s" s="0">
        <v>81</v>
      </c>
      <c r="T75" t="s" s="0">
        <v>81</v>
      </c>
      <c r="U75" t="s" s="0">
        <v>81</v>
      </c>
      <c r="V75" t="s" s="0">
        <v>2150</v>
      </c>
      <c r="W75" t="s" s="0">
        <v>2151</v>
      </c>
      <c r="X75" t="s" s="0">
        <v>81</v>
      </c>
      <c r="Y75" t="s" s="0">
        <v>81</v>
      </c>
      <c r="Z75" t="s" s="0">
        <v>90</v>
      </c>
      <c r="AA75" t="s" s="0">
        <v>2152</v>
      </c>
      <c r="AB75" t="s" s="0">
        <v>81</v>
      </c>
      <c r="AC75" t="s" s="0">
        <v>81</v>
      </c>
      <c r="AD75" t="s" s="0">
        <v>81</v>
      </c>
      <c r="AE75" t="s" s="0">
        <v>81</v>
      </c>
      <c r="AF75" t="s" s="0">
        <v>81</v>
      </c>
      <c r="AG75" t="s" s="0">
        <v>2153</v>
      </c>
      <c r="AH75" t="s" s="0">
        <v>2154</v>
      </c>
      <c r="AI75" t="s" s="0">
        <v>2155</v>
      </c>
      <c r="AJ75" t="s" s="0">
        <v>81</v>
      </c>
      <c r="AK75" t="s" s="0">
        <v>81</v>
      </c>
      <c r="AL75" t="s" s="0">
        <v>211</v>
      </c>
      <c r="AM75" t="s" s="0">
        <v>144</v>
      </c>
      <c r="AN75" t="s" s="0">
        <v>144</v>
      </c>
      <c r="AO75" t="s" s="0">
        <v>144</v>
      </c>
      <c r="AP75" t="s" s="0">
        <v>172</v>
      </c>
      <c r="AQ75" t="s" s="0">
        <v>615</v>
      </c>
      <c r="AR75" t="s" s="0">
        <v>616</v>
      </c>
      <c r="AS75" t="s" s="0">
        <v>617</v>
      </c>
      <c r="AT75" t="s" s="0">
        <v>2156</v>
      </c>
      <c r="AU75" t="s" s="0">
        <v>81</v>
      </c>
      <c r="AV75" t="s" s="0">
        <v>81</v>
      </c>
      <c r="AW75" t="s" s="0">
        <v>2157</v>
      </c>
      <c r="AX75" t="s" s="0">
        <v>2158</v>
      </c>
      <c r="AY75" t="s" s="0">
        <v>494</v>
      </c>
      <c r="AZ75" t="s" s="0">
        <v>142</v>
      </c>
      <c r="BA75" t="s" s="0">
        <v>2159</v>
      </c>
      <c r="BB75" t="s" s="0">
        <v>81</v>
      </c>
      <c r="BC75" t="s" s="0">
        <v>81</v>
      </c>
      <c r="BD75" t="s" s="0">
        <v>81</v>
      </c>
      <c r="BE75" t="s" s="0">
        <v>81</v>
      </c>
      <c r="BF75" t="s" s="0">
        <v>81</v>
      </c>
      <c r="BG75" t="s" s="0">
        <v>81</v>
      </c>
      <c r="BH75" t="s" s="0">
        <v>81</v>
      </c>
      <c r="BI75" t="s" s="0">
        <v>2160</v>
      </c>
      <c r="BJ75" t="s" s="0">
        <v>2161</v>
      </c>
      <c r="BK75" t="s" s="147">
        <f>HYPERLINK("http://dx.doi.org/10.1016/j.dib.2025.111583","http://dx.doi.org/10.1016/j.dib.2025.111583")</f>
        <v>2162</v>
      </c>
      <c r="BL75" t="s" s="0">
        <v>81</v>
      </c>
      <c r="BM75" t="s" s="0">
        <v>467</v>
      </c>
      <c r="BN75" t="s" s="0">
        <v>173</v>
      </c>
      <c r="BO75" t="s" s="0">
        <v>148</v>
      </c>
      <c r="BP75" t="s" s="0">
        <v>149</v>
      </c>
      <c r="BQ75" t="s" s="0">
        <v>2163</v>
      </c>
      <c r="BR75" t="s" s="0">
        <v>2164</v>
      </c>
      <c r="BS75" t="s" s="0">
        <v>2165</v>
      </c>
      <c r="BT75" t="s" s="148">
        <f>HYPERLINK("https://www.webofscience.com/wos/woscc/full-record/WOS:001488824700002","View Record in Web of Science")</f>
        <v>113</v>
      </c>
      <c r="BU75" t="s" s="0">
        <v>153</v>
      </c>
      <c r="BV75" t="s" s="0">
        <v>81</v>
      </c>
      <c r="BW75" t="s" s="0">
        <v>81</v>
      </c>
      <c r="BX75" t="s" s="0">
        <v>115</v>
      </c>
    </row>
    <row r="76">
      <c r="A76" t="s" s="0">
        <v>77</v>
      </c>
      <c r="B76" t="s" s="0">
        <v>77</v>
      </c>
      <c r="C76" t="s" s="0">
        <v>77</v>
      </c>
      <c r="D76" t="s" s="0">
        <v>77</v>
      </c>
      <c r="E76" t="s" s="0">
        <v>2166</v>
      </c>
      <c r="F76" t="s" s="0">
        <v>2167</v>
      </c>
      <c r="G76" t="s" s="0">
        <v>2168</v>
      </c>
      <c r="H76" t="s" s="0">
        <v>81</v>
      </c>
      <c r="I76" t="s" s="0">
        <v>82</v>
      </c>
      <c r="J76" t="s" s="0">
        <v>2169</v>
      </c>
      <c r="K76" t="s" s="0">
        <v>2170</v>
      </c>
      <c r="L76" t="s" s="0">
        <v>2171</v>
      </c>
      <c r="M76" t="s" s="0">
        <v>2172</v>
      </c>
      <c r="N76" t="s" s="0">
        <v>2173</v>
      </c>
      <c r="O76" t="s" s="0">
        <v>2174</v>
      </c>
      <c r="P76" t="s" s="0">
        <v>2175</v>
      </c>
      <c r="Q76" t="s" s="0">
        <v>87</v>
      </c>
      <c r="R76" t="s" s="0">
        <v>81</v>
      </c>
      <c r="S76" t="s" s="0">
        <v>81</v>
      </c>
      <c r="T76" t="s" s="0">
        <v>81</v>
      </c>
      <c r="U76" t="s" s="0">
        <v>81</v>
      </c>
      <c r="V76" t="s" s="0">
        <v>2176</v>
      </c>
      <c r="W76" t="s" s="0">
        <v>2177</v>
      </c>
      <c r="X76" t="s" s="0">
        <v>81</v>
      </c>
      <c r="Y76" t="s" s="0">
        <v>81</v>
      </c>
      <c r="Z76" t="s" s="0">
        <v>90</v>
      </c>
      <c r="AA76" t="s" s="0">
        <v>91</v>
      </c>
      <c r="AB76" t="s" s="0">
        <v>81</v>
      </c>
      <c r="AC76" t="s" s="0">
        <v>81</v>
      </c>
      <c r="AD76" t="s" s="0">
        <v>81</v>
      </c>
      <c r="AE76" t="s" s="0">
        <v>81</v>
      </c>
      <c r="AF76" t="s" s="0">
        <v>81</v>
      </c>
      <c r="AG76" t="s" s="0">
        <v>81</v>
      </c>
      <c r="AH76" t="s" s="0">
        <v>2178</v>
      </c>
      <c r="AI76" t="s" s="0">
        <v>81</v>
      </c>
      <c r="AJ76" t="s" s="0">
        <v>81</v>
      </c>
      <c r="AK76" t="s" s="0">
        <v>81</v>
      </c>
      <c r="AL76" t="s" s="0">
        <v>345</v>
      </c>
      <c r="AM76" t="s" s="0">
        <v>77</v>
      </c>
      <c r="AN76" t="s" s="0">
        <v>77</v>
      </c>
      <c r="AO76" t="s" s="0">
        <v>103</v>
      </c>
      <c r="AP76" t="s" s="0">
        <v>103</v>
      </c>
      <c r="AQ76" t="s" s="0">
        <v>2179</v>
      </c>
      <c r="AR76" t="s" s="0">
        <v>1356</v>
      </c>
      <c r="AS76" t="s" s="0">
        <v>2180</v>
      </c>
      <c r="AT76" t="s" s="0">
        <v>2181</v>
      </c>
      <c r="AU76" t="s" s="0">
        <v>2182</v>
      </c>
      <c r="AV76" t="s" s="0">
        <v>81</v>
      </c>
      <c r="AW76" t="s" s="0">
        <v>2183</v>
      </c>
      <c r="AX76" t="s" s="0">
        <v>2184</v>
      </c>
      <c r="AY76" t="s" s="0">
        <v>2185</v>
      </c>
      <c r="AZ76" t="s" s="0">
        <v>101</v>
      </c>
      <c r="BA76" t="s" s="0">
        <v>133</v>
      </c>
      <c r="BB76" t="s" s="0">
        <v>81</v>
      </c>
      <c r="BC76" t="s" s="0">
        <v>81</v>
      </c>
      <c r="BD76" t="s" s="0">
        <v>81</v>
      </c>
      <c r="BE76" t="s" s="0">
        <v>81</v>
      </c>
      <c r="BF76" t="s" s="0">
        <v>81</v>
      </c>
      <c r="BG76" t="s" s="0">
        <v>81</v>
      </c>
      <c r="BH76" t="s" s="0">
        <v>81</v>
      </c>
      <c r="BI76" t="s" s="0">
        <v>2186</v>
      </c>
      <c r="BJ76" t="s" s="0">
        <v>2187</v>
      </c>
      <c r="BK76" t="s" s="149">
        <f>HYPERLINK("http://dx.doi.org/10.34133/research.1136","http://dx.doi.org/10.34133/research.1136")</f>
        <v>2188</v>
      </c>
      <c r="BL76" t="s" s="0">
        <v>81</v>
      </c>
      <c r="BM76" t="s" s="0">
        <v>81</v>
      </c>
      <c r="BN76" t="s" s="0">
        <v>134</v>
      </c>
      <c r="BO76" t="s" s="0">
        <v>148</v>
      </c>
      <c r="BP76" t="s" s="0">
        <v>149</v>
      </c>
      <c r="BQ76" t="s" s="0">
        <v>2189</v>
      </c>
      <c r="BR76" t="s" s="0">
        <v>2190</v>
      </c>
      <c r="BS76" t="s" s="0">
        <v>2191</v>
      </c>
      <c r="BT76" t="s" s="150">
        <f>HYPERLINK("https://www.webofscience.com/wos/woscc/full-record/WOS:001727655000001","View Record in Web of Science")</f>
        <v>113</v>
      </c>
      <c r="BU76" t="s" s="0">
        <v>153</v>
      </c>
      <c r="BV76" t="s" s="0">
        <v>81</v>
      </c>
      <c r="BW76" t="s" s="0">
        <v>81</v>
      </c>
      <c r="BX76" t="s" s="0">
        <v>115</v>
      </c>
    </row>
    <row r="77">
      <c r="A77" t="s" s="0">
        <v>144</v>
      </c>
      <c r="B77" t="s" s="0">
        <v>77</v>
      </c>
      <c r="C77" t="s" s="0">
        <v>210</v>
      </c>
      <c r="D77" t="s" s="0">
        <v>77</v>
      </c>
      <c r="E77" t="s" s="0">
        <v>2192</v>
      </c>
      <c r="F77" t="s" s="0">
        <v>2193</v>
      </c>
      <c r="G77" t="s" s="0">
        <v>2194</v>
      </c>
      <c r="H77" t="s" s="0">
        <v>81</v>
      </c>
      <c r="I77" t="s" s="0">
        <v>82</v>
      </c>
      <c r="J77" t="s" s="0">
        <v>2195</v>
      </c>
      <c r="K77" t="s" s="0">
        <v>2196</v>
      </c>
      <c r="L77" t="s" s="0">
        <v>81</v>
      </c>
      <c r="M77" t="s" s="0">
        <v>81</v>
      </c>
      <c r="N77" t="s" s="0">
        <v>81</v>
      </c>
      <c r="O77" t="s" s="0">
        <v>2197</v>
      </c>
      <c r="P77" t="s" s="0">
        <v>2198</v>
      </c>
      <c r="Q77" t="s" s="0">
        <v>87</v>
      </c>
      <c r="R77" t="s" s="0">
        <v>81</v>
      </c>
      <c r="S77" t="s" s="0">
        <v>81</v>
      </c>
      <c r="T77" t="s" s="0">
        <v>81</v>
      </c>
      <c r="U77" t="s" s="0">
        <v>81</v>
      </c>
      <c r="V77" t="s" s="0">
        <v>2199</v>
      </c>
      <c r="W77" t="s" s="0">
        <v>128</v>
      </c>
      <c r="X77" t="s" s="0">
        <v>81</v>
      </c>
      <c r="Y77" t="s" s="0">
        <v>81</v>
      </c>
      <c r="Z77" t="s" s="0">
        <v>90</v>
      </c>
      <c r="AA77" t="s" s="0">
        <v>91</v>
      </c>
      <c r="AB77" t="s" s="0">
        <v>81</v>
      </c>
      <c r="AC77" t="s" s="0">
        <v>81</v>
      </c>
      <c r="AD77" t="s" s="0">
        <v>81</v>
      </c>
      <c r="AE77" t="s" s="0">
        <v>81</v>
      </c>
      <c r="AF77" t="s" s="0">
        <v>81</v>
      </c>
      <c r="AG77" t="s" s="0">
        <v>81</v>
      </c>
      <c r="AH77" t="s" s="0">
        <v>81</v>
      </c>
      <c r="AI77" t="s" s="0">
        <v>2200</v>
      </c>
      <c r="AJ77" t="s" s="0">
        <v>2201</v>
      </c>
      <c r="AK77" t="s" s="0">
        <v>81</v>
      </c>
      <c r="AL77" t="s" s="0">
        <v>519</v>
      </c>
      <c r="AM77" t="s" s="0">
        <v>488</v>
      </c>
      <c r="AN77" t="s" s="0">
        <v>709</v>
      </c>
      <c r="AO77" t="s" s="0">
        <v>313</v>
      </c>
      <c r="AP77" t="s" s="0">
        <v>488</v>
      </c>
      <c r="AQ77" t="s" s="0">
        <v>135</v>
      </c>
      <c r="AR77" t="s" s="0">
        <v>136</v>
      </c>
      <c r="AS77" t="s" s="0">
        <v>137</v>
      </c>
      <c r="AT77" t="s" s="0">
        <v>138</v>
      </c>
      <c r="AU77" t="s" s="0">
        <v>81</v>
      </c>
      <c r="AV77" t="s" s="0">
        <v>81</v>
      </c>
      <c r="AW77" t="s" s="0">
        <v>139</v>
      </c>
      <c r="AX77" t="s" s="0">
        <v>140</v>
      </c>
      <c r="AY77" t="s" s="0">
        <v>2202</v>
      </c>
      <c r="AZ77" t="s" s="0">
        <v>285</v>
      </c>
      <c r="BA77" t="s" s="0">
        <v>245</v>
      </c>
      <c r="BB77" t="s" s="0">
        <v>144</v>
      </c>
      <c r="BC77" t="s" s="0">
        <v>81</v>
      </c>
      <c r="BD77" t="s" s="0">
        <v>81</v>
      </c>
      <c r="BE77" t="s" s="0">
        <v>81</v>
      </c>
      <c r="BF77" t="s" s="0">
        <v>81</v>
      </c>
      <c r="BG77" t="s" s="0">
        <v>81</v>
      </c>
      <c r="BH77" t="s" s="0">
        <v>81</v>
      </c>
      <c r="BI77" t="s" s="0">
        <v>2203</v>
      </c>
      <c r="BJ77" t="s" s="0">
        <v>2204</v>
      </c>
      <c r="BK77" t="s" s="151">
        <f>HYPERLINK("http://dx.doi.org/10.1038/s41598-024-71020-2","http://dx.doi.org/10.1038/s41598-024-71020-2")</f>
        <v>2205</v>
      </c>
      <c r="BL77" t="s" s="0">
        <v>81</v>
      </c>
      <c r="BM77" t="s" s="0">
        <v>81</v>
      </c>
      <c r="BN77" t="s" s="0">
        <v>187</v>
      </c>
      <c r="BO77" t="s" s="0">
        <v>148</v>
      </c>
      <c r="BP77" t="s" s="0">
        <v>149</v>
      </c>
      <c r="BQ77" t="s" s="0">
        <v>2206</v>
      </c>
      <c r="BR77" t="s" s="0">
        <v>2207</v>
      </c>
      <c r="BS77" t="s" s="0">
        <v>2208</v>
      </c>
      <c r="BT77" t="s" s="152">
        <f>HYPERLINK("https://www.webofscience.com/wos/woscc/full-record/WOS:001307989400002","View Record in Web of Science")</f>
        <v>113</v>
      </c>
      <c r="BU77" t="s" s="0">
        <v>153</v>
      </c>
      <c r="BV77" t="s" s="0">
        <v>81</v>
      </c>
      <c r="BW77" t="s" s="0">
        <v>81</v>
      </c>
      <c r="BX77" t="s" s="0">
        <v>115</v>
      </c>
    </row>
    <row r="78">
      <c r="A78" t="s" s="0">
        <v>77</v>
      </c>
      <c r="B78" t="s" s="0">
        <v>77</v>
      </c>
      <c r="C78" t="s" s="0">
        <v>77</v>
      </c>
      <c r="D78" t="s" s="0">
        <v>77</v>
      </c>
      <c r="E78" t="s" s="0">
        <v>2209</v>
      </c>
      <c r="F78" t="s" s="0">
        <v>2210</v>
      </c>
      <c r="G78" t="s" s="0">
        <v>2211</v>
      </c>
      <c r="H78" t="s" s="0">
        <v>81</v>
      </c>
      <c r="I78" t="s" s="0">
        <v>82</v>
      </c>
      <c r="J78" t="s" s="0">
        <v>2212</v>
      </c>
      <c r="K78" t="s" s="0">
        <v>2213</v>
      </c>
      <c r="L78" t="s" s="0">
        <v>81</v>
      </c>
      <c r="M78" t="s" s="0">
        <v>81</v>
      </c>
      <c r="N78" t="s" s="0">
        <v>81</v>
      </c>
      <c r="O78" t="s" s="0">
        <v>2214</v>
      </c>
      <c r="P78" t="s" s="0">
        <v>2215</v>
      </c>
      <c r="Q78" t="s" s="0">
        <v>87</v>
      </c>
      <c r="R78" t="s" s="0">
        <v>81</v>
      </c>
      <c r="S78" t="s" s="0">
        <v>81</v>
      </c>
      <c r="T78" t="s" s="0">
        <v>81</v>
      </c>
      <c r="U78" t="s" s="0">
        <v>81</v>
      </c>
      <c r="V78" t="s" s="0">
        <v>2216</v>
      </c>
      <c r="W78" t="s" s="0">
        <v>128</v>
      </c>
      <c r="X78" t="s" s="0">
        <v>81</v>
      </c>
      <c r="Y78" t="s" s="0">
        <v>81</v>
      </c>
      <c r="Z78" t="s" s="0">
        <v>90</v>
      </c>
      <c r="AA78" t="s" s="0">
        <v>91</v>
      </c>
      <c r="AB78" t="s" s="0">
        <v>81</v>
      </c>
      <c r="AC78" t="s" s="0">
        <v>81</v>
      </c>
      <c r="AD78" t="s" s="0">
        <v>81</v>
      </c>
      <c r="AE78" t="s" s="0">
        <v>81</v>
      </c>
      <c r="AF78" t="s" s="0">
        <v>81</v>
      </c>
      <c r="AG78" t="s" s="0">
        <v>2217</v>
      </c>
      <c r="AH78" t="s" s="0">
        <v>81</v>
      </c>
      <c r="AI78" t="s" s="0">
        <v>81</v>
      </c>
      <c r="AJ78" t="s" s="0">
        <v>81</v>
      </c>
      <c r="AK78" t="s" s="0">
        <v>81</v>
      </c>
      <c r="AL78" t="s" s="0">
        <v>854</v>
      </c>
      <c r="AM78" t="s" s="0">
        <v>77</v>
      </c>
      <c r="AN78" t="s" s="0">
        <v>77</v>
      </c>
      <c r="AO78" t="s" s="0">
        <v>103</v>
      </c>
      <c r="AP78" t="s" s="0">
        <v>103</v>
      </c>
      <c r="AQ78" t="s" s="0">
        <v>135</v>
      </c>
      <c r="AR78" t="s" s="0">
        <v>136</v>
      </c>
      <c r="AS78" t="s" s="0">
        <v>137</v>
      </c>
      <c r="AT78" t="s" s="0">
        <v>138</v>
      </c>
      <c r="AU78" t="s" s="0">
        <v>81</v>
      </c>
      <c r="AV78" t="s" s="0">
        <v>81</v>
      </c>
      <c r="AW78" t="s" s="0">
        <v>139</v>
      </c>
      <c r="AX78" t="s" s="0">
        <v>140</v>
      </c>
      <c r="AY78" t="s" s="0">
        <v>2218</v>
      </c>
      <c r="AZ78" t="s" s="0">
        <v>101</v>
      </c>
      <c r="BA78" t="s" s="0">
        <v>323</v>
      </c>
      <c r="BB78" t="s" s="0">
        <v>144</v>
      </c>
      <c r="BC78" t="s" s="0">
        <v>81</v>
      </c>
      <c r="BD78" t="s" s="0">
        <v>81</v>
      </c>
      <c r="BE78" t="s" s="0">
        <v>81</v>
      </c>
      <c r="BF78" t="s" s="0">
        <v>81</v>
      </c>
      <c r="BG78" t="s" s="0">
        <v>81</v>
      </c>
      <c r="BH78" t="s" s="0">
        <v>81</v>
      </c>
      <c r="BI78" t="s" s="0">
        <v>2219</v>
      </c>
      <c r="BJ78" t="s" s="0">
        <v>2220</v>
      </c>
      <c r="BK78" t="s" s="153">
        <f>HYPERLINK("http://dx.doi.org/10.1038/s41598-026-47149-7","http://dx.doi.org/10.1038/s41598-026-47149-7")</f>
        <v>2221</v>
      </c>
      <c r="BL78" t="s" s="0">
        <v>81</v>
      </c>
      <c r="BM78" t="s" s="0">
        <v>438</v>
      </c>
      <c r="BN78" t="s" s="0">
        <v>143</v>
      </c>
      <c r="BO78" t="s" s="0">
        <v>148</v>
      </c>
      <c r="BP78" t="s" s="0">
        <v>149</v>
      </c>
      <c r="BQ78" t="s" s="0">
        <v>2222</v>
      </c>
      <c r="BR78" t="s" s="0">
        <v>2223</v>
      </c>
      <c r="BS78" t="s" s="0">
        <v>2224</v>
      </c>
      <c r="BT78" t="s" s="154">
        <f>HYPERLINK("https://www.webofscience.com/wos/woscc/full-record/WOS:001773802800006","View Record in Web of Science")</f>
        <v>113</v>
      </c>
      <c r="BU78" t="s" s="0">
        <v>153</v>
      </c>
      <c r="BV78" t="s" s="0">
        <v>81</v>
      </c>
      <c r="BW78" t="s" s="0">
        <v>81</v>
      </c>
      <c r="BX78" t="s" s="0">
        <v>115</v>
      </c>
    </row>
    <row r="79">
      <c r="A79" t="s" s="0">
        <v>77</v>
      </c>
      <c r="B79" t="s" s="0">
        <v>77</v>
      </c>
      <c r="C79" t="s" s="0">
        <v>77</v>
      </c>
      <c r="D79" t="s" s="0">
        <v>77</v>
      </c>
      <c r="E79" t="s" s="0">
        <v>2225</v>
      </c>
      <c r="F79" t="s" s="0">
        <v>2226</v>
      </c>
      <c r="G79" t="s" s="0">
        <v>2227</v>
      </c>
      <c r="H79" t="s" s="0">
        <v>81</v>
      </c>
      <c r="I79" t="s" s="0">
        <v>543</v>
      </c>
      <c r="J79" t="s" s="0">
        <v>2228</v>
      </c>
      <c r="K79" t="s" s="0">
        <v>2229</v>
      </c>
      <c r="L79" t="s" s="0">
        <v>81</v>
      </c>
      <c r="M79" t="s" s="0">
        <v>81</v>
      </c>
      <c r="N79" t="s" s="0">
        <v>81</v>
      </c>
      <c r="O79" t="s" s="0">
        <v>2230</v>
      </c>
      <c r="P79" t="s" s="0">
        <v>2231</v>
      </c>
      <c r="Q79" t="s" s="0">
        <v>87</v>
      </c>
      <c r="R79" t="s" s="0">
        <v>81</v>
      </c>
      <c r="S79" t="s" s="0">
        <v>81</v>
      </c>
      <c r="T79" t="s" s="0">
        <v>81</v>
      </c>
      <c r="U79" t="s" s="0">
        <v>81</v>
      </c>
      <c r="V79" t="s" s="0">
        <v>2232</v>
      </c>
      <c r="W79" t="s" s="0">
        <v>2233</v>
      </c>
      <c r="X79" t="s" s="0">
        <v>81</v>
      </c>
      <c r="Y79" t="s" s="0">
        <v>81</v>
      </c>
      <c r="Z79" t="s" s="0">
        <v>90</v>
      </c>
      <c r="AA79" t="s" s="0">
        <v>91</v>
      </c>
      <c r="AB79" t="s" s="0">
        <v>81</v>
      </c>
      <c r="AC79" t="s" s="0">
        <v>81</v>
      </c>
      <c r="AD79" t="s" s="0">
        <v>81</v>
      </c>
      <c r="AE79" t="s" s="0">
        <v>81</v>
      </c>
      <c r="AF79" t="s" s="0">
        <v>81</v>
      </c>
      <c r="AG79" t="s" s="0">
        <v>2234</v>
      </c>
      <c r="AH79" t="s" s="0">
        <v>2235</v>
      </c>
      <c r="AI79" t="s" s="0">
        <v>2236</v>
      </c>
      <c r="AJ79" t="s" s="0">
        <v>2237</v>
      </c>
      <c r="AK79" t="s" s="0">
        <v>81</v>
      </c>
      <c r="AL79" t="s" s="0">
        <v>286</v>
      </c>
      <c r="AM79" t="s" s="0">
        <v>77</v>
      </c>
      <c r="AN79" t="s" s="0">
        <v>77</v>
      </c>
      <c r="AO79" t="s" s="0">
        <v>313</v>
      </c>
      <c r="AP79" t="s" s="0">
        <v>313</v>
      </c>
      <c r="AQ79" t="s" s="0">
        <v>615</v>
      </c>
      <c r="AR79" t="s" s="0">
        <v>616</v>
      </c>
      <c r="AS79" t="s" s="0">
        <v>617</v>
      </c>
      <c r="AT79" t="s" s="0">
        <v>2238</v>
      </c>
      <c r="AU79" t="s" s="0">
        <v>81</v>
      </c>
      <c r="AV79" t="s" s="0">
        <v>81</v>
      </c>
      <c r="AW79" t="s" s="0">
        <v>2239</v>
      </c>
      <c r="AX79" t="s" s="0">
        <v>2240</v>
      </c>
      <c r="AY79" t="s" s="0">
        <v>2241</v>
      </c>
      <c r="AZ79" t="s" s="0">
        <v>101</v>
      </c>
      <c r="BA79" t="s" s="0">
        <v>1887</v>
      </c>
      <c r="BB79" t="s" s="0">
        <v>81</v>
      </c>
      <c r="BC79" t="s" s="0">
        <v>81</v>
      </c>
      <c r="BD79" t="s" s="0">
        <v>81</v>
      </c>
      <c r="BE79" t="s" s="0">
        <v>81</v>
      </c>
      <c r="BF79" t="s" s="0">
        <v>81</v>
      </c>
      <c r="BG79" t="s" s="0">
        <v>81</v>
      </c>
      <c r="BH79" t="s" s="0">
        <v>81</v>
      </c>
      <c r="BI79" t="s" s="0">
        <v>2242</v>
      </c>
      <c r="BJ79" t="s" s="0">
        <v>2243</v>
      </c>
      <c r="BK79" t="s" s="155">
        <f>HYPERLINK("http://dx.doi.org/10.1016/j.array.2026.100760","http://dx.doi.org/10.1016/j.array.2026.100760")</f>
        <v>2244</v>
      </c>
      <c r="BL79" t="s" s="0">
        <v>81</v>
      </c>
      <c r="BM79" t="s" s="0">
        <v>81</v>
      </c>
      <c r="BN79" t="s" s="0">
        <v>93</v>
      </c>
      <c r="BO79" t="s" s="0">
        <v>2245</v>
      </c>
      <c r="BP79" t="s" s="0">
        <v>835</v>
      </c>
      <c r="BQ79" t="s" s="0">
        <v>2246</v>
      </c>
      <c r="BR79" t="s" s="0">
        <v>81</v>
      </c>
      <c r="BS79" t="s" s="0">
        <v>2247</v>
      </c>
      <c r="BT79" t="s" s="156">
        <f>HYPERLINK("https://www.webofscience.com/wos/woscc/full-record/WOS:001727246000001","View Record in Web of Science")</f>
        <v>113</v>
      </c>
      <c r="BU79" t="s" s="0">
        <v>1317</v>
      </c>
      <c r="BV79" t="s" s="0">
        <v>81</v>
      </c>
      <c r="BW79" t="s" s="0">
        <v>81</v>
      </c>
      <c r="BX79" t="s" s="0">
        <v>115</v>
      </c>
    </row>
    <row r="80">
      <c r="A80" t="s" s="0">
        <v>144</v>
      </c>
      <c r="B80" t="s" s="0">
        <v>77</v>
      </c>
      <c r="C80" t="s" s="0">
        <v>210</v>
      </c>
      <c r="D80" t="s" s="0">
        <v>77</v>
      </c>
      <c r="E80" t="s" s="0">
        <v>2248</v>
      </c>
      <c r="F80" t="s" s="0">
        <v>2249</v>
      </c>
      <c r="G80" t="s" s="0">
        <v>2250</v>
      </c>
      <c r="H80" t="s" s="0">
        <v>81</v>
      </c>
      <c r="I80" t="s" s="0">
        <v>82</v>
      </c>
      <c r="J80" t="s" s="0">
        <v>2251</v>
      </c>
      <c r="K80" t="s" s="0">
        <v>2252</v>
      </c>
      <c r="L80" t="s" s="0">
        <v>2253</v>
      </c>
      <c r="M80" t="s" s="0">
        <v>2254</v>
      </c>
      <c r="N80" t="s" s="0">
        <v>2255</v>
      </c>
      <c r="O80" t="s" s="0">
        <v>2256</v>
      </c>
      <c r="P80" t="s" s="0">
        <v>2257</v>
      </c>
      <c r="Q80" t="s" s="0">
        <v>87</v>
      </c>
      <c r="R80" t="s" s="0">
        <v>81</v>
      </c>
      <c r="S80" t="s" s="0">
        <v>81</v>
      </c>
      <c r="T80" t="s" s="0">
        <v>81</v>
      </c>
      <c r="U80" t="s" s="0">
        <v>81</v>
      </c>
      <c r="V80" t="s" s="0">
        <v>2258</v>
      </c>
      <c r="W80" t="s" s="0">
        <v>2259</v>
      </c>
      <c r="X80" t="s" s="0">
        <v>81</v>
      </c>
      <c r="Y80" t="s" s="0">
        <v>81</v>
      </c>
      <c r="Z80" t="s" s="0">
        <v>90</v>
      </c>
      <c r="AA80" t="s" s="0">
        <v>91</v>
      </c>
      <c r="AB80" t="s" s="0">
        <v>81</v>
      </c>
      <c r="AC80" t="s" s="0">
        <v>81</v>
      </c>
      <c r="AD80" t="s" s="0">
        <v>81</v>
      </c>
      <c r="AE80" t="s" s="0">
        <v>81</v>
      </c>
      <c r="AF80" t="s" s="0">
        <v>81</v>
      </c>
      <c r="AG80" t="s" s="0">
        <v>2260</v>
      </c>
      <c r="AH80" t="s" s="0">
        <v>81</v>
      </c>
      <c r="AI80" t="s" s="0">
        <v>81</v>
      </c>
      <c r="AJ80" t="s" s="0">
        <v>2261</v>
      </c>
      <c r="AK80" t="s" s="0">
        <v>81</v>
      </c>
      <c r="AL80" t="s" s="0">
        <v>1253</v>
      </c>
      <c r="AM80" t="s" s="0">
        <v>173</v>
      </c>
      <c r="AN80" t="s" s="0">
        <v>187</v>
      </c>
      <c r="AO80" t="s" s="0">
        <v>313</v>
      </c>
      <c r="AP80" t="s" s="0">
        <v>372</v>
      </c>
      <c r="AQ80" t="s" s="0">
        <v>2262</v>
      </c>
      <c r="AR80" t="s" s="0">
        <v>2263</v>
      </c>
      <c r="AS80" t="s" s="0">
        <v>2264</v>
      </c>
      <c r="AT80" t="s" s="0">
        <v>2265</v>
      </c>
      <c r="AU80" t="s" s="0">
        <v>81</v>
      </c>
      <c r="AV80" t="s" s="0">
        <v>81</v>
      </c>
      <c r="AW80" t="s" s="0">
        <v>2266</v>
      </c>
      <c r="AX80" t="s" s="0">
        <v>2267</v>
      </c>
      <c r="AY80" t="s" s="0">
        <v>713</v>
      </c>
      <c r="AZ80" t="s" s="0">
        <v>142</v>
      </c>
      <c r="BA80" t="s" s="0">
        <v>245</v>
      </c>
      <c r="BB80" t="s" s="0">
        <v>116</v>
      </c>
      <c r="BC80" t="s" s="0">
        <v>81</v>
      </c>
      <c r="BD80" t="s" s="0">
        <v>81</v>
      </c>
      <c r="BE80" t="s" s="0">
        <v>81</v>
      </c>
      <c r="BF80" t="s" s="0">
        <v>81</v>
      </c>
      <c r="BG80" t="s" s="0">
        <v>81</v>
      </c>
      <c r="BH80" t="s" s="0">
        <v>81</v>
      </c>
      <c r="BI80" t="s" s="0">
        <v>709</v>
      </c>
      <c r="BJ80" t="s" s="0">
        <v>2268</v>
      </c>
      <c r="BK80" t="s" s="157">
        <f>HYPERLINK("http://dx.doi.org/10.1167/tvst.14.3.27","http://dx.doi.org/10.1167/tvst.14.3.27")</f>
        <v>2269</v>
      </c>
      <c r="BL80" t="s" s="0">
        <v>81</v>
      </c>
      <c r="BM80" t="s" s="0">
        <v>81</v>
      </c>
      <c r="BN80" t="s" s="0">
        <v>173</v>
      </c>
      <c r="BO80" t="s" s="0">
        <v>1084</v>
      </c>
      <c r="BP80" t="s" s="0">
        <v>1084</v>
      </c>
      <c r="BQ80" t="s" s="0">
        <v>2270</v>
      </c>
      <c r="BR80" t="s" s="0">
        <v>2271</v>
      </c>
      <c r="BS80" t="s" s="0">
        <v>2272</v>
      </c>
      <c r="BT80" t="s" s="158">
        <f>HYPERLINK("https://www.webofscience.com/wos/woscc/full-record/WOS:001464516600001","View Record in Web of Science")</f>
        <v>113</v>
      </c>
      <c r="BU80" t="s" s="0">
        <v>153</v>
      </c>
      <c r="BV80" t="s" s="0">
        <v>81</v>
      </c>
      <c r="BW80" t="s" s="0">
        <v>81</v>
      </c>
      <c r="BX80" t="s" s="0">
        <v>115</v>
      </c>
    </row>
    <row r="81">
      <c r="A81" t="s" s="0">
        <v>77</v>
      </c>
      <c r="B81" t="s" s="0">
        <v>77</v>
      </c>
      <c r="C81" t="s" s="0">
        <v>77</v>
      </c>
      <c r="D81" t="s" s="0">
        <v>77</v>
      </c>
      <c r="E81" t="s" s="0">
        <v>2273</v>
      </c>
      <c r="F81" t="s" s="0">
        <v>2274</v>
      </c>
      <c r="G81" t="s" s="0">
        <v>2275</v>
      </c>
      <c r="H81" t="s" s="0">
        <v>81</v>
      </c>
      <c r="I81" t="s" s="0">
        <v>543</v>
      </c>
      <c r="J81" t="s" s="0">
        <v>2276</v>
      </c>
      <c r="K81" t="s" s="0">
        <v>2277</v>
      </c>
      <c r="L81" t="s" s="0">
        <v>81</v>
      </c>
      <c r="M81" t="s" s="0">
        <v>81</v>
      </c>
      <c r="N81" t="s" s="0">
        <v>81</v>
      </c>
      <c r="O81" t="s" s="0">
        <v>2278</v>
      </c>
      <c r="P81" t="s" s="0">
        <v>2279</v>
      </c>
      <c r="Q81" t="s" s="0">
        <v>87</v>
      </c>
      <c r="R81" t="s" s="0">
        <v>81</v>
      </c>
      <c r="S81" t="s" s="0">
        <v>81</v>
      </c>
      <c r="T81" t="s" s="0">
        <v>81</v>
      </c>
      <c r="U81" t="s" s="0">
        <v>81</v>
      </c>
      <c r="V81" t="s" s="0">
        <v>2280</v>
      </c>
      <c r="W81" t="s" s="0">
        <v>2281</v>
      </c>
      <c r="X81" t="s" s="0">
        <v>81</v>
      </c>
      <c r="Y81" t="s" s="0">
        <v>81</v>
      </c>
      <c r="Z81" t="s" s="0">
        <v>90</v>
      </c>
      <c r="AA81" t="s" s="0">
        <v>91</v>
      </c>
      <c r="AB81" t="s" s="0">
        <v>81</v>
      </c>
      <c r="AC81" t="s" s="0">
        <v>81</v>
      </c>
      <c r="AD81" t="s" s="0">
        <v>81</v>
      </c>
      <c r="AE81" t="s" s="0">
        <v>81</v>
      </c>
      <c r="AF81" t="s" s="0">
        <v>81</v>
      </c>
      <c r="AG81" t="s" s="0">
        <v>2282</v>
      </c>
      <c r="AH81" t="s" s="0">
        <v>2283</v>
      </c>
      <c r="AI81" t="s" s="0">
        <v>2284</v>
      </c>
      <c r="AJ81" t="s" s="0">
        <v>81</v>
      </c>
      <c r="AK81" t="s" s="0">
        <v>81</v>
      </c>
      <c r="AL81" t="s" s="0">
        <v>767</v>
      </c>
      <c r="AM81" t="s" s="0">
        <v>144</v>
      </c>
      <c r="AN81" t="s" s="0">
        <v>144</v>
      </c>
      <c r="AO81" t="s" s="0">
        <v>210</v>
      </c>
      <c r="AP81" t="s" s="0">
        <v>277</v>
      </c>
      <c r="AQ81" t="s" s="0">
        <v>402</v>
      </c>
      <c r="AR81" t="s" s="0">
        <v>403</v>
      </c>
      <c r="AS81" t="s" s="0">
        <v>404</v>
      </c>
      <c r="AT81" t="s" s="0">
        <v>2285</v>
      </c>
      <c r="AU81" t="s" s="0">
        <v>81</v>
      </c>
      <c r="AV81" t="s" s="0">
        <v>81</v>
      </c>
      <c r="AW81" t="s" s="0">
        <v>2286</v>
      </c>
      <c r="AX81" t="s" s="0">
        <v>2287</v>
      </c>
      <c r="AY81" t="s" s="0">
        <v>2288</v>
      </c>
      <c r="AZ81" t="s" s="0">
        <v>285</v>
      </c>
      <c r="BA81" t="s" s="0">
        <v>173</v>
      </c>
      <c r="BB81" t="s" s="0">
        <v>81</v>
      </c>
      <c r="BC81" t="s" s="0">
        <v>81</v>
      </c>
      <c r="BD81" t="s" s="0">
        <v>81</v>
      </c>
      <c r="BE81" t="s" s="0">
        <v>81</v>
      </c>
      <c r="BF81" t="s" s="0">
        <v>81</v>
      </c>
      <c r="BG81" t="s" s="0">
        <v>81</v>
      </c>
      <c r="BH81" t="s" s="0">
        <v>81</v>
      </c>
      <c r="BI81" t="s" s="0">
        <v>2289</v>
      </c>
      <c r="BJ81" t="s" s="0">
        <v>2290</v>
      </c>
      <c r="BK81" t="s" s="159">
        <f>HYPERLINK("http://dx.doi.org/10.3389/frobt.2024.1407519","http://dx.doi.org/10.3389/frobt.2024.1407519")</f>
        <v>2291</v>
      </c>
      <c r="BL81" t="s" s="0">
        <v>81</v>
      </c>
      <c r="BM81" t="s" s="0">
        <v>81</v>
      </c>
      <c r="BN81" t="s" s="0">
        <v>143</v>
      </c>
      <c r="BO81" t="s" s="0">
        <v>2292</v>
      </c>
      <c r="BP81" t="s" s="0">
        <v>2292</v>
      </c>
      <c r="BQ81" t="s" s="0">
        <v>2293</v>
      </c>
      <c r="BR81" t="s" s="0">
        <v>2294</v>
      </c>
      <c r="BS81" t="s" s="0">
        <v>2295</v>
      </c>
      <c r="BT81" t="s" s="160">
        <f>HYPERLINK("https://www.webofscience.com/wos/woscc/full-record/WOS:001330702300001","View Record in Web of Science")</f>
        <v>113</v>
      </c>
      <c r="BU81" t="s" s="0">
        <v>153</v>
      </c>
      <c r="BV81" t="s" s="0">
        <v>81</v>
      </c>
      <c r="BW81" t="s" s="0">
        <v>81</v>
      </c>
      <c r="BX81" t="s" s="0">
        <v>115</v>
      </c>
    </row>
    <row r="82">
      <c r="A82" t="s" s="0">
        <v>77</v>
      </c>
      <c r="B82" t="s" s="0">
        <v>77</v>
      </c>
      <c r="C82" t="s" s="0">
        <v>77</v>
      </c>
      <c r="D82" t="s" s="0">
        <v>77</v>
      </c>
      <c r="E82" t="s" s="0">
        <v>2296</v>
      </c>
      <c r="F82" t="s" s="0">
        <v>2297</v>
      </c>
      <c r="G82" t="s" s="0">
        <v>2298</v>
      </c>
      <c r="H82" t="s" s="0">
        <v>81</v>
      </c>
      <c r="I82" t="s" s="0">
        <v>82</v>
      </c>
      <c r="J82" t="s" s="0">
        <v>2299</v>
      </c>
      <c r="K82" t="s" s="0">
        <v>2300</v>
      </c>
      <c r="L82" t="s" s="0">
        <v>2301</v>
      </c>
      <c r="M82" t="s" s="0">
        <v>2302</v>
      </c>
      <c r="N82" t="s" s="0">
        <v>2303</v>
      </c>
      <c r="O82" t="s" s="0">
        <v>2304</v>
      </c>
      <c r="P82" t="s" s="0">
        <v>2305</v>
      </c>
      <c r="Q82" t="s" s="0">
        <v>87</v>
      </c>
      <c r="R82" t="s" s="0">
        <v>81</v>
      </c>
      <c r="S82" t="s" s="0">
        <v>81</v>
      </c>
      <c r="T82" t="s" s="0">
        <v>81</v>
      </c>
      <c r="U82" t="s" s="0">
        <v>81</v>
      </c>
      <c r="V82" t="s" s="0">
        <v>2306</v>
      </c>
      <c r="W82" t="s" s="0">
        <v>849</v>
      </c>
      <c r="X82" t="s" s="0">
        <v>81</v>
      </c>
      <c r="Y82" t="s" s="0">
        <v>81</v>
      </c>
      <c r="Z82" t="s" s="0">
        <v>90</v>
      </c>
      <c r="AA82" t="s" s="0">
        <v>91</v>
      </c>
      <c r="AB82" t="s" s="0">
        <v>81</v>
      </c>
      <c r="AC82" t="s" s="0">
        <v>81</v>
      </c>
      <c r="AD82" t="s" s="0">
        <v>81</v>
      </c>
      <c r="AE82" t="s" s="0">
        <v>81</v>
      </c>
      <c r="AF82" t="s" s="0">
        <v>81</v>
      </c>
      <c r="AG82" t="s" s="0">
        <v>2307</v>
      </c>
      <c r="AH82" t="s" s="0">
        <v>81</v>
      </c>
      <c r="AI82" t="s" s="0">
        <v>81</v>
      </c>
      <c r="AJ82" t="s" s="0">
        <v>81</v>
      </c>
      <c r="AK82" t="s" s="0">
        <v>81</v>
      </c>
      <c r="AL82" t="s" s="0">
        <v>1887</v>
      </c>
      <c r="AM82" t="s" s="0">
        <v>77</v>
      </c>
      <c r="AN82" t="s" s="0">
        <v>77</v>
      </c>
      <c r="AO82" t="s" s="0">
        <v>103</v>
      </c>
      <c r="AP82" t="s" s="0">
        <v>103</v>
      </c>
      <c r="AQ82" t="s" s="0">
        <v>174</v>
      </c>
      <c r="AR82" t="s" s="0">
        <v>175</v>
      </c>
      <c r="AS82" t="s" s="0">
        <v>176</v>
      </c>
      <c r="AT82" t="s" s="0">
        <v>855</v>
      </c>
      <c r="AU82" t="s" s="0">
        <v>856</v>
      </c>
      <c r="AV82" t="s" s="0">
        <v>81</v>
      </c>
      <c r="AW82" t="s" s="0">
        <v>857</v>
      </c>
      <c r="AX82" t="s" s="0">
        <v>858</v>
      </c>
      <c r="AY82" t="s" s="0">
        <v>2003</v>
      </c>
      <c r="AZ82" t="s" s="0">
        <v>101</v>
      </c>
      <c r="BA82" t="s" s="0">
        <v>2308</v>
      </c>
      <c r="BB82" t="s" s="0">
        <v>81</v>
      </c>
      <c r="BC82" t="s" s="0">
        <v>81</v>
      </c>
      <c r="BD82" t="s" s="0">
        <v>860</v>
      </c>
      <c r="BE82" t="s" s="0">
        <v>81</v>
      </c>
      <c r="BF82" t="s" s="0">
        <v>81</v>
      </c>
      <c r="BG82" t="s" s="0">
        <v>81</v>
      </c>
      <c r="BH82" t="s" s="0">
        <v>81</v>
      </c>
      <c r="BI82" t="s" s="0">
        <v>2309</v>
      </c>
      <c r="BJ82" t="s" s="0">
        <v>2310</v>
      </c>
      <c r="BK82" t="s" s="161">
        <f>HYPERLINK("http://dx.doi.org/10.1016/j.bspc.2026.109749","http://dx.doi.org/10.1016/j.bspc.2026.109749")</f>
        <v>2311</v>
      </c>
      <c r="BL82" t="s" s="0">
        <v>81</v>
      </c>
      <c r="BM82" t="s" s="0">
        <v>566</v>
      </c>
      <c r="BN82" t="s" s="0">
        <v>796</v>
      </c>
      <c r="BO82" t="s" s="0">
        <v>864</v>
      </c>
      <c r="BP82" t="s" s="0">
        <v>865</v>
      </c>
      <c r="BQ82" t="s" s="0">
        <v>2312</v>
      </c>
      <c r="BR82" t="s" s="0">
        <v>81</v>
      </c>
      <c r="BS82" t="s" s="0">
        <v>2313</v>
      </c>
      <c r="BT82" t="s" s="162">
        <f>HYPERLINK("https://www.webofscience.com/wos/woscc/full-record/WOS:001691530900001","View Record in Web of Science")</f>
        <v>113</v>
      </c>
      <c r="BU82" t="s" s="0">
        <v>81</v>
      </c>
      <c r="BV82" t="s" s="0">
        <v>81</v>
      </c>
      <c r="BW82" t="s" s="0">
        <v>81</v>
      </c>
      <c r="BX82" t="s" s="0">
        <v>115</v>
      </c>
    </row>
    <row r="83">
      <c r="A83" t="s" s="0">
        <v>77</v>
      </c>
      <c r="B83" t="s" s="0">
        <v>77</v>
      </c>
      <c r="C83" t="s" s="0">
        <v>77</v>
      </c>
      <c r="D83" t="s" s="0">
        <v>77</v>
      </c>
      <c r="E83" t="s" s="0">
        <v>2314</v>
      </c>
      <c r="F83" t="s" s="0">
        <v>2315</v>
      </c>
      <c r="G83" t="s" s="0">
        <v>2316</v>
      </c>
      <c r="H83" t="s" s="0">
        <v>81</v>
      </c>
      <c r="I83" t="s" s="0">
        <v>82</v>
      </c>
      <c r="J83" t="s" s="0">
        <v>2317</v>
      </c>
      <c r="K83" t="s" s="0">
        <v>2318</v>
      </c>
      <c r="L83" t="s" s="0">
        <v>2319</v>
      </c>
      <c r="M83" t="s" s="0">
        <v>2320</v>
      </c>
      <c r="N83" t="s" s="0">
        <v>2321</v>
      </c>
      <c r="O83" t="s" s="0">
        <v>2322</v>
      </c>
      <c r="P83" t="s" s="0">
        <v>2323</v>
      </c>
      <c r="Q83" t="s" s="0">
        <v>87</v>
      </c>
      <c r="R83" t="s" s="0">
        <v>81</v>
      </c>
      <c r="S83" t="s" s="0">
        <v>81</v>
      </c>
      <c r="T83" t="s" s="0">
        <v>81</v>
      </c>
      <c r="U83" t="s" s="0">
        <v>81</v>
      </c>
      <c r="V83" t="s" s="0">
        <v>2324</v>
      </c>
      <c r="W83" t="s" s="0">
        <v>940</v>
      </c>
      <c r="X83" t="s" s="0">
        <v>81</v>
      </c>
      <c r="Y83" t="s" s="0">
        <v>81</v>
      </c>
      <c r="Z83" t="s" s="0">
        <v>90</v>
      </c>
      <c r="AA83" t="s" s="0">
        <v>91</v>
      </c>
      <c r="AB83" t="s" s="0">
        <v>81</v>
      </c>
      <c r="AC83" t="s" s="0">
        <v>81</v>
      </c>
      <c r="AD83" t="s" s="0">
        <v>81</v>
      </c>
      <c r="AE83" t="s" s="0">
        <v>81</v>
      </c>
      <c r="AF83" t="s" s="0">
        <v>81</v>
      </c>
      <c r="AG83" t="s" s="0">
        <v>2325</v>
      </c>
      <c r="AH83" t="s" s="0">
        <v>2326</v>
      </c>
      <c r="AI83" t="s" s="0">
        <v>81</v>
      </c>
      <c r="AJ83" t="s" s="0">
        <v>81</v>
      </c>
      <c r="AK83" t="s" s="0">
        <v>81</v>
      </c>
      <c r="AL83" t="s" s="0">
        <v>286</v>
      </c>
      <c r="AM83" t="s" s="0">
        <v>77</v>
      </c>
      <c r="AN83" t="s" s="0">
        <v>77</v>
      </c>
      <c r="AO83" t="s" s="0">
        <v>172</v>
      </c>
      <c r="AP83" t="s" s="0">
        <v>172</v>
      </c>
      <c r="AQ83" t="s" s="0">
        <v>278</v>
      </c>
      <c r="AR83" t="s" s="0">
        <v>247</v>
      </c>
      <c r="AS83" t="s" s="0">
        <v>279</v>
      </c>
      <c r="AT83" t="s" s="0">
        <v>943</v>
      </c>
      <c r="AU83" t="s" s="0">
        <v>944</v>
      </c>
      <c r="AV83" t="s" s="0">
        <v>81</v>
      </c>
      <c r="AW83" t="s" s="0">
        <v>945</v>
      </c>
      <c r="AX83" t="s" s="0">
        <v>946</v>
      </c>
      <c r="AY83" t="s" s="0">
        <v>100</v>
      </c>
      <c r="AZ83" t="s" s="0">
        <v>101</v>
      </c>
      <c r="BA83" t="s" s="0">
        <v>276</v>
      </c>
      <c r="BB83" t="s" s="0">
        <v>103</v>
      </c>
      <c r="BC83" t="s" s="0">
        <v>81</v>
      </c>
      <c r="BD83" t="s" s="0">
        <v>81</v>
      </c>
      <c r="BE83" t="s" s="0">
        <v>81</v>
      </c>
      <c r="BF83" t="s" s="0">
        <v>81</v>
      </c>
      <c r="BG83" t="s" s="0">
        <v>2327</v>
      </c>
      <c r="BH83" t="s" s="0">
        <v>2328</v>
      </c>
      <c r="BI83" t="s" s="0">
        <v>81</v>
      </c>
      <c r="BJ83" t="s" s="0">
        <v>2329</v>
      </c>
      <c r="BK83" t="s" s="163">
        <f>HYPERLINK("http://dx.doi.org/10.1007/s00330-025-12315-4","http://dx.doi.org/10.1007/s00330-025-12315-4")</f>
        <v>2330</v>
      </c>
      <c r="BL83" t="s" s="0">
        <v>81</v>
      </c>
      <c r="BM83" t="s" s="0">
        <v>2331</v>
      </c>
      <c r="BN83" t="s" s="0">
        <v>187</v>
      </c>
      <c r="BO83" t="s" s="0">
        <v>292</v>
      </c>
      <c r="BP83" t="s" s="0">
        <v>292</v>
      </c>
      <c r="BQ83" t="s" s="0">
        <v>2332</v>
      </c>
      <c r="BR83" t="s" s="0">
        <v>2333</v>
      </c>
      <c r="BS83" t="s" s="0">
        <v>2334</v>
      </c>
      <c r="BT83" t="s" s="164">
        <f>HYPERLINK("https://www.webofscience.com/wos/woscc/full-record/WOS:001676407400001","View Record in Web of Science")</f>
        <v>113</v>
      </c>
      <c r="BU83" t="s" s="0">
        <v>81</v>
      </c>
      <c r="BV83" t="s" s="0">
        <v>81</v>
      </c>
      <c r="BW83" t="s" s="0">
        <v>81</v>
      </c>
      <c r="BX83" t="s" s="0">
        <v>115</v>
      </c>
    </row>
    <row r="84">
      <c r="A84" t="s" s="0">
        <v>77</v>
      </c>
      <c r="B84" t="s" s="0">
        <v>77</v>
      </c>
      <c r="C84" t="s" s="0">
        <v>116</v>
      </c>
      <c r="D84" t="s" s="0">
        <v>77</v>
      </c>
      <c r="E84" t="s" s="0">
        <v>2335</v>
      </c>
      <c r="F84" t="s" s="0">
        <v>2336</v>
      </c>
      <c r="G84" t="s" s="0">
        <v>2337</v>
      </c>
      <c r="H84" t="s" s="0">
        <v>81</v>
      </c>
      <c r="I84" t="s" s="0">
        <v>82</v>
      </c>
      <c r="J84" t="s" s="0">
        <v>2338</v>
      </c>
      <c r="K84" t="s" s="0">
        <v>2339</v>
      </c>
      <c r="L84" t="s" s="0">
        <v>2340</v>
      </c>
      <c r="M84" t="s" s="0">
        <v>2341</v>
      </c>
      <c r="N84" t="s" s="0">
        <v>2342</v>
      </c>
      <c r="O84" t="s" s="0">
        <v>2343</v>
      </c>
      <c r="P84" t="s" s="0">
        <v>2344</v>
      </c>
      <c r="Q84" t="s" s="0">
        <v>87</v>
      </c>
      <c r="R84" t="s" s="0">
        <v>81</v>
      </c>
      <c r="S84" t="s" s="0">
        <v>81</v>
      </c>
      <c r="T84" t="s" s="0">
        <v>81</v>
      </c>
      <c r="U84" t="s" s="0">
        <v>81</v>
      </c>
      <c r="V84" t="s" s="0">
        <v>2345</v>
      </c>
      <c r="W84" t="s" s="0">
        <v>2346</v>
      </c>
      <c r="X84" t="s" s="0">
        <v>81</v>
      </c>
      <c r="Y84" t="s" s="0">
        <v>81</v>
      </c>
      <c r="Z84" t="s" s="0">
        <v>90</v>
      </c>
      <c r="AA84" t="s" s="0">
        <v>91</v>
      </c>
      <c r="AB84" t="s" s="0">
        <v>81</v>
      </c>
      <c r="AC84" t="s" s="0">
        <v>81</v>
      </c>
      <c r="AD84" t="s" s="0">
        <v>81</v>
      </c>
      <c r="AE84" t="s" s="0">
        <v>81</v>
      </c>
      <c r="AF84" t="s" s="0">
        <v>81</v>
      </c>
      <c r="AG84" t="s" s="0">
        <v>2347</v>
      </c>
      <c r="AH84" t="s" s="0">
        <v>2348</v>
      </c>
      <c r="AI84" t="s" s="0">
        <v>2349</v>
      </c>
      <c r="AJ84" t="s" s="0">
        <v>2350</v>
      </c>
      <c r="AK84" t="s" s="0">
        <v>81</v>
      </c>
      <c r="AL84" t="s" s="0">
        <v>909</v>
      </c>
      <c r="AM84" t="s" s="0">
        <v>173</v>
      </c>
      <c r="AN84" t="s" s="0">
        <v>173</v>
      </c>
      <c r="AO84" t="s" s="0">
        <v>144</v>
      </c>
      <c r="AP84" t="s" s="0">
        <v>1493</v>
      </c>
      <c r="AQ84" t="s" s="0">
        <v>615</v>
      </c>
      <c r="AR84" t="s" s="0">
        <v>616</v>
      </c>
      <c r="AS84" t="s" s="0">
        <v>617</v>
      </c>
      <c r="AT84" t="s" s="0">
        <v>2351</v>
      </c>
      <c r="AU84" t="s" s="0">
        <v>2352</v>
      </c>
      <c r="AV84" t="s" s="0">
        <v>81</v>
      </c>
      <c r="AW84" t="s" s="0">
        <v>2353</v>
      </c>
      <c r="AX84" t="s" s="0">
        <v>2354</v>
      </c>
      <c r="AY84" t="s" s="0">
        <v>1261</v>
      </c>
      <c r="AZ84" t="s" s="0">
        <v>285</v>
      </c>
      <c r="BA84" t="s" s="0">
        <v>2355</v>
      </c>
      <c r="BB84" t="s" s="0">
        <v>81</v>
      </c>
      <c r="BC84" t="s" s="0">
        <v>81</v>
      </c>
      <c r="BD84" t="s" s="0">
        <v>81</v>
      </c>
      <c r="BE84" t="s" s="0">
        <v>81</v>
      </c>
      <c r="BF84" t="s" s="0">
        <v>81</v>
      </c>
      <c r="BG84" t="s" s="0">
        <v>81</v>
      </c>
      <c r="BH84" t="s" s="0">
        <v>81</v>
      </c>
      <c r="BI84" t="s" s="0">
        <v>2356</v>
      </c>
      <c r="BJ84" t="s" s="0">
        <v>2357</v>
      </c>
      <c r="BK84" t="s" s="165">
        <f>HYPERLINK("http://dx.doi.org/10.1016/j.artmed.2024.102871","http://dx.doi.org/10.1016/j.artmed.2024.102871")</f>
        <v>2358</v>
      </c>
      <c r="BL84" t="s" s="0">
        <v>81</v>
      </c>
      <c r="BM84" t="s" s="0">
        <v>529</v>
      </c>
      <c r="BN84" t="s" s="0">
        <v>245</v>
      </c>
      <c r="BO84" t="s" s="0">
        <v>2359</v>
      </c>
      <c r="BP84" t="s" s="0">
        <v>2360</v>
      </c>
      <c r="BQ84" t="s" s="0">
        <v>2361</v>
      </c>
      <c r="BR84" t="s" s="0">
        <v>2362</v>
      </c>
      <c r="BS84" t="s" s="0">
        <v>2363</v>
      </c>
      <c r="BT84" t="s" s="166">
        <f>HYPERLINK("https://www.webofscience.com/wos/woscc/full-record/WOS:001236646900001","View Record in Web of Science")</f>
        <v>113</v>
      </c>
      <c r="BU84" t="s" s="0">
        <v>81</v>
      </c>
      <c r="BV84" t="s" s="0">
        <v>81</v>
      </c>
      <c r="BW84" t="s" s="0">
        <v>81</v>
      </c>
      <c r="BX84" t="s" s="0">
        <v>115</v>
      </c>
    </row>
    <row r="85">
      <c r="A85" t="s" s="0">
        <v>77</v>
      </c>
      <c r="B85" t="s" s="0">
        <v>77</v>
      </c>
      <c r="C85" t="s" s="0">
        <v>77</v>
      </c>
      <c r="D85" t="s" s="0">
        <v>77</v>
      </c>
      <c r="E85" t="s" s="0">
        <v>2364</v>
      </c>
      <c r="F85" t="s" s="0">
        <v>2365</v>
      </c>
      <c r="G85" t="s" s="0">
        <v>2366</v>
      </c>
      <c r="H85" t="s" s="0">
        <v>81</v>
      </c>
      <c r="I85" t="s" s="0">
        <v>82</v>
      </c>
      <c r="J85" t="s" s="0">
        <v>2367</v>
      </c>
      <c r="K85" t="s" s="0">
        <v>2368</v>
      </c>
      <c r="L85" t="s" s="0">
        <v>2369</v>
      </c>
      <c r="M85" t="s" s="0">
        <v>2370</v>
      </c>
      <c r="N85" t="s" s="0">
        <v>2371</v>
      </c>
      <c r="O85" t="s" s="0">
        <v>2372</v>
      </c>
      <c r="P85" t="s" s="0">
        <v>2373</v>
      </c>
      <c r="Q85" t="s" s="0">
        <v>87</v>
      </c>
      <c r="R85" t="s" s="0">
        <v>81</v>
      </c>
      <c r="S85" t="s" s="0">
        <v>81</v>
      </c>
      <c r="T85" t="s" s="0">
        <v>81</v>
      </c>
      <c r="U85" t="s" s="0">
        <v>81</v>
      </c>
      <c r="V85" t="s" s="0">
        <v>2374</v>
      </c>
      <c r="W85" t="s" s="0">
        <v>2375</v>
      </c>
      <c r="X85" t="s" s="0">
        <v>81</v>
      </c>
      <c r="Y85" t="s" s="0">
        <v>81</v>
      </c>
      <c r="Z85" t="s" s="0">
        <v>90</v>
      </c>
      <c r="AA85" t="s" s="0">
        <v>91</v>
      </c>
      <c r="AB85" t="s" s="0">
        <v>81</v>
      </c>
      <c r="AC85" t="s" s="0">
        <v>81</v>
      </c>
      <c r="AD85" t="s" s="0">
        <v>81</v>
      </c>
      <c r="AE85" t="s" s="0">
        <v>81</v>
      </c>
      <c r="AF85" t="s" s="0">
        <v>81</v>
      </c>
      <c r="AG85" t="s" s="0">
        <v>2376</v>
      </c>
      <c r="AH85" t="s" s="0">
        <v>81</v>
      </c>
      <c r="AI85" t="s" s="0">
        <v>81</v>
      </c>
      <c r="AJ85" t="s" s="0">
        <v>2377</v>
      </c>
      <c r="AK85" t="s" s="0">
        <v>81</v>
      </c>
      <c r="AL85" t="s" s="0">
        <v>519</v>
      </c>
      <c r="AM85" t="s" s="0">
        <v>116</v>
      </c>
      <c r="AN85" t="s" s="0">
        <v>116</v>
      </c>
      <c r="AO85" t="s" s="0">
        <v>210</v>
      </c>
      <c r="AP85" t="s" s="0">
        <v>372</v>
      </c>
      <c r="AQ85" t="s" s="0">
        <v>615</v>
      </c>
      <c r="AR85" t="s" s="0">
        <v>616</v>
      </c>
      <c r="AS85" t="s" s="0">
        <v>617</v>
      </c>
      <c r="AT85" t="s" s="0">
        <v>2378</v>
      </c>
      <c r="AU85" t="s" s="0">
        <v>2379</v>
      </c>
      <c r="AV85" t="s" s="0">
        <v>81</v>
      </c>
      <c r="AW85" t="s" s="0">
        <v>2380</v>
      </c>
      <c r="AX85" t="s" s="0">
        <v>2381</v>
      </c>
      <c r="AY85" t="s" s="0">
        <v>1140</v>
      </c>
      <c r="AZ85" t="s" s="0">
        <v>142</v>
      </c>
      <c r="BA85" t="s" s="0">
        <v>2382</v>
      </c>
      <c r="BB85" t="s" s="0">
        <v>81</v>
      </c>
      <c r="BC85" t="s" s="0">
        <v>81</v>
      </c>
      <c r="BD85" t="s" s="0">
        <v>81</v>
      </c>
      <c r="BE85" t="s" s="0">
        <v>81</v>
      </c>
      <c r="BF85" t="s" s="0">
        <v>81</v>
      </c>
      <c r="BG85" t="s" s="0">
        <v>81</v>
      </c>
      <c r="BH85" t="s" s="0">
        <v>81</v>
      </c>
      <c r="BI85" t="s" s="0">
        <v>2383</v>
      </c>
      <c r="BJ85" t="s" s="0">
        <v>2384</v>
      </c>
      <c r="BK85" t="s" s="167">
        <f>HYPERLINK("http://dx.doi.org/10.1016/j.ecoinf.2025.103531","http://dx.doi.org/10.1016/j.ecoinf.2025.103531")</f>
        <v>2385</v>
      </c>
      <c r="BL85" t="s" s="0">
        <v>81</v>
      </c>
      <c r="BM85" t="s" s="0">
        <v>253</v>
      </c>
      <c r="BN85" t="s" s="0">
        <v>134</v>
      </c>
      <c r="BO85" t="s" s="0">
        <v>2386</v>
      </c>
      <c r="BP85" t="s" s="0">
        <v>2387</v>
      </c>
      <c r="BQ85" t="s" s="0">
        <v>2388</v>
      </c>
      <c r="BR85" t="s" s="0">
        <v>81</v>
      </c>
      <c r="BS85" t="s" s="0">
        <v>2389</v>
      </c>
      <c r="BT85" t="s" s="168">
        <f>HYPERLINK("https://www.webofscience.com/wos/woscc/full-record/WOS:001629479300001","View Record in Web of Science")</f>
        <v>113</v>
      </c>
      <c r="BU85" t="s" s="0">
        <v>153</v>
      </c>
      <c r="BV85" t="s" s="0">
        <v>81</v>
      </c>
      <c r="BW85" t="s" s="0">
        <v>81</v>
      </c>
      <c r="BX85" t="s" s="0">
        <v>115</v>
      </c>
    </row>
    <row r="86">
      <c r="A86" t="s" s="0">
        <v>77</v>
      </c>
      <c r="B86" t="s" s="0">
        <v>77</v>
      </c>
      <c r="C86" t="s" s="0">
        <v>77</v>
      </c>
      <c r="D86" t="s" s="0">
        <v>77</v>
      </c>
      <c r="E86" t="s" s="0">
        <v>2390</v>
      </c>
      <c r="F86" t="s" s="0">
        <v>2391</v>
      </c>
      <c r="G86" t="s" s="0">
        <v>2392</v>
      </c>
      <c r="H86" t="s" s="0">
        <v>81</v>
      </c>
      <c r="I86" t="s" s="0">
        <v>82</v>
      </c>
      <c r="J86" t="s" s="0">
        <v>2393</v>
      </c>
      <c r="K86" t="s" s="0">
        <v>2394</v>
      </c>
      <c r="L86" t="s" s="0">
        <v>2395</v>
      </c>
      <c r="M86" t="s" s="0">
        <v>2396</v>
      </c>
      <c r="N86" t="s" s="0">
        <v>2397</v>
      </c>
      <c r="O86" t="s" s="0">
        <v>2398</v>
      </c>
      <c r="P86" t="s" s="0">
        <v>2399</v>
      </c>
      <c r="Q86" t="s" s="0">
        <v>87</v>
      </c>
      <c r="R86" t="s" s="0">
        <v>81</v>
      </c>
      <c r="S86" t="s" s="0">
        <v>81</v>
      </c>
      <c r="T86" t="s" s="0">
        <v>81</v>
      </c>
      <c r="U86" t="s" s="0">
        <v>81</v>
      </c>
      <c r="V86" t="s" s="0">
        <v>2400</v>
      </c>
      <c r="W86" t="s" s="0">
        <v>2401</v>
      </c>
      <c r="X86" t="s" s="0">
        <v>81</v>
      </c>
      <c r="Y86" t="s" s="0">
        <v>81</v>
      </c>
      <c r="Z86" t="s" s="0">
        <v>90</v>
      </c>
      <c r="AA86" t="s" s="0">
        <v>91</v>
      </c>
      <c r="AB86" t="s" s="0">
        <v>81</v>
      </c>
      <c r="AC86" t="s" s="0">
        <v>81</v>
      </c>
      <c r="AD86" t="s" s="0">
        <v>81</v>
      </c>
      <c r="AE86" t="s" s="0">
        <v>81</v>
      </c>
      <c r="AF86" t="s" s="0">
        <v>81</v>
      </c>
      <c r="AG86" t="s" s="0">
        <v>2402</v>
      </c>
      <c r="AH86" t="s" s="0">
        <v>2403</v>
      </c>
      <c r="AI86" t="s" s="0">
        <v>81</v>
      </c>
      <c r="AJ86" t="s" s="0">
        <v>81</v>
      </c>
      <c r="AK86" t="s" s="0">
        <v>81</v>
      </c>
      <c r="AL86" t="s" s="0">
        <v>2404</v>
      </c>
      <c r="AM86" t="s" s="0">
        <v>144</v>
      </c>
      <c r="AN86" t="s" s="0">
        <v>144</v>
      </c>
      <c r="AO86" t="s" s="0">
        <v>172</v>
      </c>
      <c r="AP86" t="s" s="0">
        <v>172</v>
      </c>
      <c r="AQ86" t="s" s="0">
        <v>557</v>
      </c>
      <c r="AR86" t="s" s="0">
        <v>558</v>
      </c>
      <c r="AS86" t="s" s="0">
        <v>559</v>
      </c>
      <c r="AT86" t="s" s="0">
        <v>2405</v>
      </c>
      <c r="AU86" t="s" s="0">
        <v>2406</v>
      </c>
      <c r="AV86" t="s" s="0">
        <v>81</v>
      </c>
      <c r="AW86" t="s" s="0">
        <v>2407</v>
      </c>
      <c r="AX86" t="s" s="0">
        <v>2408</v>
      </c>
      <c r="AY86" t="s" s="0">
        <v>438</v>
      </c>
      <c r="AZ86" t="s" s="0">
        <v>101</v>
      </c>
      <c r="BA86" t="s" s="0">
        <v>2409</v>
      </c>
      <c r="BB86" t="s" s="0">
        <v>210</v>
      </c>
      <c r="BC86" t="s" s="0">
        <v>81</v>
      </c>
      <c r="BD86" t="s" s="0">
        <v>81</v>
      </c>
      <c r="BE86" t="s" s="0">
        <v>81</v>
      </c>
      <c r="BF86" t="s" s="0">
        <v>81</v>
      </c>
      <c r="BG86" t="s" s="0">
        <v>81</v>
      </c>
      <c r="BH86" t="s" s="0">
        <v>81</v>
      </c>
      <c r="BI86" t="s" s="0">
        <v>2410</v>
      </c>
      <c r="BJ86" t="s" s="0">
        <v>2411</v>
      </c>
      <c r="BK86" t="s" s="169">
        <f>HYPERLINK("http://dx.doi.org/10.1111/exsy.70216","http://dx.doi.org/10.1111/exsy.70216")</f>
        <v>2412</v>
      </c>
      <c r="BL86" t="s" s="0">
        <v>81</v>
      </c>
      <c r="BM86" t="s" s="0">
        <v>81</v>
      </c>
      <c r="BN86" t="s" s="0">
        <v>626</v>
      </c>
      <c r="BO86" t="s" s="0">
        <v>2413</v>
      </c>
      <c r="BP86" t="s" s="0">
        <v>835</v>
      </c>
      <c r="BQ86" t="s" s="0">
        <v>2414</v>
      </c>
      <c r="BR86" t="s" s="0">
        <v>81</v>
      </c>
      <c r="BS86" t="s" s="0">
        <v>2415</v>
      </c>
      <c r="BT86" t="s" s="170">
        <f>HYPERLINK("https://www.webofscience.com/wos/woscc/full-record/WOS:001719130200008","View Record in Web of Science")</f>
        <v>113</v>
      </c>
      <c r="BU86" t="s" s="0">
        <v>81</v>
      </c>
      <c r="BV86" t="s" s="0">
        <v>81</v>
      </c>
      <c r="BW86" t="s" s="0">
        <v>81</v>
      </c>
      <c r="BX86" t="s" s="0">
        <v>115</v>
      </c>
    </row>
    <row r="87">
      <c r="A87" t="s" s="0">
        <v>77</v>
      </c>
      <c r="B87" t="s" s="0">
        <v>77</v>
      </c>
      <c r="C87" t="s" s="0">
        <v>77</v>
      </c>
      <c r="D87" t="s" s="0">
        <v>77</v>
      </c>
      <c r="E87" t="s" s="0">
        <v>2416</v>
      </c>
      <c r="F87" t="s" s="0">
        <v>2417</v>
      </c>
      <c r="G87" t="s" s="0">
        <v>2418</v>
      </c>
      <c r="H87" t="s" s="0">
        <v>81</v>
      </c>
      <c r="I87" t="s" s="0">
        <v>157</v>
      </c>
      <c r="J87" t="s" s="0">
        <v>2419</v>
      </c>
      <c r="K87" t="s" s="0">
        <v>2420</v>
      </c>
      <c r="L87" t="s" s="0">
        <v>2421</v>
      </c>
      <c r="M87" t="s" s="0">
        <v>2421</v>
      </c>
      <c r="N87" t="s" s="0">
        <v>2422</v>
      </c>
      <c r="O87" t="s" s="0">
        <v>2423</v>
      </c>
      <c r="P87" t="s" s="0">
        <v>2424</v>
      </c>
      <c r="Q87" t="s" s="0">
        <v>87</v>
      </c>
      <c r="R87" t="s" s="0">
        <v>81</v>
      </c>
      <c r="S87" t="s" s="0">
        <v>81</v>
      </c>
      <c r="T87" t="s" s="0">
        <v>81</v>
      </c>
      <c r="U87" t="s" s="0">
        <v>81</v>
      </c>
      <c r="V87" t="s" s="0">
        <v>2425</v>
      </c>
      <c r="W87" t="s" s="0">
        <v>2426</v>
      </c>
      <c r="X87" t="s" s="0">
        <v>81</v>
      </c>
      <c r="Y87" t="s" s="0">
        <v>81</v>
      </c>
      <c r="Z87" t="s" s="0">
        <v>90</v>
      </c>
      <c r="AA87" t="s" s="0">
        <v>91</v>
      </c>
      <c r="AB87" t="s" s="0">
        <v>81</v>
      </c>
      <c r="AC87" t="s" s="0">
        <v>81</v>
      </c>
      <c r="AD87" t="s" s="0">
        <v>81</v>
      </c>
      <c r="AE87" t="s" s="0">
        <v>81</v>
      </c>
      <c r="AF87" t="s" s="0">
        <v>81</v>
      </c>
      <c r="AG87" t="s" s="0">
        <v>2427</v>
      </c>
      <c r="AH87" t="s" s="0">
        <v>2428</v>
      </c>
      <c r="AI87" t="s" s="0">
        <v>2429</v>
      </c>
      <c r="AJ87" t="s" s="0">
        <v>2430</v>
      </c>
      <c r="AK87" t="s" s="0">
        <v>81</v>
      </c>
      <c r="AL87" t="s" s="0">
        <v>1223</v>
      </c>
      <c r="AM87" t="s" s="0">
        <v>372</v>
      </c>
      <c r="AN87" t="s" s="0">
        <v>372</v>
      </c>
      <c r="AO87" t="s" s="0">
        <v>144</v>
      </c>
      <c r="AP87" t="s" s="0">
        <v>468</v>
      </c>
      <c r="AQ87" t="s" s="0">
        <v>736</v>
      </c>
      <c r="AR87" t="s" s="0">
        <v>646</v>
      </c>
      <c r="AS87" t="s" s="0">
        <v>737</v>
      </c>
      <c r="AT87" t="s" s="0">
        <v>2431</v>
      </c>
      <c r="AU87" t="s" s="0">
        <v>81</v>
      </c>
      <c r="AV87" t="s" s="0">
        <v>81</v>
      </c>
      <c r="AW87" t="s" s="0">
        <v>2432</v>
      </c>
      <c r="AX87" t="s" s="0">
        <v>2433</v>
      </c>
      <c r="AY87" t="s" s="0">
        <v>285</v>
      </c>
      <c r="AZ87" t="s" s="0">
        <v>285</v>
      </c>
      <c r="BA87" t="s" s="0">
        <v>107</v>
      </c>
      <c r="BB87" t="s" s="0">
        <v>81</v>
      </c>
      <c r="BC87" t="s" s="0">
        <v>81</v>
      </c>
      <c r="BD87" t="s" s="0">
        <v>81</v>
      </c>
      <c r="BE87" t="s" s="0">
        <v>81</v>
      </c>
      <c r="BF87" t="s" s="0">
        <v>81</v>
      </c>
      <c r="BG87" t="s" s="0">
        <v>81</v>
      </c>
      <c r="BH87" t="s" s="0">
        <v>81</v>
      </c>
      <c r="BI87" t="s" s="0">
        <v>2434</v>
      </c>
      <c r="BJ87" t="s" s="0">
        <v>2435</v>
      </c>
      <c r="BK87" t="s" s="171">
        <f>HYPERLINK("http://dx.doi.org/10.1177/20552076241257087","http://dx.doi.org/10.1177/20552076241257087")</f>
        <v>2436</v>
      </c>
      <c r="BL87" t="s" s="0">
        <v>81</v>
      </c>
      <c r="BM87" t="s" s="0">
        <v>81</v>
      </c>
      <c r="BN87" t="s" s="0">
        <v>245</v>
      </c>
      <c r="BO87" t="s" s="0">
        <v>2437</v>
      </c>
      <c r="BP87" t="s" s="0">
        <v>2438</v>
      </c>
      <c r="BQ87" t="s" s="0">
        <v>2439</v>
      </c>
      <c r="BR87" t="s" s="0">
        <v>2440</v>
      </c>
      <c r="BS87" t="s" s="0">
        <v>2441</v>
      </c>
      <c r="BT87" t="s" s="172">
        <f>HYPERLINK("https://www.webofscience.com/wos/woscc/full-record/WOS:001229555900001","View Record in Web of Science")</f>
        <v>113</v>
      </c>
      <c r="BU87" t="s" s="0">
        <v>153</v>
      </c>
      <c r="BV87" t="s" s="0">
        <v>81</v>
      </c>
      <c r="BW87" t="s" s="0">
        <v>81</v>
      </c>
      <c r="BX87" t="s" s="0">
        <v>115</v>
      </c>
    </row>
    <row r="88">
      <c r="A88" t="s" s="0">
        <v>77</v>
      </c>
      <c r="B88" t="s" s="0">
        <v>77</v>
      </c>
      <c r="C88" t="s" s="0">
        <v>77</v>
      </c>
      <c r="D88" t="s" s="0">
        <v>77</v>
      </c>
      <c r="E88" t="s" s="0">
        <v>2442</v>
      </c>
      <c r="F88" t="s" s="0">
        <v>2443</v>
      </c>
      <c r="G88" t="s" s="0">
        <v>2444</v>
      </c>
      <c r="H88" t="s" s="0">
        <v>81</v>
      </c>
      <c r="I88" t="s" s="0">
        <v>543</v>
      </c>
      <c r="J88" t="s" s="0">
        <v>2445</v>
      </c>
      <c r="K88" t="s" s="0">
        <v>2446</v>
      </c>
      <c r="L88" t="s" s="0">
        <v>2447</v>
      </c>
      <c r="M88" t="s" s="0">
        <v>267</v>
      </c>
      <c r="N88" t="s" s="0">
        <v>2448</v>
      </c>
      <c r="O88" t="s" s="0">
        <v>2449</v>
      </c>
      <c r="P88" t="s" s="0">
        <v>2450</v>
      </c>
      <c r="Q88" t="s" s="0">
        <v>87</v>
      </c>
      <c r="R88" t="s" s="0">
        <v>81</v>
      </c>
      <c r="S88" t="s" s="0">
        <v>81</v>
      </c>
      <c r="T88" t="s" s="0">
        <v>81</v>
      </c>
      <c r="U88" t="s" s="0">
        <v>81</v>
      </c>
      <c r="V88" t="s" s="0">
        <v>2451</v>
      </c>
      <c r="W88" t="s" s="0">
        <v>2452</v>
      </c>
      <c r="X88" t="s" s="0">
        <v>81</v>
      </c>
      <c r="Y88" t="s" s="0">
        <v>81</v>
      </c>
      <c r="Z88" t="s" s="0">
        <v>90</v>
      </c>
      <c r="AA88" t="s" s="0">
        <v>91</v>
      </c>
      <c r="AB88" t="s" s="0">
        <v>81</v>
      </c>
      <c r="AC88" t="s" s="0">
        <v>81</v>
      </c>
      <c r="AD88" t="s" s="0">
        <v>81</v>
      </c>
      <c r="AE88" t="s" s="0">
        <v>81</v>
      </c>
      <c r="AF88" t="s" s="0">
        <v>81</v>
      </c>
      <c r="AG88" t="s" s="0">
        <v>2453</v>
      </c>
      <c r="AH88" t="s" s="0">
        <v>2454</v>
      </c>
      <c r="AI88" t="s" s="0">
        <v>81</v>
      </c>
      <c r="AJ88" t="s" s="0">
        <v>81</v>
      </c>
      <c r="AK88" t="s" s="0">
        <v>81</v>
      </c>
      <c r="AL88" t="s" s="0">
        <v>2455</v>
      </c>
      <c r="AM88" t="s" s="0">
        <v>77</v>
      </c>
      <c r="AN88" t="s" s="0">
        <v>77</v>
      </c>
      <c r="AO88" t="s" s="0">
        <v>144</v>
      </c>
      <c r="AP88" t="s" s="0">
        <v>144</v>
      </c>
      <c r="AQ88" t="s" s="0">
        <v>615</v>
      </c>
      <c r="AR88" t="s" s="0">
        <v>616</v>
      </c>
      <c r="AS88" t="s" s="0">
        <v>617</v>
      </c>
      <c r="AT88" t="s" s="0">
        <v>2456</v>
      </c>
      <c r="AU88" t="s" s="0">
        <v>81</v>
      </c>
      <c r="AV88" t="s" s="0">
        <v>81</v>
      </c>
      <c r="AW88" t="s" s="0">
        <v>2457</v>
      </c>
      <c r="AX88" t="s" s="0">
        <v>2458</v>
      </c>
      <c r="AY88" t="s" s="0">
        <v>2459</v>
      </c>
      <c r="AZ88" t="s" s="0">
        <v>101</v>
      </c>
      <c r="BA88" t="s" s="0">
        <v>709</v>
      </c>
      <c r="BB88" t="s" s="0">
        <v>81</v>
      </c>
      <c r="BC88" t="s" s="0">
        <v>81</v>
      </c>
      <c r="BD88" t="s" s="0">
        <v>81</v>
      </c>
      <c r="BE88" t="s" s="0">
        <v>81</v>
      </c>
      <c r="BF88" t="s" s="0">
        <v>81</v>
      </c>
      <c r="BG88" t="s" s="0">
        <v>81</v>
      </c>
      <c r="BH88" t="s" s="0">
        <v>81</v>
      </c>
      <c r="BI88" t="s" s="0">
        <v>2460</v>
      </c>
      <c r="BJ88" t="s" s="0">
        <v>2461</v>
      </c>
      <c r="BK88" t="s" s="173">
        <f>HYPERLINK("http://dx.doi.org/10.1016/j.jaecs.2026.100523","http://dx.doi.org/10.1016/j.jaecs.2026.100523")</f>
        <v>2462</v>
      </c>
      <c r="BL88" t="s" s="0">
        <v>81</v>
      </c>
      <c r="BM88" t="s" s="0">
        <v>81</v>
      </c>
      <c r="BN88" t="s" s="0">
        <v>134</v>
      </c>
      <c r="BO88" t="s" s="0">
        <v>2463</v>
      </c>
      <c r="BP88" t="s" s="0">
        <v>2464</v>
      </c>
      <c r="BQ88" t="s" s="0">
        <v>2465</v>
      </c>
      <c r="BR88" t="s" s="0">
        <v>81</v>
      </c>
      <c r="BS88" t="s" s="0">
        <v>2466</v>
      </c>
      <c r="BT88" t="s" s="174">
        <f>HYPERLINK("https://www.webofscience.com/wos/woscc/full-record/WOS:001792363700001","View Record in Web of Science")</f>
        <v>113</v>
      </c>
      <c r="BU88" t="s" s="0">
        <v>1317</v>
      </c>
      <c r="BV88" t="s" s="0">
        <v>81</v>
      </c>
      <c r="BW88" t="s" s="0">
        <v>81</v>
      </c>
      <c r="BX88" t="s" s="0">
        <v>115</v>
      </c>
    </row>
    <row r="89">
      <c r="A89" t="s" s="0">
        <v>77</v>
      </c>
      <c r="B89" t="s" s="0">
        <v>77</v>
      </c>
      <c r="C89" t="s" s="0">
        <v>77</v>
      </c>
      <c r="D89" t="s" s="0">
        <v>77</v>
      </c>
      <c r="E89" t="s" s="0">
        <v>2467</v>
      </c>
      <c r="F89" t="s" s="0">
        <v>2468</v>
      </c>
      <c r="G89" t="s" s="0">
        <v>2469</v>
      </c>
      <c r="H89" t="s" s="0">
        <v>81</v>
      </c>
      <c r="I89" t="s" s="0">
        <v>82</v>
      </c>
      <c r="J89" t="s" s="0">
        <v>2470</v>
      </c>
      <c r="K89" t="s" s="0">
        <v>2471</v>
      </c>
      <c r="L89" t="s" s="0">
        <v>2472</v>
      </c>
      <c r="M89" t="s" s="0">
        <v>2473</v>
      </c>
      <c r="N89" t="s" s="0">
        <v>2474</v>
      </c>
      <c r="O89" t="s" s="0">
        <v>2475</v>
      </c>
      <c r="P89" t="s" s="0">
        <v>2476</v>
      </c>
      <c r="Q89" t="s" s="0">
        <v>87</v>
      </c>
      <c r="R89" t="s" s="0">
        <v>81</v>
      </c>
      <c r="S89" t="s" s="0">
        <v>81</v>
      </c>
      <c r="T89" t="s" s="0">
        <v>81</v>
      </c>
      <c r="U89" t="s" s="0">
        <v>81</v>
      </c>
      <c r="V89" t="s" s="0">
        <v>2477</v>
      </c>
      <c r="W89" t="s" s="0">
        <v>1189</v>
      </c>
      <c r="X89" t="s" s="0">
        <v>81</v>
      </c>
      <c r="Y89" t="s" s="0">
        <v>81</v>
      </c>
      <c r="Z89" t="s" s="0">
        <v>90</v>
      </c>
      <c r="AA89" t="s" s="0">
        <v>91</v>
      </c>
      <c r="AB89" t="s" s="0">
        <v>81</v>
      </c>
      <c r="AC89" t="s" s="0">
        <v>81</v>
      </c>
      <c r="AD89" t="s" s="0">
        <v>81</v>
      </c>
      <c r="AE89" t="s" s="0">
        <v>81</v>
      </c>
      <c r="AF89" t="s" s="0">
        <v>81</v>
      </c>
      <c r="AG89" t="s" s="0">
        <v>2478</v>
      </c>
      <c r="AH89" t="s" s="0">
        <v>81</v>
      </c>
      <c r="AI89" t="s" s="0">
        <v>2479</v>
      </c>
      <c r="AJ89" t="s" s="0">
        <v>2480</v>
      </c>
      <c r="AK89" t="s" s="0">
        <v>81</v>
      </c>
      <c r="AL89" t="s" s="0">
        <v>433</v>
      </c>
      <c r="AM89" t="s" s="0">
        <v>219</v>
      </c>
      <c r="AN89" t="s" s="0">
        <v>219</v>
      </c>
      <c r="AO89" t="s" s="0">
        <v>372</v>
      </c>
      <c r="AP89" t="s" s="0">
        <v>107</v>
      </c>
      <c r="AQ89" t="s" s="0">
        <v>1195</v>
      </c>
      <c r="AR89" t="s" s="0">
        <v>1196</v>
      </c>
      <c r="AS89" t="s" s="0">
        <v>1197</v>
      </c>
      <c r="AT89" t="s" s="0">
        <v>1198</v>
      </c>
      <c r="AU89" t="s" s="0">
        <v>81</v>
      </c>
      <c r="AV89" t="s" s="0">
        <v>81</v>
      </c>
      <c r="AW89" t="s" s="0">
        <v>1189</v>
      </c>
      <c r="AX89" t="s" s="0">
        <v>1199</v>
      </c>
      <c r="AY89" t="s" s="0">
        <v>142</v>
      </c>
      <c r="AZ89" t="s" s="0">
        <v>142</v>
      </c>
      <c r="BA89" t="s" s="0">
        <v>134</v>
      </c>
      <c r="BB89" t="s" s="0">
        <v>81</v>
      </c>
      <c r="BC89" t="s" s="0">
        <v>81</v>
      </c>
      <c r="BD89" t="s" s="0">
        <v>81</v>
      </c>
      <c r="BE89" t="s" s="0">
        <v>81</v>
      </c>
      <c r="BF89" t="s" s="0">
        <v>81</v>
      </c>
      <c r="BG89" t="s" s="0">
        <v>2481</v>
      </c>
      <c r="BH89" t="s" s="0">
        <v>2482</v>
      </c>
      <c r="BI89" t="s" s="0">
        <v>81</v>
      </c>
      <c r="BJ89" t="s" s="0">
        <v>2483</v>
      </c>
      <c r="BK89" t="s" s="175">
        <f>HYPERLINK("http://dx.doi.org/10.1109/ACCESS.2025.3564529","http://dx.doi.org/10.1109/ACCESS.2025.3564529")</f>
        <v>2484</v>
      </c>
      <c r="BL89" t="s" s="0">
        <v>81</v>
      </c>
      <c r="BM89" t="s" s="0">
        <v>81</v>
      </c>
      <c r="BN89" t="s" s="0">
        <v>187</v>
      </c>
      <c r="BO89" t="s" s="0">
        <v>1204</v>
      </c>
      <c r="BP89" t="s" s="0">
        <v>1205</v>
      </c>
      <c r="BQ89" t="s" s="0">
        <v>2485</v>
      </c>
      <c r="BR89" t="s" s="0">
        <v>81</v>
      </c>
      <c r="BS89" t="s" s="0">
        <v>2486</v>
      </c>
      <c r="BT89" t="s" s="176">
        <f>HYPERLINK("https://www.webofscience.com/wos/woscc/full-record/WOS:001481864700008","View Record in Web of Science")</f>
        <v>113</v>
      </c>
      <c r="BU89" t="s" s="0">
        <v>153</v>
      </c>
      <c r="BV89" t="s" s="0">
        <v>81</v>
      </c>
      <c r="BW89" t="s" s="0">
        <v>81</v>
      </c>
      <c r="BX89" t="s" s="0">
        <v>115</v>
      </c>
    </row>
    <row r="90">
      <c r="A90" t="s" s="0">
        <v>77</v>
      </c>
      <c r="B90" t="s" s="0">
        <v>77</v>
      </c>
      <c r="C90" t="s" s="0">
        <v>144</v>
      </c>
      <c r="D90" t="s" s="0">
        <v>77</v>
      </c>
      <c r="E90" t="s" s="0">
        <v>2487</v>
      </c>
      <c r="F90" t="s" s="0">
        <v>2488</v>
      </c>
      <c r="G90" t="s" s="0">
        <v>2489</v>
      </c>
      <c r="H90" t="s" s="0">
        <v>81</v>
      </c>
      <c r="I90" t="s" s="0">
        <v>82</v>
      </c>
      <c r="J90" t="s" s="0">
        <v>2490</v>
      </c>
      <c r="K90" t="s" s="0">
        <v>2491</v>
      </c>
      <c r="L90" t="s" s="0">
        <v>2492</v>
      </c>
      <c r="M90" t="s" s="0">
        <v>2493</v>
      </c>
      <c r="N90" t="s" s="0">
        <v>2494</v>
      </c>
      <c r="O90" t="s" s="0">
        <v>2495</v>
      </c>
      <c r="P90" t="s" s="0">
        <v>2496</v>
      </c>
      <c r="Q90" t="s" s="0">
        <v>87</v>
      </c>
      <c r="R90" t="s" s="0">
        <v>81</v>
      </c>
      <c r="S90" t="s" s="0">
        <v>81</v>
      </c>
      <c r="T90" t="s" s="0">
        <v>81</v>
      </c>
      <c r="U90" t="s" s="0">
        <v>81</v>
      </c>
      <c r="V90" t="s" s="0">
        <v>2497</v>
      </c>
      <c r="W90" t="s" s="0">
        <v>2498</v>
      </c>
      <c r="X90" t="s" s="0">
        <v>81</v>
      </c>
      <c r="Y90" t="s" s="0">
        <v>81</v>
      </c>
      <c r="Z90" t="s" s="0">
        <v>90</v>
      </c>
      <c r="AA90" t="s" s="0">
        <v>91</v>
      </c>
      <c r="AB90" t="s" s="0">
        <v>81</v>
      </c>
      <c r="AC90" t="s" s="0">
        <v>81</v>
      </c>
      <c r="AD90" t="s" s="0">
        <v>81</v>
      </c>
      <c r="AE90" t="s" s="0">
        <v>81</v>
      </c>
      <c r="AF90" t="s" s="0">
        <v>81</v>
      </c>
      <c r="AG90" t="s" s="0">
        <v>2499</v>
      </c>
      <c r="AH90" t="s" s="0">
        <v>81</v>
      </c>
      <c r="AI90" t="s" s="0">
        <v>2500</v>
      </c>
      <c r="AJ90" t="s" s="0">
        <v>81</v>
      </c>
      <c r="AK90" t="s" s="0">
        <v>81</v>
      </c>
      <c r="AL90" t="s" s="0">
        <v>209</v>
      </c>
      <c r="AM90" t="s" s="0">
        <v>103</v>
      </c>
      <c r="AN90" t="s" s="0">
        <v>103</v>
      </c>
      <c r="AO90" t="s" s="0">
        <v>372</v>
      </c>
      <c r="AP90" t="s" s="0">
        <v>133</v>
      </c>
      <c r="AQ90" t="s" s="0">
        <v>615</v>
      </c>
      <c r="AR90" t="s" s="0">
        <v>616</v>
      </c>
      <c r="AS90" t="s" s="0">
        <v>617</v>
      </c>
      <c r="AT90" t="s" s="0">
        <v>81</v>
      </c>
      <c r="AU90" t="s" s="0">
        <v>2501</v>
      </c>
      <c r="AV90" t="s" s="0">
        <v>81</v>
      </c>
      <c r="AW90" t="s" s="0">
        <v>2502</v>
      </c>
      <c r="AX90" t="s" s="0">
        <v>2503</v>
      </c>
      <c r="AY90" t="s" s="0">
        <v>1140</v>
      </c>
      <c r="AZ90" t="s" s="0">
        <v>142</v>
      </c>
      <c r="BA90" t="s" s="0">
        <v>2504</v>
      </c>
      <c r="BB90" t="s" s="0">
        <v>81</v>
      </c>
      <c r="BC90" t="s" s="0">
        <v>81</v>
      </c>
      <c r="BD90" t="s" s="0">
        <v>81</v>
      </c>
      <c r="BE90" t="s" s="0">
        <v>81</v>
      </c>
      <c r="BF90" t="s" s="0">
        <v>81</v>
      </c>
      <c r="BG90" t="s" s="0">
        <v>81</v>
      </c>
      <c r="BH90" t="s" s="0">
        <v>81</v>
      </c>
      <c r="BI90" t="s" s="0">
        <v>2505</v>
      </c>
      <c r="BJ90" t="s" s="0">
        <v>2506</v>
      </c>
      <c r="BK90" t="s" s="177">
        <f>HYPERLINK("http://dx.doi.org/10.1016/j.jbo.2025.100718","http://dx.doi.org/10.1016/j.jbo.2025.100718")</f>
        <v>2507</v>
      </c>
      <c r="BL90" t="s" s="0">
        <v>81</v>
      </c>
      <c r="BM90" t="s" s="0">
        <v>218</v>
      </c>
      <c r="BN90" t="s" s="0">
        <v>133</v>
      </c>
      <c r="BO90" t="s" s="0">
        <v>412</v>
      </c>
      <c r="BP90" t="s" s="0">
        <v>412</v>
      </c>
      <c r="BQ90" t="s" s="0">
        <v>2508</v>
      </c>
      <c r="BR90" t="s" s="0">
        <v>2509</v>
      </c>
      <c r="BS90" t="s" s="0">
        <v>2510</v>
      </c>
      <c r="BT90" t="s" s="178">
        <f>HYPERLINK("https://www.webofscience.com/wos/woscc/full-record/WOS:001606502700001","View Record in Web of Science")</f>
        <v>113</v>
      </c>
      <c r="BU90" t="s" s="0">
        <v>153</v>
      </c>
      <c r="BV90" t="s" s="0">
        <v>81</v>
      </c>
      <c r="BW90" t="s" s="0">
        <v>81</v>
      </c>
      <c r="BX90" t="s" s="0">
        <v>115</v>
      </c>
    </row>
    <row r="91">
      <c r="A91" t="s" s="0">
        <v>77</v>
      </c>
      <c r="B91" t="s" s="0">
        <v>77</v>
      </c>
      <c r="C91" t="s" s="0">
        <v>77</v>
      </c>
      <c r="D91" t="s" s="0">
        <v>77</v>
      </c>
      <c r="E91" t="s" s="0">
        <v>2511</v>
      </c>
      <c r="F91" t="s" s="0">
        <v>2512</v>
      </c>
      <c r="G91" t="s" s="0">
        <v>2513</v>
      </c>
      <c r="H91" t="s" s="0">
        <v>81</v>
      </c>
      <c r="I91" t="s" s="0">
        <v>82</v>
      </c>
      <c r="J91" t="s" s="0">
        <v>2514</v>
      </c>
      <c r="K91" t="s" s="0">
        <v>2515</v>
      </c>
      <c r="L91" t="s" s="0">
        <v>2516</v>
      </c>
      <c r="M91" t="s" s="0">
        <v>2517</v>
      </c>
      <c r="N91" t="s" s="0">
        <v>2518</v>
      </c>
      <c r="O91" t="s" s="0">
        <v>2519</v>
      </c>
      <c r="P91" t="s" s="0">
        <v>2520</v>
      </c>
      <c r="Q91" t="s" s="0">
        <v>87</v>
      </c>
      <c r="R91" t="s" s="0">
        <v>81</v>
      </c>
      <c r="S91" t="s" s="0">
        <v>81</v>
      </c>
      <c r="T91" t="s" s="0">
        <v>81</v>
      </c>
      <c r="U91" t="s" s="0">
        <v>81</v>
      </c>
      <c r="V91" t="s" s="0">
        <v>2521</v>
      </c>
      <c r="W91" t="s" s="0">
        <v>272</v>
      </c>
      <c r="X91" t="s" s="0">
        <v>81</v>
      </c>
      <c r="Y91" t="s" s="0">
        <v>81</v>
      </c>
      <c r="Z91" t="s" s="0">
        <v>90</v>
      </c>
      <c r="AA91" t="s" s="0">
        <v>2522</v>
      </c>
      <c r="AB91" t="s" s="0">
        <v>81</v>
      </c>
      <c r="AC91" t="s" s="0">
        <v>81</v>
      </c>
      <c r="AD91" t="s" s="0">
        <v>81</v>
      </c>
      <c r="AE91" t="s" s="0">
        <v>81</v>
      </c>
      <c r="AF91" t="s" s="0">
        <v>81</v>
      </c>
      <c r="AG91" t="s" s="0">
        <v>2523</v>
      </c>
      <c r="AH91" t="s" s="0">
        <v>2524</v>
      </c>
      <c r="AI91" t="s" s="0">
        <v>2525</v>
      </c>
      <c r="AJ91" t="s" s="0">
        <v>2526</v>
      </c>
      <c r="AK91" t="s" s="0">
        <v>81</v>
      </c>
      <c r="AL91" t="s" s="0">
        <v>433</v>
      </c>
      <c r="AM91" t="s" s="0">
        <v>77</v>
      </c>
      <c r="AN91" t="s" s="0">
        <v>77</v>
      </c>
      <c r="AO91" t="s" s="0">
        <v>144</v>
      </c>
      <c r="AP91" t="s" s="0">
        <v>144</v>
      </c>
      <c r="AQ91" t="s" s="0">
        <v>278</v>
      </c>
      <c r="AR91" t="s" s="0">
        <v>247</v>
      </c>
      <c r="AS91" t="s" s="0">
        <v>279</v>
      </c>
      <c r="AT91" t="s" s="0">
        <v>280</v>
      </c>
      <c r="AU91" t="s" s="0">
        <v>281</v>
      </c>
      <c r="AV91" t="s" s="0">
        <v>81</v>
      </c>
      <c r="AW91" t="s" s="0">
        <v>282</v>
      </c>
      <c r="AX91" t="s" s="0">
        <v>283</v>
      </c>
      <c r="AY91" t="s" s="0">
        <v>81</v>
      </c>
      <c r="AZ91" t="s" s="0">
        <v>101</v>
      </c>
      <c r="BA91" t="s" s="0">
        <v>81</v>
      </c>
      <c r="BB91" t="s" s="0">
        <v>81</v>
      </c>
      <c r="BC91" t="s" s="0">
        <v>81</v>
      </c>
      <c r="BD91" t="s" s="0">
        <v>81</v>
      </c>
      <c r="BE91" t="s" s="0">
        <v>81</v>
      </c>
      <c r="BF91" t="s" s="0">
        <v>81</v>
      </c>
      <c r="BG91" t="s" s="0">
        <v>81</v>
      </c>
      <c r="BH91" t="s" s="0">
        <v>81</v>
      </c>
      <c r="BI91" t="s" s="0">
        <v>81</v>
      </c>
      <c r="BJ91" t="s" s="0">
        <v>2527</v>
      </c>
      <c r="BK91" t="s" s="179">
        <f>HYPERLINK("http://dx.doi.org/10.1007/s10278-026-01915-1","http://dx.doi.org/10.1007/s10278-026-01915-1")</f>
        <v>2528</v>
      </c>
      <c r="BL91" t="s" s="0">
        <v>81</v>
      </c>
      <c r="BM91" t="s" s="0">
        <v>2529</v>
      </c>
      <c r="BN91" t="s" s="0">
        <v>187</v>
      </c>
      <c r="BO91" t="s" s="0">
        <v>292</v>
      </c>
      <c r="BP91" t="s" s="0">
        <v>292</v>
      </c>
      <c r="BQ91" t="s" s="0">
        <v>2530</v>
      </c>
      <c r="BR91" t="s" s="0">
        <v>2531</v>
      </c>
      <c r="BS91" t="s" s="0">
        <v>2532</v>
      </c>
      <c r="BT91" t="s" s="180">
        <f>HYPERLINK("https://www.webofscience.com/wos/woscc/full-record/WOS:001721003900001","View Record in Web of Science")</f>
        <v>113</v>
      </c>
      <c r="BU91" t="s" s="0">
        <v>81</v>
      </c>
      <c r="BV91" t="s" s="0">
        <v>81</v>
      </c>
      <c r="BW91" t="s" s="0">
        <v>81</v>
      </c>
      <c r="BX91" t="s" s="0">
        <v>115</v>
      </c>
    </row>
    <row r="92">
      <c r="A92" t="s" s="0">
        <v>77</v>
      </c>
      <c r="B92" t="s" s="0">
        <v>77</v>
      </c>
      <c r="C92" t="s" s="0">
        <v>77</v>
      </c>
      <c r="D92" t="s" s="0">
        <v>77</v>
      </c>
      <c r="E92" t="s" s="0">
        <v>2533</v>
      </c>
      <c r="F92" t="s" s="0">
        <v>2534</v>
      </c>
      <c r="G92" t="s" s="0">
        <v>2535</v>
      </c>
      <c r="H92" t="s" s="0">
        <v>81</v>
      </c>
      <c r="I92" t="s" s="0">
        <v>543</v>
      </c>
      <c r="J92" t="s" s="0">
        <v>2536</v>
      </c>
      <c r="K92" t="s" s="0">
        <v>2537</v>
      </c>
      <c r="L92" t="s" s="0">
        <v>2538</v>
      </c>
      <c r="M92" t="s" s="0">
        <v>2539</v>
      </c>
      <c r="N92" t="s" s="0">
        <v>2540</v>
      </c>
      <c r="O92" t="s" s="0">
        <v>2541</v>
      </c>
      <c r="P92" t="s" s="0">
        <v>2542</v>
      </c>
      <c r="Q92" t="s" s="0">
        <v>87</v>
      </c>
      <c r="R92" t="s" s="0">
        <v>81</v>
      </c>
      <c r="S92" t="s" s="0">
        <v>81</v>
      </c>
      <c r="T92" t="s" s="0">
        <v>81</v>
      </c>
      <c r="U92" t="s" s="0">
        <v>81</v>
      </c>
      <c r="V92" t="s" s="0">
        <v>2543</v>
      </c>
      <c r="W92" t="s" s="0">
        <v>2544</v>
      </c>
      <c r="X92" t="s" s="0">
        <v>81</v>
      </c>
      <c r="Y92" t="s" s="0">
        <v>81</v>
      </c>
      <c r="Z92" t="s" s="0">
        <v>90</v>
      </c>
      <c r="AA92" t="s" s="0">
        <v>91</v>
      </c>
      <c r="AB92" t="s" s="0">
        <v>81</v>
      </c>
      <c r="AC92" t="s" s="0">
        <v>81</v>
      </c>
      <c r="AD92" t="s" s="0">
        <v>81</v>
      </c>
      <c r="AE92" t="s" s="0">
        <v>81</v>
      </c>
      <c r="AF92" t="s" s="0">
        <v>81</v>
      </c>
      <c r="AG92" t="s" s="0">
        <v>81</v>
      </c>
      <c r="AH92" t="s" s="0">
        <v>2545</v>
      </c>
      <c r="AI92" t="s" s="0">
        <v>81</v>
      </c>
      <c r="AJ92" t="s" s="0">
        <v>81</v>
      </c>
      <c r="AK92" t="s" s="0">
        <v>81</v>
      </c>
      <c r="AL92" t="s" s="0">
        <v>1223</v>
      </c>
      <c r="AM92" t="s" s="0">
        <v>77</v>
      </c>
      <c r="AN92" t="s" s="0">
        <v>77</v>
      </c>
      <c r="AO92" t="s" s="0">
        <v>77</v>
      </c>
      <c r="AP92" t="s" s="0">
        <v>77</v>
      </c>
      <c r="AQ92" t="s" s="0">
        <v>1254</v>
      </c>
      <c r="AR92" t="s" s="0">
        <v>1255</v>
      </c>
      <c r="AS92" t="s" s="0">
        <v>1256</v>
      </c>
      <c r="AT92" t="s" s="0">
        <v>2546</v>
      </c>
      <c r="AU92" t="s" s="0">
        <v>81</v>
      </c>
      <c r="AV92" t="s" s="0">
        <v>81</v>
      </c>
      <c r="AW92" t="s" s="0">
        <v>2547</v>
      </c>
      <c r="AX92" t="s" s="0">
        <v>2548</v>
      </c>
      <c r="AY92" t="s" s="0">
        <v>100</v>
      </c>
      <c r="AZ92" t="s" s="0">
        <v>101</v>
      </c>
      <c r="BA92" t="s" s="0">
        <v>107</v>
      </c>
      <c r="BB92" t="s" s="0">
        <v>103</v>
      </c>
      <c r="BC92" t="s" s="0">
        <v>81</v>
      </c>
      <c r="BD92" t="s" s="0">
        <v>81</v>
      </c>
      <c r="BE92" t="s" s="0">
        <v>81</v>
      </c>
      <c r="BF92" t="s" s="0">
        <v>81</v>
      </c>
      <c r="BG92" t="s" s="0">
        <v>81</v>
      </c>
      <c r="BH92" t="s" s="0">
        <v>81</v>
      </c>
      <c r="BI92" t="s" s="0">
        <v>2549</v>
      </c>
      <c r="BJ92" t="s" s="0">
        <v>2550</v>
      </c>
      <c r="BK92" t="s" s="181">
        <f>HYPERLINK("http://dx.doi.org/10.1200/CCI-25-00141","http://dx.doi.org/10.1200/CCI-25-00141")</f>
        <v>2551</v>
      </c>
      <c r="BL92" t="s" s="0">
        <v>81</v>
      </c>
      <c r="BM92" t="s" s="0">
        <v>81</v>
      </c>
      <c r="BN92" t="s" s="0">
        <v>133</v>
      </c>
      <c r="BO92" t="s" s="0">
        <v>412</v>
      </c>
      <c r="BP92" t="s" s="0">
        <v>412</v>
      </c>
      <c r="BQ92" t="s" s="0">
        <v>2552</v>
      </c>
      <c r="BR92" t="s" s="0">
        <v>2553</v>
      </c>
      <c r="BS92" t="s" s="0">
        <v>2554</v>
      </c>
      <c r="BT92" t="s" s="182">
        <f>HYPERLINK("https://www.webofscience.com/wos/woscc/full-record/WOS:001800356100001","View Record in Web of Science")</f>
        <v>113</v>
      </c>
      <c r="BU92" t="s" s="0">
        <v>81</v>
      </c>
      <c r="BV92" t="s" s="0">
        <v>81</v>
      </c>
      <c r="BW92" t="s" s="0">
        <v>81</v>
      </c>
      <c r="BX92" t="s" s="0">
        <v>115</v>
      </c>
    </row>
    <row r="93">
      <c r="A93" t="s" s="0">
        <v>77</v>
      </c>
      <c r="B93" t="s" s="0">
        <v>77</v>
      </c>
      <c r="C93" t="s" s="0">
        <v>77</v>
      </c>
      <c r="D93" t="s" s="0">
        <v>77</v>
      </c>
      <c r="E93" t="s" s="0">
        <v>2555</v>
      </c>
      <c r="F93" t="s" s="0">
        <v>2556</v>
      </c>
      <c r="G93" t="s" s="0">
        <v>2557</v>
      </c>
      <c r="H93" t="s" s="0">
        <v>81</v>
      </c>
      <c r="I93" t="s" s="0">
        <v>2558</v>
      </c>
      <c r="J93" t="s" s="0">
        <v>2559</v>
      </c>
      <c r="K93" t="s" s="0">
        <v>2560</v>
      </c>
      <c r="L93" t="s" s="0">
        <v>81</v>
      </c>
      <c r="M93" t="s" s="0">
        <v>81</v>
      </c>
      <c r="N93" t="s" s="0">
        <v>81</v>
      </c>
      <c r="O93" t="s" s="0">
        <v>2561</v>
      </c>
      <c r="P93" t="s" s="0">
        <v>2562</v>
      </c>
      <c r="Q93" t="s" s="0">
        <v>87</v>
      </c>
      <c r="R93" t="s" s="0">
        <v>81</v>
      </c>
      <c r="S93" t="s" s="0">
        <v>81</v>
      </c>
      <c r="T93" t="s" s="0">
        <v>81</v>
      </c>
      <c r="U93" t="s" s="0">
        <v>81</v>
      </c>
      <c r="V93" t="s" s="0">
        <v>2563</v>
      </c>
      <c r="W93" t="s" s="0">
        <v>2564</v>
      </c>
      <c r="X93" t="s" s="0">
        <v>81</v>
      </c>
      <c r="Y93" t="s" s="0">
        <v>81</v>
      </c>
      <c r="Z93" t="s" s="0">
        <v>90</v>
      </c>
      <c r="AA93" t="s" s="0">
        <v>91</v>
      </c>
      <c r="AB93" t="s" s="0">
        <v>81</v>
      </c>
      <c r="AC93" t="s" s="0">
        <v>81</v>
      </c>
      <c r="AD93" t="s" s="0">
        <v>81</v>
      </c>
      <c r="AE93" t="s" s="0">
        <v>81</v>
      </c>
      <c r="AF93" t="s" s="0">
        <v>81</v>
      </c>
      <c r="AG93" t="s" s="0">
        <v>2565</v>
      </c>
      <c r="AH93" t="s" s="0">
        <v>2566</v>
      </c>
      <c r="AI93" t="s" s="0">
        <v>81</v>
      </c>
      <c r="AJ93" t="s" s="0">
        <v>2567</v>
      </c>
      <c r="AK93" t="s" s="0">
        <v>81</v>
      </c>
      <c r="AL93" t="s" s="0">
        <v>2568</v>
      </c>
      <c r="AM93" t="s" s="0">
        <v>77</v>
      </c>
      <c r="AN93" t="s" s="0">
        <v>77</v>
      </c>
      <c r="AO93" t="s" s="0">
        <v>286</v>
      </c>
      <c r="AP93" t="s" s="0">
        <v>704</v>
      </c>
      <c r="AQ93" t="s" s="0">
        <v>174</v>
      </c>
      <c r="AR93" t="s" s="0">
        <v>175</v>
      </c>
      <c r="AS93" t="s" s="0">
        <v>176</v>
      </c>
      <c r="AT93" t="s" s="0">
        <v>2569</v>
      </c>
      <c r="AU93" t="s" s="0">
        <v>2570</v>
      </c>
      <c r="AV93" t="s" s="0">
        <v>81</v>
      </c>
      <c r="AW93" t="s" s="0">
        <v>2571</v>
      </c>
      <c r="AX93" t="s" s="0">
        <v>2572</v>
      </c>
      <c r="AY93" t="s" s="0">
        <v>2331</v>
      </c>
      <c r="AZ93" t="s" s="0">
        <v>101</v>
      </c>
      <c r="BA93" t="s" s="0">
        <v>1030</v>
      </c>
      <c r="BB93" t="s" s="0">
        <v>81</v>
      </c>
      <c r="BC93" t="s" s="0">
        <v>81</v>
      </c>
      <c r="BD93" t="s" s="0">
        <v>81</v>
      </c>
      <c r="BE93" t="s" s="0">
        <v>81</v>
      </c>
      <c r="BF93" t="s" s="0">
        <v>81</v>
      </c>
      <c r="BG93" t="s" s="0">
        <v>81</v>
      </c>
      <c r="BH93" t="s" s="0">
        <v>81</v>
      </c>
      <c r="BI93" t="s" s="0">
        <v>2573</v>
      </c>
      <c r="BJ93" t="s" s="0">
        <v>2574</v>
      </c>
      <c r="BK93" t="s" s="183">
        <f>HYPERLINK("http://dx.doi.org/10.1016/j.jretconser.2025.104481","http://dx.doi.org/10.1016/j.jretconser.2025.104481")</f>
        <v>2575</v>
      </c>
      <c r="BL93" t="s" s="0">
        <v>81</v>
      </c>
      <c r="BM93" t="s" s="0">
        <v>380</v>
      </c>
      <c r="BN93" t="s" s="0">
        <v>684</v>
      </c>
      <c r="BO93" t="s" s="0">
        <v>2576</v>
      </c>
      <c r="BP93" t="s" s="0">
        <v>2577</v>
      </c>
      <c r="BQ93" t="s" s="0">
        <v>2578</v>
      </c>
      <c r="BR93" t="s" s="0">
        <v>81</v>
      </c>
      <c r="BS93" t="s" s="0">
        <v>2579</v>
      </c>
      <c r="BT93" t="s" s="184">
        <f>HYPERLINK("https://www.webofscience.com/wos/woscc/full-record/WOS:001563463300002","View Record in Web of Science")</f>
        <v>113</v>
      </c>
      <c r="BU93" t="s" s="0">
        <v>81</v>
      </c>
      <c r="BV93" t="s" s="0">
        <v>81</v>
      </c>
      <c r="BW93" t="s" s="0">
        <v>81</v>
      </c>
      <c r="BX93" t="s" s="0">
        <v>115</v>
      </c>
    </row>
    <row r="94">
      <c r="A94" t="s" s="0">
        <v>77</v>
      </c>
      <c r="B94" t="s" s="0">
        <v>77</v>
      </c>
      <c r="C94" t="s" s="0">
        <v>77</v>
      </c>
      <c r="D94" t="s" s="0">
        <v>77</v>
      </c>
      <c r="E94" t="s" s="0">
        <v>2580</v>
      </c>
      <c r="F94" t="s" s="0">
        <v>2581</v>
      </c>
      <c r="G94" t="s" s="0">
        <v>2582</v>
      </c>
      <c r="H94" t="s" s="0">
        <v>81</v>
      </c>
      <c r="I94" t="s" s="0">
        <v>82</v>
      </c>
      <c r="J94" t="s" s="0">
        <v>2583</v>
      </c>
      <c r="K94" t="s" s="0">
        <v>2584</v>
      </c>
      <c r="L94" t="s" s="0">
        <v>81</v>
      </c>
      <c r="M94" t="s" s="0">
        <v>81</v>
      </c>
      <c r="N94" t="s" s="0">
        <v>81</v>
      </c>
      <c r="O94" t="s" s="0">
        <v>2585</v>
      </c>
      <c r="P94" t="s" s="0">
        <v>2586</v>
      </c>
      <c r="Q94" t="s" s="0">
        <v>87</v>
      </c>
      <c r="R94" t="s" s="0">
        <v>81</v>
      </c>
      <c r="S94" t="s" s="0">
        <v>81</v>
      </c>
      <c r="T94" t="s" s="0">
        <v>81</v>
      </c>
      <c r="U94" t="s" s="0">
        <v>81</v>
      </c>
      <c r="V94" t="s" s="0">
        <v>2587</v>
      </c>
      <c r="W94" t="s" s="0">
        <v>731</v>
      </c>
      <c r="X94" t="s" s="0">
        <v>81</v>
      </c>
      <c r="Y94" t="s" s="0">
        <v>81</v>
      </c>
      <c r="Z94" t="s" s="0">
        <v>90</v>
      </c>
      <c r="AA94" t="s" s="0">
        <v>91</v>
      </c>
      <c r="AB94" t="s" s="0">
        <v>81</v>
      </c>
      <c r="AC94" t="s" s="0">
        <v>81</v>
      </c>
      <c r="AD94" t="s" s="0">
        <v>81</v>
      </c>
      <c r="AE94" t="s" s="0">
        <v>81</v>
      </c>
      <c r="AF94" t="s" s="0">
        <v>81</v>
      </c>
      <c r="AG94" t="s" s="0">
        <v>2588</v>
      </c>
      <c r="AH94" t="s" s="0">
        <v>2589</v>
      </c>
      <c r="AI94" t="s" s="0">
        <v>81</v>
      </c>
      <c r="AJ94" t="s" s="0">
        <v>81</v>
      </c>
      <c r="AK94" t="s" s="0">
        <v>81</v>
      </c>
      <c r="AL94" t="s" s="0">
        <v>822</v>
      </c>
      <c r="AM94" t="s" s="0">
        <v>77</v>
      </c>
      <c r="AN94" t="s" s="0">
        <v>77</v>
      </c>
      <c r="AO94" t="s" s="0">
        <v>77</v>
      </c>
      <c r="AP94" t="s" s="0">
        <v>77</v>
      </c>
      <c r="AQ94" t="s" s="0">
        <v>736</v>
      </c>
      <c r="AR94" t="s" s="0">
        <v>646</v>
      </c>
      <c r="AS94" t="s" s="0">
        <v>737</v>
      </c>
      <c r="AT94" t="s" s="0">
        <v>738</v>
      </c>
      <c r="AU94" t="s" s="0">
        <v>739</v>
      </c>
      <c r="AV94" t="s" s="0">
        <v>81</v>
      </c>
      <c r="AW94" t="s" s="0">
        <v>740</v>
      </c>
      <c r="AX94" t="s" s="0">
        <v>741</v>
      </c>
      <c r="AY94" t="s" s="0">
        <v>2459</v>
      </c>
      <c r="AZ94" t="s" s="0">
        <v>101</v>
      </c>
      <c r="BA94" t="s" s="0">
        <v>2590</v>
      </c>
      <c r="BB94" t="s" s="0">
        <v>144</v>
      </c>
      <c r="BC94" t="s" s="0">
        <v>81</v>
      </c>
      <c r="BD94" t="s" s="0">
        <v>81</v>
      </c>
      <c r="BE94" t="s" s="0">
        <v>81</v>
      </c>
      <c r="BF94" t="s" s="0">
        <v>81</v>
      </c>
      <c r="BG94" t="s" s="0">
        <v>2568</v>
      </c>
      <c r="BH94" t="s" s="0">
        <v>2591</v>
      </c>
      <c r="BI94" t="s" s="0">
        <v>81</v>
      </c>
      <c r="BJ94" t="s" s="0">
        <v>2592</v>
      </c>
      <c r="BK94" t="s" s="185">
        <f>HYPERLINK("http://dx.doi.org/10.1177/13872877261465672","http://dx.doi.org/10.1177/13872877261465672")</f>
        <v>2593</v>
      </c>
      <c r="BL94" t="s" s="0">
        <v>81</v>
      </c>
      <c r="BM94" t="s" s="0">
        <v>2241</v>
      </c>
      <c r="BN94" t="s" s="0">
        <v>245</v>
      </c>
      <c r="BO94" t="s" s="0">
        <v>748</v>
      </c>
      <c r="BP94" t="s" s="0">
        <v>749</v>
      </c>
      <c r="BQ94" t="s" s="0">
        <v>2594</v>
      </c>
      <c r="BR94" t="s" s="0">
        <v>2595</v>
      </c>
      <c r="BS94" t="s" s="0">
        <v>2596</v>
      </c>
      <c r="BT94" t="s" s="186">
        <f>HYPERLINK("https://www.webofscience.com/wos/woscc/full-record/WOS:001837765700001","View Record in Web of Science")</f>
        <v>113</v>
      </c>
      <c r="BU94" t="s" s="0">
        <v>81</v>
      </c>
      <c r="BV94" t="s" s="0">
        <v>81</v>
      </c>
      <c r="BW94" t="s" s="0">
        <v>81</v>
      </c>
      <c r="BX94" t="s" s="0">
        <v>115</v>
      </c>
    </row>
    <row r="95">
      <c r="A95" t="s" s="0">
        <v>77</v>
      </c>
      <c r="B95" t="s" s="0">
        <v>77</v>
      </c>
      <c r="C95" t="s" s="0">
        <v>77</v>
      </c>
      <c r="D95" t="s" s="0">
        <v>77</v>
      </c>
      <c r="E95" t="s" s="0">
        <v>2597</v>
      </c>
      <c r="F95" t="s" s="0">
        <v>2598</v>
      </c>
      <c r="G95" t="s" s="0">
        <v>2599</v>
      </c>
      <c r="H95" t="s" s="0">
        <v>81</v>
      </c>
      <c r="I95" t="s" s="0">
        <v>82</v>
      </c>
      <c r="J95" t="s" s="0">
        <v>2600</v>
      </c>
      <c r="K95" t="s" s="0">
        <v>2601</v>
      </c>
      <c r="L95" t="s" s="0">
        <v>2602</v>
      </c>
      <c r="M95" t="s" s="0">
        <v>2603</v>
      </c>
      <c r="N95" t="s" s="0">
        <v>2604</v>
      </c>
      <c r="O95" t="s" s="0">
        <v>2605</v>
      </c>
      <c r="P95" t="s" s="0">
        <v>2606</v>
      </c>
      <c r="Q95" t="s" s="0">
        <v>87</v>
      </c>
      <c r="R95" t="s" s="0">
        <v>81</v>
      </c>
      <c r="S95" t="s" s="0">
        <v>81</v>
      </c>
      <c r="T95" t="s" s="0">
        <v>81</v>
      </c>
      <c r="U95" t="s" s="0">
        <v>81</v>
      </c>
      <c r="V95" t="s" s="0">
        <v>2607</v>
      </c>
      <c r="W95" t="s" s="0">
        <v>2608</v>
      </c>
      <c r="X95" t="s" s="0">
        <v>81</v>
      </c>
      <c r="Y95" t="s" s="0">
        <v>81</v>
      </c>
      <c r="Z95" t="s" s="0">
        <v>90</v>
      </c>
      <c r="AA95" t="s" s="0">
        <v>91</v>
      </c>
      <c r="AB95" t="s" s="0">
        <v>81</v>
      </c>
      <c r="AC95" t="s" s="0">
        <v>81</v>
      </c>
      <c r="AD95" t="s" s="0">
        <v>81</v>
      </c>
      <c r="AE95" t="s" s="0">
        <v>81</v>
      </c>
      <c r="AF95" t="s" s="0">
        <v>81</v>
      </c>
      <c r="AG95" t="s" s="0">
        <v>2609</v>
      </c>
      <c r="AH95" t="s" s="0">
        <v>81</v>
      </c>
      <c r="AI95" t="s" s="0">
        <v>81</v>
      </c>
      <c r="AJ95" t="s" s="0">
        <v>81</v>
      </c>
      <c r="AK95" t="s" s="0">
        <v>81</v>
      </c>
      <c r="AL95" t="s" s="0">
        <v>276</v>
      </c>
      <c r="AM95" t="s" s="0">
        <v>77</v>
      </c>
      <c r="AN95" t="s" s="0">
        <v>77</v>
      </c>
      <c r="AO95" t="s" s="0">
        <v>107</v>
      </c>
      <c r="AP95" t="s" s="0">
        <v>107</v>
      </c>
      <c r="AQ95" t="s" s="0">
        <v>314</v>
      </c>
      <c r="AR95" t="s" s="0">
        <v>315</v>
      </c>
      <c r="AS95" t="s" s="0">
        <v>316</v>
      </c>
      <c r="AT95" t="s" s="0">
        <v>81</v>
      </c>
      <c r="AU95" t="s" s="0">
        <v>2610</v>
      </c>
      <c r="AV95" t="s" s="0">
        <v>81</v>
      </c>
      <c r="AW95" t="s" s="0">
        <v>2608</v>
      </c>
      <c r="AX95" t="s" s="0">
        <v>2611</v>
      </c>
      <c r="AY95" t="s" s="0">
        <v>2612</v>
      </c>
      <c r="AZ95" t="s" s="0">
        <v>101</v>
      </c>
      <c r="BA95" t="s" s="0">
        <v>143</v>
      </c>
      <c r="BB95" t="s" s="0">
        <v>103</v>
      </c>
      <c r="BC95" t="s" s="0">
        <v>81</v>
      </c>
      <c r="BD95" t="s" s="0">
        <v>81</v>
      </c>
      <c r="BE95" t="s" s="0">
        <v>81</v>
      </c>
      <c r="BF95" t="s" s="0">
        <v>81</v>
      </c>
      <c r="BG95" t="s" s="0">
        <v>81</v>
      </c>
      <c r="BH95" t="s" s="0">
        <v>81</v>
      </c>
      <c r="BI95" t="s" s="0">
        <v>2613</v>
      </c>
      <c r="BJ95" t="s" s="0">
        <v>2614</v>
      </c>
      <c r="BK95" t="s" s="187">
        <f>HYPERLINK("http://dx.doi.org/10.3390/foods15061095","http://dx.doi.org/10.3390/foods15061095")</f>
        <v>2615</v>
      </c>
      <c r="BL95" t="s" s="0">
        <v>81</v>
      </c>
      <c r="BM95" t="s" s="0">
        <v>81</v>
      </c>
      <c r="BN95" t="s" s="0">
        <v>796</v>
      </c>
      <c r="BO95" t="s" s="0">
        <v>2616</v>
      </c>
      <c r="BP95" t="s" s="0">
        <v>2616</v>
      </c>
      <c r="BQ95" t="s" s="0">
        <v>2617</v>
      </c>
      <c r="BR95" t="s" s="0">
        <v>2618</v>
      </c>
      <c r="BS95" t="s" s="0">
        <v>2619</v>
      </c>
      <c r="BT95" t="s" s="188">
        <f>HYPERLINK("https://www.webofscience.com/wos/woscc/full-record/WOS:001726132700001","View Record in Web of Science")</f>
        <v>113</v>
      </c>
      <c r="BU95" t="s" s="0">
        <v>153</v>
      </c>
      <c r="BV95" t="s" s="0">
        <v>81</v>
      </c>
      <c r="BW95" t="s" s="0">
        <v>81</v>
      </c>
      <c r="BX95" t="s" s="0">
        <v>115</v>
      </c>
    </row>
    <row r="96">
      <c r="A96" t="s" s="0">
        <v>77</v>
      </c>
      <c r="B96" t="s" s="0">
        <v>77</v>
      </c>
      <c r="C96" t="s" s="0">
        <v>210</v>
      </c>
      <c r="D96" t="s" s="0">
        <v>77</v>
      </c>
      <c r="E96" t="s" s="0">
        <v>2620</v>
      </c>
      <c r="F96" t="s" s="0">
        <v>2621</v>
      </c>
      <c r="G96" t="s" s="0">
        <v>2622</v>
      </c>
      <c r="H96" t="s" s="0">
        <v>81</v>
      </c>
      <c r="I96" t="s" s="0">
        <v>82</v>
      </c>
      <c r="J96" t="s" s="0">
        <v>2623</v>
      </c>
      <c r="K96" t="s" s="0">
        <v>2624</v>
      </c>
      <c r="L96" t="s" s="0">
        <v>81</v>
      </c>
      <c r="M96" t="s" s="0">
        <v>81</v>
      </c>
      <c r="N96" t="s" s="0">
        <v>81</v>
      </c>
      <c r="O96" t="s" s="0">
        <v>2625</v>
      </c>
      <c r="P96" t="s" s="0">
        <v>2626</v>
      </c>
      <c r="Q96" t="s" s="0">
        <v>87</v>
      </c>
      <c r="R96" t="s" s="0">
        <v>81</v>
      </c>
      <c r="S96" t="s" s="0">
        <v>81</v>
      </c>
      <c r="T96" t="s" s="0">
        <v>81</v>
      </c>
      <c r="U96" t="s" s="0">
        <v>81</v>
      </c>
      <c r="V96" t="s" s="0">
        <v>2627</v>
      </c>
      <c r="W96" t="s" s="0">
        <v>2628</v>
      </c>
      <c r="X96" t="s" s="0">
        <v>81</v>
      </c>
      <c r="Y96" t="s" s="0">
        <v>81</v>
      </c>
      <c r="Z96" t="s" s="0">
        <v>90</v>
      </c>
      <c r="AA96" t="s" s="0">
        <v>91</v>
      </c>
      <c r="AB96" t="s" s="0">
        <v>81</v>
      </c>
      <c r="AC96" t="s" s="0">
        <v>81</v>
      </c>
      <c r="AD96" t="s" s="0">
        <v>81</v>
      </c>
      <c r="AE96" t="s" s="0">
        <v>81</v>
      </c>
      <c r="AF96" t="s" s="0">
        <v>81</v>
      </c>
      <c r="AG96" t="s" s="0">
        <v>2629</v>
      </c>
      <c r="AH96" t="s" s="0">
        <v>2630</v>
      </c>
      <c r="AI96" t="s" s="0">
        <v>2631</v>
      </c>
      <c r="AJ96" t="s" s="0">
        <v>2632</v>
      </c>
      <c r="AK96" t="s" s="0">
        <v>81</v>
      </c>
      <c r="AL96" t="s" s="0">
        <v>428</v>
      </c>
      <c r="AM96" t="s" s="0">
        <v>323</v>
      </c>
      <c r="AN96" t="s" s="0">
        <v>277</v>
      </c>
      <c r="AO96" t="s" s="0">
        <v>77</v>
      </c>
      <c r="AP96" t="s" s="0">
        <v>626</v>
      </c>
      <c r="AQ96" t="s" s="0">
        <v>522</v>
      </c>
      <c r="AR96" t="s" s="0">
        <v>523</v>
      </c>
      <c r="AS96" t="s" s="0">
        <v>524</v>
      </c>
      <c r="AT96" t="s" s="0">
        <v>2633</v>
      </c>
      <c r="AU96" t="s" s="0">
        <v>2634</v>
      </c>
      <c r="AV96" t="s" s="0">
        <v>81</v>
      </c>
      <c r="AW96" t="s" s="0">
        <v>2635</v>
      </c>
      <c r="AX96" t="s" s="0">
        <v>2636</v>
      </c>
      <c r="AY96" t="s" s="0">
        <v>800</v>
      </c>
      <c r="AZ96" t="s" s="0">
        <v>285</v>
      </c>
      <c r="BA96" t="s" s="0">
        <v>2637</v>
      </c>
      <c r="BB96" t="s" s="0">
        <v>81</v>
      </c>
      <c r="BC96" t="s" s="0">
        <v>81</v>
      </c>
      <c r="BD96" t="s" s="0">
        <v>81</v>
      </c>
      <c r="BE96" t="s" s="0">
        <v>81</v>
      </c>
      <c r="BF96" t="s" s="0">
        <v>81</v>
      </c>
      <c r="BG96" t="s" s="0">
        <v>81</v>
      </c>
      <c r="BH96" t="s" s="0">
        <v>81</v>
      </c>
      <c r="BI96" t="s" s="0">
        <v>2638</v>
      </c>
      <c r="BJ96" t="s" s="0">
        <v>2639</v>
      </c>
      <c r="BK96" t="s" s="189">
        <f>HYPERLINK("http://dx.doi.org/10.1016/j.cmpb.2024.108357","http://dx.doi.org/10.1016/j.cmpb.2024.108357")</f>
        <v>2640</v>
      </c>
      <c r="BL96" t="s" s="0">
        <v>81</v>
      </c>
      <c r="BM96" t="s" s="0">
        <v>284</v>
      </c>
      <c r="BN96" t="s" s="0">
        <v>173</v>
      </c>
      <c r="BO96" t="s" s="0">
        <v>2641</v>
      </c>
      <c r="BP96" t="s" s="0">
        <v>2360</v>
      </c>
      <c r="BQ96" t="s" s="0">
        <v>2642</v>
      </c>
      <c r="BR96" t="s" s="0">
        <v>2643</v>
      </c>
      <c r="BS96" t="s" s="0">
        <v>2644</v>
      </c>
      <c r="BT96" t="s" s="190">
        <f>HYPERLINK("https://www.webofscience.com/wos/woscc/full-record/WOS:001293805800001","View Record in Web of Science")</f>
        <v>113</v>
      </c>
      <c r="BU96" t="s" s="0">
        <v>81</v>
      </c>
      <c r="BV96" t="s" s="0">
        <v>81</v>
      </c>
      <c r="BW96" t="s" s="0">
        <v>81</v>
      </c>
      <c r="BX96" t="s" s="0">
        <v>115</v>
      </c>
    </row>
    <row r="97">
      <c r="A97" t="s" s="0">
        <v>77</v>
      </c>
      <c r="B97" t="s" s="0">
        <v>77</v>
      </c>
      <c r="C97" t="s" s="0">
        <v>313</v>
      </c>
      <c r="D97" t="s" s="0">
        <v>77</v>
      </c>
      <c r="E97" t="s" s="0">
        <v>2645</v>
      </c>
      <c r="F97" t="s" s="0">
        <v>2646</v>
      </c>
      <c r="G97" t="s" s="0">
        <v>2647</v>
      </c>
      <c r="H97" t="s" s="0">
        <v>81</v>
      </c>
      <c r="I97" t="s" s="0">
        <v>82</v>
      </c>
      <c r="J97" t="s" s="0">
        <v>2648</v>
      </c>
      <c r="K97" t="s" s="0">
        <v>2649</v>
      </c>
      <c r="L97" t="s" s="0">
        <v>2650</v>
      </c>
      <c r="M97" t="s" s="0">
        <v>2651</v>
      </c>
      <c r="N97" t="s" s="0">
        <v>2652</v>
      </c>
      <c r="O97" t="s" s="0">
        <v>2653</v>
      </c>
      <c r="P97" t="s" s="0">
        <v>2654</v>
      </c>
      <c r="Q97" t="s" s="0">
        <v>87</v>
      </c>
      <c r="R97" t="s" s="0">
        <v>81</v>
      </c>
      <c r="S97" t="s" s="0">
        <v>81</v>
      </c>
      <c r="T97" t="s" s="0">
        <v>81</v>
      </c>
      <c r="U97" t="s" s="0">
        <v>81</v>
      </c>
      <c r="V97" t="s" s="0">
        <v>2655</v>
      </c>
      <c r="W97" t="s" s="0">
        <v>2656</v>
      </c>
      <c r="X97" t="s" s="0">
        <v>81</v>
      </c>
      <c r="Y97" t="s" s="0">
        <v>81</v>
      </c>
      <c r="Z97" t="s" s="0">
        <v>90</v>
      </c>
      <c r="AA97" t="s" s="0">
        <v>91</v>
      </c>
      <c r="AB97" t="s" s="0">
        <v>81</v>
      </c>
      <c r="AC97" t="s" s="0">
        <v>81</v>
      </c>
      <c r="AD97" t="s" s="0">
        <v>81</v>
      </c>
      <c r="AE97" t="s" s="0">
        <v>81</v>
      </c>
      <c r="AF97" t="s" s="0">
        <v>81</v>
      </c>
      <c r="AG97" t="s" s="0">
        <v>2657</v>
      </c>
      <c r="AH97" t="s" s="0">
        <v>2658</v>
      </c>
      <c r="AI97" t="s" s="0">
        <v>2659</v>
      </c>
      <c r="AJ97" t="s" s="0">
        <v>2660</v>
      </c>
      <c r="AK97" t="s" s="0">
        <v>81</v>
      </c>
      <c r="AL97" t="s" s="0">
        <v>2661</v>
      </c>
      <c r="AM97" t="s" s="0">
        <v>245</v>
      </c>
      <c r="AN97" t="s" s="0">
        <v>323</v>
      </c>
      <c r="AO97" t="s" s="0">
        <v>187</v>
      </c>
      <c r="AP97" t="s" s="0">
        <v>1253</v>
      </c>
      <c r="AQ97" t="s" s="0">
        <v>1195</v>
      </c>
      <c r="AR97" t="s" s="0">
        <v>1196</v>
      </c>
      <c r="AS97" t="s" s="0">
        <v>1197</v>
      </c>
      <c r="AT97" t="s" s="0">
        <v>2662</v>
      </c>
      <c r="AU97" t="s" s="0">
        <v>2663</v>
      </c>
      <c r="AV97" t="s" s="0">
        <v>81</v>
      </c>
      <c r="AW97" t="s" s="0">
        <v>2664</v>
      </c>
      <c r="AX97" t="s" s="0">
        <v>2665</v>
      </c>
      <c r="AY97" t="s" s="0">
        <v>494</v>
      </c>
      <c r="AZ97" t="s" s="0">
        <v>142</v>
      </c>
      <c r="BA97" t="s" s="0">
        <v>93</v>
      </c>
      <c r="BB97" t="s" s="0">
        <v>103</v>
      </c>
      <c r="BC97" t="s" s="0">
        <v>81</v>
      </c>
      <c r="BD97" t="s" s="0">
        <v>81</v>
      </c>
      <c r="BE97" t="s" s="0">
        <v>81</v>
      </c>
      <c r="BF97" t="s" s="0">
        <v>81</v>
      </c>
      <c r="BG97" t="s" s="0">
        <v>2666</v>
      </c>
      <c r="BH97" t="s" s="0">
        <v>2667</v>
      </c>
      <c r="BI97" t="s" s="0">
        <v>81</v>
      </c>
      <c r="BJ97" t="s" s="0">
        <v>2668</v>
      </c>
      <c r="BK97" t="s" s="191">
        <f>HYPERLINK("http://dx.doi.org/10.1109/JBHI.2025.3530156","http://dx.doi.org/10.1109/JBHI.2025.3530156")</f>
        <v>2669</v>
      </c>
      <c r="BL97" t="s" s="0">
        <v>81</v>
      </c>
      <c r="BM97" t="s" s="0">
        <v>81</v>
      </c>
      <c r="BN97" t="s" s="0">
        <v>245</v>
      </c>
      <c r="BO97" t="s" s="0">
        <v>2670</v>
      </c>
      <c r="BP97" t="s" s="0">
        <v>2671</v>
      </c>
      <c r="BQ97" t="s" s="0">
        <v>2672</v>
      </c>
      <c r="BR97" t="s" s="0">
        <v>2673</v>
      </c>
      <c r="BS97" t="s" s="0">
        <v>2674</v>
      </c>
      <c r="BT97" t="s" s="192">
        <f>HYPERLINK("https://www.webofscience.com/wos/woscc/full-record/WOS:001504143000003","View Record in Web of Science")</f>
        <v>113</v>
      </c>
      <c r="BU97" t="s" s="0">
        <v>296</v>
      </c>
      <c r="BV97" t="s" s="0">
        <v>81</v>
      </c>
      <c r="BW97" t="s" s="0">
        <v>81</v>
      </c>
      <c r="BX97" t="s" s="0">
        <v>115</v>
      </c>
    </row>
    <row r="98">
      <c r="A98" t="s" s="0">
        <v>77</v>
      </c>
      <c r="B98" t="s" s="0">
        <v>77</v>
      </c>
      <c r="C98" t="s" s="0">
        <v>77</v>
      </c>
      <c r="D98" t="s" s="0">
        <v>77</v>
      </c>
      <c r="E98" t="s" s="0">
        <v>2675</v>
      </c>
      <c r="F98" t="s" s="0">
        <v>2676</v>
      </c>
      <c r="G98" t="s" s="0">
        <v>2677</v>
      </c>
      <c r="H98" t="s" s="0">
        <v>81</v>
      </c>
      <c r="I98" t="s" s="0">
        <v>82</v>
      </c>
      <c r="J98" t="s" s="0">
        <v>2678</v>
      </c>
      <c r="K98" t="s" s="0">
        <v>2679</v>
      </c>
      <c r="L98" t="s" s="0">
        <v>2680</v>
      </c>
      <c r="M98" t="s" s="0">
        <v>2681</v>
      </c>
      <c r="N98" t="s" s="0">
        <v>2682</v>
      </c>
      <c r="O98" t="s" s="0">
        <v>2683</v>
      </c>
      <c r="P98" t="s" s="0">
        <v>2684</v>
      </c>
      <c r="Q98" t="s" s="0">
        <v>87</v>
      </c>
      <c r="R98" t="s" s="0">
        <v>81</v>
      </c>
      <c r="S98" t="s" s="0">
        <v>81</v>
      </c>
      <c r="T98" t="s" s="0">
        <v>81</v>
      </c>
      <c r="U98" t="s" s="0">
        <v>81</v>
      </c>
      <c r="V98" t="s" s="0">
        <v>2685</v>
      </c>
      <c r="W98" t="s" s="0">
        <v>1189</v>
      </c>
      <c r="X98" t="s" s="0">
        <v>81</v>
      </c>
      <c r="Y98" t="s" s="0">
        <v>81</v>
      </c>
      <c r="Z98" t="s" s="0">
        <v>90</v>
      </c>
      <c r="AA98" t="s" s="0">
        <v>91</v>
      </c>
      <c r="AB98" t="s" s="0">
        <v>81</v>
      </c>
      <c r="AC98" t="s" s="0">
        <v>81</v>
      </c>
      <c r="AD98" t="s" s="0">
        <v>81</v>
      </c>
      <c r="AE98" t="s" s="0">
        <v>81</v>
      </c>
      <c r="AF98" t="s" s="0">
        <v>81</v>
      </c>
      <c r="AG98" t="s" s="0">
        <v>2686</v>
      </c>
      <c r="AH98" t="s" s="0">
        <v>2687</v>
      </c>
      <c r="AI98" t="s" s="0">
        <v>2688</v>
      </c>
      <c r="AJ98" t="s" s="0">
        <v>81</v>
      </c>
      <c r="AK98" t="s" s="0">
        <v>81</v>
      </c>
      <c r="AL98" t="s" s="0">
        <v>2689</v>
      </c>
      <c r="AM98" t="s" s="0">
        <v>134</v>
      </c>
      <c r="AN98" t="s" s="0">
        <v>134</v>
      </c>
      <c r="AO98" t="s" s="0">
        <v>107</v>
      </c>
      <c r="AP98" t="s" s="0">
        <v>1001</v>
      </c>
      <c r="AQ98" t="s" s="0">
        <v>1195</v>
      </c>
      <c r="AR98" t="s" s="0">
        <v>1196</v>
      </c>
      <c r="AS98" t="s" s="0">
        <v>1197</v>
      </c>
      <c r="AT98" t="s" s="0">
        <v>1198</v>
      </c>
      <c r="AU98" t="s" s="0">
        <v>81</v>
      </c>
      <c r="AV98" t="s" s="0">
        <v>81</v>
      </c>
      <c r="AW98" t="s" s="0">
        <v>1189</v>
      </c>
      <c r="AX98" t="s" s="0">
        <v>1199</v>
      </c>
      <c r="AY98" t="s" s="0">
        <v>142</v>
      </c>
      <c r="AZ98" t="s" s="0">
        <v>142</v>
      </c>
      <c r="BA98" t="s" s="0">
        <v>134</v>
      </c>
      <c r="BB98" t="s" s="0">
        <v>81</v>
      </c>
      <c r="BC98" t="s" s="0">
        <v>81</v>
      </c>
      <c r="BD98" t="s" s="0">
        <v>81</v>
      </c>
      <c r="BE98" t="s" s="0">
        <v>81</v>
      </c>
      <c r="BF98" t="s" s="0">
        <v>81</v>
      </c>
      <c r="BG98" t="s" s="0">
        <v>2690</v>
      </c>
      <c r="BH98" t="s" s="0">
        <v>2691</v>
      </c>
      <c r="BI98" t="s" s="0">
        <v>81</v>
      </c>
      <c r="BJ98" t="s" s="0">
        <v>2692</v>
      </c>
      <c r="BK98" t="s" s="193">
        <f>HYPERLINK("http://dx.doi.org/10.1109/ACCESS.2025.3602914","http://dx.doi.org/10.1109/ACCESS.2025.3602914")</f>
        <v>2693</v>
      </c>
      <c r="BL98" t="s" s="0">
        <v>81</v>
      </c>
      <c r="BM98" t="s" s="0">
        <v>81</v>
      </c>
      <c r="BN98" t="s" s="0">
        <v>211</v>
      </c>
      <c r="BO98" t="s" s="0">
        <v>1204</v>
      </c>
      <c r="BP98" t="s" s="0">
        <v>1205</v>
      </c>
      <c r="BQ98" t="s" s="0">
        <v>2694</v>
      </c>
      <c r="BR98" t="s" s="0">
        <v>81</v>
      </c>
      <c r="BS98" t="s" s="0">
        <v>2695</v>
      </c>
      <c r="BT98" t="s" s="194">
        <f>HYPERLINK("https://www.webofscience.com/wos/woscc/full-record/WOS:001566975200029","View Record in Web of Science")</f>
        <v>113</v>
      </c>
      <c r="BU98" t="s" s="0">
        <v>153</v>
      </c>
      <c r="BV98" t="s" s="0">
        <v>81</v>
      </c>
      <c r="BW98" t="s" s="0">
        <v>81</v>
      </c>
      <c r="BX98" t="s" s="0">
        <v>115</v>
      </c>
    </row>
    <row r="99">
      <c r="A99" t="s" s="0">
        <v>77</v>
      </c>
      <c r="B99" t="s" s="0">
        <v>77</v>
      </c>
      <c r="C99" t="s" s="0">
        <v>77</v>
      </c>
      <c r="D99" t="s" s="0">
        <v>77</v>
      </c>
      <c r="E99" t="s" s="0">
        <v>2696</v>
      </c>
      <c r="F99" t="s" s="0">
        <v>2697</v>
      </c>
      <c r="G99" t="s" s="0">
        <v>2698</v>
      </c>
      <c r="H99" t="s" s="0">
        <v>81</v>
      </c>
      <c r="I99" t="s" s="0">
        <v>543</v>
      </c>
      <c r="J99" t="s" s="0">
        <v>2699</v>
      </c>
      <c r="K99" t="s" s="0">
        <v>2700</v>
      </c>
      <c r="L99" t="s" s="0">
        <v>81</v>
      </c>
      <c r="M99" t="s" s="0">
        <v>81</v>
      </c>
      <c r="N99" t="s" s="0">
        <v>81</v>
      </c>
      <c r="O99" t="s" s="0">
        <v>2701</v>
      </c>
      <c r="P99" t="s" s="0">
        <v>2702</v>
      </c>
      <c r="Q99" t="s" s="0">
        <v>87</v>
      </c>
      <c r="R99" t="s" s="0">
        <v>81</v>
      </c>
      <c r="S99" t="s" s="0">
        <v>81</v>
      </c>
      <c r="T99" t="s" s="0">
        <v>81</v>
      </c>
      <c r="U99" t="s" s="0">
        <v>81</v>
      </c>
      <c r="V99" t="s" s="0">
        <v>2703</v>
      </c>
      <c r="W99" t="s" s="0">
        <v>2704</v>
      </c>
      <c r="X99" t="s" s="0">
        <v>81</v>
      </c>
      <c r="Y99" t="s" s="0">
        <v>81</v>
      </c>
      <c r="Z99" t="s" s="0">
        <v>90</v>
      </c>
      <c r="AA99" t="s" s="0">
        <v>91</v>
      </c>
      <c r="AB99" t="s" s="0">
        <v>81</v>
      </c>
      <c r="AC99" t="s" s="0">
        <v>81</v>
      </c>
      <c r="AD99" t="s" s="0">
        <v>81</v>
      </c>
      <c r="AE99" t="s" s="0">
        <v>81</v>
      </c>
      <c r="AF99" t="s" s="0">
        <v>81</v>
      </c>
      <c r="AG99" t="s" s="0">
        <v>2705</v>
      </c>
      <c r="AH99" t="s" s="0">
        <v>2706</v>
      </c>
      <c r="AI99" t="s" s="0">
        <v>81</v>
      </c>
      <c r="AJ99" t="s" s="0">
        <v>2707</v>
      </c>
      <c r="AK99" t="s" s="0">
        <v>81</v>
      </c>
      <c r="AL99" t="s" s="0">
        <v>521</v>
      </c>
      <c r="AM99" t="s" s="0">
        <v>77</v>
      </c>
      <c r="AN99" t="s" s="0">
        <v>77</v>
      </c>
      <c r="AO99" t="s" s="0">
        <v>219</v>
      </c>
      <c r="AP99" t="s" s="0">
        <v>219</v>
      </c>
      <c r="AQ99" t="s" s="0">
        <v>1355</v>
      </c>
      <c r="AR99" t="s" s="0">
        <v>1356</v>
      </c>
      <c r="AS99" t="s" s="0">
        <v>1357</v>
      </c>
      <c r="AT99" t="s" s="0">
        <v>81</v>
      </c>
      <c r="AU99" t="s" s="0">
        <v>2708</v>
      </c>
      <c r="AV99" t="s" s="0">
        <v>81</v>
      </c>
      <c r="AW99" t="s" s="0">
        <v>2709</v>
      </c>
      <c r="AX99" t="s" s="0">
        <v>2710</v>
      </c>
      <c r="AY99" t="s" s="0">
        <v>2711</v>
      </c>
      <c r="AZ99" t="s" s="0">
        <v>101</v>
      </c>
      <c r="BA99" t="s" s="0">
        <v>103</v>
      </c>
      <c r="BB99" t="s" s="0">
        <v>313</v>
      </c>
      <c r="BC99" t="s" s="0">
        <v>81</v>
      </c>
      <c r="BD99" t="s" s="0">
        <v>81</v>
      </c>
      <c r="BE99" t="s" s="0">
        <v>81</v>
      </c>
      <c r="BF99" t="s" s="0">
        <v>81</v>
      </c>
      <c r="BG99" t="s" s="0">
        <v>2712</v>
      </c>
      <c r="BH99" t="s" s="0">
        <v>2713</v>
      </c>
      <c r="BI99" t="s" s="0">
        <v>81</v>
      </c>
      <c r="BJ99" t="s" s="0">
        <v>2714</v>
      </c>
      <c r="BK99" t="s" s="195">
        <f>HYPERLINK("http://dx.doi.org/10.1021/acsestwater.5c00925","http://dx.doi.org/10.1021/acsestwater.5c00925")</f>
        <v>2715</v>
      </c>
      <c r="BL99" t="s" s="0">
        <v>81</v>
      </c>
      <c r="BM99" t="s" s="0">
        <v>2331</v>
      </c>
      <c r="BN99" t="s" s="0">
        <v>134</v>
      </c>
      <c r="BO99" t="s" s="0">
        <v>2716</v>
      </c>
      <c r="BP99" t="s" s="0">
        <v>2717</v>
      </c>
      <c r="BQ99" t="s" s="0">
        <v>2718</v>
      </c>
      <c r="BR99" t="s" s="0">
        <v>81</v>
      </c>
      <c r="BS99" t="s" s="0">
        <v>2719</v>
      </c>
      <c r="BT99" t="s" s="196">
        <f>HYPERLINK("https://www.webofscience.com/wos/woscc/full-record/WOS:001672332700001","View Record in Web of Science")</f>
        <v>113</v>
      </c>
      <c r="BU99" t="s" s="0">
        <v>81</v>
      </c>
      <c r="BV99" t="s" s="0">
        <v>81</v>
      </c>
      <c r="BW99" t="s" s="0">
        <v>81</v>
      </c>
      <c r="BX99" t="s" s="0">
        <v>115</v>
      </c>
    </row>
    <row r="100">
      <c r="A100" t="s" s="0">
        <v>77</v>
      </c>
      <c r="B100" t="s" s="0">
        <v>77</v>
      </c>
      <c r="C100" t="s" s="0">
        <v>77</v>
      </c>
      <c r="D100" t="s" s="0">
        <v>77</v>
      </c>
      <c r="E100" t="s" s="0">
        <v>2720</v>
      </c>
      <c r="F100" t="s" s="0">
        <v>2721</v>
      </c>
      <c r="G100" t="s" s="0">
        <v>2722</v>
      </c>
      <c r="H100" t="s" s="0">
        <v>81</v>
      </c>
      <c r="I100" t="s" s="0">
        <v>543</v>
      </c>
      <c r="J100" t="s" s="0">
        <v>2723</v>
      </c>
      <c r="K100" t="s" s="0">
        <v>2724</v>
      </c>
      <c r="L100" t="s" s="0">
        <v>81</v>
      </c>
      <c r="M100" t="s" s="0">
        <v>81</v>
      </c>
      <c r="N100" t="s" s="0">
        <v>81</v>
      </c>
      <c r="O100" t="s" s="0">
        <v>2725</v>
      </c>
      <c r="P100" t="s" s="0">
        <v>2726</v>
      </c>
      <c r="Q100" t="s" s="0">
        <v>87</v>
      </c>
      <c r="R100" t="s" s="0">
        <v>81</v>
      </c>
      <c r="S100" t="s" s="0">
        <v>81</v>
      </c>
      <c r="T100" t="s" s="0">
        <v>81</v>
      </c>
      <c r="U100" t="s" s="0">
        <v>81</v>
      </c>
      <c r="V100" t="s" s="0">
        <v>2727</v>
      </c>
      <c r="W100" t="s" s="0">
        <v>2728</v>
      </c>
      <c r="X100" t="s" s="0">
        <v>81</v>
      </c>
      <c r="Y100" t="s" s="0">
        <v>81</v>
      </c>
      <c r="Z100" t="s" s="0">
        <v>90</v>
      </c>
      <c r="AA100" t="s" s="0">
        <v>91</v>
      </c>
      <c r="AB100" t="s" s="0">
        <v>81</v>
      </c>
      <c r="AC100" t="s" s="0">
        <v>81</v>
      </c>
      <c r="AD100" t="s" s="0">
        <v>81</v>
      </c>
      <c r="AE100" t="s" s="0">
        <v>81</v>
      </c>
      <c r="AF100" t="s" s="0">
        <v>81</v>
      </c>
      <c r="AG100" t="s" s="0">
        <v>2729</v>
      </c>
      <c r="AH100" t="s" s="0">
        <v>2730</v>
      </c>
      <c r="AI100" t="s" s="0">
        <v>2731</v>
      </c>
      <c r="AJ100" t="s" s="0">
        <v>81</v>
      </c>
      <c r="AK100" t="s" s="0">
        <v>81</v>
      </c>
      <c r="AL100" t="s" s="0">
        <v>433</v>
      </c>
      <c r="AM100" t="s" s="0">
        <v>77</v>
      </c>
      <c r="AN100" t="s" s="0">
        <v>77</v>
      </c>
      <c r="AO100" t="s" s="0">
        <v>77</v>
      </c>
      <c r="AP100" t="s" s="0">
        <v>77</v>
      </c>
      <c r="AQ100" t="s" s="0">
        <v>2732</v>
      </c>
      <c r="AR100" t="s" s="0">
        <v>136</v>
      </c>
      <c r="AS100" t="s" s="0">
        <v>2733</v>
      </c>
      <c r="AT100" t="s" s="0">
        <v>2734</v>
      </c>
      <c r="AU100" t="s" s="0">
        <v>2735</v>
      </c>
      <c r="AV100" t="s" s="0">
        <v>81</v>
      </c>
      <c r="AW100" t="s" s="0">
        <v>2736</v>
      </c>
      <c r="AX100" t="s" s="0">
        <v>2737</v>
      </c>
      <c r="AY100" t="s" s="0">
        <v>2738</v>
      </c>
      <c r="AZ100" t="s" s="0">
        <v>101</v>
      </c>
      <c r="BA100" t="s" s="0">
        <v>1253</v>
      </c>
      <c r="BB100" t="s" s="0">
        <v>144</v>
      </c>
      <c r="BC100" t="s" s="0">
        <v>81</v>
      </c>
      <c r="BD100" t="s" s="0">
        <v>81</v>
      </c>
      <c r="BE100" t="s" s="0">
        <v>81</v>
      </c>
      <c r="BF100" t="s" s="0">
        <v>81</v>
      </c>
      <c r="BG100" t="s" s="0">
        <v>81</v>
      </c>
      <c r="BH100" t="s" s="0">
        <v>81</v>
      </c>
      <c r="BI100" t="s" s="0">
        <v>2739</v>
      </c>
      <c r="BJ100" t="s" s="0">
        <v>2740</v>
      </c>
      <c r="BK100" t="s" s="197">
        <f>HYPERLINK("http://dx.doi.org/10.1515/sjpain-2026-0015","http://dx.doi.org/10.1515/sjpain-2026-0015")</f>
        <v>2741</v>
      </c>
      <c r="BL100" t="s" s="0">
        <v>81</v>
      </c>
      <c r="BM100" t="s" s="0">
        <v>81</v>
      </c>
      <c r="BN100" t="s" s="0">
        <v>468</v>
      </c>
      <c r="BO100" t="s" s="0">
        <v>2742</v>
      </c>
      <c r="BP100" t="s" s="0">
        <v>749</v>
      </c>
      <c r="BQ100" t="s" s="0">
        <v>2743</v>
      </c>
      <c r="BR100" t="s" s="0">
        <v>2744</v>
      </c>
      <c r="BS100" t="s" s="0">
        <v>2745</v>
      </c>
      <c r="BT100" t="s" s="198">
        <f>HYPERLINK("https://www.webofscience.com/wos/woscc/full-record/WOS:001829438500001","View Record in Web of Science")</f>
        <v>113</v>
      </c>
      <c r="BU100" t="s" s="0">
        <v>1317</v>
      </c>
      <c r="BV100" t="s" s="0">
        <v>81</v>
      </c>
      <c r="BW100" t="s" s="0">
        <v>81</v>
      </c>
      <c r="BX100" t="s" s="0">
        <v>115</v>
      </c>
    </row>
    <row r="101">
      <c r="A101" t="s" s="0">
        <v>77</v>
      </c>
      <c r="B101" t="s" s="0">
        <v>77</v>
      </c>
      <c r="C101" t="s" s="0">
        <v>144</v>
      </c>
      <c r="D101" t="s" s="0">
        <v>77</v>
      </c>
      <c r="E101" t="s" s="0">
        <v>2746</v>
      </c>
      <c r="F101" t="s" s="0">
        <v>2747</v>
      </c>
      <c r="G101" t="s" s="0">
        <v>2748</v>
      </c>
      <c r="H101" t="s" s="0">
        <v>81</v>
      </c>
      <c r="I101" t="s" s="0">
        <v>82</v>
      </c>
      <c r="J101" t="s" s="0">
        <v>2749</v>
      </c>
      <c r="K101" t="s" s="0">
        <v>2750</v>
      </c>
      <c r="L101" t="s" s="0">
        <v>81</v>
      </c>
      <c r="M101" t="s" s="0">
        <v>81</v>
      </c>
      <c r="N101" t="s" s="0">
        <v>81</v>
      </c>
      <c r="O101" t="s" s="0">
        <v>2751</v>
      </c>
      <c r="P101" t="s" s="0">
        <v>2752</v>
      </c>
      <c r="Q101" t="s" s="0">
        <v>87</v>
      </c>
      <c r="R101" t="s" s="0">
        <v>81</v>
      </c>
      <c r="S101" t="s" s="0">
        <v>81</v>
      </c>
      <c r="T101" t="s" s="0">
        <v>81</v>
      </c>
      <c r="U101" t="s" s="0">
        <v>81</v>
      </c>
      <c r="V101" t="s" s="0">
        <v>2753</v>
      </c>
      <c r="W101" t="s" s="0">
        <v>2754</v>
      </c>
      <c r="X101" t="s" s="0">
        <v>81</v>
      </c>
      <c r="Y101" t="s" s="0">
        <v>81</v>
      </c>
      <c r="Z101" t="s" s="0">
        <v>90</v>
      </c>
      <c r="AA101" t="s" s="0">
        <v>91</v>
      </c>
      <c r="AB101" t="s" s="0">
        <v>81</v>
      </c>
      <c r="AC101" t="s" s="0">
        <v>81</v>
      </c>
      <c r="AD101" t="s" s="0">
        <v>81</v>
      </c>
      <c r="AE101" t="s" s="0">
        <v>81</v>
      </c>
      <c r="AF101" t="s" s="0">
        <v>81</v>
      </c>
      <c r="AG101" t="s" s="0">
        <v>2755</v>
      </c>
      <c r="AH101" t="s" s="0">
        <v>2756</v>
      </c>
      <c r="AI101" t="s" s="0">
        <v>81</v>
      </c>
      <c r="AJ101" t="s" s="0">
        <v>81</v>
      </c>
      <c r="AK101" t="s" s="0">
        <v>81</v>
      </c>
      <c r="AL101" t="s" s="0">
        <v>1493</v>
      </c>
      <c r="AM101" t="s" s="0">
        <v>210</v>
      </c>
      <c r="AN101" t="s" s="0">
        <v>210</v>
      </c>
      <c r="AO101" t="s" s="0">
        <v>144</v>
      </c>
      <c r="AP101" t="s" s="0">
        <v>144</v>
      </c>
      <c r="AQ101" t="s" s="0">
        <v>645</v>
      </c>
      <c r="AR101" t="s" s="0">
        <v>646</v>
      </c>
      <c r="AS101" t="s" s="0">
        <v>647</v>
      </c>
      <c r="AT101" t="s" s="0">
        <v>2757</v>
      </c>
      <c r="AU101" t="s" s="0">
        <v>81</v>
      </c>
      <c r="AV101" t="s" s="0">
        <v>81</v>
      </c>
      <c r="AW101" t="s" s="0">
        <v>2758</v>
      </c>
      <c r="AX101" t="s" s="0">
        <v>2759</v>
      </c>
      <c r="AY101" t="s" s="0">
        <v>829</v>
      </c>
      <c r="AZ101" t="s" s="0">
        <v>101</v>
      </c>
      <c r="BA101" t="s" s="0">
        <v>1253</v>
      </c>
      <c r="BB101" t="s" s="0">
        <v>144</v>
      </c>
      <c r="BC101" t="s" s="0">
        <v>81</v>
      </c>
      <c r="BD101" t="s" s="0">
        <v>81</v>
      </c>
      <c r="BE101" t="s" s="0">
        <v>81</v>
      </c>
      <c r="BF101" t="s" s="0">
        <v>81</v>
      </c>
      <c r="BG101" t="s" s="0">
        <v>81</v>
      </c>
      <c r="BH101" t="s" s="0">
        <v>81</v>
      </c>
      <c r="BI101" t="s" s="0">
        <v>2760</v>
      </c>
      <c r="BJ101" t="s" s="0">
        <v>2761</v>
      </c>
      <c r="BK101" t="s" s="199">
        <f>HYPERLINK("http://dx.doi.org/10.1186/s12880-026-02222-5","http://dx.doi.org/10.1186/s12880-026-02222-5")</f>
        <v>2762</v>
      </c>
      <c r="BL101" t="s" s="0">
        <v>81</v>
      </c>
      <c r="BM101" t="s" s="0">
        <v>81</v>
      </c>
      <c r="BN101" t="s" s="0">
        <v>626</v>
      </c>
      <c r="BO101" t="s" s="0">
        <v>292</v>
      </c>
      <c r="BP101" t="s" s="0">
        <v>292</v>
      </c>
      <c r="BQ101" t="s" s="0">
        <v>2763</v>
      </c>
      <c r="BR101" t="s" s="0">
        <v>2764</v>
      </c>
      <c r="BS101" t="s" s="0">
        <v>2765</v>
      </c>
      <c r="BT101" t="s" s="200">
        <f>HYPERLINK("https://www.webofscience.com/wos/woscc/full-record/WOS:001718247100003","View Record in Web of Science")</f>
        <v>113</v>
      </c>
      <c r="BU101" t="s" s="0">
        <v>153</v>
      </c>
      <c r="BV101" t="s" s="0">
        <v>81</v>
      </c>
      <c r="BW101" t="s" s="0">
        <v>81</v>
      </c>
      <c r="BX101" t="s" s="0">
        <v>115</v>
      </c>
    </row>
    <row r="102">
      <c r="A102" t="s" s="0">
        <v>144</v>
      </c>
      <c r="B102" t="s" s="0">
        <v>77</v>
      </c>
      <c r="C102" t="s" s="0">
        <v>313</v>
      </c>
      <c r="D102" t="s" s="0">
        <v>77</v>
      </c>
      <c r="E102" t="s" s="0">
        <v>2766</v>
      </c>
      <c r="F102" t="s" s="0">
        <v>2767</v>
      </c>
      <c r="G102" t="s" s="0">
        <v>2768</v>
      </c>
      <c r="H102" t="s" s="0">
        <v>81</v>
      </c>
      <c r="I102" t="s" s="0">
        <v>82</v>
      </c>
      <c r="J102" t="s" s="0">
        <v>2769</v>
      </c>
      <c r="K102" t="s" s="0">
        <v>2770</v>
      </c>
      <c r="L102" t="s" s="0">
        <v>81</v>
      </c>
      <c r="M102" t="s" s="0">
        <v>81</v>
      </c>
      <c r="N102" t="s" s="0">
        <v>81</v>
      </c>
      <c r="O102" t="s" s="0">
        <v>2771</v>
      </c>
      <c r="P102" t="s" s="0">
        <v>2772</v>
      </c>
      <c r="Q102" t="s" s="0">
        <v>87</v>
      </c>
      <c r="R102" t="s" s="0">
        <v>81</v>
      </c>
      <c r="S102" t="s" s="0">
        <v>81</v>
      </c>
      <c r="T102" t="s" s="0">
        <v>81</v>
      </c>
      <c r="U102" t="s" s="0">
        <v>81</v>
      </c>
      <c r="V102" t="s" s="0">
        <v>2773</v>
      </c>
      <c r="W102" t="s" s="0">
        <v>2177</v>
      </c>
      <c r="X102" t="s" s="0">
        <v>81</v>
      </c>
      <c r="Y102" t="s" s="0">
        <v>81</v>
      </c>
      <c r="Z102" t="s" s="0">
        <v>90</v>
      </c>
      <c r="AA102" t="s" s="0">
        <v>91</v>
      </c>
      <c r="AB102" t="s" s="0">
        <v>81</v>
      </c>
      <c r="AC102" t="s" s="0">
        <v>81</v>
      </c>
      <c r="AD102" t="s" s="0">
        <v>81</v>
      </c>
      <c r="AE102" t="s" s="0">
        <v>81</v>
      </c>
      <c r="AF102" t="s" s="0">
        <v>81</v>
      </c>
      <c r="AG102" t="s" s="0">
        <v>81</v>
      </c>
      <c r="AH102" t="s" s="0">
        <v>81</v>
      </c>
      <c r="AI102" t="s" s="0">
        <v>2774</v>
      </c>
      <c r="AJ102" t="s" s="0">
        <v>81</v>
      </c>
      <c r="AK102" t="s" s="0">
        <v>81</v>
      </c>
      <c r="AL102" t="s" s="0">
        <v>1001</v>
      </c>
      <c r="AM102" t="s" s="0">
        <v>133</v>
      </c>
      <c r="AN102" t="s" s="0">
        <v>107</v>
      </c>
      <c r="AO102" t="s" s="0">
        <v>210</v>
      </c>
      <c r="AP102" t="s" s="0">
        <v>173</v>
      </c>
      <c r="AQ102" t="s" s="0">
        <v>2179</v>
      </c>
      <c r="AR102" t="s" s="0">
        <v>1356</v>
      </c>
      <c r="AS102" t="s" s="0">
        <v>2180</v>
      </c>
      <c r="AT102" t="s" s="0">
        <v>2181</v>
      </c>
      <c r="AU102" t="s" s="0">
        <v>2182</v>
      </c>
      <c r="AV102" t="s" s="0">
        <v>81</v>
      </c>
      <c r="AW102" t="s" s="0">
        <v>2183</v>
      </c>
      <c r="AX102" t="s" s="0">
        <v>2184</v>
      </c>
      <c r="AY102" t="s" s="0">
        <v>2775</v>
      </c>
      <c r="AZ102" t="s" s="0">
        <v>142</v>
      </c>
      <c r="BA102" t="s" s="0">
        <v>172</v>
      </c>
      <c r="BB102" t="s" s="0">
        <v>81</v>
      </c>
      <c r="BC102" t="s" s="0">
        <v>81</v>
      </c>
      <c r="BD102" t="s" s="0">
        <v>81</v>
      </c>
      <c r="BE102" t="s" s="0">
        <v>81</v>
      </c>
      <c r="BF102" t="s" s="0">
        <v>81</v>
      </c>
      <c r="BG102" t="s" s="0">
        <v>81</v>
      </c>
      <c r="BH102" t="s" s="0">
        <v>81</v>
      </c>
      <c r="BI102" t="s" s="0">
        <v>2776</v>
      </c>
      <c r="BJ102" t="s" s="0">
        <v>2777</v>
      </c>
      <c r="BK102" t="s" s="201">
        <f>HYPERLINK("http://dx.doi.org/10.34133/research.0795","http://dx.doi.org/10.34133/research.0795")</f>
        <v>2778</v>
      </c>
      <c r="BL102" t="s" s="0">
        <v>81</v>
      </c>
      <c r="BM102" t="s" s="0">
        <v>81</v>
      </c>
      <c r="BN102" t="s" s="0">
        <v>172</v>
      </c>
      <c r="BO102" t="s" s="0">
        <v>148</v>
      </c>
      <c r="BP102" t="s" s="0">
        <v>149</v>
      </c>
      <c r="BQ102" t="s" s="0">
        <v>2779</v>
      </c>
      <c r="BR102" t="s" s="0">
        <v>2780</v>
      </c>
      <c r="BS102" t="s" s="0">
        <v>2781</v>
      </c>
      <c r="BT102" t="s" s="202">
        <f>HYPERLINK("https://www.webofscience.com/wos/woscc/full-record/WOS:001543996600001","View Record in Web of Science")</f>
        <v>113</v>
      </c>
      <c r="BU102" t="s" s="0">
        <v>153</v>
      </c>
      <c r="BV102" t="s" s="0">
        <v>81</v>
      </c>
      <c r="BW102" t="s" s="0">
        <v>81</v>
      </c>
      <c r="BX102" t="s" s="0">
        <v>115</v>
      </c>
    </row>
    <row r="103">
      <c r="A103" t="s" s="0">
        <v>77</v>
      </c>
      <c r="B103" t="s" s="0">
        <v>77</v>
      </c>
      <c r="C103" t="s" s="0">
        <v>77</v>
      </c>
      <c r="D103" t="s" s="0">
        <v>77</v>
      </c>
      <c r="E103" t="s" s="0">
        <v>2782</v>
      </c>
      <c r="F103" t="s" s="0">
        <v>2783</v>
      </c>
      <c r="G103" t="s" s="0">
        <v>2782</v>
      </c>
      <c r="H103" t="s" s="0">
        <v>81</v>
      </c>
      <c r="I103" t="s" s="0">
        <v>543</v>
      </c>
      <c r="J103" t="s" s="0">
        <v>2784</v>
      </c>
      <c r="K103" t="s" s="0">
        <v>81</v>
      </c>
      <c r="L103" t="s" s="0">
        <v>81</v>
      </c>
      <c r="M103" t="s" s="0">
        <v>81</v>
      </c>
      <c r="N103" t="s" s="0">
        <v>81</v>
      </c>
      <c r="O103" t="s" s="0">
        <v>2785</v>
      </c>
      <c r="P103" t="s" s="0">
        <v>2786</v>
      </c>
      <c r="Q103" t="s" s="0">
        <v>87</v>
      </c>
      <c r="R103" t="s" s="0">
        <v>81</v>
      </c>
      <c r="S103" t="s" s="0">
        <v>81</v>
      </c>
      <c r="T103" t="s" s="0">
        <v>81</v>
      </c>
      <c r="U103" t="s" s="0">
        <v>81</v>
      </c>
      <c r="V103" t="s" s="0">
        <v>2787</v>
      </c>
      <c r="W103" t="s" s="0">
        <v>2788</v>
      </c>
      <c r="X103" t="s" s="0">
        <v>81</v>
      </c>
      <c r="Y103" t="s" s="0">
        <v>81</v>
      </c>
      <c r="Z103" t="s" s="0">
        <v>90</v>
      </c>
      <c r="AA103" t="s" s="0">
        <v>91</v>
      </c>
      <c r="AB103" t="s" s="0">
        <v>81</v>
      </c>
      <c r="AC103" t="s" s="0">
        <v>81</v>
      </c>
      <c r="AD103" t="s" s="0">
        <v>81</v>
      </c>
      <c r="AE103" t="s" s="0">
        <v>81</v>
      </c>
      <c r="AF103" t="s" s="0">
        <v>81</v>
      </c>
      <c r="AG103" t="s" s="0">
        <v>2789</v>
      </c>
      <c r="AH103" t="s" s="0">
        <v>2790</v>
      </c>
      <c r="AI103" t="s" s="0">
        <v>81</v>
      </c>
      <c r="AJ103" t="s" s="0">
        <v>81</v>
      </c>
      <c r="AK103" t="s" s="0">
        <v>81</v>
      </c>
      <c r="AL103" t="s" s="0">
        <v>1910</v>
      </c>
      <c r="AM103" t="s" s="0">
        <v>77</v>
      </c>
      <c r="AN103" t="s" s="0">
        <v>77</v>
      </c>
      <c r="AO103" t="s" s="0">
        <v>144</v>
      </c>
      <c r="AP103" t="s" s="0">
        <v>144</v>
      </c>
      <c r="AQ103" t="s" s="0">
        <v>2791</v>
      </c>
      <c r="AR103" t="s" s="0">
        <v>2792</v>
      </c>
      <c r="AS103" t="s" s="0">
        <v>2793</v>
      </c>
      <c r="AT103" t="s" s="0">
        <v>2794</v>
      </c>
      <c r="AU103" t="s" s="0">
        <v>2795</v>
      </c>
      <c r="AV103" t="s" s="0">
        <v>81</v>
      </c>
      <c r="AW103" t="s" s="0">
        <v>2796</v>
      </c>
      <c r="AX103" t="s" s="0">
        <v>2797</v>
      </c>
      <c r="AY103" t="s" s="0">
        <v>101</v>
      </c>
      <c r="AZ103" t="s" s="0">
        <v>101</v>
      </c>
      <c r="BA103" t="s" s="0">
        <v>277</v>
      </c>
      <c r="BB103" t="s" s="0">
        <v>372</v>
      </c>
      <c r="BC103" t="s" s="0">
        <v>81</v>
      </c>
      <c r="BD103" t="s" s="0">
        <v>81</v>
      </c>
      <c r="BE103" t="s" s="0">
        <v>81</v>
      </c>
      <c r="BF103" t="s" s="0">
        <v>81</v>
      </c>
      <c r="BG103" t="s" s="0">
        <v>1636</v>
      </c>
      <c r="BH103" t="s" s="0">
        <v>2798</v>
      </c>
      <c r="BI103" t="s" s="0">
        <v>81</v>
      </c>
      <c r="BJ103" t="s" s="0">
        <v>81</v>
      </c>
      <c r="BK103" t="s" s="0">
        <v>81</v>
      </c>
      <c r="BL103" t="s" s="0">
        <v>81</v>
      </c>
      <c r="BM103" t="s" s="0">
        <v>81</v>
      </c>
      <c r="BN103" t="s" s="0">
        <v>107</v>
      </c>
      <c r="BO103" t="s" s="0">
        <v>2245</v>
      </c>
      <c r="BP103" t="s" s="0">
        <v>835</v>
      </c>
      <c r="BQ103" t="s" s="0">
        <v>2799</v>
      </c>
      <c r="BR103" t="s" s="0">
        <v>81</v>
      </c>
      <c r="BS103" t="s" s="0">
        <v>2800</v>
      </c>
      <c r="BT103" t="s" s="203">
        <f>HYPERLINK("https://www.webofscience.com/wos/woscc/full-record/WOS:001799335200001","View Record in Web of Science")</f>
        <v>113</v>
      </c>
      <c r="BU103" t="s" s="0">
        <v>81</v>
      </c>
      <c r="BV103" t="s" s="0">
        <v>81</v>
      </c>
      <c r="BW103" t="s" s="0">
        <v>81</v>
      </c>
      <c r="BX103" t="s" s="0">
        <v>115</v>
      </c>
    </row>
    <row r="104">
      <c r="A104" t="s" s="0">
        <v>77</v>
      </c>
      <c r="B104" t="s" s="0">
        <v>77</v>
      </c>
      <c r="C104" t="s" s="0">
        <v>77</v>
      </c>
      <c r="D104" t="s" s="0">
        <v>77</v>
      </c>
      <c r="E104" t="s" s="0">
        <v>2801</v>
      </c>
      <c r="F104" t="s" s="0">
        <v>2802</v>
      </c>
      <c r="G104" t="s" s="0">
        <v>2803</v>
      </c>
      <c r="H104" t="s" s="0">
        <v>81</v>
      </c>
      <c r="I104" t="s" s="0">
        <v>82</v>
      </c>
      <c r="J104" t="s" s="0">
        <v>2804</v>
      </c>
      <c r="K104" t="s" s="0">
        <v>2805</v>
      </c>
      <c r="L104" t="s" s="0">
        <v>2806</v>
      </c>
      <c r="M104" t="s" s="0">
        <v>2807</v>
      </c>
      <c r="N104" t="s" s="0">
        <v>2808</v>
      </c>
      <c r="O104" t="s" s="0">
        <v>2809</v>
      </c>
      <c r="P104" t="s" s="0">
        <v>2810</v>
      </c>
      <c r="Q104" t="s" s="0">
        <v>87</v>
      </c>
      <c r="R104" t="s" s="0">
        <v>81</v>
      </c>
      <c r="S104" t="s" s="0">
        <v>81</v>
      </c>
      <c r="T104" t="s" s="0">
        <v>81</v>
      </c>
      <c r="U104" t="s" s="0">
        <v>81</v>
      </c>
      <c r="V104" t="s" s="0">
        <v>2811</v>
      </c>
      <c r="W104" t="s" s="0">
        <v>1849</v>
      </c>
      <c r="X104" t="s" s="0">
        <v>81</v>
      </c>
      <c r="Y104" t="s" s="0">
        <v>81</v>
      </c>
      <c r="Z104" t="s" s="0">
        <v>90</v>
      </c>
      <c r="AA104" t="s" s="0">
        <v>91</v>
      </c>
      <c r="AB104" t="s" s="0">
        <v>81</v>
      </c>
      <c r="AC104" t="s" s="0">
        <v>81</v>
      </c>
      <c r="AD104" t="s" s="0">
        <v>81</v>
      </c>
      <c r="AE104" t="s" s="0">
        <v>81</v>
      </c>
      <c r="AF104" t="s" s="0">
        <v>81</v>
      </c>
      <c r="AG104" t="s" s="0">
        <v>2812</v>
      </c>
      <c r="AH104" t="s" s="0">
        <v>2813</v>
      </c>
      <c r="AI104" t="s" s="0">
        <v>81</v>
      </c>
      <c r="AJ104" t="s" s="0">
        <v>81</v>
      </c>
      <c r="AK104" t="s" s="0">
        <v>81</v>
      </c>
      <c r="AL104" t="s" s="0">
        <v>93</v>
      </c>
      <c r="AM104" t="s" s="0">
        <v>77</v>
      </c>
      <c r="AN104" t="s" s="0">
        <v>77</v>
      </c>
      <c r="AO104" t="s" s="0">
        <v>77</v>
      </c>
      <c r="AP104" t="s" s="0">
        <v>77</v>
      </c>
      <c r="AQ104" t="s" s="0">
        <v>402</v>
      </c>
      <c r="AR104" t="s" s="0">
        <v>403</v>
      </c>
      <c r="AS104" t="s" s="0">
        <v>404</v>
      </c>
      <c r="AT104" t="s" s="0">
        <v>81</v>
      </c>
      <c r="AU104" t="s" s="0">
        <v>1852</v>
      </c>
      <c r="AV104" t="s" s="0">
        <v>81</v>
      </c>
      <c r="AW104" t="s" s="0">
        <v>1853</v>
      </c>
      <c r="AX104" t="s" s="0">
        <v>1854</v>
      </c>
      <c r="AY104" t="s" s="0">
        <v>2814</v>
      </c>
      <c r="AZ104" t="s" s="0">
        <v>101</v>
      </c>
      <c r="BA104" t="s" s="0">
        <v>134</v>
      </c>
      <c r="BB104" t="s" s="0">
        <v>81</v>
      </c>
      <c r="BC104" t="s" s="0">
        <v>81</v>
      </c>
      <c r="BD104" t="s" s="0">
        <v>81</v>
      </c>
      <c r="BE104" t="s" s="0">
        <v>81</v>
      </c>
      <c r="BF104" t="s" s="0">
        <v>81</v>
      </c>
      <c r="BG104" t="s" s="0">
        <v>81</v>
      </c>
      <c r="BH104" t="s" s="0">
        <v>81</v>
      </c>
      <c r="BI104" t="s" s="0">
        <v>2815</v>
      </c>
      <c r="BJ104" t="s" s="0">
        <v>2816</v>
      </c>
      <c r="BK104" t="s" s="204">
        <f>HYPERLINK("http://dx.doi.org/10.3389/fmed.2026.1858126","http://dx.doi.org/10.3389/fmed.2026.1858126")</f>
        <v>2817</v>
      </c>
      <c r="BL104" t="s" s="0">
        <v>81</v>
      </c>
      <c r="BM104" t="s" s="0">
        <v>81</v>
      </c>
      <c r="BN104" t="s" s="0">
        <v>107</v>
      </c>
      <c r="BO104" t="s" s="0">
        <v>324</v>
      </c>
      <c r="BP104" t="s" s="0">
        <v>325</v>
      </c>
      <c r="BQ104" t="s" s="0">
        <v>2818</v>
      </c>
      <c r="BR104" t="s" s="0">
        <v>81</v>
      </c>
      <c r="BS104" t="s" s="0">
        <v>2819</v>
      </c>
      <c r="BT104" t="s" s="205">
        <f>HYPERLINK("https://www.webofscience.com/wos/woscc/full-record/WOS:001839250300001","View Record in Web of Science")</f>
        <v>113</v>
      </c>
      <c r="BU104" t="s" s="0">
        <v>1317</v>
      </c>
      <c r="BV104" t="s" s="0">
        <v>81</v>
      </c>
      <c r="BW104" t="s" s="0">
        <v>81</v>
      </c>
      <c r="BX104" t="s" s="0">
        <v>115</v>
      </c>
    </row>
    <row r="105">
      <c r="A105" t="s" s="0">
        <v>77</v>
      </c>
      <c r="B105" t="s" s="0">
        <v>77</v>
      </c>
      <c r="C105" t="s" s="0">
        <v>77</v>
      </c>
      <c r="D105" t="s" s="0">
        <v>77</v>
      </c>
      <c r="E105" t="s" s="0">
        <v>2820</v>
      </c>
      <c r="F105" t="s" s="0">
        <v>2821</v>
      </c>
      <c r="G105" t="s" s="0">
        <v>2822</v>
      </c>
      <c r="H105" t="s" s="0">
        <v>81</v>
      </c>
      <c r="I105" t="s" s="0">
        <v>82</v>
      </c>
      <c r="J105" t="s" s="0">
        <v>2823</v>
      </c>
      <c r="K105" t="s" s="0">
        <v>2824</v>
      </c>
      <c r="L105" t="s" s="0">
        <v>2825</v>
      </c>
      <c r="M105" t="s" s="0">
        <v>2826</v>
      </c>
      <c r="N105" t="s" s="0">
        <v>2827</v>
      </c>
      <c r="O105" t="s" s="0">
        <v>2828</v>
      </c>
      <c r="P105" t="s" s="0">
        <v>2829</v>
      </c>
      <c r="Q105" t="s" s="0">
        <v>87</v>
      </c>
      <c r="R105" t="s" s="0">
        <v>81</v>
      </c>
      <c r="S105" t="s" s="0">
        <v>81</v>
      </c>
      <c r="T105" t="s" s="0">
        <v>81</v>
      </c>
      <c r="U105" t="s" s="0">
        <v>81</v>
      </c>
      <c r="V105" t="s" s="0">
        <v>2830</v>
      </c>
      <c r="W105" t="s" s="0">
        <v>1349</v>
      </c>
      <c r="X105" t="s" s="0">
        <v>81</v>
      </c>
      <c r="Y105" t="s" s="0">
        <v>81</v>
      </c>
      <c r="Z105" t="s" s="0">
        <v>90</v>
      </c>
      <c r="AA105" t="s" s="0">
        <v>91</v>
      </c>
      <c r="AB105" t="s" s="0">
        <v>81</v>
      </c>
      <c r="AC105" t="s" s="0">
        <v>81</v>
      </c>
      <c r="AD105" t="s" s="0">
        <v>81</v>
      </c>
      <c r="AE105" t="s" s="0">
        <v>81</v>
      </c>
      <c r="AF105" t="s" s="0">
        <v>81</v>
      </c>
      <c r="AG105" t="s" s="0">
        <v>2831</v>
      </c>
      <c r="AH105" t="s" s="0">
        <v>2832</v>
      </c>
      <c r="AI105" t="s" s="0">
        <v>81</v>
      </c>
      <c r="AJ105" t="s" s="0">
        <v>81</v>
      </c>
      <c r="AK105" t="s" s="0">
        <v>81</v>
      </c>
      <c r="AL105" t="s" s="0">
        <v>772</v>
      </c>
      <c r="AM105" t="s" s="0">
        <v>77</v>
      </c>
      <c r="AN105" t="s" s="0">
        <v>77</v>
      </c>
      <c r="AO105" t="s" s="0">
        <v>144</v>
      </c>
      <c r="AP105" t="s" s="0">
        <v>144</v>
      </c>
      <c r="AQ105" t="s" s="0">
        <v>1355</v>
      </c>
      <c r="AR105" t="s" s="0">
        <v>1356</v>
      </c>
      <c r="AS105" t="s" s="0">
        <v>1357</v>
      </c>
      <c r="AT105" t="s" s="0">
        <v>1358</v>
      </c>
      <c r="AU105" t="s" s="0">
        <v>1359</v>
      </c>
      <c r="AV105" t="s" s="0">
        <v>81</v>
      </c>
      <c r="AW105" t="s" s="0">
        <v>1360</v>
      </c>
      <c r="AX105" t="s" s="0">
        <v>1361</v>
      </c>
      <c r="AY105" t="s" s="0">
        <v>2833</v>
      </c>
      <c r="AZ105" t="s" s="0">
        <v>101</v>
      </c>
      <c r="BA105" t="s" s="0">
        <v>2159</v>
      </c>
      <c r="BB105" t="s" s="0">
        <v>209</v>
      </c>
      <c r="BC105" t="s" s="0">
        <v>81</v>
      </c>
      <c r="BD105" t="s" s="0">
        <v>81</v>
      </c>
      <c r="BE105" t="s" s="0">
        <v>81</v>
      </c>
      <c r="BF105" t="s" s="0">
        <v>81</v>
      </c>
      <c r="BG105" t="s" s="0">
        <v>2834</v>
      </c>
      <c r="BH105" t="s" s="0">
        <v>2835</v>
      </c>
      <c r="BI105" t="s" s="0">
        <v>81</v>
      </c>
      <c r="BJ105" t="s" s="0">
        <v>2836</v>
      </c>
      <c r="BK105" t="s" s="206">
        <f>HYPERLINK("http://dx.doi.org/10.1021/acs.est.6c05038","http://dx.doi.org/10.1021/acs.est.6c05038")</f>
        <v>2837</v>
      </c>
      <c r="BL105" t="s" s="0">
        <v>81</v>
      </c>
      <c r="BM105" t="s" s="0">
        <v>2838</v>
      </c>
      <c r="BN105" t="s" s="0">
        <v>187</v>
      </c>
      <c r="BO105" t="s" s="0">
        <v>1368</v>
      </c>
      <c r="BP105" t="s" s="0">
        <v>1369</v>
      </c>
      <c r="BQ105" t="s" s="0">
        <v>2839</v>
      </c>
      <c r="BR105" t="s" s="0">
        <v>2840</v>
      </c>
      <c r="BS105" t="s" s="0">
        <v>2841</v>
      </c>
      <c r="BT105" t="s" s="207">
        <f>HYPERLINK("https://www.webofscience.com/wos/woscc/full-record/WOS:001842618600001","View Record in Web of Science")</f>
        <v>113</v>
      </c>
      <c r="BU105" t="s" s="0">
        <v>81</v>
      </c>
      <c r="BV105" t="s" s="0">
        <v>81</v>
      </c>
      <c r="BW105" t="s" s="0">
        <v>81</v>
      </c>
      <c r="BX105" t="s" s="0">
        <v>115</v>
      </c>
    </row>
    <row r="106">
      <c r="A106" t="s" s="0">
        <v>77</v>
      </c>
      <c r="B106" t="s" s="0">
        <v>77</v>
      </c>
      <c r="C106" t="s" s="0">
        <v>77</v>
      </c>
      <c r="D106" t="s" s="0">
        <v>77</v>
      </c>
      <c r="E106" t="s" s="0">
        <v>2842</v>
      </c>
      <c r="F106" t="s" s="0">
        <v>2843</v>
      </c>
      <c r="G106" t="s" s="0">
        <v>2844</v>
      </c>
      <c r="H106" t="s" s="0">
        <v>81</v>
      </c>
      <c r="I106" t="s" s="0">
        <v>82</v>
      </c>
      <c r="J106" t="s" s="0">
        <v>2845</v>
      </c>
      <c r="K106" t="s" s="0">
        <v>2846</v>
      </c>
      <c r="L106" t="s" s="0">
        <v>2847</v>
      </c>
      <c r="M106" t="s" s="0">
        <v>2848</v>
      </c>
      <c r="N106" t="s" s="0">
        <v>2849</v>
      </c>
      <c r="O106" t="s" s="0">
        <v>2850</v>
      </c>
      <c r="P106" t="s" s="0">
        <v>2851</v>
      </c>
      <c r="Q106" t="s" s="0">
        <v>87</v>
      </c>
      <c r="R106" t="s" s="0">
        <v>81</v>
      </c>
      <c r="S106" t="s" s="0">
        <v>81</v>
      </c>
      <c r="T106" t="s" s="0">
        <v>81</v>
      </c>
      <c r="U106" t="s" s="0">
        <v>81</v>
      </c>
      <c r="V106" t="s" s="0">
        <v>2852</v>
      </c>
      <c r="W106" t="s" s="0">
        <v>2853</v>
      </c>
      <c r="X106" t="s" s="0">
        <v>81</v>
      </c>
      <c r="Y106" t="s" s="0">
        <v>81</v>
      </c>
      <c r="Z106" t="s" s="0">
        <v>90</v>
      </c>
      <c r="AA106" t="s" s="0">
        <v>91</v>
      </c>
      <c r="AB106" t="s" s="0">
        <v>81</v>
      </c>
      <c r="AC106" t="s" s="0">
        <v>81</v>
      </c>
      <c r="AD106" t="s" s="0">
        <v>81</v>
      </c>
      <c r="AE106" t="s" s="0">
        <v>81</v>
      </c>
      <c r="AF106" t="s" s="0">
        <v>81</v>
      </c>
      <c r="AG106" t="s" s="0">
        <v>81</v>
      </c>
      <c r="AH106" t="s" s="0">
        <v>81</v>
      </c>
      <c r="AI106" t="s" s="0">
        <v>81</v>
      </c>
      <c r="AJ106" t="s" s="0">
        <v>81</v>
      </c>
      <c r="AK106" t="s" s="0">
        <v>81</v>
      </c>
      <c r="AL106" t="s" s="0">
        <v>401</v>
      </c>
      <c r="AM106" t="s" s="0">
        <v>144</v>
      </c>
      <c r="AN106" t="s" s="0">
        <v>313</v>
      </c>
      <c r="AO106" t="s" s="0">
        <v>103</v>
      </c>
      <c r="AP106" t="s" s="0">
        <v>219</v>
      </c>
      <c r="AQ106" t="s" s="0">
        <v>2854</v>
      </c>
      <c r="AR106" t="s" s="0">
        <v>2855</v>
      </c>
      <c r="AS106" t="s" s="0">
        <v>2856</v>
      </c>
      <c r="AT106" t="s" s="0">
        <v>2857</v>
      </c>
      <c r="AU106" t="s" s="0">
        <v>2858</v>
      </c>
      <c r="AV106" t="s" s="0">
        <v>81</v>
      </c>
      <c r="AW106" t="s" s="0">
        <v>2853</v>
      </c>
      <c r="AX106" t="s" s="0">
        <v>2859</v>
      </c>
      <c r="AY106" t="s" s="0">
        <v>622</v>
      </c>
      <c r="AZ106" t="s" s="0">
        <v>101</v>
      </c>
      <c r="BA106" t="s" s="0">
        <v>1363</v>
      </c>
      <c r="BB106" t="s" s="0">
        <v>2860</v>
      </c>
      <c r="BC106" t="s" s="0">
        <v>81</v>
      </c>
      <c r="BD106" t="s" s="0">
        <v>81</v>
      </c>
      <c r="BE106" t="s" s="0">
        <v>81</v>
      </c>
      <c r="BF106" t="s" s="0">
        <v>81</v>
      </c>
      <c r="BG106" t="s" s="0">
        <v>2861</v>
      </c>
      <c r="BH106" t="s" s="0">
        <v>2862</v>
      </c>
      <c r="BI106" t="s" s="0">
        <v>81</v>
      </c>
      <c r="BJ106" t="s" s="0">
        <v>2863</v>
      </c>
      <c r="BK106" t="s" s="208">
        <f>HYPERLINK("http://dx.doi.org/10.1055/a-2780-0974","http://dx.doi.org/10.1055/a-2780-0974")</f>
        <v>2864</v>
      </c>
      <c r="BL106" t="s" s="0">
        <v>81</v>
      </c>
      <c r="BM106" t="s" s="0">
        <v>2529</v>
      </c>
      <c r="BN106" t="s" s="0">
        <v>245</v>
      </c>
      <c r="BO106" t="s" s="0">
        <v>2865</v>
      </c>
      <c r="BP106" t="s" s="0">
        <v>2865</v>
      </c>
      <c r="BQ106" t="s" s="0">
        <v>2866</v>
      </c>
      <c r="BR106" t="s" s="0">
        <v>2867</v>
      </c>
      <c r="BS106" t="s" s="0">
        <v>2868</v>
      </c>
      <c r="BT106" t="s" s="209">
        <f>HYPERLINK("https://www.webofscience.com/wos/woscc/full-record/WOS:001705834000001","View Record in Web of Science")</f>
        <v>113</v>
      </c>
      <c r="BU106" t="s" s="0">
        <v>81</v>
      </c>
      <c r="BV106" t="s" s="0">
        <v>81</v>
      </c>
      <c r="BW106" t="s" s="0">
        <v>81</v>
      </c>
      <c r="BX106" t="s" s="0">
        <v>115</v>
      </c>
    </row>
    <row r="107">
      <c r="A107" t="s" s="0">
        <v>77</v>
      </c>
      <c r="B107" t="s" s="0">
        <v>77</v>
      </c>
      <c r="C107" t="s" s="0">
        <v>77</v>
      </c>
      <c r="D107" t="s" s="0">
        <v>77</v>
      </c>
      <c r="E107" t="s" s="0">
        <v>2869</v>
      </c>
      <c r="F107" t="s" s="0">
        <v>2870</v>
      </c>
      <c r="G107" t="s" s="0">
        <v>2871</v>
      </c>
      <c r="H107" t="s" s="0">
        <v>81</v>
      </c>
      <c r="I107" t="s" s="0">
        <v>82</v>
      </c>
      <c r="J107" t="s" s="0">
        <v>2872</v>
      </c>
      <c r="K107" t="s" s="0">
        <v>2873</v>
      </c>
      <c r="L107" t="s" s="0">
        <v>2874</v>
      </c>
      <c r="M107" t="s" s="0">
        <v>2875</v>
      </c>
      <c r="N107" t="s" s="0">
        <v>2876</v>
      </c>
      <c r="O107" t="s" s="0">
        <v>2877</v>
      </c>
      <c r="P107" t="s" s="0">
        <v>2878</v>
      </c>
      <c r="Q107" t="s" s="0">
        <v>87</v>
      </c>
      <c r="R107" t="s" s="0">
        <v>81</v>
      </c>
      <c r="S107" t="s" s="0">
        <v>81</v>
      </c>
      <c r="T107" t="s" s="0">
        <v>81</v>
      </c>
      <c r="U107" t="s" s="0">
        <v>81</v>
      </c>
      <c r="V107" t="s" s="0">
        <v>2879</v>
      </c>
      <c r="W107" t="s" s="0">
        <v>2880</v>
      </c>
      <c r="X107" t="s" s="0">
        <v>81</v>
      </c>
      <c r="Y107" t="s" s="0">
        <v>81</v>
      </c>
      <c r="Z107" t="s" s="0">
        <v>90</v>
      </c>
      <c r="AA107" t="s" s="0">
        <v>91</v>
      </c>
      <c r="AB107" t="s" s="0">
        <v>81</v>
      </c>
      <c r="AC107" t="s" s="0">
        <v>81</v>
      </c>
      <c r="AD107" t="s" s="0">
        <v>81</v>
      </c>
      <c r="AE107" t="s" s="0">
        <v>81</v>
      </c>
      <c r="AF107" t="s" s="0">
        <v>81</v>
      </c>
      <c r="AG107" t="s" s="0">
        <v>2881</v>
      </c>
      <c r="AH107" t="s" s="0">
        <v>2882</v>
      </c>
      <c r="AI107" t="s" s="0">
        <v>2883</v>
      </c>
      <c r="AJ107" t="s" s="0">
        <v>81</v>
      </c>
      <c r="AK107" t="s" s="0">
        <v>81</v>
      </c>
      <c r="AL107" t="s" s="0">
        <v>520</v>
      </c>
      <c r="AM107" t="s" s="0">
        <v>77</v>
      </c>
      <c r="AN107" t="s" s="0">
        <v>77</v>
      </c>
      <c r="AO107" t="s" s="0">
        <v>210</v>
      </c>
      <c r="AP107" t="s" s="0">
        <v>210</v>
      </c>
      <c r="AQ107" t="s" s="0">
        <v>402</v>
      </c>
      <c r="AR107" t="s" s="0">
        <v>403</v>
      </c>
      <c r="AS107" t="s" s="0">
        <v>404</v>
      </c>
      <c r="AT107" t="s" s="0">
        <v>2884</v>
      </c>
      <c r="AU107" t="s" s="0">
        <v>81</v>
      </c>
      <c r="AV107" t="s" s="0">
        <v>81</v>
      </c>
      <c r="AW107" t="s" s="0">
        <v>2885</v>
      </c>
      <c r="AX107" t="s" s="0">
        <v>2886</v>
      </c>
      <c r="AY107" t="s" s="0">
        <v>2887</v>
      </c>
      <c r="AZ107" t="s" s="0">
        <v>101</v>
      </c>
      <c r="BA107" t="s" s="0">
        <v>277</v>
      </c>
      <c r="BB107" t="s" s="0">
        <v>81</v>
      </c>
      <c r="BC107" t="s" s="0">
        <v>81</v>
      </c>
      <c r="BD107" t="s" s="0">
        <v>81</v>
      </c>
      <c r="BE107" t="s" s="0">
        <v>81</v>
      </c>
      <c r="BF107" t="s" s="0">
        <v>81</v>
      </c>
      <c r="BG107" t="s" s="0">
        <v>81</v>
      </c>
      <c r="BH107" t="s" s="0">
        <v>81</v>
      </c>
      <c r="BI107" t="s" s="0">
        <v>2888</v>
      </c>
      <c r="BJ107" t="s" s="0">
        <v>2889</v>
      </c>
      <c r="BK107" t="s" s="210">
        <f>HYPERLINK("http://dx.doi.org/10.3389/fneur.2026.1787921","http://dx.doi.org/10.3389/fneur.2026.1787921")</f>
        <v>2890</v>
      </c>
      <c r="BL107" t="s" s="0">
        <v>81</v>
      </c>
      <c r="BM107" t="s" s="0">
        <v>81</v>
      </c>
      <c r="BN107" t="s" s="0">
        <v>187</v>
      </c>
      <c r="BO107" t="s" s="0">
        <v>1937</v>
      </c>
      <c r="BP107" t="s" s="0">
        <v>749</v>
      </c>
      <c r="BQ107" t="s" s="0">
        <v>2891</v>
      </c>
      <c r="BR107" t="s" s="0">
        <v>2892</v>
      </c>
      <c r="BS107" t="s" s="0">
        <v>2893</v>
      </c>
      <c r="BT107" t="s" s="211">
        <f>HYPERLINK("https://www.webofscience.com/wos/woscc/full-record/WOS:001728968300001","View Record in Web of Science")</f>
        <v>113</v>
      </c>
      <c r="BU107" t="s" s="0">
        <v>153</v>
      </c>
      <c r="BV107" t="s" s="0">
        <v>81</v>
      </c>
      <c r="BW107" t="s" s="0">
        <v>81</v>
      </c>
      <c r="BX107" t="s" s="0">
        <v>115</v>
      </c>
    </row>
    <row r="108">
      <c r="A108" t="s" s="0">
        <v>144</v>
      </c>
      <c r="B108" t="s" s="0">
        <v>77</v>
      </c>
      <c r="C108" t="s" s="0">
        <v>143</v>
      </c>
      <c r="D108" t="s" s="0">
        <v>77</v>
      </c>
      <c r="E108" t="s" s="0">
        <v>2894</v>
      </c>
      <c r="F108" t="s" s="0">
        <v>2895</v>
      </c>
      <c r="G108" t="s" s="0">
        <v>2896</v>
      </c>
      <c r="H108" t="s" s="0">
        <v>81</v>
      </c>
      <c r="I108" t="s" s="0">
        <v>82</v>
      </c>
      <c r="J108" t="s" s="0">
        <v>2897</v>
      </c>
      <c r="K108" t="s" s="0">
        <v>2898</v>
      </c>
      <c r="L108" t="s" s="0">
        <v>2899</v>
      </c>
      <c r="M108" t="s" s="0">
        <v>267</v>
      </c>
      <c r="N108" t="s" s="0">
        <v>2900</v>
      </c>
      <c r="O108" t="s" s="0">
        <v>2901</v>
      </c>
      <c r="P108" t="s" s="0">
        <v>2902</v>
      </c>
      <c r="Q108" t="s" s="0">
        <v>87</v>
      </c>
      <c r="R108" t="s" s="0">
        <v>81</v>
      </c>
      <c r="S108" t="s" s="0">
        <v>81</v>
      </c>
      <c r="T108" t="s" s="0">
        <v>81</v>
      </c>
      <c r="U108" t="s" s="0">
        <v>81</v>
      </c>
      <c r="V108" t="s" s="0">
        <v>2903</v>
      </c>
      <c r="W108" t="s" s="0">
        <v>1349</v>
      </c>
      <c r="X108" t="s" s="0">
        <v>81</v>
      </c>
      <c r="Y108" t="s" s="0">
        <v>81</v>
      </c>
      <c r="Z108" t="s" s="0">
        <v>90</v>
      </c>
      <c r="AA108" t="s" s="0">
        <v>91</v>
      </c>
      <c r="AB108" t="s" s="0">
        <v>81</v>
      </c>
      <c r="AC108" t="s" s="0">
        <v>81</v>
      </c>
      <c r="AD108" t="s" s="0">
        <v>81</v>
      </c>
      <c r="AE108" t="s" s="0">
        <v>81</v>
      </c>
      <c r="AF108" t="s" s="0">
        <v>81</v>
      </c>
      <c r="AG108" t="s" s="0">
        <v>2904</v>
      </c>
      <c r="AH108" t="s" s="0">
        <v>2905</v>
      </c>
      <c r="AI108" t="s" s="0">
        <v>2906</v>
      </c>
      <c r="AJ108" t="s" s="0">
        <v>2907</v>
      </c>
      <c r="AK108" t="s" s="0">
        <v>81</v>
      </c>
      <c r="AL108" t="s" s="0">
        <v>519</v>
      </c>
      <c r="AM108" t="s" s="0">
        <v>93</v>
      </c>
      <c r="AN108" t="s" s="0">
        <v>1887</v>
      </c>
      <c r="AO108" t="s" s="0">
        <v>796</v>
      </c>
      <c r="AP108" t="s" s="0">
        <v>2908</v>
      </c>
      <c r="AQ108" t="s" s="0">
        <v>1355</v>
      </c>
      <c r="AR108" t="s" s="0">
        <v>1356</v>
      </c>
      <c r="AS108" t="s" s="0">
        <v>1357</v>
      </c>
      <c r="AT108" t="s" s="0">
        <v>1358</v>
      </c>
      <c r="AU108" t="s" s="0">
        <v>1359</v>
      </c>
      <c r="AV108" t="s" s="0">
        <v>81</v>
      </c>
      <c r="AW108" t="s" s="0">
        <v>1360</v>
      </c>
      <c r="AX108" t="s" s="0">
        <v>1361</v>
      </c>
      <c r="AY108" t="s" s="0">
        <v>2909</v>
      </c>
      <c r="AZ108" t="s" s="0">
        <v>285</v>
      </c>
      <c r="BA108" t="s" s="0">
        <v>1363</v>
      </c>
      <c r="BB108" t="s" s="0">
        <v>822</v>
      </c>
      <c r="BC108" t="s" s="0">
        <v>81</v>
      </c>
      <c r="BD108" t="s" s="0">
        <v>81</v>
      </c>
      <c r="BE108" t="s" s="0">
        <v>81</v>
      </c>
      <c r="BF108" t="s" s="0">
        <v>81</v>
      </c>
      <c r="BG108" t="s" s="0">
        <v>2910</v>
      </c>
      <c r="BH108" t="s" s="0">
        <v>2911</v>
      </c>
      <c r="BI108" t="s" s="0">
        <v>81</v>
      </c>
      <c r="BJ108" t="s" s="0">
        <v>2912</v>
      </c>
      <c r="BK108" t="s" s="212">
        <f>HYPERLINK("http://dx.doi.org/10.1021/acs.est.4c05022","http://dx.doi.org/10.1021/acs.est.4c05022")</f>
        <v>2913</v>
      </c>
      <c r="BL108" t="s" s="0">
        <v>81</v>
      </c>
      <c r="BM108" t="s" s="0">
        <v>2914</v>
      </c>
      <c r="BN108" t="s" s="0">
        <v>107</v>
      </c>
      <c r="BO108" t="s" s="0">
        <v>1368</v>
      </c>
      <c r="BP108" t="s" s="0">
        <v>1369</v>
      </c>
      <c r="BQ108" t="s" s="0">
        <v>2915</v>
      </c>
      <c r="BR108" t="s" s="0">
        <v>2916</v>
      </c>
      <c r="BS108" t="s" s="0">
        <v>2917</v>
      </c>
      <c r="BT108" t="s" s="213">
        <f>HYPERLINK("https://www.webofscience.com/wos/woscc/full-record/WOS:001310112100001","View Record in Web of Science")</f>
        <v>113</v>
      </c>
      <c r="BU108" t="s" s="0">
        <v>81</v>
      </c>
      <c r="BV108" t="s" s="0">
        <v>81</v>
      </c>
      <c r="BW108" t="s" s="0">
        <v>81</v>
      </c>
      <c r="BX108" t="s" s="0">
        <v>115</v>
      </c>
    </row>
    <row r="109">
      <c r="A109" t="s" s="0">
        <v>77</v>
      </c>
      <c r="B109" t="s" s="0">
        <v>77</v>
      </c>
      <c r="C109" t="s" s="0">
        <v>313</v>
      </c>
      <c r="D109" t="s" s="0">
        <v>77</v>
      </c>
      <c r="E109" t="s" s="0">
        <v>2918</v>
      </c>
      <c r="F109" t="s" s="0">
        <v>2919</v>
      </c>
      <c r="G109" t="s" s="0">
        <v>2920</v>
      </c>
      <c r="H109" t="s" s="0">
        <v>81</v>
      </c>
      <c r="I109" t="s" s="0">
        <v>82</v>
      </c>
      <c r="J109" t="s" s="0">
        <v>2921</v>
      </c>
      <c r="K109" t="s" s="0">
        <v>2922</v>
      </c>
      <c r="L109" t="s" s="0">
        <v>81</v>
      </c>
      <c r="M109" t="s" s="0">
        <v>81</v>
      </c>
      <c r="N109" t="s" s="0">
        <v>81</v>
      </c>
      <c r="O109" t="s" s="0">
        <v>2923</v>
      </c>
      <c r="P109" t="s" s="0">
        <v>2924</v>
      </c>
      <c r="Q109" t="s" s="0">
        <v>87</v>
      </c>
      <c r="R109" t="s" s="0">
        <v>81</v>
      </c>
      <c r="S109" t="s" s="0">
        <v>81</v>
      </c>
      <c r="T109" t="s" s="0">
        <v>81</v>
      </c>
      <c r="U109" t="s" s="0">
        <v>81</v>
      </c>
      <c r="V109" t="s" s="0">
        <v>2925</v>
      </c>
      <c r="W109" t="s" s="0">
        <v>849</v>
      </c>
      <c r="X109" t="s" s="0">
        <v>81</v>
      </c>
      <c r="Y109" t="s" s="0">
        <v>81</v>
      </c>
      <c r="Z109" t="s" s="0">
        <v>90</v>
      </c>
      <c r="AA109" t="s" s="0">
        <v>91</v>
      </c>
      <c r="AB109" t="s" s="0">
        <v>81</v>
      </c>
      <c r="AC109" t="s" s="0">
        <v>81</v>
      </c>
      <c r="AD109" t="s" s="0">
        <v>81</v>
      </c>
      <c r="AE109" t="s" s="0">
        <v>81</v>
      </c>
      <c r="AF109" t="s" s="0">
        <v>81</v>
      </c>
      <c r="AG109" t="s" s="0">
        <v>2926</v>
      </c>
      <c r="AH109" t="s" s="0">
        <v>2927</v>
      </c>
      <c r="AI109" t="s" s="0">
        <v>2928</v>
      </c>
      <c r="AJ109" t="s" s="0">
        <v>2929</v>
      </c>
      <c r="AK109" t="s" s="0">
        <v>81</v>
      </c>
      <c r="AL109" t="s" s="0">
        <v>2930</v>
      </c>
      <c r="AM109" t="s" s="0">
        <v>372</v>
      </c>
      <c r="AN109" t="s" s="0">
        <v>372</v>
      </c>
      <c r="AO109" t="s" s="0">
        <v>144</v>
      </c>
      <c r="AP109" t="s" s="0">
        <v>116</v>
      </c>
      <c r="AQ109" t="s" s="0">
        <v>174</v>
      </c>
      <c r="AR109" t="s" s="0">
        <v>175</v>
      </c>
      <c r="AS109" t="s" s="0">
        <v>176</v>
      </c>
      <c r="AT109" t="s" s="0">
        <v>855</v>
      </c>
      <c r="AU109" t="s" s="0">
        <v>856</v>
      </c>
      <c r="AV109" t="s" s="0">
        <v>81</v>
      </c>
      <c r="AW109" t="s" s="0">
        <v>857</v>
      </c>
      <c r="AX109" t="s" s="0">
        <v>858</v>
      </c>
      <c r="AY109" t="s" s="0">
        <v>380</v>
      </c>
      <c r="AZ109" t="s" s="0">
        <v>142</v>
      </c>
      <c r="BA109" t="s" s="0">
        <v>2931</v>
      </c>
      <c r="BB109" t="s" s="0">
        <v>81</v>
      </c>
      <c r="BC109" t="s" s="0">
        <v>81</v>
      </c>
      <c r="BD109" t="s" s="0">
        <v>81</v>
      </c>
      <c r="BE109" t="s" s="0">
        <v>81</v>
      </c>
      <c r="BF109" t="s" s="0">
        <v>81</v>
      </c>
      <c r="BG109" t="s" s="0">
        <v>81</v>
      </c>
      <c r="BH109" t="s" s="0">
        <v>81</v>
      </c>
      <c r="BI109" t="s" s="0">
        <v>2932</v>
      </c>
      <c r="BJ109" t="s" s="0">
        <v>2933</v>
      </c>
      <c r="BK109" t="s" s="214">
        <f>HYPERLINK("http://dx.doi.org/10.1016/j.bspc.2025.107663","http://dx.doi.org/10.1016/j.bspc.2025.107663")</f>
        <v>2934</v>
      </c>
      <c r="BL109" t="s" s="0">
        <v>81</v>
      </c>
      <c r="BM109" t="s" s="0">
        <v>951</v>
      </c>
      <c r="BN109" t="s" s="0">
        <v>173</v>
      </c>
      <c r="BO109" t="s" s="0">
        <v>864</v>
      </c>
      <c r="BP109" t="s" s="0">
        <v>865</v>
      </c>
      <c r="BQ109" t="s" s="0">
        <v>2935</v>
      </c>
      <c r="BR109" t="s" s="0">
        <v>81</v>
      </c>
      <c r="BS109" t="s" s="0">
        <v>2936</v>
      </c>
      <c r="BT109" t="s" s="215">
        <f>HYPERLINK("https://www.webofscience.com/wos/woscc/full-record/WOS:001433619600001","View Record in Web of Science")</f>
        <v>113</v>
      </c>
      <c r="BU109" t="s" s="0">
        <v>193</v>
      </c>
      <c r="BV109" t="s" s="0">
        <v>81</v>
      </c>
      <c r="BW109" t="s" s="0">
        <v>81</v>
      </c>
      <c r="BX109" t="s" s="0">
        <v>115</v>
      </c>
    </row>
    <row r="110">
      <c r="A110" t="s" s="0">
        <v>77</v>
      </c>
      <c r="B110" t="s" s="0">
        <v>77</v>
      </c>
      <c r="C110" t="s" s="0">
        <v>77</v>
      </c>
      <c r="D110" t="s" s="0">
        <v>77</v>
      </c>
      <c r="E110" t="s" s="0">
        <v>2937</v>
      </c>
      <c r="F110" t="s" s="0">
        <v>2938</v>
      </c>
      <c r="G110" t="s" s="0">
        <v>2939</v>
      </c>
      <c r="H110" t="s" s="0">
        <v>81</v>
      </c>
      <c r="I110" t="s" s="0">
        <v>82</v>
      </c>
      <c r="J110" t="s" s="0">
        <v>2940</v>
      </c>
      <c r="K110" t="s" s="0">
        <v>2941</v>
      </c>
      <c r="L110" t="s" s="0">
        <v>2942</v>
      </c>
      <c r="M110" t="s" s="0">
        <v>2943</v>
      </c>
      <c r="N110" t="s" s="0">
        <v>2944</v>
      </c>
      <c r="O110" t="s" s="0">
        <v>2945</v>
      </c>
      <c r="P110" t="s" s="0">
        <v>2946</v>
      </c>
      <c r="Q110" t="s" s="0">
        <v>87</v>
      </c>
      <c r="R110" t="s" s="0">
        <v>81</v>
      </c>
      <c r="S110" t="s" s="0">
        <v>81</v>
      </c>
      <c r="T110" t="s" s="0">
        <v>81</v>
      </c>
      <c r="U110" t="s" s="0">
        <v>81</v>
      </c>
      <c r="V110" t="s" s="0">
        <v>2947</v>
      </c>
      <c r="W110" t="s" s="0">
        <v>672</v>
      </c>
      <c r="X110" t="s" s="0">
        <v>81</v>
      </c>
      <c r="Y110" t="s" s="0">
        <v>81</v>
      </c>
      <c r="Z110" t="s" s="0">
        <v>90</v>
      </c>
      <c r="AA110" t="s" s="0">
        <v>91</v>
      </c>
      <c r="AB110" t="s" s="0">
        <v>81</v>
      </c>
      <c r="AC110" t="s" s="0">
        <v>81</v>
      </c>
      <c r="AD110" t="s" s="0">
        <v>81</v>
      </c>
      <c r="AE110" t="s" s="0">
        <v>81</v>
      </c>
      <c r="AF110" t="s" s="0">
        <v>81</v>
      </c>
      <c r="AG110" t="s" s="0">
        <v>2948</v>
      </c>
      <c r="AH110" t="s" s="0">
        <v>2949</v>
      </c>
      <c r="AI110" t="s" s="0">
        <v>2950</v>
      </c>
      <c r="AJ110" t="s" s="0">
        <v>2951</v>
      </c>
      <c r="AK110" t="s" s="0">
        <v>81</v>
      </c>
      <c r="AL110" t="s" s="0">
        <v>822</v>
      </c>
      <c r="AM110" t="s" s="0">
        <v>107</v>
      </c>
      <c r="AN110" t="s" s="0">
        <v>187</v>
      </c>
      <c r="AO110" t="s" s="0">
        <v>77</v>
      </c>
      <c r="AP110" t="s" s="0">
        <v>277</v>
      </c>
      <c r="AQ110" t="s" s="0">
        <v>314</v>
      </c>
      <c r="AR110" t="s" s="0">
        <v>315</v>
      </c>
      <c r="AS110" t="s" s="0">
        <v>316</v>
      </c>
      <c r="AT110" t="s" s="0">
        <v>81</v>
      </c>
      <c r="AU110" t="s" s="0">
        <v>677</v>
      </c>
      <c r="AV110" t="s" s="0">
        <v>81</v>
      </c>
      <c r="AW110" t="s" s="0">
        <v>678</v>
      </c>
      <c r="AX110" t="s" s="0">
        <v>679</v>
      </c>
      <c r="AY110" t="s" s="0">
        <v>2952</v>
      </c>
      <c r="AZ110" t="s" s="0">
        <v>920</v>
      </c>
      <c r="BA110" t="s" s="0">
        <v>187</v>
      </c>
      <c r="BB110" t="s" s="0">
        <v>143</v>
      </c>
      <c r="BC110" t="s" s="0">
        <v>81</v>
      </c>
      <c r="BD110" t="s" s="0">
        <v>81</v>
      </c>
      <c r="BE110" t="s" s="0">
        <v>81</v>
      </c>
      <c r="BF110" t="s" s="0">
        <v>81</v>
      </c>
      <c r="BG110" t="s" s="0">
        <v>81</v>
      </c>
      <c r="BH110" t="s" s="0">
        <v>81</v>
      </c>
      <c r="BI110" t="s" s="0">
        <v>2953</v>
      </c>
      <c r="BJ110" t="s" s="0">
        <v>2954</v>
      </c>
      <c r="BK110" t="s" s="216">
        <f>HYPERLINK("http://dx.doi.org/10.3390/app12157477","http://dx.doi.org/10.3390/app12157477")</f>
        <v>2955</v>
      </c>
      <c r="BL110" t="s" s="0">
        <v>81</v>
      </c>
      <c r="BM110" t="s" s="0">
        <v>81</v>
      </c>
      <c r="BN110" t="s" s="0">
        <v>143</v>
      </c>
      <c r="BO110" t="s" s="0">
        <v>685</v>
      </c>
      <c r="BP110" t="s" s="0">
        <v>686</v>
      </c>
      <c r="BQ110" t="s" s="0">
        <v>2956</v>
      </c>
      <c r="BR110" t="s" s="0">
        <v>81</v>
      </c>
      <c r="BS110" t="s" s="0">
        <v>2957</v>
      </c>
      <c r="BT110" t="s" s="217">
        <f>HYPERLINK("https://www.webofscience.com/wos/woscc/full-record/WOS:000839156600001","View Record in Web of Science")</f>
        <v>113</v>
      </c>
      <c r="BU110" t="s" s="0">
        <v>153</v>
      </c>
      <c r="BV110" t="s" s="0">
        <v>81</v>
      </c>
      <c r="BW110" t="s" s="0">
        <v>81</v>
      </c>
      <c r="BX110" t="s" s="0">
        <v>115</v>
      </c>
    </row>
    <row r="111">
      <c r="A111" t="s" s="0">
        <v>77</v>
      </c>
      <c r="B111" t="s" s="0">
        <v>77</v>
      </c>
      <c r="C111" t="s" s="0">
        <v>103</v>
      </c>
      <c r="D111" t="s" s="0">
        <v>77</v>
      </c>
      <c r="E111" t="s" s="0">
        <v>2958</v>
      </c>
      <c r="F111" t="s" s="0">
        <v>2959</v>
      </c>
      <c r="G111" t="s" s="0">
        <v>2960</v>
      </c>
      <c r="H111" t="s" s="0">
        <v>81</v>
      </c>
      <c r="I111" t="s" s="0">
        <v>82</v>
      </c>
      <c r="J111" t="s" s="0">
        <v>2961</v>
      </c>
      <c r="K111" t="s" s="0">
        <v>2962</v>
      </c>
      <c r="L111" t="s" s="0">
        <v>2963</v>
      </c>
      <c r="M111" t="s" s="0">
        <v>2964</v>
      </c>
      <c r="N111" t="s" s="0">
        <v>2965</v>
      </c>
      <c r="O111" t="s" s="0">
        <v>2966</v>
      </c>
      <c r="P111" t="s" s="0">
        <v>2967</v>
      </c>
      <c r="Q111" t="s" s="0">
        <v>87</v>
      </c>
      <c r="R111" t="s" s="0">
        <v>81</v>
      </c>
      <c r="S111" t="s" s="0">
        <v>81</v>
      </c>
      <c r="T111" t="s" s="0">
        <v>81</v>
      </c>
      <c r="U111" t="s" s="0">
        <v>81</v>
      </c>
      <c r="V111" t="s" s="0">
        <v>2968</v>
      </c>
      <c r="W111" t="s" s="0">
        <v>2969</v>
      </c>
      <c r="X111" t="s" s="0">
        <v>81</v>
      </c>
      <c r="Y111" t="s" s="0">
        <v>81</v>
      </c>
      <c r="Z111" t="s" s="0">
        <v>90</v>
      </c>
      <c r="AA111" t="s" s="0">
        <v>91</v>
      </c>
      <c r="AB111" t="s" s="0">
        <v>81</v>
      </c>
      <c r="AC111" t="s" s="0">
        <v>81</v>
      </c>
      <c r="AD111" t="s" s="0">
        <v>81</v>
      </c>
      <c r="AE111" t="s" s="0">
        <v>81</v>
      </c>
      <c r="AF111" t="s" s="0">
        <v>81</v>
      </c>
      <c r="AG111" t="s" s="0">
        <v>2970</v>
      </c>
      <c r="AH111" t="s" s="0">
        <v>2971</v>
      </c>
      <c r="AI111" t="s" s="0">
        <v>2972</v>
      </c>
      <c r="AJ111" t="s" s="0">
        <v>2973</v>
      </c>
      <c r="AK111" t="s" s="0">
        <v>81</v>
      </c>
      <c r="AL111" t="s" s="0">
        <v>2455</v>
      </c>
      <c r="AM111" t="s" s="0">
        <v>173</v>
      </c>
      <c r="AN111" t="s" s="0">
        <v>187</v>
      </c>
      <c r="AO111" t="s" s="0">
        <v>173</v>
      </c>
      <c r="AP111" t="s" s="0">
        <v>684</v>
      </c>
      <c r="AQ111" t="s" s="0">
        <v>174</v>
      </c>
      <c r="AR111" t="s" s="0">
        <v>175</v>
      </c>
      <c r="AS111" t="s" s="0">
        <v>176</v>
      </c>
      <c r="AT111" t="s" s="0">
        <v>2974</v>
      </c>
      <c r="AU111" t="s" s="0">
        <v>2975</v>
      </c>
      <c r="AV111" t="s" s="0">
        <v>81</v>
      </c>
      <c r="AW111" t="s" s="0">
        <v>2976</v>
      </c>
      <c r="AX111" t="s" s="0">
        <v>2977</v>
      </c>
      <c r="AY111" t="s" s="0">
        <v>2978</v>
      </c>
      <c r="AZ111" t="s" s="0">
        <v>142</v>
      </c>
      <c r="BA111" t="s" s="0">
        <v>2979</v>
      </c>
      <c r="BB111" t="s" s="0">
        <v>81</v>
      </c>
      <c r="BC111" t="s" s="0">
        <v>81</v>
      </c>
      <c r="BD111" t="s" s="0">
        <v>81</v>
      </c>
      <c r="BE111" t="s" s="0">
        <v>81</v>
      </c>
      <c r="BF111" t="s" s="0">
        <v>81</v>
      </c>
      <c r="BG111" t="s" s="0">
        <v>81</v>
      </c>
      <c r="BH111" t="s" s="0">
        <v>81</v>
      </c>
      <c r="BI111" t="s" s="0">
        <v>2980</v>
      </c>
      <c r="BJ111" t="s" s="0">
        <v>2981</v>
      </c>
      <c r="BK111" t="s" s="218">
        <f>HYPERLINK("http://dx.doi.org/10.1016/j.jclepro.2025.145999","http://dx.doi.org/10.1016/j.jclepro.2025.145999")</f>
        <v>2982</v>
      </c>
      <c r="BL111" t="s" s="0">
        <v>81</v>
      </c>
      <c r="BM111" t="s" s="0">
        <v>494</v>
      </c>
      <c r="BN111" t="s" s="0">
        <v>134</v>
      </c>
      <c r="BO111" t="s" s="0">
        <v>2983</v>
      </c>
      <c r="BP111" t="s" s="0">
        <v>2984</v>
      </c>
      <c r="BQ111" t="s" s="0">
        <v>2985</v>
      </c>
      <c r="BR111" t="s" s="0">
        <v>81</v>
      </c>
      <c r="BS111" t="s" s="0">
        <v>2986</v>
      </c>
      <c r="BT111" t="s" s="219">
        <f>HYPERLINK("https://www.webofscience.com/wos/woscc/full-record/WOS:001537876400002","View Record in Web of Science")</f>
        <v>113</v>
      </c>
      <c r="BU111" t="s" s="0">
        <v>81</v>
      </c>
      <c r="BV111" t="s" s="0">
        <v>81</v>
      </c>
      <c r="BW111" t="s" s="0">
        <v>81</v>
      </c>
      <c r="BX111" t="s" s="0">
        <v>115</v>
      </c>
    </row>
    <row r="112">
      <c r="A112" t="s" s="0">
        <v>77</v>
      </c>
      <c r="B112" t="s" s="0">
        <v>77</v>
      </c>
      <c r="C112" t="s" s="0">
        <v>77</v>
      </c>
      <c r="D112" t="s" s="0">
        <v>77</v>
      </c>
      <c r="E112" t="s" s="0">
        <v>2987</v>
      </c>
      <c r="F112" t="s" s="0">
        <v>2988</v>
      </c>
      <c r="G112" t="s" s="0">
        <v>2989</v>
      </c>
      <c r="H112" t="s" s="0">
        <v>81</v>
      </c>
      <c r="I112" t="s" s="0">
        <v>82</v>
      </c>
      <c r="J112" t="s" s="0">
        <v>2990</v>
      </c>
      <c r="K112" t="s" s="0">
        <v>2991</v>
      </c>
      <c r="L112" t="s" s="0">
        <v>2992</v>
      </c>
      <c r="M112" t="s" s="0">
        <v>2993</v>
      </c>
      <c r="N112" t="s" s="0">
        <v>2994</v>
      </c>
      <c r="O112" t="s" s="0">
        <v>2995</v>
      </c>
      <c r="P112" t="s" s="0">
        <v>2996</v>
      </c>
      <c r="Q112" t="s" s="0">
        <v>87</v>
      </c>
      <c r="R112" t="s" s="0">
        <v>81</v>
      </c>
      <c r="S112" t="s" s="0">
        <v>81</v>
      </c>
      <c r="T112" t="s" s="0">
        <v>81</v>
      </c>
      <c r="U112" t="s" s="0">
        <v>81</v>
      </c>
      <c r="V112" t="s" s="0">
        <v>2997</v>
      </c>
      <c r="W112" t="s" s="0">
        <v>2998</v>
      </c>
      <c r="X112" t="s" s="0">
        <v>81</v>
      </c>
      <c r="Y112" t="s" s="0">
        <v>81</v>
      </c>
      <c r="Z112" t="s" s="0">
        <v>90</v>
      </c>
      <c r="AA112" t="s" s="0">
        <v>91</v>
      </c>
      <c r="AB112" t="s" s="0">
        <v>81</v>
      </c>
      <c r="AC112" t="s" s="0">
        <v>81</v>
      </c>
      <c r="AD112" t="s" s="0">
        <v>81</v>
      </c>
      <c r="AE112" t="s" s="0">
        <v>81</v>
      </c>
      <c r="AF112" t="s" s="0">
        <v>81</v>
      </c>
      <c r="AG112" t="s" s="0">
        <v>2999</v>
      </c>
      <c r="AH112" t="s" s="0">
        <v>81</v>
      </c>
      <c r="AI112" t="s" s="0">
        <v>81</v>
      </c>
      <c r="AJ112" t="s" s="0">
        <v>81</v>
      </c>
      <c r="AK112" t="s" s="0">
        <v>81</v>
      </c>
      <c r="AL112" t="s" s="0">
        <v>209</v>
      </c>
      <c r="AM112" t="s" s="0">
        <v>77</v>
      </c>
      <c r="AN112" t="s" s="0">
        <v>77</v>
      </c>
      <c r="AO112" t="s" s="0">
        <v>313</v>
      </c>
      <c r="AP112" t="s" s="0">
        <v>313</v>
      </c>
      <c r="AQ112" t="s" s="0">
        <v>3000</v>
      </c>
      <c r="AR112" t="s" s="0">
        <v>3001</v>
      </c>
      <c r="AS112" t="s" s="0">
        <v>3002</v>
      </c>
      <c r="AT112" t="s" s="0">
        <v>3003</v>
      </c>
      <c r="AU112" t="s" s="0">
        <v>3004</v>
      </c>
      <c r="AV112" t="s" s="0">
        <v>81</v>
      </c>
      <c r="AW112" t="s" s="0">
        <v>3005</v>
      </c>
      <c r="AX112" t="s" s="0">
        <v>3006</v>
      </c>
      <c r="AY112" t="s" s="0">
        <v>3007</v>
      </c>
      <c r="AZ112" t="s" s="0">
        <v>101</v>
      </c>
      <c r="BA112" t="s" s="0">
        <v>1363</v>
      </c>
      <c r="BB112" t="s" s="0">
        <v>144</v>
      </c>
      <c r="BC112" t="s" s="0">
        <v>81</v>
      </c>
      <c r="BD112" t="s" s="0">
        <v>81</v>
      </c>
      <c r="BE112" t="s" s="0">
        <v>81</v>
      </c>
      <c r="BF112" t="s" s="0">
        <v>81</v>
      </c>
      <c r="BG112" t="s" s="0">
        <v>81</v>
      </c>
      <c r="BH112" t="s" s="0">
        <v>81</v>
      </c>
      <c r="BI112" t="s" s="0">
        <v>3008</v>
      </c>
      <c r="BJ112" t="s" s="0">
        <v>3009</v>
      </c>
      <c r="BK112" t="s" s="220">
        <f>HYPERLINK("http://dx.doi.org/10.1080/07853890.2026.2688297","http://dx.doi.org/10.1080/07853890.2026.2688297")</f>
        <v>3010</v>
      </c>
      <c r="BL112" t="s" s="0">
        <v>81</v>
      </c>
      <c r="BM112" t="s" s="0">
        <v>81</v>
      </c>
      <c r="BN112" t="s" s="0">
        <v>323</v>
      </c>
      <c r="BO112" t="s" s="0">
        <v>324</v>
      </c>
      <c r="BP112" t="s" s="0">
        <v>325</v>
      </c>
      <c r="BQ112" t="s" s="0">
        <v>3011</v>
      </c>
      <c r="BR112" t="s" s="0">
        <v>3012</v>
      </c>
      <c r="BS112" t="s" s="0">
        <v>3013</v>
      </c>
      <c r="BT112" t="s" s="221">
        <f>HYPERLINK("https://www.webofscience.com/wos/woscc/full-record/WOS:001812672200001","View Record in Web of Science")</f>
        <v>113</v>
      </c>
      <c r="BU112" t="s" s="0">
        <v>153</v>
      </c>
      <c r="BV112" t="s" s="0">
        <v>81</v>
      </c>
      <c r="BW112" t="s" s="0">
        <v>81</v>
      </c>
      <c r="BX112" t="s" s="0">
        <v>115</v>
      </c>
    </row>
    <row r="113">
      <c r="A113" t="s" s="0">
        <v>77</v>
      </c>
      <c r="B113" t="s" s="0">
        <v>77</v>
      </c>
      <c r="C113" t="s" s="0">
        <v>77</v>
      </c>
      <c r="D113" t="s" s="0">
        <v>77</v>
      </c>
      <c r="E113" t="s" s="0">
        <v>3014</v>
      </c>
      <c r="F113" t="s" s="0">
        <v>3015</v>
      </c>
      <c r="G113" t="s" s="0">
        <v>3016</v>
      </c>
      <c r="H113" t="s" s="0">
        <v>81</v>
      </c>
      <c r="I113" t="s" s="0">
        <v>82</v>
      </c>
      <c r="J113" t="s" s="0">
        <v>3017</v>
      </c>
      <c r="K113" t="s" s="0">
        <v>3018</v>
      </c>
      <c r="L113" t="s" s="0">
        <v>3019</v>
      </c>
      <c r="M113" t="s" s="0">
        <v>3020</v>
      </c>
      <c r="N113" t="s" s="0">
        <v>3021</v>
      </c>
      <c r="O113" t="s" s="0">
        <v>3022</v>
      </c>
      <c r="P113" t="s" s="0">
        <v>3023</v>
      </c>
      <c r="Q113" t="s" s="0">
        <v>87</v>
      </c>
      <c r="R113" t="s" s="0">
        <v>81</v>
      </c>
      <c r="S113" t="s" s="0">
        <v>81</v>
      </c>
      <c r="T113" t="s" s="0">
        <v>81</v>
      </c>
      <c r="U113" t="s" s="0">
        <v>81</v>
      </c>
      <c r="V113" t="s" s="0">
        <v>3024</v>
      </c>
      <c r="W113" t="s" s="0">
        <v>3025</v>
      </c>
      <c r="X113" t="s" s="0">
        <v>81</v>
      </c>
      <c r="Y113" t="s" s="0">
        <v>81</v>
      </c>
      <c r="Z113" t="s" s="0">
        <v>90</v>
      </c>
      <c r="AA113" t="s" s="0">
        <v>91</v>
      </c>
      <c r="AB113" t="s" s="0">
        <v>81</v>
      </c>
      <c r="AC113" t="s" s="0">
        <v>81</v>
      </c>
      <c r="AD113" t="s" s="0">
        <v>81</v>
      </c>
      <c r="AE113" t="s" s="0">
        <v>81</v>
      </c>
      <c r="AF113" t="s" s="0">
        <v>81</v>
      </c>
      <c r="AG113" t="s" s="0">
        <v>3026</v>
      </c>
      <c r="AH113" t="s" s="0">
        <v>3027</v>
      </c>
      <c r="AI113" t="s" s="0">
        <v>3028</v>
      </c>
      <c r="AJ113" t="s" s="0">
        <v>3029</v>
      </c>
      <c r="AK113" t="s" s="0">
        <v>81</v>
      </c>
      <c r="AL113" t="s" s="0">
        <v>772</v>
      </c>
      <c r="AM113" t="s" s="0">
        <v>103</v>
      </c>
      <c r="AN113" t="s" s="0">
        <v>219</v>
      </c>
      <c r="AO113" t="s" s="0">
        <v>77</v>
      </c>
      <c r="AP113" t="s" s="0">
        <v>286</v>
      </c>
      <c r="AQ113" t="s" s="0">
        <v>3030</v>
      </c>
      <c r="AR113" t="s" s="0">
        <v>646</v>
      </c>
      <c r="AS113" t="s" s="0">
        <v>3031</v>
      </c>
      <c r="AT113" t="s" s="0">
        <v>3032</v>
      </c>
      <c r="AU113" t="s" s="0">
        <v>3033</v>
      </c>
      <c r="AV113" t="s" s="0">
        <v>81</v>
      </c>
      <c r="AW113" t="s" s="0">
        <v>3034</v>
      </c>
      <c r="AX113" t="s" s="0">
        <v>3035</v>
      </c>
      <c r="AY113" t="s" s="0">
        <v>3036</v>
      </c>
      <c r="AZ113" t="s" s="0">
        <v>742</v>
      </c>
      <c r="BA113" t="s" s="0">
        <v>211</v>
      </c>
      <c r="BB113" t="s" s="0">
        <v>116</v>
      </c>
      <c r="BC113" t="s" s="0">
        <v>81</v>
      </c>
      <c r="BD113" t="s" s="0">
        <v>81</v>
      </c>
      <c r="BE113" t="s" s="0">
        <v>81</v>
      </c>
      <c r="BF113" t="s" s="0">
        <v>81</v>
      </c>
      <c r="BG113" t="s" s="0">
        <v>81</v>
      </c>
      <c r="BH113" t="s" s="0">
        <v>81</v>
      </c>
      <c r="BI113" t="s" s="0">
        <v>3037</v>
      </c>
      <c r="BJ113" t="s" s="0">
        <v>3038</v>
      </c>
      <c r="BK113" t="s" s="222">
        <f>HYPERLINK("http://dx.doi.org/10.1007/s43452-023-00738-z","http://dx.doi.org/10.1007/s43452-023-00738-z")</f>
        <v>3039</v>
      </c>
      <c r="BL113" t="s" s="0">
        <v>81</v>
      </c>
      <c r="BM113" t="s" s="0">
        <v>81</v>
      </c>
      <c r="BN113" t="s" s="0">
        <v>323</v>
      </c>
      <c r="BO113" t="s" s="0">
        <v>3040</v>
      </c>
      <c r="BP113" t="s" s="0">
        <v>3041</v>
      </c>
      <c r="BQ113" t="s" s="0">
        <v>3042</v>
      </c>
      <c r="BR113" t="s" s="0">
        <v>81</v>
      </c>
      <c r="BS113" t="s" s="0">
        <v>3043</v>
      </c>
      <c r="BT113" t="s" s="223">
        <f>HYPERLINK("https://www.webofscience.com/wos/woscc/full-record/WOS:001028776400002","View Record in Web of Science")</f>
        <v>113</v>
      </c>
      <c r="BU113" t="s" s="0">
        <v>296</v>
      </c>
      <c r="BV113" t="s" s="0">
        <v>81</v>
      </c>
      <c r="BW113" t="s" s="0">
        <v>81</v>
      </c>
      <c r="BX113" t="s" s="0">
        <v>115</v>
      </c>
    </row>
    <row r="114">
      <c r="A114" t="s" s="0">
        <v>77</v>
      </c>
      <c r="B114" t="s" s="0">
        <v>77</v>
      </c>
      <c r="C114" t="s" s="0">
        <v>77</v>
      </c>
      <c r="D114" t="s" s="0">
        <v>77</v>
      </c>
      <c r="E114" t="s" s="0">
        <v>3044</v>
      </c>
      <c r="F114" t="s" s="0">
        <v>3045</v>
      </c>
      <c r="G114" t="s" s="0">
        <v>3046</v>
      </c>
      <c r="H114" t="s" s="0">
        <v>81</v>
      </c>
      <c r="I114" t="s" s="0">
        <v>543</v>
      </c>
      <c r="J114" t="s" s="0">
        <v>3047</v>
      </c>
      <c r="K114" t="s" s="0">
        <v>3048</v>
      </c>
      <c r="L114" t="s" s="0">
        <v>3049</v>
      </c>
      <c r="M114" t="s" s="0">
        <v>3049</v>
      </c>
      <c r="N114" t="s" s="0">
        <v>3050</v>
      </c>
      <c r="O114" t="s" s="0">
        <v>3051</v>
      </c>
      <c r="P114" t="s" s="0">
        <v>3052</v>
      </c>
      <c r="Q114" t="s" s="0">
        <v>87</v>
      </c>
      <c r="R114" t="s" s="0">
        <v>81</v>
      </c>
      <c r="S114" t="s" s="0">
        <v>81</v>
      </c>
      <c r="T114" t="s" s="0">
        <v>81</v>
      </c>
      <c r="U114" t="s" s="0">
        <v>81</v>
      </c>
      <c r="V114" t="s" s="0">
        <v>3053</v>
      </c>
      <c r="W114" t="s" s="0">
        <v>3054</v>
      </c>
      <c r="X114" t="s" s="0">
        <v>81</v>
      </c>
      <c r="Y114" t="s" s="0">
        <v>81</v>
      </c>
      <c r="Z114" t="s" s="0">
        <v>90</v>
      </c>
      <c r="AA114" t="s" s="0">
        <v>91</v>
      </c>
      <c r="AB114" t="s" s="0">
        <v>81</v>
      </c>
      <c r="AC114" t="s" s="0">
        <v>81</v>
      </c>
      <c r="AD114" t="s" s="0">
        <v>81</v>
      </c>
      <c r="AE114" t="s" s="0">
        <v>81</v>
      </c>
      <c r="AF114" t="s" s="0">
        <v>81</v>
      </c>
      <c r="AG114" t="s" s="0">
        <v>3055</v>
      </c>
      <c r="AH114" t="s" s="0">
        <v>81</v>
      </c>
      <c r="AI114" t="s" s="0">
        <v>3056</v>
      </c>
      <c r="AJ114" t="s" s="0">
        <v>3057</v>
      </c>
      <c r="AK114" t="s" s="0">
        <v>81</v>
      </c>
      <c r="AL114" t="s" s="0">
        <v>209</v>
      </c>
      <c r="AM114" t="s" s="0">
        <v>313</v>
      </c>
      <c r="AN114" t="s" s="0">
        <v>313</v>
      </c>
      <c r="AO114" t="s" s="0">
        <v>313</v>
      </c>
      <c r="AP114" t="s" s="0">
        <v>313</v>
      </c>
      <c r="AQ114" t="s" s="0">
        <v>3058</v>
      </c>
      <c r="AR114" t="s" s="0">
        <v>3059</v>
      </c>
      <c r="AS114" t="s" s="0">
        <v>3060</v>
      </c>
      <c r="AT114" t="s" s="0">
        <v>3061</v>
      </c>
      <c r="AU114" t="s" s="0">
        <v>3062</v>
      </c>
      <c r="AV114" t="s" s="0">
        <v>81</v>
      </c>
      <c r="AW114" t="s" s="0">
        <v>3063</v>
      </c>
      <c r="AX114" t="s" s="0">
        <v>3064</v>
      </c>
      <c r="AY114" t="s" s="0">
        <v>2529</v>
      </c>
      <c r="AZ114" t="s" s="0">
        <v>101</v>
      </c>
      <c r="BA114" t="s" s="0">
        <v>323</v>
      </c>
      <c r="BB114" t="s" s="0">
        <v>313</v>
      </c>
      <c r="BC114" t="s" s="0">
        <v>81</v>
      </c>
      <c r="BD114" t="s" s="0">
        <v>81</v>
      </c>
      <c r="BE114" t="s" s="0">
        <v>81</v>
      </c>
      <c r="BF114" t="s" s="0">
        <v>81</v>
      </c>
      <c r="BG114" t="s" s="0">
        <v>3065</v>
      </c>
      <c r="BH114" t="s" s="0">
        <v>3066</v>
      </c>
      <c r="BI114" t="s" s="0">
        <v>81</v>
      </c>
      <c r="BJ114" t="s" s="0">
        <v>3067</v>
      </c>
      <c r="BK114" t="s" s="224">
        <f>HYPERLINK("http://dx.doi.org/10.1007/s12553-025-01021-2","http://dx.doi.org/10.1007/s12553-025-01021-2")</f>
        <v>3068</v>
      </c>
      <c r="BL114" t="s" s="0">
        <v>81</v>
      </c>
      <c r="BM114" t="s" s="0">
        <v>218</v>
      </c>
      <c r="BN114" t="s" s="0">
        <v>219</v>
      </c>
      <c r="BO114" t="s" s="0">
        <v>352</v>
      </c>
      <c r="BP114" t="s" s="0">
        <v>352</v>
      </c>
      <c r="BQ114" t="s" s="0">
        <v>3069</v>
      </c>
      <c r="BR114" t="s" s="0">
        <v>81</v>
      </c>
      <c r="BS114" t="s" s="0">
        <v>3070</v>
      </c>
      <c r="BT114" t="s" s="225">
        <f>HYPERLINK("https://www.webofscience.com/wos/woscc/full-record/WOS:001585031600001","View Record in Web of Science")</f>
        <v>113</v>
      </c>
      <c r="BU114" t="s" s="0">
        <v>81</v>
      </c>
      <c r="BV114" t="s" s="0">
        <v>81</v>
      </c>
      <c r="BW114" t="s" s="0">
        <v>81</v>
      </c>
      <c r="BX114" t="s" s="0">
        <v>115</v>
      </c>
    </row>
    <row r="115">
      <c r="A115" t="s" s="0">
        <v>77</v>
      </c>
      <c r="B115" t="s" s="0">
        <v>77</v>
      </c>
      <c r="C115" t="s" s="0">
        <v>77</v>
      </c>
      <c r="D115" t="s" s="0">
        <v>77</v>
      </c>
      <c r="E115" t="s" s="0">
        <v>3071</v>
      </c>
      <c r="F115" t="s" s="0">
        <v>3072</v>
      </c>
      <c r="G115" t="s" s="0">
        <v>3073</v>
      </c>
      <c r="H115" t="s" s="0">
        <v>81</v>
      </c>
      <c r="I115" t="s" s="0">
        <v>82</v>
      </c>
      <c r="J115" t="s" s="0">
        <v>3074</v>
      </c>
      <c r="K115" t="s" s="0">
        <v>3075</v>
      </c>
      <c r="L115" t="s" s="0">
        <v>3076</v>
      </c>
      <c r="M115" t="s" s="0">
        <v>3076</v>
      </c>
      <c r="N115" t="s" s="0">
        <v>3077</v>
      </c>
      <c r="O115" t="s" s="0">
        <v>3078</v>
      </c>
      <c r="P115" t="s" s="0">
        <v>3079</v>
      </c>
      <c r="Q115" t="s" s="0">
        <v>87</v>
      </c>
      <c r="R115" t="s" s="0">
        <v>81</v>
      </c>
      <c r="S115" t="s" s="0">
        <v>81</v>
      </c>
      <c r="T115" t="s" s="0">
        <v>81</v>
      </c>
      <c r="U115" t="s" s="0">
        <v>81</v>
      </c>
      <c r="V115" t="s" s="0">
        <v>3080</v>
      </c>
      <c r="W115" t="s" s="0">
        <v>3081</v>
      </c>
      <c r="X115" t="s" s="0">
        <v>81</v>
      </c>
      <c r="Y115" t="s" s="0">
        <v>81</v>
      </c>
      <c r="Z115" t="s" s="0">
        <v>90</v>
      </c>
      <c r="AA115" t="s" s="0">
        <v>91</v>
      </c>
      <c r="AB115" t="s" s="0">
        <v>81</v>
      </c>
      <c r="AC115" t="s" s="0">
        <v>81</v>
      </c>
      <c r="AD115" t="s" s="0">
        <v>81</v>
      </c>
      <c r="AE115" t="s" s="0">
        <v>81</v>
      </c>
      <c r="AF115" t="s" s="0">
        <v>81</v>
      </c>
      <c r="AG115" t="s" s="0">
        <v>3082</v>
      </c>
      <c r="AH115" t="s" s="0">
        <v>3083</v>
      </c>
      <c r="AI115" t="s" s="0">
        <v>3084</v>
      </c>
      <c r="AJ115" t="s" s="0">
        <v>3085</v>
      </c>
      <c r="AK115" t="s" s="0">
        <v>81</v>
      </c>
      <c r="AL115" t="s" s="0">
        <v>3086</v>
      </c>
      <c r="AM115" t="s" s="0">
        <v>313</v>
      </c>
      <c r="AN115" t="s" s="0">
        <v>313</v>
      </c>
      <c r="AO115" t="s" s="0">
        <v>103</v>
      </c>
      <c r="AP115" t="s" s="0">
        <v>172</v>
      </c>
      <c r="AQ115" t="s" s="0">
        <v>3087</v>
      </c>
      <c r="AR115" t="s" s="0">
        <v>403</v>
      </c>
      <c r="AS115" t="s" s="0">
        <v>3088</v>
      </c>
      <c r="AT115" t="s" s="0">
        <v>3089</v>
      </c>
      <c r="AU115" t="s" s="0">
        <v>3090</v>
      </c>
      <c r="AV115" t="s" s="0">
        <v>81</v>
      </c>
      <c r="AW115" t="s" s="0">
        <v>3081</v>
      </c>
      <c r="AX115" t="s" s="0">
        <v>3091</v>
      </c>
      <c r="AY115" t="s" s="0">
        <v>3092</v>
      </c>
      <c r="AZ115" t="s" s="0">
        <v>101</v>
      </c>
      <c r="BA115" t="s" s="0">
        <v>3093</v>
      </c>
      <c r="BB115" t="s" s="0">
        <v>81</v>
      </c>
      <c r="BC115" t="s" s="0">
        <v>81</v>
      </c>
      <c r="BD115" t="s" s="0">
        <v>81</v>
      </c>
      <c r="BE115" t="s" s="0">
        <v>81</v>
      </c>
      <c r="BF115" t="s" s="0">
        <v>81</v>
      </c>
      <c r="BG115" t="s" s="0">
        <v>81</v>
      </c>
      <c r="BH115" t="s" s="0">
        <v>81</v>
      </c>
      <c r="BI115" t="s" s="0">
        <v>3094</v>
      </c>
      <c r="BJ115" t="s" s="0">
        <v>3095</v>
      </c>
      <c r="BK115" t="s" s="226">
        <f>HYPERLINK("http://dx.doi.org/10.1016/j.wear.2025.206484","http://dx.doi.org/10.1016/j.wear.2025.206484")</f>
        <v>3096</v>
      </c>
      <c r="BL115" t="s" s="0">
        <v>81</v>
      </c>
      <c r="BM115" t="s" s="0">
        <v>1140</v>
      </c>
      <c r="BN115" t="s" s="0">
        <v>626</v>
      </c>
      <c r="BO115" t="s" s="0">
        <v>3097</v>
      </c>
      <c r="BP115" t="s" s="0">
        <v>3041</v>
      </c>
      <c r="BQ115" t="s" s="0">
        <v>3098</v>
      </c>
      <c r="BR115" t="s" s="0">
        <v>81</v>
      </c>
      <c r="BS115" t="s" s="0">
        <v>3099</v>
      </c>
      <c r="BT115" t="s" s="227">
        <f>HYPERLINK("https://www.webofscience.com/wos/woscc/full-record/WOS:001652653500001","View Record in Web of Science")</f>
        <v>113</v>
      </c>
      <c r="BU115" t="s" s="0">
        <v>81</v>
      </c>
      <c r="BV115" t="s" s="0">
        <v>81</v>
      </c>
      <c r="BW115" t="s" s="0">
        <v>81</v>
      </c>
      <c r="BX115" t="s" s="0">
        <v>115</v>
      </c>
    </row>
    <row r="116">
      <c r="A116" t="s" s="0">
        <v>77</v>
      </c>
      <c r="B116" t="s" s="0">
        <v>77</v>
      </c>
      <c r="C116" t="s" s="0">
        <v>77</v>
      </c>
      <c r="D116" t="s" s="0">
        <v>77</v>
      </c>
      <c r="E116" t="s" s="0">
        <v>3100</v>
      </c>
      <c r="F116" t="s" s="0">
        <v>3101</v>
      </c>
      <c r="G116" t="s" s="0">
        <v>3102</v>
      </c>
      <c r="H116" t="s" s="0">
        <v>81</v>
      </c>
      <c r="I116" t="s" s="0">
        <v>543</v>
      </c>
      <c r="J116" t="s" s="0">
        <v>3103</v>
      </c>
      <c r="K116" t="s" s="0">
        <v>3104</v>
      </c>
      <c r="L116" t="s" s="0">
        <v>3105</v>
      </c>
      <c r="M116" t="s" s="0">
        <v>3105</v>
      </c>
      <c r="N116" t="s" s="0">
        <v>3106</v>
      </c>
      <c r="O116" t="s" s="0">
        <v>3107</v>
      </c>
      <c r="P116" t="s" s="0">
        <v>3105</v>
      </c>
      <c r="Q116" t="s" s="0">
        <v>87</v>
      </c>
      <c r="R116" t="s" s="0">
        <v>81</v>
      </c>
      <c r="S116" t="s" s="0">
        <v>81</v>
      </c>
      <c r="T116" t="s" s="0">
        <v>81</v>
      </c>
      <c r="U116" t="s" s="0">
        <v>81</v>
      </c>
      <c r="V116" t="s" s="0">
        <v>3108</v>
      </c>
      <c r="W116" t="s" s="0">
        <v>3109</v>
      </c>
      <c r="X116" t="s" s="0">
        <v>81</v>
      </c>
      <c r="Y116" t="s" s="0">
        <v>81</v>
      </c>
      <c r="Z116" t="s" s="0">
        <v>90</v>
      </c>
      <c r="AA116" t="s" s="0">
        <v>91</v>
      </c>
      <c r="AB116" t="s" s="0">
        <v>81</v>
      </c>
      <c r="AC116" t="s" s="0">
        <v>81</v>
      </c>
      <c r="AD116" t="s" s="0">
        <v>81</v>
      </c>
      <c r="AE116" t="s" s="0">
        <v>81</v>
      </c>
      <c r="AF116" t="s" s="0">
        <v>81</v>
      </c>
      <c r="AG116" t="s" s="0">
        <v>3110</v>
      </c>
      <c r="AH116" t="s" s="0">
        <v>3111</v>
      </c>
      <c r="AI116" t="s" s="0">
        <v>3112</v>
      </c>
      <c r="AJ116" t="s" s="0">
        <v>3113</v>
      </c>
      <c r="AK116" t="s" s="0">
        <v>81</v>
      </c>
      <c r="AL116" t="s" s="0">
        <v>3114</v>
      </c>
      <c r="AM116" t="s" s="0">
        <v>144</v>
      </c>
      <c r="AN116" t="s" s="0">
        <v>144</v>
      </c>
      <c r="AO116" t="s" s="0">
        <v>116</v>
      </c>
      <c r="AP116" t="s" s="0">
        <v>116</v>
      </c>
      <c r="AQ116" t="s" s="0">
        <v>3030</v>
      </c>
      <c r="AR116" t="s" s="0">
        <v>646</v>
      </c>
      <c r="AS116" t="s" s="0">
        <v>3031</v>
      </c>
      <c r="AT116" t="s" s="0">
        <v>3115</v>
      </c>
      <c r="AU116" t="s" s="0">
        <v>3116</v>
      </c>
      <c r="AV116" t="s" s="0">
        <v>81</v>
      </c>
      <c r="AW116" t="s" s="0">
        <v>3117</v>
      </c>
      <c r="AX116" t="s" s="0">
        <v>3118</v>
      </c>
      <c r="AY116" t="s" s="0">
        <v>2529</v>
      </c>
      <c r="AZ116" t="s" s="0">
        <v>101</v>
      </c>
      <c r="BA116" t="s" s="0">
        <v>173</v>
      </c>
      <c r="BB116" t="s" s="0">
        <v>116</v>
      </c>
      <c r="BC116" t="s" s="0">
        <v>81</v>
      </c>
      <c r="BD116" t="s" s="0">
        <v>81</v>
      </c>
      <c r="BE116" t="s" s="0">
        <v>81</v>
      </c>
      <c r="BF116" t="s" s="0">
        <v>81</v>
      </c>
      <c r="BG116" t="s" s="0">
        <v>3119</v>
      </c>
      <c r="BH116" t="s" s="0">
        <v>3120</v>
      </c>
      <c r="BI116" t="s" s="0">
        <v>81</v>
      </c>
      <c r="BJ116" t="s" s="0">
        <v>3121</v>
      </c>
      <c r="BK116" t="s" s="228">
        <f>HYPERLINK("http://dx.doi.org/10.1007/s40964-025-01496-5","http://dx.doi.org/10.1007/s40964-025-01496-5")</f>
        <v>3122</v>
      </c>
      <c r="BL116" t="s" s="0">
        <v>81</v>
      </c>
      <c r="BM116" t="s" s="0">
        <v>2331</v>
      </c>
      <c r="BN116" t="s" s="0">
        <v>245</v>
      </c>
      <c r="BO116" t="s" s="0">
        <v>3123</v>
      </c>
      <c r="BP116" t="s" s="0">
        <v>3041</v>
      </c>
      <c r="BQ116" t="s" s="0">
        <v>3124</v>
      </c>
      <c r="BR116" t="s" s="0">
        <v>81</v>
      </c>
      <c r="BS116" t="s" s="0">
        <v>3125</v>
      </c>
      <c r="BT116" t="s" s="229">
        <f>HYPERLINK("https://www.webofscience.com/wos/woscc/full-record/WOS:001658365000001","View Record in Web of Science")</f>
        <v>113</v>
      </c>
      <c r="BU116" t="s" s="0">
        <v>81</v>
      </c>
      <c r="BV116" t="s" s="0">
        <v>81</v>
      </c>
      <c r="BW116" t="s" s="0">
        <v>81</v>
      </c>
      <c r="BX116" t="s" s="0">
        <v>115</v>
      </c>
    </row>
    <row r="117">
      <c r="A117" t="s" s="0">
        <v>77</v>
      </c>
      <c r="B117" t="s" s="0">
        <v>77</v>
      </c>
      <c r="C117" t="s" s="0">
        <v>144</v>
      </c>
      <c r="D117" t="s" s="0">
        <v>77</v>
      </c>
      <c r="E117" t="s" s="0">
        <v>3126</v>
      </c>
      <c r="F117" t="s" s="0">
        <v>3127</v>
      </c>
      <c r="G117" t="s" s="0">
        <v>3128</v>
      </c>
      <c r="H117" t="s" s="0">
        <v>81</v>
      </c>
      <c r="I117" t="s" s="0">
        <v>82</v>
      </c>
      <c r="J117" t="s" s="0">
        <v>3129</v>
      </c>
      <c r="K117" t="s" s="0">
        <v>3130</v>
      </c>
      <c r="L117" t="s" s="0">
        <v>3131</v>
      </c>
      <c r="M117" t="s" s="0">
        <v>3132</v>
      </c>
      <c r="N117" t="s" s="0">
        <v>3133</v>
      </c>
      <c r="O117" t="s" s="0">
        <v>3134</v>
      </c>
      <c r="P117" t="s" s="0">
        <v>3135</v>
      </c>
      <c r="Q117" t="s" s="0">
        <v>87</v>
      </c>
      <c r="R117" t="s" s="0">
        <v>81</v>
      </c>
      <c r="S117" t="s" s="0">
        <v>81</v>
      </c>
      <c r="T117" t="s" s="0">
        <v>81</v>
      </c>
      <c r="U117" t="s" s="0">
        <v>81</v>
      </c>
      <c r="V117" t="s" s="0">
        <v>3136</v>
      </c>
      <c r="W117" t="s" s="0">
        <v>3137</v>
      </c>
      <c r="X117" t="s" s="0">
        <v>81</v>
      </c>
      <c r="Y117" t="s" s="0">
        <v>81</v>
      </c>
      <c r="Z117" t="s" s="0">
        <v>90</v>
      </c>
      <c r="AA117" t="s" s="0">
        <v>91</v>
      </c>
      <c r="AB117" t="s" s="0">
        <v>81</v>
      </c>
      <c r="AC117" t="s" s="0">
        <v>81</v>
      </c>
      <c r="AD117" t="s" s="0">
        <v>81</v>
      </c>
      <c r="AE117" t="s" s="0">
        <v>81</v>
      </c>
      <c r="AF117" t="s" s="0">
        <v>81</v>
      </c>
      <c r="AG117" t="s" s="0">
        <v>3138</v>
      </c>
      <c r="AH117" t="s" s="0">
        <v>3139</v>
      </c>
      <c r="AI117" t="s" s="0">
        <v>3140</v>
      </c>
      <c r="AJ117" t="s" s="0">
        <v>3141</v>
      </c>
      <c r="AK117" t="s" s="0">
        <v>81</v>
      </c>
      <c r="AL117" t="s" s="0">
        <v>1223</v>
      </c>
      <c r="AM117" t="s" s="0">
        <v>144</v>
      </c>
      <c r="AN117" t="s" s="0">
        <v>144</v>
      </c>
      <c r="AO117" t="s" s="0">
        <v>144</v>
      </c>
      <c r="AP117" t="s" s="0">
        <v>144</v>
      </c>
      <c r="AQ117" t="s" s="0">
        <v>174</v>
      </c>
      <c r="AR117" t="s" s="0">
        <v>175</v>
      </c>
      <c r="AS117" t="s" s="0">
        <v>176</v>
      </c>
      <c r="AT117" t="s" s="0">
        <v>3142</v>
      </c>
      <c r="AU117" t="s" s="0">
        <v>3143</v>
      </c>
      <c r="AV117" t="s" s="0">
        <v>81</v>
      </c>
      <c r="AW117" t="s" s="0">
        <v>3144</v>
      </c>
      <c r="AX117" t="s" s="0">
        <v>3145</v>
      </c>
      <c r="AY117" t="s" s="0">
        <v>2241</v>
      </c>
      <c r="AZ117" t="s" s="0">
        <v>101</v>
      </c>
      <c r="BA117" t="s" s="0">
        <v>3146</v>
      </c>
      <c r="BB117" t="s" s="0">
        <v>81</v>
      </c>
      <c r="BC117" t="s" s="0">
        <v>81</v>
      </c>
      <c r="BD117" t="s" s="0">
        <v>81</v>
      </c>
      <c r="BE117" t="s" s="0">
        <v>81</v>
      </c>
      <c r="BF117" t="s" s="0">
        <v>81</v>
      </c>
      <c r="BG117" t="s" s="0">
        <v>81</v>
      </c>
      <c r="BH117" t="s" s="0">
        <v>81</v>
      </c>
      <c r="BI117" t="s" s="0">
        <v>3147</v>
      </c>
      <c r="BJ117" t="s" s="0">
        <v>3148</v>
      </c>
      <c r="BK117" t="s" s="230">
        <f>HYPERLINK("http://dx.doi.org/10.1016/j.jbiomech.2026.113346","http://dx.doi.org/10.1016/j.jbiomech.2026.113346")</f>
        <v>3149</v>
      </c>
      <c r="BL117" t="s" s="0">
        <v>81</v>
      </c>
      <c r="BM117" t="s" s="0">
        <v>622</v>
      </c>
      <c r="BN117" t="s" s="0">
        <v>107</v>
      </c>
      <c r="BO117" t="s" s="0">
        <v>3150</v>
      </c>
      <c r="BP117" t="s" s="0">
        <v>3151</v>
      </c>
      <c r="BQ117" t="s" s="0">
        <v>3152</v>
      </c>
      <c r="BR117" t="s" s="0">
        <v>3153</v>
      </c>
      <c r="BS117" t="s" s="0">
        <v>3154</v>
      </c>
      <c r="BT117" t="s" s="231">
        <f>HYPERLINK("https://www.webofscience.com/wos/woscc/full-record/WOS:001770158000001","View Record in Web of Science")</f>
        <v>113</v>
      </c>
      <c r="BU117" t="s" s="0">
        <v>719</v>
      </c>
      <c r="BV117" t="s" s="0">
        <v>81</v>
      </c>
      <c r="BW117" t="s" s="0">
        <v>81</v>
      </c>
      <c r="BX117" t="s" s="0">
        <v>115</v>
      </c>
    </row>
    <row r="118">
      <c r="A118" t="s" s="0">
        <v>77</v>
      </c>
      <c r="B118" t="s" s="0">
        <v>77</v>
      </c>
      <c r="C118" t="s" s="0">
        <v>77</v>
      </c>
      <c r="D118" t="s" s="0">
        <v>77</v>
      </c>
      <c r="E118" t="s" s="0">
        <v>3155</v>
      </c>
      <c r="F118" t="s" s="0">
        <v>3156</v>
      </c>
      <c r="G118" t="s" s="0">
        <v>3157</v>
      </c>
      <c r="H118" t="s" s="0">
        <v>81</v>
      </c>
      <c r="I118" t="s" s="0">
        <v>543</v>
      </c>
      <c r="J118" t="s" s="0">
        <v>3158</v>
      </c>
      <c r="K118" t="s" s="0">
        <v>3159</v>
      </c>
      <c r="L118" t="s" s="0">
        <v>3160</v>
      </c>
      <c r="M118" t="s" s="0">
        <v>3161</v>
      </c>
      <c r="N118" t="s" s="0">
        <v>3162</v>
      </c>
      <c r="O118" t="s" s="0">
        <v>3163</v>
      </c>
      <c r="P118" t="s" s="0">
        <v>3164</v>
      </c>
      <c r="Q118" t="s" s="0">
        <v>87</v>
      </c>
      <c r="R118" t="s" s="0">
        <v>81</v>
      </c>
      <c r="S118" t="s" s="0">
        <v>81</v>
      </c>
      <c r="T118" t="s" s="0">
        <v>81</v>
      </c>
      <c r="U118" t="s" s="0">
        <v>81</v>
      </c>
      <c r="V118" t="s" s="0">
        <v>3165</v>
      </c>
      <c r="W118" t="s" s="0">
        <v>3166</v>
      </c>
      <c r="X118" t="s" s="0">
        <v>81</v>
      </c>
      <c r="Y118" t="s" s="0">
        <v>81</v>
      </c>
      <c r="Z118" t="s" s="0">
        <v>90</v>
      </c>
      <c r="AA118" t="s" s="0">
        <v>91</v>
      </c>
      <c r="AB118" t="s" s="0">
        <v>81</v>
      </c>
      <c r="AC118" t="s" s="0">
        <v>81</v>
      </c>
      <c r="AD118" t="s" s="0">
        <v>81</v>
      </c>
      <c r="AE118" t="s" s="0">
        <v>81</v>
      </c>
      <c r="AF118" t="s" s="0">
        <v>81</v>
      </c>
      <c r="AG118" t="s" s="0">
        <v>3167</v>
      </c>
      <c r="AH118" t="s" s="0">
        <v>3168</v>
      </c>
      <c r="AI118" t="s" s="0">
        <v>81</v>
      </c>
      <c r="AJ118" t="s" s="0">
        <v>3169</v>
      </c>
      <c r="AK118" t="s" s="0">
        <v>81</v>
      </c>
      <c r="AL118" t="s" s="0">
        <v>276</v>
      </c>
      <c r="AM118" t="s" s="0">
        <v>77</v>
      </c>
      <c r="AN118" t="s" s="0">
        <v>77</v>
      </c>
      <c r="AO118" t="s" s="0">
        <v>144</v>
      </c>
      <c r="AP118" t="s" s="0">
        <v>144</v>
      </c>
      <c r="AQ118" t="s" s="0">
        <v>3170</v>
      </c>
      <c r="AR118" t="s" s="0">
        <v>3171</v>
      </c>
      <c r="AS118" t="s" s="0">
        <v>3172</v>
      </c>
      <c r="AT118" t="s" s="0">
        <v>3173</v>
      </c>
      <c r="AU118" t="s" s="0">
        <v>3174</v>
      </c>
      <c r="AV118" t="s" s="0">
        <v>81</v>
      </c>
      <c r="AW118" t="s" s="0">
        <v>3175</v>
      </c>
      <c r="AX118" t="s" s="0">
        <v>3176</v>
      </c>
      <c r="AY118" t="s" s="0">
        <v>101</v>
      </c>
      <c r="AZ118" t="s" s="0">
        <v>101</v>
      </c>
      <c r="BA118" t="s" s="0">
        <v>521</v>
      </c>
      <c r="BB118" t="s" s="0">
        <v>144</v>
      </c>
      <c r="BC118" t="s" s="0">
        <v>81</v>
      </c>
      <c r="BD118" t="s" s="0">
        <v>81</v>
      </c>
      <c r="BE118" t="s" s="0">
        <v>81</v>
      </c>
      <c r="BF118" t="s" s="0">
        <v>81</v>
      </c>
      <c r="BG118" t="s" s="0">
        <v>81</v>
      </c>
      <c r="BH118" t="s" s="0">
        <v>81</v>
      </c>
      <c r="BI118" t="s" s="0">
        <v>3177</v>
      </c>
      <c r="BJ118" t="s" s="0">
        <v>3178</v>
      </c>
      <c r="BK118" t="s" s="232">
        <f>HYPERLINK("http://dx.doi.org/10.59400/adecp3902","http://dx.doi.org/10.59400/adecp3902")</f>
        <v>3179</v>
      </c>
      <c r="BL118" t="s" s="0">
        <v>81</v>
      </c>
      <c r="BM118" t="s" s="0">
        <v>81</v>
      </c>
      <c r="BN118" t="s" s="0">
        <v>684</v>
      </c>
      <c r="BO118" t="s" s="0">
        <v>3180</v>
      </c>
      <c r="BP118" t="s" s="0">
        <v>3181</v>
      </c>
      <c r="BQ118" t="s" s="0">
        <v>3182</v>
      </c>
      <c r="BR118" t="s" s="0">
        <v>81</v>
      </c>
      <c r="BS118" t="s" s="0">
        <v>3183</v>
      </c>
      <c r="BT118" t="s" s="233">
        <f>HYPERLINK("https://www.webofscience.com/wos/woscc/full-record/WOS:001735341000002","View Record in Web of Science")</f>
        <v>113</v>
      </c>
      <c r="BU118" t="s" s="0">
        <v>193</v>
      </c>
      <c r="BV118" t="s" s="0">
        <v>81</v>
      </c>
      <c r="BW118" t="s" s="0">
        <v>81</v>
      </c>
      <c r="BX118" t="s" s="0">
        <v>115</v>
      </c>
    </row>
    <row r="119">
      <c r="A119" t="s" s="0">
        <v>144</v>
      </c>
      <c r="B119" t="s" s="0">
        <v>77</v>
      </c>
      <c r="C119" t="s" s="0">
        <v>77</v>
      </c>
      <c r="D119" t="s" s="0">
        <v>77</v>
      </c>
      <c r="E119" t="s" s="0">
        <v>3184</v>
      </c>
      <c r="F119" t="s" s="0">
        <v>3185</v>
      </c>
      <c r="G119" t="s" s="0">
        <v>3186</v>
      </c>
      <c r="H119" t="s" s="0">
        <v>81</v>
      </c>
      <c r="I119" t="s" s="0">
        <v>82</v>
      </c>
      <c r="J119" t="s" s="0">
        <v>3187</v>
      </c>
      <c r="K119" t="s" s="0">
        <v>3188</v>
      </c>
      <c r="L119" t="s" s="0">
        <v>3189</v>
      </c>
      <c r="M119" t="s" s="0">
        <v>3190</v>
      </c>
      <c r="N119" t="s" s="0">
        <v>3191</v>
      </c>
      <c r="O119" t="s" s="0">
        <v>3192</v>
      </c>
      <c r="P119" t="s" s="0">
        <v>3193</v>
      </c>
      <c r="Q119" t="s" s="0">
        <v>87</v>
      </c>
      <c r="R119" t="s" s="0">
        <v>81</v>
      </c>
      <c r="S119" t="s" s="0">
        <v>81</v>
      </c>
      <c r="T119" t="s" s="0">
        <v>81</v>
      </c>
      <c r="U119" t="s" s="0">
        <v>81</v>
      </c>
      <c r="V119" t="s" s="0">
        <v>3194</v>
      </c>
      <c r="W119" t="s" s="0">
        <v>1849</v>
      </c>
      <c r="X119" t="s" s="0">
        <v>81</v>
      </c>
      <c r="Y119" t="s" s="0">
        <v>81</v>
      </c>
      <c r="Z119" t="s" s="0">
        <v>90</v>
      </c>
      <c r="AA119" t="s" s="0">
        <v>91</v>
      </c>
      <c r="AB119" t="s" s="0">
        <v>81</v>
      </c>
      <c r="AC119" t="s" s="0">
        <v>81</v>
      </c>
      <c r="AD119" t="s" s="0">
        <v>81</v>
      </c>
      <c r="AE119" t="s" s="0">
        <v>81</v>
      </c>
      <c r="AF119" t="s" s="0">
        <v>81</v>
      </c>
      <c r="AG119" t="s" s="0">
        <v>3195</v>
      </c>
      <c r="AH119" t="s" s="0">
        <v>3196</v>
      </c>
      <c r="AI119" t="s" s="0">
        <v>3197</v>
      </c>
      <c r="AJ119" t="s" s="0">
        <v>81</v>
      </c>
      <c r="AK119" t="s" s="0">
        <v>81</v>
      </c>
      <c r="AL119" t="s" s="0">
        <v>684</v>
      </c>
      <c r="AM119" t="s" s="0">
        <v>144</v>
      </c>
      <c r="AN119" t="s" s="0">
        <v>116</v>
      </c>
      <c r="AO119" t="s" s="0">
        <v>313</v>
      </c>
      <c r="AP119" t="s" s="0">
        <v>172</v>
      </c>
      <c r="AQ119" t="s" s="0">
        <v>402</v>
      </c>
      <c r="AR119" t="s" s="0">
        <v>403</v>
      </c>
      <c r="AS119" t="s" s="0">
        <v>404</v>
      </c>
      <c r="AT119" t="s" s="0">
        <v>81</v>
      </c>
      <c r="AU119" t="s" s="0">
        <v>1852</v>
      </c>
      <c r="AV119" t="s" s="0">
        <v>81</v>
      </c>
      <c r="AW119" t="s" s="0">
        <v>1853</v>
      </c>
      <c r="AX119" t="s" s="0">
        <v>1854</v>
      </c>
      <c r="AY119" t="s" s="0">
        <v>3198</v>
      </c>
      <c r="AZ119" t="s" s="0">
        <v>142</v>
      </c>
      <c r="BA119" t="s" s="0">
        <v>187</v>
      </c>
      <c r="BB119" t="s" s="0">
        <v>81</v>
      </c>
      <c r="BC119" t="s" s="0">
        <v>81</v>
      </c>
      <c r="BD119" t="s" s="0">
        <v>81</v>
      </c>
      <c r="BE119" t="s" s="0">
        <v>81</v>
      </c>
      <c r="BF119" t="s" s="0">
        <v>81</v>
      </c>
      <c r="BG119" t="s" s="0">
        <v>81</v>
      </c>
      <c r="BH119" t="s" s="0">
        <v>81</v>
      </c>
      <c r="BI119" t="s" s="0">
        <v>3199</v>
      </c>
      <c r="BJ119" t="s" s="0">
        <v>3200</v>
      </c>
      <c r="BK119" t="s" s="234">
        <f>HYPERLINK("http://dx.doi.org/10.3389/fmed.2025.1601736","http://dx.doi.org/10.3389/fmed.2025.1601736")</f>
        <v>3201</v>
      </c>
      <c r="BL119" t="s" s="0">
        <v>81</v>
      </c>
      <c r="BM119" t="s" s="0">
        <v>81</v>
      </c>
      <c r="BN119" t="s" s="0">
        <v>219</v>
      </c>
      <c r="BO119" t="s" s="0">
        <v>324</v>
      </c>
      <c r="BP119" t="s" s="0">
        <v>325</v>
      </c>
      <c r="BQ119" t="s" s="0">
        <v>3202</v>
      </c>
      <c r="BR119" t="s" s="0">
        <v>3203</v>
      </c>
      <c r="BS119" t="s" s="0">
        <v>3204</v>
      </c>
      <c r="BT119" t="s" s="235">
        <f>HYPERLINK("https://www.webofscience.com/wos/woscc/full-record/WOS:001534815400001","View Record in Web of Science")</f>
        <v>113</v>
      </c>
      <c r="BU119" t="s" s="0">
        <v>153</v>
      </c>
      <c r="BV119" t="s" s="0">
        <v>81</v>
      </c>
      <c r="BW119" t="s" s="0">
        <v>81</v>
      </c>
      <c r="BX119" t="s" s="0">
        <v>115</v>
      </c>
    </row>
    <row r="120">
      <c r="A120" t="s" s="0">
        <v>77</v>
      </c>
      <c r="B120" t="s" s="0">
        <v>77</v>
      </c>
      <c r="C120" t="s" s="0">
        <v>77</v>
      </c>
      <c r="D120" t="s" s="0">
        <v>77</v>
      </c>
      <c r="E120" t="s" s="0">
        <v>3205</v>
      </c>
      <c r="F120" t="s" s="0">
        <v>3206</v>
      </c>
      <c r="G120" t="s" s="0">
        <v>3207</v>
      </c>
      <c r="H120" t="s" s="0">
        <v>81</v>
      </c>
      <c r="I120" t="s" s="0">
        <v>82</v>
      </c>
      <c r="J120" t="s" s="0">
        <v>3208</v>
      </c>
      <c r="K120" t="s" s="0">
        <v>3209</v>
      </c>
      <c r="L120" t="s" s="0">
        <v>3210</v>
      </c>
      <c r="M120" t="s" s="0">
        <v>3211</v>
      </c>
      <c r="N120" t="s" s="0">
        <v>3212</v>
      </c>
      <c r="O120" t="s" s="0">
        <v>3213</v>
      </c>
      <c r="P120" t="s" s="0">
        <v>3214</v>
      </c>
      <c r="Q120" t="s" s="0">
        <v>87</v>
      </c>
      <c r="R120" t="s" s="0">
        <v>81</v>
      </c>
      <c r="S120" t="s" s="0">
        <v>81</v>
      </c>
      <c r="T120" t="s" s="0">
        <v>81</v>
      </c>
      <c r="U120" t="s" s="0">
        <v>81</v>
      </c>
      <c r="V120" t="s" s="0">
        <v>3215</v>
      </c>
      <c r="W120" t="s" s="0">
        <v>642</v>
      </c>
      <c r="X120" t="s" s="0">
        <v>81</v>
      </c>
      <c r="Y120" t="s" s="0">
        <v>81</v>
      </c>
      <c r="Z120" t="s" s="0">
        <v>90</v>
      </c>
      <c r="AA120" t="s" s="0">
        <v>91</v>
      </c>
      <c r="AB120" t="s" s="0">
        <v>81</v>
      </c>
      <c r="AC120" t="s" s="0">
        <v>81</v>
      </c>
      <c r="AD120" t="s" s="0">
        <v>81</v>
      </c>
      <c r="AE120" t="s" s="0">
        <v>81</v>
      </c>
      <c r="AF120" t="s" s="0">
        <v>81</v>
      </c>
      <c r="AG120" t="s" s="0">
        <v>3216</v>
      </c>
      <c r="AH120" t="s" s="0">
        <v>81</v>
      </c>
      <c r="AI120" t="s" s="0">
        <v>81</v>
      </c>
      <c r="AJ120" t="s" s="0">
        <v>81</v>
      </c>
      <c r="AK120" t="s" s="0">
        <v>81</v>
      </c>
      <c r="AL120" t="s" s="0">
        <v>276</v>
      </c>
      <c r="AM120" t="s" s="0">
        <v>313</v>
      </c>
      <c r="AN120" t="s" s="0">
        <v>313</v>
      </c>
      <c r="AO120" t="s" s="0">
        <v>372</v>
      </c>
      <c r="AP120" t="s" s="0">
        <v>372</v>
      </c>
      <c r="AQ120" t="s" s="0">
        <v>645</v>
      </c>
      <c r="AR120" t="s" s="0">
        <v>646</v>
      </c>
      <c r="AS120" t="s" s="0">
        <v>647</v>
      </c>
      <c r="AT120" t="s" s="0">
        <v>81</v>
      </c>
      <c r="AU120" t="s" s="0">
        <v>648</v>
      </c>
      <c r="AV120" t="s" s="0">
        <v>81</v>
      </c>
      <c r="AW120" t="s" s="0">
        <v>649</v>
      </c>
      <c r="AX120" t="s" s="0">
        <v>650</v>
      </c>
      <c r="AY120" t="s" s="0">
        <v>3217</v>
      </c>
      <c r="AZ120" t="s" s="0">
        <v>101</v>
      </c>
      <c r="BA120" t="s" s="0">
        <v>652</v>
      </c>
      <c r="BB120" t="s" s="0">
        <v>144</v>
      </c>
      <c r="BC120" t="s" s="0">
        <v>81</v>
      </c>
      <c r="BD120" t="s" s="0">
        <v>81</v>
      </c>
      <c r="BE120" t="s" s="0">
        <v>81</v>
      </c>
      <c r="BF120" t="s" s="0">
        <v>81</v>
      </c>
      <c r="BG120" t="s" s="0">
        <v>81</v>
      </c>
      <c r="BH120" t="s" s="0">
        <v>81</v>
      </c>
      <c r="BI120" t="s" s="0">
        <v>3218</v>
      </c>
      <c r="BJ120" t="s" s="0">
        <v>3219</v>
      </c>
      <c r="BK120" t="s" s="236">
        <f>HYPERLINK("http://dx.doi.org/10.1186/s12967-026-08108-y","http://dx.doi.org/10.1186/s12967-026-08108-y")</f>
        <v>3220</v>
      </c>
      <c r="BL120" t="s" s="0">
        <v>81</v>
      </c>
      <c r="BM120" t="s" s="0">
        <v>438</v>
      </c>
      <c r="BN120" t="s" s="0">
        <v>143</v>
      </c>
      <c r="BO120" t="s" s="0">
        <v>656</v>
      </c>
      <c r="BP120" t="s" s="0">
        <v>657</v>
      </c>
      <c r="BQ120" t="s" s="0">
        <v>3221</v>
      </c>
      <c r="BR120" t="s" s="0">
        <v>3222</v>
      </c>
      <c r="BS120" t="s" s="0">
        <v>3223</v>
      </c>
      <c r="BT120" t="s" s="237">
        <f>HYPERLINK("https://www.webofscience.com/wos/woscc/full-record/WOS:001778653700002","View Record in Web of Science")</f>
        <v>113</v>
      </c>
      <c r="BU120" t="s" s="0">
        <v>153</v>
      </c>
      <c r="BV120" t="s" s="0">
        <v>81</v>
      </c>
      <c r="BW120" t="s" s="0">
        <v>81</v>
      </c>
      <c r="BX120" t="s" s="0">
        <v>115</v>
      </c>
    </row>
    <row r="121">
      <c r="A121" t="s" s="0">
        <v>77</v>
      </c>
      <c r="B121" t="s" s="0">
        <v>77</v>
      </c>
      <c r="C121" t="s" s="0">
        <v>77</v>
      </c>
      <c r="D121" t="s" s="0">
        <v>77</v>
      </c>
      <c r="E121" t="s" s="0">
        <v>3224</v>
      </c>
      <c r="F121" t="s" s="0">
        <v>3225</v>
      </c>
      <c r="G121" t="s" s="0">
        <v>3226</v>
      </c>
      <c r="H121" t="s" s="0">
        <v>81</v>
      </c>
      <c r="I121" t="s" s="0">
        <v>82</v>
      </c>
      <c r="J121" t="s" s="0">
        <v>3227</v>
      </c>
      <c r="K121" t="s" s="0">
        <v>3228</v>
      </c>
      <c r="L121" t="s" s="0">
        <v>3229</v>
      </c>
      <c r="M121" t="s" s="0">
        <v>3230</v>
      </c>
      <c r="N121" t="s" s="0">
        <v>3231</v>
      </c>
      <c r="O121" t="s" s="0">
        <v>3232</v>
      </c>
      <c r="P121" t="s" s="0">
        <v>3233</v>
      </c>
      <c r="Q121" t="s" s="0">
        <v>87</v>
      </c>
      <c r="R121" t="s" s="0">
        <v>81</v>
      </c>
      <c r="S121" t="s" s="0">
        <v>81</v>
      </c>
      <c r="T121" t="s" s="0">
        <v>81</v>
      </c>
      <c r="U121" t="s" s="0">
        <v>81</v>
      </c>
      <c r="V121" t="s" s="0">
        <v>3234</v>
      </c>
      <c r="W121" t="s" s="0">
        <v>128</v>
      </c>
      <c r="X121" t="s" s="0">
        <v>81</v>
      </c>
      <c r="Y121" t="s" s="0">
        <v>81</v>
      </c>
      <c r="Z121" t="s" s="0">
        <v>90</v>
      </c>
      <c r="AA121" t="s" s="0">
        <v>91</v>
      </c>
      <c r="AB121" t="s" s="0">
        <v>81</v>
      </c>
      <c r="AC121" t="s" s="0">
        <v>81</v>
      </c>
      <c r="AD121" t="s" s="0">
        <v>81</v>
      </c>
      <c r="AE121" t="s" s="0">
        <v>81</v>
      </c>
      <c r="AF121" t="s" s="0">
        <v>81</v>
      </c>
      <c r="AG121" t="s" s="0">
        <v>3235</v>
      </c>
      <c r="AH121" t="s" s="0">
        <v>3236</v>
      </c>
      <c r="AI121" t="s" s="0">
        <v>81</v>
      </c>
      <c r="AJ121" t="s" s="0">
        <v>81</v>
      </c>
      <c r="AK121" t="s" s="0">
        <v>81</v>
      </c>
      <c r="AL121" t="s" s="0">
        <v>519</v>
      </c>
      <c r="AM121" t="s" s="0">
        <v>77</v>
      </c>
      <c r="AN121" t="s" s="0">
        <v>77</v>
      </c>
      <c r="AO121" t="s" s="0">
        <v>77</v>
      </c>
      <c r="AP121" t="s" s="0">
        <v>77</v>
      </c>
      <c r="AQ121" t="s" s="0">
        <v>135</v>
      </c>
      <c r="AR121" t="s" s="0">
        <v>136</v>
      </c>
      <c r="AS121" t="s" s="0">
        <v>137</v>
      </c>
      <c r="AT121" t="s" s="0">
        <v>138</v>
      </c>
      <c r="AU121" t="s" s="0">
        <v>81</v>
      </c>
      <c r="AV121" t="s" s="0">
        <v>81</v>
      </c>
      <c r="AW121" t="s" s="0">
        <v>139</v>
      </c>
      <c r="AX121" t="s" s="0">
        <v>140</v>
      </c>
      <c r="AY121" t="s" s="0">
        <v>3237</v>
      </c>
      <c r="AZ121" t="s" s="0">
        <v>101</v>
      </c>
      <c r="BA121" t="s" s="0">
        <v>323</v>
      </c>
      <c r="BB121" t="s" s="0">
        <v>144</v>
      </c>
      <c r="BC121" t="s" s="0">
        <v>81</v>
      </c>
      <c r="BD121" t="s" s="0">
        <v>81</v>
      </c>
      <c r="BE121" t="s" s="0">
        <v>81</v>
      </c>
      <c r="BF121" t="s" s="0">
        <v>81</v>
      </c>
      <c r="BG121" t="s" s="0">
        <v>81</v>
      </c>
      <c r="BH121" t="s" s="0">
        <v>81</v>
      </c>
      <c r="BI121" t="s" s="0">
        <v>3238</v>
      </c>
      <c r="BJ121" t="s" s="0">
        <v>3239</v>
      </c>
      <c r="BK121" t="s" s="238">
        <f>HYPERLINK("http://dx.doi.org/10.1038/s41598-026-47972-y","http://dx.doi.org/10.1038/s41598-026-47972-y")</f>
        <v>3240</v>
      </c>
      <c r="BL121" t="s" s="0">
        <v>81</v>
      </c>
      <c r="BM121" t="s" s="0">
        <v>438</v>
      </c>
      <c r="BN121" t="s" s="0">
        <v>209</v>
      </c>
      <c r="BO121" t="s" s="0">
        <v>148</v>
      </c>
      <c r="BP121" t="s" s="0">
        <v>149</v>
      </c>
      <c r="BQ121" t="s" s="0">
        <v>3241</v>
      </c>
      <c r="BR121" t="s" s="0">
        <v>3242</v>
      </c>
      <c r="BS121" t="s" s="0">
        <v>3243</v>
      </c>
      <c r="BT121" t="s" s="239">
        <f>HYPERLINK("https://www.webofscience.com/wos/woscc/full-record/WOS:001790453800016","View Record in Web of Science")</f>
        <v>113</v>
      </c>
      <c r="BU121" t="s" s="0">
        <v>153</v>
      </c>
      <c r="BV121" t="s" s="0">
        <v>81</v>
      </c>
      <c r="BW121" t="s" s="0">
        <v>81</v>
      </c>
      <c r="BX121" t="s" s="0">
        <v>115</v>
      </c>
    </row>
    <row r="122">
      <c r="A122" t="s" s="0">
        <v>313</v>
      </c>
      <c r="B122" t="s" s="0">
        <v>77</v>
      </c>
      <c r="C122" t="s" s="0">
        <v>277</v>
      </c>
      <c r="D122" t="s" s="0">
        <v>144</v>
      </c>
      <c r="E122" t="s" s="0">
        <v>3244</v>
      </c>
      <c r="F122" t="s" s="0">
        <v>3245</v>
      </c>
      <c r="G122" t="s" s="0">
        <v>3246</v>
      </c>
      <c r="H122" t="s" s="0">
        <v>81</v>
      </c>
      <c r="I122" t="s" s="0">
        <v>82</v>
      </c>
      <c r="J122" t="s" s="0">
        <v>3247</v>
      </c>
      <c r="K122" t="s" s="0">
        <v>3248</v>
      </c>
      <c r="L122" t="s" s="0">
        <v>3249</v>
      </c>
      <c r="M122" t="s" s="0">
        <v>3250</v>
      </c>
      <c r="N122" t="s" s="0">
        <v>3251</v>
      </c>
      <c r="O122" t="s" s="0">
        <v>3252</v>
      </c>
      <c r="P122" t="s" s="0">
        <v>3253</v>
      </c>
      <c r="Q122" t="s" s="0">
        <v>87</v>
      </c>
      <c r="R122" t="s" s="0">
        <v>81</v>
      </c>
      <c r="S122" t="s" s="0">
        <v>81</v>
      </c>
      <c r="T122" t="s" s="0">
        <v>81</v>
      </c>
      <c r="U122" t="s" s="0">
        <v>81</v>
      </c>
      <c r="V122" t="s" s="0">
        <v>3254</v>
      </c>
      <c r="W122" t="s" s="0">
        <v>3255</v>
      </c>
      <c r="X122" t="s" s="0">
        <v>81</v>
      </c>
      <c r="Y122" t="s" s="0">
        <v>81</v>
      </c>
      <c r="Z122" t="s" s="0">
        <v>90</v>
      </c>
      <c r="AA122" t="s" s="0">
        <v>91</v>
      </c>
      <c r="AB122" t="s" s="0">
        <v>81</v>
      </c>
      <c r="AC122" t="s" s="0">
        <v>81</v>
      </c>
      <c r="AD122" t="s" s="0">
        <v>81</v>
      </c>
      <c r="AE122" t="s" s="0">
        <v>81</v>
      </c>
      <c r="AF122" t="s" s="0">
        <v>81</v>
      </c>
      <c r="AG122" t="s" s="0">
        <v>3256</v>
      </c>
      <c r="AH122" t="s" s="0">
        <v>3257</v>
      </c>
      <c r="AI122" t="s" s="0">
        <v>3258</v>
      </c>
      <c r="AJ122" t="s" s="0">
        <v>3259</v>
      </c>
      <c r="AK122" t="s" s="0">
        <v>81</v>
      </c>
      <c r="AL122" t="s" s="0">
        <v>286</v>
      </c>
      <c r="AM122" t="s" s="0">
        <v>767</v>
      </c>
      <c r="AN122" t="s" s="0">
        <v>767</v>
      </c>
      <c r="AO122" t="s" s="0">
        <v>219</v>
      </c>
      <c r="AP122" t="s" s="0">
        <v>1910</v>
      </c>
      <c r="AQ122" t="s" s="0">
        <v>1877</v>
      </c>
      <c r="AR122" t="s" s="0">
        <v>3260</v>
      </c>
      <c r="AS122" t="s" s="0">
        <v>3261</v>
      </c>
      <c r="AT122" t="s" s="0">
        <v>3262</v>
      </c>
      <c r="AU122" t="s" s="0">
        <v>3263</v>
      </c>
      <c r="AV122" t="s" s="0">
        <v>81</v>
      </c>
      <c r="AW122" t="s" s="0">
        <v>3264</v>
      </c>
      <c r="AX122" t="s" s="0">
        <v>3265</v>
      </c>
      <c r="AY122" t="s" s="0">
        <v>3266</v>
      </c>
      <c r="AZ122" t="s" s="0">
        <v>920</v>
      </c>
      <c r="BA122" t="s" s="0">
        <v>2404</v>
      </c>
      <c r="BB122" t="s" s="0">
        <v>116</v>
      </c>
      <c r="BC122" t="s" s="0">
        <v>81</v>
      </c>
      <c r="BD122" t="s" s="0">
        <v>81</v>
      </c>
      <c r="BE122" t="s" s="0">
        <v>81</v>
      </c>
      <c r="BF122" t="s" s="0">
        <v>81</v>
      </c>
      <c r="BG122" t="s" s="0">
        <v>81</v>
      </c>
      <c r="BH122" t="s" s="0">
        <v>81</v>
      </c>
      <c r="BI122" t="s" s="0">
        <v>3267</v>
      </c>
      <c r="BJ122" t="s" s="0">
        <v>3268</v>
      </c>
      <c r="BK122" t="s" s="240">
        <f>HYPERLINK("http://dx.doi.org/10.1088/1361-6560/ac4c47","http://dx.doi.org/10.1088/1361-6560/ac4c47")</f>
        <v>3269</v>
      </c>
      <c r="BL122" t="s" s="0">
        <v>81</v>
      </c>
      <c r="BM122" t="s" s="0">
        <v>81</v>
      </c>
      <c r="BN122" t="s" s="0">
        <v>173</v>
      </c>
      <c r="BO122" t="s" s="0">
        <v>3270</v>
      </c>
      <c r="BP122" t="s" s="0">
        <v>3271</v>
      </c>
      <c r="BQ122" t="s" s="0">
        <v>3272</v>
      </c>
      <c r="BR122" t="s" s="0">
        <v>3273</v>
      </c>
      <c r="BS122" t="s" s="0">
        <v>3274</v>
      </c>
      <c r="BT122" t="s" s="241">
        <f>HYPERLINK("https://www.webofscience.com/wos/woscc/full-record/WOS:000749282700001","View Record in Web of Science")</f>
        <v>113</v>
      </c>
      <c r="BU122" t="s" s="0">
        <v>3275</v>
      </c>
      <c r="BV122" t="s" s="0">
        <v>81</v>
      </c>
      <c r="BW122" t="s" s="0">
        <v>81</v>
      </c>
      <c r="BX122" t="s" s="0">
        <v>115</v>
      </c>
    </row>
    <row r="123">
      <c r="A123" t="s" s="0">
        <v>77</v>
      </c>
      <c r="B123" t="s" s="0">
        <v>77</v>
      </c>
      <c r="C123" t="s" s="0">
        <v>77</v>
      </c>
      <c r="D123" t="s" s="0">
        <v>77</v>
      </c>
      <c r="E123" t="s" s="0">
        <v>3276</v>
      </c>
      <c r="F123" t="s" s="0">
        <v>3277</v>
      </c>
      <c r="G123" t="s" s="0">
        <v>3278</v>
      </c>
      <c r="H123" t="s" s="0">
        <v>81</v>
      </c>
      <c r="I123" t="s" s="0">
        <v>157</v>
      </c>
      <c r="J123" t="s" s="0">
        <v>3279</v>
      </c>
      <c r="K123" t="s" s="0">
        <v>3280</v>
      </c>
      <c r="L123" t="s" s="0">
        <v>81</v>
      </c>
      <c r="M123" t="s" s="0">
        <v>81</v>
      </c>
      <c r="N123" t="s" s="0">
        <v>81</v>
      </c>
      <c r="O123" t="s" s="0">
        <v>3281</v>
      </c>
      <c r="P123" t="s" s="0">
        <v>3282</v>
      </c>
      <c r="Q123" t="s" s="0">
        <v>87</v>
      </c>
      <c r="R123" t="s" s="0">
        <v>81</v>
      </c>
      <c r="S123" t="s" s="0">
        <v>81</v>
      </c>
      <c r="T123" t="s" s="0">
        <v>81</v>
      </c>
      <c r="U123" t="s" s="0">
        <v>81</v>
      </c>
      <c r="V123" t="s" s="0">
        <v>3283</v>
      </c>
      <c r="W123" t="s" s="0">
        <v>3284</v>
      </c>
      <c r="X123" t="s" s="0">
        <v>81</v>
      </c>
      <c r="Y123" t="s" s="0">
        <v>81</v>
      </c>
      <c r="Z123" t="s" s="0">
        <v>90</v>
      </c>
      <c r="AA123" t="s" s="0">
        <v>91</v>
      </c>
      <c r="AB123" t="s" s="0">
        <v>81</v>
      </c>
      <c r="AC123" t="s" s="0">
        <v>81</v>
      </c>
      <c r="AD123" t="s" s="0">
        <v>81</v>
      </c>
      <c r="AE123" t="s" s="0">
        <v>81</v>
      </c>
      <c r="AF123" t="s" s="0">
        <v>81</v>
      </c>
      <c r="AG123" t="s" s="0">
        <v>3285</v>
      </c>
      <c r="AH123" t="s" s="0">
        <v>81</v>
      </c>
      <c r="AI123" t="s" s="0">
        <v>81</v>
      </c>
      <c r="AJ123" t="s" s="0">
        <v>81</v>
      </c>
      <c r="AK123" t="s" s="0">
        <v>81</v>
      </c>
      <c r="AL123" t="s" s="0">
        <v>1493</v>
      </c>
      <c r="AM123" t="s" s="0">
        <v>313</v>
      </c>
      <c r="AN123" t="s" s="0">
        <v>210</v>
      </c>
      <c r="AO123" t="s" s="0">
        <v>103</v>
      </c>
      <c r="AP123" t="s" s="0">
        <v>219</v>
      </c>
      <c r="AQ123" t="s" s="0">
        <v>402</v>
      </c>
      <c r="AR123" t="s" s="0">
        <v>403</v>
      </c>
      <c r="AS123" t="s" s="0">
        <v>404</v>
      </c>
      <c r="AT123" t="s" s="0">
        <v>3286</v>
      </c>
      <c r="AU123" t="s" s="0">
        <v>81</v>
      </c>
      <c r="AV123" t="s" s="0">
        <v>81</v>
      </c>
      <c r="AW123" t="s" s="0">
        <v>3287</v>
      </c>
      <c r="AX123" t="s" s="0">
        <v>3288</v>
      </c>
      <c r="AY123" t="s" s="0">
        <v>3289</v>
      </c>
      <c r="AZ123" t="s" s="0">
        <v>142</v>
      </c>
      <c r="BA123" t="s" s="0">
        <v>323</v>
      </c>
      <c r="BB123" t="s" s="0">
        <v>81</v>
      </c>
      <c r="BC123" t="s" s="0">
        <v>81</v>
      </c>
      <c r="BD123" t="s" s="0">
        <v>81</v>
      </c>
      <c r="BE123" t="s" s="0">
        <v>81</v>
      </c>
      <c r="BF123" t="s" s="0">
        <v>81</v>
      </c>
      <c r="BG123" t="s" s="0">
        <v>81</v>
      </c>
      <c r="BH123" t="s" s="0">
        <v>81</v>
      </c>
      <c r="BI123" t="s" s="0">
        <v>3290</v>
      </c>
      <c r="BJ123" t="s" s="0">
        <v>3291</v>
      </c>
      <c r="BK123" t="s" s="242">
        <f>HYPERLINK("http://dx.doi.org/10.3389/fpsyt.2025.1694762","http://dx.doi.org/10.3389/fpsyt.2025.1694762")</f>
        <v>3292</v>
      </c>
      <c r="BL123" t="s" s="0">
        <v>81</v>
      </c>
      <c r="BM123" t="s" s="0">
        <v>81</v>
      </c>
      <c r="BN123" t="s" s="0">
        <v>107</v>
      </c>
      <c r="BO123" t="s" s="0">
        <v>3293</v>
      </c>
      <c r="BP123" t="s" s="0">
        <v>3293</v>
      </c>
      <c r="BQ123" t="s" s="0">
        <v>3294</v>
      </c>
      <c r="BR123" t="s" s="0">
        <v>3295</v>
      </c>
      <c r="BS123" t="s" s="0">
        <v>3296</v>
      </c>
      <c r="BT123" t="s" s="243">
        <f>HYPERLINK("https://www.webofscience.com/wos/woscc/full-record/WOS:001635218400001","View Record in Web of Science")</f>
        <v>113</v>
      </c>
      <c r="BU123" t="s" s="0">
        <v>153</v>
      </c>
      <c r="BV123" t="s" s="0">
        <v>81</v>
      </c>
      <c r="BW123" t="s" s="0">
        <v>81</v>
      </c>
      <c r="BX123" t="s" s="0">
        <v>115</v>
      </c>
    </row>
    <row r="124">
      <c r="A124" t="s" s="0">
        <v>77</v>
      </c>
      <c r="B124" t="s" s="0">
        <v>77</v>
      </c>
      <c r="C124" t="s" s="0">
        <v>77</v>
      </c>
      <c r="D124" t="s" s="0">
        <v>77</v>
      </c>
      <c r="E124" t="s" s="0">
        <v>3297</v>
      </c>
      <c r="F124" t="s" s="0">
        <v>3298</v>
      </c>
      <c r="G124" t="s" s="0">
        <v>3299</v>
      </c>
      <c r="H124" t="s" s="0">
        <v>81</v>
      </c>
      <c r="I124" t="s" s="0">
        <v>157</v>
      </c>
      <c r="J124" t="s" s="0">
        <v>3300</v>
      </c>
      <c r="K124" t="s" s="0">
        <v>3301</v>
      </c>
      <c r="L124" t="s" s="0">
        <v>81</v>
      </c>
      <c r="M124" t="s" s="0">
        <v>81</v>
      </c>
      <c r="N124" t="s" s="0">
        <v>81</v>
      </c>
      <c r="O124" t="s" s="0">
        <v>3302</v>
      </c>
      <c r="P124" t="s" s="0">
        <v>3303</v>
      </c>
      <c r="Q124" t="s" s="0">
        <v>87</v>
      </c>
      <c r="R124" t="s" s="0">
        <v>81</v>
      </c>
      <c r="S124" t="s" s="0">
        <v>81</v>
      </c>
      <c r="T124" t="s" s="0">
        <v>81</v>
      </c>
      <c r="U124" t="s" s="0">
        <v>81</v>
      </c>
      <c r="V124" t="s" s="0">
        <v>3304</v>
      </c>
      <c r="W124" t="s" s="0">
        <v>3305</v>
      </c>
      <c r="X124" t="s" s="0">
        <v>81</v>
      </c>
      <c r="Y124" t="s" s="0">
        <v>81</v>
      </c>
      <c r="Z124" t="s" s="0">
        <v>90</v>
      </c>
      <c r="AA124" t="s" s="0">
        <v>91</v>
      </c>
      <c r="AB124" t="s" s="0">
        <v>81</v>
      </c>
      <c r="AC124" t="s" s="0">
        <v>81</v>
      </c>
      <c r="AD124" t="s" s="0">
        <v>81</v>
      </c>
      <c r="AE124" t="s" s="0">
        <v>81</v>
      </c>
      <c r="AF124" t="s" s="0">
        <v>81</v>
      </c>
      <c r="AG124" t="s" s="0">
        <v>3306</v>
      </c>
      <c r="AH124" t="s" s="0">
        <v>81</v>
      </c>
      <c r="AI124" t="s" s="0">
        <v>81</v>
      </c>
      <c r="AJ124" t="s" s="0">
        <v>3307</v>
      </c>
      <c r="AK124" t="s" s="0">
        <v>81</v>
      </c>
      <c r="AL124" t="s" s="0">
        <v>1223</v>
      </c>
      <c r="AM124" t="s" s="0">
        <v>313</v>
      </c>
      <c r="AN124" t="s" s="0">
        <v>313</v>
      </c>
      <c r="AO124" t="s" s="0">
        <v>173</v>
      </c>
      <c r="AP124" t="s" s="0">
        <v>652</v>
      </c>
      <c r="AQ124" t="s" s="0">
        <v>3308</v>
      </c>
      <c r="AR124" t="s" s="0">
        <v>3309</v>
      </c>
      <c r="AS124" t="s" s="0">
        <v>3310</v>
      </c>
      <c r="AT124" t="s" s="0">
        <v>3311</v>
      </c>
      <c r="AU124" t="s" s="0">
        <v>3312</v>
      </c>
      <c r="AV124" t="s" s="0">
        <v>81</v>
      </c>
      <c r="AW124" t="s" s="0">
        <v>3313</v>
      </c>
      <c r="AX124" t="s" s="0">
        <v>3314</v>
      </c>
      <c r="AY124" t="s" s="0">
        <v>142</v>
      </c>
      <c r="AZ124" t="s" s="0">
        <v>142</v>
      </c>
      <c r="BA124" t="s" s="0">
        <v>286</v>
      </c>
      <c r="BB124" t="s" s="0">
        <v>144</v>
      </c>
      <c r="BC124" t="s" s="0">
        <v>81</v>
      </c>
      <c r="BD124" t="s" s="0">
        <v>81</v>
      </c>
      <c r="BE124" t="s" s="0">
        <v>81</v>
      </c>
      <c r="BF124" t="s" s="0">
        <v>81</v>
      </c>
      <c r="BG124" t="s" s="0">
        <v>81</v>
      </c>
      <c r="BH124" t="s" s="0">
        <v>81</v>
      </c>
      <c r="BI124" t="s" s="0">
        <v>3315</v>
      </c>
      <c r="BJ124" t="s" s="0">
        <v>3316</v>
      </c>
      <c r="BK124" t="s" s="244">
        <f>HYPERLINK("http://dx.doi.org/10.4018/JOEUC.389080","http://dx.doi.org/10.4018/JOEUC.389080")</f>
        <v>3317</v>
      </c>
      <c r="BL124" t="s" s="0">
        <v>81</v>
      </c>
      <c r="BM124" t="s" s="0">
        <v>81</v>
      </c>
      <c r="BN124" t="s" s="0">
        <v>211</v>
      </c>
      <c r="BO124" t="s" s="0">
        <v>3318</v>
      </c>
      <c r="BP124" t="s" s="0">
        <v>3319</v>
      </c>
      <c r="BQ124" t="s" s="0">
        <v>3320</v>
      </c>
      <c r="BR124" t="s" s="0">
        <v>81</v>
      </c>
      <c r="BS124" t="s" s="0">
        <v>3321</v>
      </c>
      <c r="BT124" t="s" s="245">
        <f>HYPERLINK("https://www.webofscience.com/wos/woscc/full-record/WOS:001585853900007","View Record in Web of Science")</f>
        <v>113</v>
      </c>
      <c r="BU124" t="s" s="0">
        <v>1317</v>
      </c>
      <c r="BV124" t="s" s="0">
        <v>81</v>
      </c>
      <c r="BW124" t="s" s="0">
        <v>81</v>
      </c>
      <c r="BX124" t="s" s="0">
        <v>115</v>
      </c>
    </row>
    <row r="125">
      <c r="A125" t="s" s="0">
        <v>144</v>
      </c>
      <c r="B125" t="s" s="0">
        <v>77</v>
      </c>
      <c r="C125" t="s" s="0">
        <v>210</v>
      </c>
      <c r="D125" t="s" s="0">
        <v>77</v>
      </c>
      <c r="E125" t="s" s="0">
        <v>3322</v>
      </c>
      <c r="F125" t="s" s="0">
        <v>3323</v>
      </c>
      <c r="G125" t="s" s="0">
        <v>3324</v>
      </c>
      <c r="H125" t="s" s="0">
        <v>81</v>
      </c>
      <c r="I125" t="s" s="0">
        <v>82</v>
      </c>
      <c r="J125" t="s" s="0">
        <v>3325</v>
      </c>
      <c r="K125" t="s" s="0">
        <v>3326</v>
      </c>
      <c r="L125" t="s" s="0">
        <v>3327</v>
      </c>
      <c r="M125" t="s" s="0">
        <v>3328</v>
      </c>
      <c r="N125" t="s" s="0">
        <v>3329</v>
      </c>
      <c r="O125" t="s" s="0">
        <v>3330</v>
      </c>
      <c r="P125" t="s" s="0">
        <v>3331</v>
      </c>
      <c r="Q125" t="s" s="0">
        <v>87</v>
      </c>
      <c r="R125" t="s" s="0">
        <v>81</v>
      </c>
      <c r="S125" t="s" s="0">
        <v>81</v>
      </c>
      <c r="T125" t="s" s="0">
        <v>81</v>
      </c>
      <c r="U125" t="s" s="0">
        <v>81</v>
      </c>
      <c r="V125" t="s" s="0">
        <v>3332</v>
      </c>
      <c r="W125" t="s" s="0">
        <v>3333</v>
      </c>
      <c r="X125" t="s" s="0">
        <v>81</v>
      </c>
      <c r="Y125" t="s" s="0">
        <v>81</v>
      </c>
      <c r="Z125" t="s" s="0">
        <v>90</v>
      </c>
      <c r="AA125" t="s" s="0">
        <v>91</v>
      </c>
      <c r="AB125" t="s" s="0">
        <v>81</v>
      </c>
      <c r="AC125" t="s" s="0">
        <v>81</v>
      </c>
      <c r="AD125" t="s" s="0">
        <v>81</v>
      </c>
      <c r="AE125" t="s" s="0">
        <v>81</v>
      </c>
      <c r="AF125" t="s" s="0">
        <v>81</v>
      </c>
      <c r="AG125" t="s" s="0">
        <v>3334</v>
      </c>
      <c r="AH125" t="s" s="0">
        <v>3335</v>
      </c>
      <c r="AI125" t="s" s="0">
        <v>81</v>
      </c>
      <c r="AJ125" t="s" s="0">
        <v>3336</v>
      </c>
      <c r="AK125" t="s" s="0">
        <v>81</v>
      </c>
      <c r="AL125" t="s" s="0">
        <v>345</v>
      </c>
      <c r="AM125" t="s" s="0">
        <v>133</v>
      </c>
      <c r="AN125" t="s" s="0">
        <v>107</v>
      </c>
      <c r="AO125" t="s" s="0">
        <v>173</v>
      </c>
      <c r="AP125" t="s" s="0">
        <v>2930</v>
      </c>
      <c r="AQ125" t="s" s="0">
        <v>3337</v>
      </c>
      <c r="AR125" t="s" s="0">
        <v>95</v>
      </c>
      <c r="AS125" t="s" s="0">
        <v>3338</v>
      </c>
      <c r="AT125" t="s" s="0">
        <v>3339</v>
      </c>
      <c r="AU125" t="s" s="0">
        <v>3340</v>
      </c>
      <c r="AV125" t="s" s="0">
        <v>81</v>
      </c>
      <c r="AW125" t="s" s="0">
        <v>3341</v>
      </c>
      <c r="AX125" t="s" s="0">
        <v>3342</v>
      </c>
      <c r="AY125" t="s" s="0">
        <v>3343</v>
      </c>
      <c r="AZ125" t="s" s="0">
        <v>142</v>
      </c>
      <c r="BA125" t="s" s="0">
        <v>3344</v>
      </c>
      <c r="BB125" t="s" s="0">
        <v>81</v>
      </c>
      <c r="BC125" t="s" s="0">
        <v>81</v>
      </c>
      <c r="BD125" t="s" s="0">
        <v>81</v>
      </c>
      <c r="BE125" t="s" s="0">
        <v>81</v>
      </c>
      <c r="BF125" t="s" s="0">
        <v>81</v>
      </c>
      <c r="BG125" t="s" s="0">
        <v>81</v>
      </c>
      <c r="BH125" t="s" s="0">
        <v>81</v>
      </c>
      <c r="BI125" t="s" s="0">
        <v>3345</v>
      </c>
      <c r="BJ125" t="s" s="0">
        <v>3346</v>
      </c>
      <c r="BK125" t="s" s="246">
        <f>HYPERLINK("http://dx.doi.org/10.1016/j.bios.2025.117251","http://dx.doi.org/10.1016/j.bios.2025.117251")</f>
        <v>3347</v>
      </c>
      <c r="BL125" t="s" s="0">
        <v>81</v>
      </c>
      <c r="BM125" t="s" s="0">
        <v>951</v>
      </c>
      <c r="BN125" t="s" s="0">
        <v>187</v>
      </c>
      <c r="BO125" t="s" s="0">
        <v>3348</v>
      </c>
      <c r="BP125" t="s" s="0">
        <v>3349</v>
      </c>
      <c r="BQ125" t="s" s="0">
        <v>3350</v>
      </c>
      <c r="BR125" t="s" s="0">
        <v>3351</v>
      </c>
      <c r="BS125" t="s" s="0">
        <v>3352</v>
      </c>
      <c r="BT125" t="s" s="247">
        <f>HYPERLINK("https://www.webofscience.com/wos/woscc/full-record/WOS:001436629300001","View Record in Web of Science")</f>
        <v>113</v>
      </c>
      <c r="BU125" t="s" s="0">
        <v>81</v>
      </c>
      <c r="BV125" t="s" s="0">
        <v>81</v>
      </c>
      <c r="BW125" t="s" s="0">
        <v>81</v>
      </c>
      <c r="BX125" t="s" s="0">
        <v>115</v>
      </c>
    </row>
    <row r="126">
      <c r="A126" t="s" s="0">
        <v>77</v>
      </c>
      <c r="B126" t="s" s="0">
        <v>77</v>
      </c>
      <c r="C126" t="s" s="0">
        <v>77</v>
      </c>
      <c r="D126" t="s" s="0">
        <v>77</v>
      </c>
      <c r="E126" t="s" s="0">
        <v>3353</v>
      </c>
      <c r="F126" t="s" s="0">
        <v>3354</v>
      </c>
      <c r="G126" t="s" s="0">
        <v>3355</v>
      </c>
      <c r="H126" t="s" s="0">
        <v>81</v>
      </c>
      <c r="I126" t="s" s="0">
        <v>82</v>
      </c>
      <c r="J126" t="s" s="0">
        <v>3356</v>
      </c>
      <c r="K126" t="s" s="0">
        <v>3357</v>
      </c>
      <c r="L126" t="s" s="0">
        <v>81</v>
      </c>
      <c r="M126" t="s" s="0">
        <v>81</v>
      </c>
      <c r="N126" t="s" s="0">
        <v>81</v>
      </c>
      <c r="O126" t="s" s="0">
        <v>3358</v>
      </c>
      <c r="P126" t="s" s="0">
        <v>761</v>
      </c>
      <c r="Q126" t="s" s="0">
        <v>87</v>
      </c>
      <c r="R126" t="s" s="0">
        <v>81</v>
      </c>
      <c r="S126" t="s" s="0">
        <v>81</v>
      </c>
      <c r="T126" t="s" s="0">
        <v>81</v>
      </c>
      <c r="U126" t="s" s="0">
        <v>81</v>
      </c>
      <c r="V126" t="s" s="0">
        <v>3359</v>
      </c>
      <c r="W126" t="s" s="0">
        <v>3360</v>
      </c>
      <c r="X126" t="s" s="0">
        <v>81</v>
      </c>
      <c r="Y126" t="s" s="0">
        <v>81</v>
      </c>
      <c r="Z126" t="s" s="0">
        <v>90</v>
      </c>
      <c r="AA126" t="s" s="0">
        <v>91</v>
      </c>
      <c r="AB126" t="s" s="0">
        <v>81</v>
      </c>
      <c r="AC126" t="s" s="0">
        <v>81</v>
      </c>
      <c r="AD126" t="s" s="0">
        <v>81</v>
      </c>
      <c r="AE126" t="s" s="0">
        <v>81</v>
      </c>
      <c r="AF126" t="s" s="0">
        <v>81</v>
      </c>
      <c r="AG126" t="s" s="0">
        <v>3361</v>
      </c>
      <c r="AH126" t="s" s="0">
        <v>81</v>
      </c>
      <c r="AI126" t="s" s="0">
        <v>81</v>
      </c>
      <c r="AJ126" t="s" s="0">
        <v>81</v>
      </c>
      <c r="AK126" t="s" s="0">
        <v>81</v>
      </c>
      <c r="AL126" t="s" s="0">
        <v>521</v>
      </c>
      <c r="AM126" t="s" s="0">
        <v>144</v>
      </c>
      <c r="AN126" t="s" s="0">
        <v>144</v>
      </c>
      <c r="AO126" t="s" s="0">
        <v>77</v>
      </c>
      <c r="AP126" t="s" s="0">
        <v>77</v>
      </c>
      <c r="AQ126" t="s" s="0">
        <v>3362</v>
      </c>
      <c r="AR126" t="s" s="0">
        <v>3363</v>
      </c>
      <c r="AS126" t="s" s="0">
        <v>3364</v>
      </c>
      <c r="AT126" t="s" s="0">
        <v>81</v>
      </c>
      <c r="AU126" t="s" s="0">
        <v>3365</v>
      </c>
      <c r="AV126" t="s" s="0">
        <v>81</v>
      </c>
      <c r="AW126" t="s" s="0">
        <v>3366</v>
      </c>
      <c r="AX126" t="s" s="0">
        <v>3367</v>
      </c>
      <c r="AY126" t="s" s="0">
        <v>101</v>
      </c>
      <c r="AZ126" t="s" s="0">
        <v>101</v>
      </c>
      <c r="BA126" t="s" s="0">
        <v>245</v>
      </c>
      <c r="BB126" t="s" s="0">
        <v>81</v>
      </c>
      <c r="BC126" t="s" s="0">
        <v>81</v>
      </c>
      <c r="BD126" t="s" s="0">
        <v>81</v>
      </c>
      <c r="BE126" t="s" s="0">
        <v>81</v>
      </c>
      <c r="BF126" t="s" s="0">
        <v>81</v>
      </c>
      <c r="BG126" t="s" s="0">
        <v>81</v>
      </c>
      <c r="BH126" t="s" s="0">
        <v>81</v>
      </c>
      <c r="BI126" t="s" s="0">
        <v>3368</v>
      </c>
      <c r="BJ126" t="s" s="0">
        <v>3369</v>
      </c>
      <c r="BK126" t="s" s="248">
        <f>HYPERLINK("http://dx.doi.org/10.2196/79985","http://dx.doi.org/10.2196/79985")</f>
        <v>3370</v>
      </c>
      <c r="BL126" t="s" s="0">
        <v>81</v>
      </c>
      <c r="BM126" t="s" s="0">
        <v>81</v>
      </c>
      <c r="BN126" t="s" s="0">
        <v>796</v>
      </c>
      <c r="BO126" t="s" s="0">
        <v>352</v>
      </c>
      <c r="BP126" t="s" s="0">
        <v>352</v>
      </c>
      <c r="BQ126" t="s" s="0">
        <v>3371</v>
      </c>
      <c r="BR126" t="s" s="0">
        <v>3372</v>
      </c>
      <c r="BS126" t="s" s="0">
        <v>3373</v>
      </c>
      <c r="BT126" t="s" s="249">
        <f>HYPERLINK("https://www.webofscience.com/wos/woscc/full-record/WOS:001759354500001","View Record in Web of Science")</f>
        <v>113</v>
      </c>
      <c r="BU126" t="s" s="0">
        <v>153</v>
      </c>
      <c r="BV126" t="s" s="0">
        <v>81</v>
      </c>
      <c r="BW126" t="s" s="0">
        <v>81</v>
      </c>
      <c r="BX126" t="s" s="0">
        <v>115</v>
      </c>
    </row>
    <row r="127">
      <c r="A127" t="s" s="0">
        <v>77</v>
      </c>
      <c r="B127" t="s" s="0">
        <v>77</v>
      </c>
      <c r="C127" t="s" s="0">
        <v>77</v>
      </c>
      <c r="D127" t="s" s="0">
        <v>77</v>
      </c>
      <c r="E127" t="s" s="0">
        <v>3374</v>
      </c>
      <c r="F127" t="s" s="0">
        <v>3375</v>
      </c>
      <c r="G127" t="s" s="0">
        <v>3376</v>
      </c>
      <c r="H127" t="s" s="0">
        <v>81</v>
      </c>
      <c r="I127" t="s" s="0">
        <v>543</v>
      </c>
      <c r="J127" t="s" s="0">
        <v>3377</v>
      </c>
      <c r="K127" t="s" s="0">
        <v>3378</v>
      </c>
      <c r="L127" t="s" s="0">
        <v>3379</v>
      </c>
      <c r="M127" t="s" s="0">
        <v>3380</v>
      </c>
      <c r="N127" t="s" s="0">
        <v>3381</v>
      </c>
      <c r="O127" t="s" s="0">
        <v>3382</v>
      </c>
      <c r="P127" t="s" s="0">
        <v>3383</v>
      </c>
      <c r="Q127" t="s" s="0">
        <v>87</v>
      </c>
      <c r="R127" t="s" s="0">
        <v>81</v>
      </c>
      <c r="S127" t="s" s="0">
        <v>81</v>
      </c>
      <c r="T127" t="s" s="0">
        <v>81</v>
      </c>
      <c r="U127" t="s" s="0">
        <v>81</v>
      </c>
      <c r="V127" t="s" s="0">
        <v>3384</v>
      </c>
      <c r="W127" t="s" s="0">
        <v>3385</v>
      </c>
      <c r="X127" t="s" s="0">
        <v>81</v>
      </c>
      <c r="Y127" t="s" s="0">
        <v>81</v>
      </c>
      <c r="Z127" t="s" s="0">
        <v>90</v>
      </c>
      <c r="AA127" t="s" s="0">
        <v>91</v>
      </c>
      <c r="AB127" t="s" s="0">
        <v>81</v>
      </c>
      <c r="AC127" t="s" s="0">
        <v>81</v>
      </c>
      <c r="AD127" t="s" s="0">
        <v>81</v>
      </c>
      <c r="AE127" t="s" s="0">
        <v>81</v>
      </c>
      <c r="AF127" t="s" s="0">
        <v>81</v>
      </c>
      <c r="AG127" t="s" s="0">
        <v>81</v>
      </c>
      <c r="AH127" t="s" s="0">
        <v>3386</v>
      </c>
      <c r="AI127" t="s" s="0">
        <v>81</v>
      </c>
      <c r="AJ127" t="s" s="0">
        <v>81</v>
      </c>
      <c r="AK127" t="s" s="0">
        <v>81</v>
      </c>
      <c r="AL127" t="s" s="0">
        <v>428</v>
      </c>
      <c r="AM127" t="s" s="0">
        <v>77</v>
      </c>
      <c r="AN127" t="s" s="0">
        <v>77</v>
      </c>
      <c r="AO127" t="s" s="0">
        <v>77</v>
      </c>
      <c r="AP127" t="s" s="0">
        <v>77</v>
      </c>
      <c r="AQ127" t="s" s="0">
        <v>94</v>
      </c>
      <c r="AR127" t="s" s="0">
        <v>95</v>
      </c>
      <c r="AS127" t="s" s="0">
        <v>96</v>
      </c>
      <c r="AT127" t="s" s="0">
        <v>81</v>
      </c>
      <c r="AU127" t="s" s="0">
        <v>3387</v>
      </c>
      <c r="AV127" t="s" s="0">
        <v>81</v>
      </c>
      <c r="AW127" t="s" s="0">
        <v>3388</v>
      </c>
      <c r="AX127" t="s" s="0">
        <v>3389</v>
      </c>
      <c r="AY127" t="s" s="0">
        <v>100</v>
      </c>
      <c r="AZ127" t="s" s="0">
        <v>101</v>
      </c>
      <c r="BA127" t="s" s="0">
        <v>107</v>
      </c>
      <c r="BB127" t="s" s="0">
        <v>116</v>
      </c>
      <c r="BC127" t="s" s="0">
        <v>81</v>
      </c>
      <c r="BD127" t="s" s="0">
        <v>81</v>
      </c>
      <c r="BE127" t="s" s="0">
        <v>81</v>
      </c>
      <c r="BF127" t="s" s="0">
        <v>81</v>
      </c>
      <c r="BG127" t="s" s="0">
        <v>81</v>
      </c>
      <c r="BH127" t="s" s="0">
        <v>81</v>
      </c>
      <c r="BI127" t="s" s="0">
        <v>3390</v>
      </c>
      <c r="BJ127" t="s" s="0">
        <v>3391</v>
      </c>
      <c r="BK127" t="s" s="250">
        <f>HYPERLINK("http://dx.doi.org/10.1093/jncics/pkag039","http://dx.doi.org/10.1093/jncics/pkag039")</f>
        <v>3392</v>
      </c>
      <c r="BL127" t="s" s="0">
        <v>81</v>
      </c>
      <c r="BM127" t="s" s="0">
        <v>81</v>
      </c>
      <c r="BN127" t="s" s="0">
        <v>172</v>
      </c>
      <c r="BO127" t="s" s="0">
        <v>412</v>
      </c>
      <c r="BP127" t="s" s="0">
        <v>412</v>
      </c>
      <c r="BQ127" t="s" s="0">
        <v>3393</v>
      </c>
      <c r="BR127" t="s" s="0">
        <v>3394</v>
      </c>
      <c r="BS127" t="s" s="0">
        <v>3395</v>
      </c>
      <c r="BT127" t="s" s="251">
        <f>HYPERLINK("https://www.webofscience.com/wos/woscc/full-record/WOS:001772634000001","View Record in Web of Science")</f>
        <v>113</v>
      </c>
      <c r="BU127" t="s" s="0">
        <v>153</v>
      </c>
      <c r="BV127" t="s" s="0">
        <v>81</v>
      </c>
      <c r="BW127" t="s" s="0">
        <v>81</v>
      </c>
      <c r="BX127" t="s" s="0">
        <v>115</v>
      </c>
    </row>
    <row r="128">
      <c r="A128" t="s" s="0">
        <v>77</v>
      </c>
      <c r="B128" t="s" s="0">
        <v>77</v>
      </c>
      <c r="C128" t="s" s="0">
        <v>77</v>
      </c>
      <c r="D128" t="s" s="0">
        <v>77</v>
      </c>
      <c r="E128" t="s" s="0">
        <v>3396</v>
      </c>
      <c r="F128" t="s" s="0">
        <v>3397</v>
      </c>
      <c r="G128" t="s" s="0">
        <v>3398</v>
      </c>
      <c r="H128" t="s" s="0">
        <v>81</v>
      </c>
      <c r="I128" t="s" s="0">
        <v>82</v>
      </c>
      <c r="J128" t="s" s="0">
        <v>3399</v>
      </c>
      <c r="K128" t="s" s="0">
        <v>3400</v>
      </c>
      <c r="L128" t="s" s="0">
        <v>3401</v>
      </c>
      <c r="M128" t="s" s="0">
        <v>3402</v>
      </c>
      <c r="N128" t="s" s="0">
        <v>3403</v>
      </c>
      <c r="O128" t="s" s="0">
        <v>3404</v>
      </c>
      <c r="P128" t="s" s="0">
        <v>3405</v>
      </c>
      <c r="Q128" t="s" s="0">
        <v>87</v>
      </c>
      <c r="R128" t="s" s="0">
        <v>81</v>
      </c>
      <c r="S128" t="s" s="0">
        <v>81</v>
      </c>
      <c r="T128" t="s" s="0">
        <v>81</v>
      </c>
      <c r="U128" t="s" s="0">
        <v>81</v>
      </c>
      <c r="V128" t="s" s="0">
        <v>3406</v>
      </c>
      <c r="W128" t="s" s="0">
        <v>128</v>
      </c>
      <c r="X128" t="s" s="0">
        <v>81</v>
      </c>
      <c r="Y128" t="s" s="0">
        <v>81</v>
      </c>
      <c r="Z128" t="s" s="0">
        <v>90</v>
      </c>
      <c r="AA128" t="s" s="0">
        <v>91</v>
      </c>
      <c r="AB128" t="s" s="0">
        <v>81</v>
      </c>
      <c r="AC128" t="s" s="0">
        <v>81</v>
      </c>
      <c r="AD128" t="s" s="0">
        <v>81</v>
      </c>
      <c r="AE128" t="s" s="0">
        <v>81</v>
      </c>
      <c r="AF128" t="s" s="0">
        <v>81</v>
      </c>
      <c r="AG128" t="s" s="0">
        <v>3407</v>
      </c>
      <c r="AH128" t="s" s="0">
        <v>3408</v>
      </c>
      <c r="AI128" t="s" s="0">
        <v>3409</v>
      </c>
      <c r="AJ128" t="s" s="0">
        <v>81</v>
      </c>
      <c r="AK128" t="s" s="0">
        <v>81</v>
      </c>
      <c r="AL128" t="s" s="0">
        <v>102</v>
      </c>
      <c r="AM128" t="s" s="0">
        <v>144</v>
      </c>
      <c r="AN128" t="s" s="0">
        <v>144</v>
      </c>
      <c r="AO128" t="s" s="0">
        <v>172</v>
      </c>
      <c r="AP128" t="s" s="0">
        <v>172</v>
      </c>
      <c r="AQ128" t="s" s="0">
        <v>135</v>
      </c>
      <c r="AR128" t="s" s="0">
        <v>136</v>
      </c>
      <c r="AS128" t="s" s="0">
        <v>137</v>
      </c>
      <c r="AT128" t="s" s="0">
        <v>138</v>
      </c>
      <c r="AU128" t="s" s="0">
        <v>81</v>
      </c>
      <c r="AV128" t="s" s="0">
        <v>81</v>
      </c>
      <c r="AW128" t="s" s="0">
        <v>139</v>
      </c>
      <c r="AX128" t="s" s="0">
        <v>140</v>
      </c>
      <c r="AY128" t="s" s="0">
        <v>3410</v>
      </c>
      <c r="AZ128" t="s" s="0">
        <v>142</v>
      </c>
      <c r="BA128" t="s" s="0">
        <v>143</v>
      </c>
      <c r="BB128" t="s" s="0">
        <v>144</v>
      </c>
      <c r="BC128" t="s" s="0">
        <v>81</v>
      </c>
      <c r="BD128" t="s" s="0">
        <v>81</v>
      </c>
      <c r="BE128" t="s" s="0">
        <v>81</v>
      </c>
      <c r="BF128" t="s" s="0">
        <v>81</v>
      </c>
      <c r="BG128" t="s" s="0">
        <v>81</v>
      </c>
      <c r="BH128" t="s" s="0">
        <v>81</v>
      </c>
      <c r="BI128" t="s" s="0">
        <v>3411</v>
      </c>
      <c r="BJ128" t="s" s="0">
        <v>3412</v>
      </c>
      <c r="BK128" t="s" s="252">
        <f>HYPERLINK("http://dx.doi.org/10.1038/s41598-025-23500-2","http://dx.doi.org/10.1038/s41598-025-23500-2")</f>
        <v>3413</v>
      </c>
      <c r="BL128" t="s" s="0">
        <v>81</v>
      </c>
      <c r="BM128" t="s" s="0">
        <v>81</v>
      </c>
      <c r="BN128" t="s" s="0">
        <v>134</v>
      </c>
      <c r="BO128" t="s" s="0">
        <v>148</v>
      </c>
      <c r="BP128" t="s" s="0">
        <v>149</v>
      </c>
      <c r="BQ128" t="s" s="0">
        <v>3414</v>
      </c>
      <c r="BR128" t="s" s="0">
        <v>3415</v>
      </c>
      <c r="BS128" t="s" s="0">
        <v>3416</v>
      </c>
      <c r="BT128" t="s" s="253">
        <f>HYPERLINK("https://www.webofscience.com/wos/woscc/full-record/WOS:001615622600006","View Record in Web of Science")</f>
        <v>113</v>
      </c>
      <c r="BU128" t="s" s="0">
        <v>153</v>
      </c>
      <c r="BV128" t="s" s="0">
        <v>81</v>
      </c>
      <c r="BW128" t="s" s="0">
        <v>81</v>
      </c>
      <c r="BX128" t="s" s="0">
        <v>115</v>
      </c>
    </row>
    <row r="129">
      <c r="A129" t="s" s="0">
        <v>77</v>
      </c>
      <c r="B129" t="s" s="0">
        <v>77</v>
      </c>
      <c r="C129" t="s" s="0">
        <v>77</v>
      </c>
      <c r="D129" t="s" s="0">
        <v>77</v>
      </c>
      <c r="E129" t="s" s="0">
        <v>3417</v>
      </c>
      <c r="F129" t="s" s="0">
        <v>3418</v>
      </c>
      <c r="G129" t="s" s="0">
        <v>3419</v>
      </c>
      <c r="H129" t="s" s="0">
        <v>81</v>
      </c>
      <c r="I129" t="s" s="0">
        <v>82</v>
      </c>
      <c r="J129" t="s" s="0">
        <v>3420</v>
      </c>
      <c r="K129" t="s" s="0">
        <v>3421</v>
      </c>
      <c r="L129" t="s" s="0">
        <v>3422</v>
      </c>
      <c r="M129" t="s" s="0">
        <v>3423</v>
      </c>
      <c r="N129" t="s" s="0">
        <v>3424</v>
      </c>
      <c r="O129" t="s" s="0">
        <v>3425</v>
      </c>
      <c r="P129" t="s" s="0">
        <v>3426</v>
      </c>
      <c r="Q129" t="s" s="0">
        <v>87</v>
      </c>
      <c r="R129" t="s" s="0">
        <v>81</v>
      </c>
      <c r="S129" t="s" s="0">
        <v>81</v>
      </c>
      <c r="T129" t="s" s="0">
        <v>81</v>
      </c>
      <c r="U129" t="s" s="0">
        <v>81</v>
      </c>
      <c r="V129" t="s" s="0">
        <v>3427</v>
      </c>
      <c r="W129" t="s" s="0">
        <v>2969</v>
      </c>
      <c r="X129" t="s" s="0">
        <v>81</v>
      </c>
      <c r="Y129" t="s" s="0">
        <v>81</v>
      </c>
      <c r="Z129" t="s" s="0">
        <v>90</v>
      </c>
      <c r="AA129" t="s" s="0">
        <v>91</v>
      </c>
      <c r="AB129" t="s" s="0">
        <v>81</v>
      </c>
      <c r="AC129" t="s" s="0">
        <v>81</v>
      </c>
      <c r="AD129" t="s" s="0">
        <v>81</v>
      </c>
      <c r="AE129" t="s" s="0">
        <v>81</v>
      </c>
      <c r="AF129" t="s" s="0">
        <v>81</v>
      </c>
      <c r="AG129" t="s" s="0">
        <v>3428</v>
      </c>
      <c r="AH129" t="s" s="0">
        <v>3429</v>
      </c>
      <c r="AI129" t="s" s="0">
        <v>81</v>
      </c>
      <c r="AJ129" t="s" s="0">
        <v>81</v>
      </c>
      <c r="AK129" t="s" s="0">
        <v>81</v>
      </c>
      <c r="AL129" t="s" s="0">
        <v>3086</v>
      </c>
      <c r="AM129" t="s" s="0">
        <v>77</v>
      </c>
      <c r="AN129" t="s" s="0">
        <v>77</v>
      </c>
      <c r="AO129" t="s" s="0">
        <v>77</v>
      </c>
      <c r="AP129" t="s" s="0">
        <v>77</v>
      </c>
      <c r="AQ129" t="s" s="0">
        <v>174</v>
      </c>
      <c r="AR129" t="s" s="0">
        <v>175</v>
      </c>
      <c r="AS129" t="s" s="0">
        <v>176</v>
      </c>
      <c r="AT129" t="s" s="0">
        <v>2974</v>
      </c>
      <c r="AU129" t="s" s="0">
        <v>2975</v>
      </c>
      <c r="AV129" t="s" s="0">
        <v>81</v>
      </c>
      <c r="AW129" t="s" s="0">
        <v>2976</v>
      </c>
      <c r="AX129" t="s" s="0">
        <v>2977</v>
      </c>
      <c r="AY129" t="s" s="0">
        <v>3430</v>
      </c>
      <c r="AZ129" t="s" s="0">
        <v>101</v>
      </c>
      <c r="BA129" t="s" s="0">
        <v>3431</v>
      </c>
      <c r="BB129" t="s" s="0">
        <v>81</v>
      </c>
      <c r="BC129" t="s" s="0">
        <v>81</v>
      </c>
      <c r="BD129" t="s" s="0">
        <v>81</v>
      </c>
      <c r="BE129" t="s" s="0">
        <v>81</v>
      </c>
      <c r="BF129" t="s" s="0">
        <v>81</v>
      </c>
      <c r="BG129" t="s" s="0">
        <v>81</v>
      </c>
      <c r="BH129" t="s" s="0">
        <v>81</v>
      </c>
      <c r="BI129" t="s" s="0">
        <v>3432</v>
      </c>
      <c r="BJ129" t="s" s="0">
        <v>3433</v>
      </c>
      <c r="BK129" t="s" s="254">
        <f>HYPERLINK("http://dx.doi.org/10.1016/j.jclepro.2026.149219","http://dx.doi.org/10.1016/j.jclepro.2026.149219")</f>
        <v>3434</v>
      </c>
      <c r="BL129" t="s" s="0">
        <v>81</v>
      </c>
      <c r="BM129" t="s" s="0">
        <v>81</v>
      </c>
      <c r="BN129" t="s" s="0">
        <v>468</v>
      </c>
      <c r="BO129" t="s" s="0">
        <v>2983</v>
      </c>
      <c r="BP129" t="s" s="0">
        <v>2984</v>
      </c>
      <c r="BQ129" t="s" s="0">
        <v>3435</v>
      </c>
      <c r="BR129" t="s" s="0">
        <v>81</v>
      </c>
      <c r="BS129" t="s" s="0">
        <v>3436</v>
      </c>
      <c r="BT129" t="s" s="255">
        <f>HYPERLINK("https://www.webofscience.com/wos/woscc/full-record/WOS:001851854400001","View Record in Web of Science")</f>
        <v>113</v>
      </c>
      <c r="BU129" t="s" s="0">
        <v>81</v>
      </c>
      <c r="BV129" t="s" s="0">
        <v>81</v>
      </c>
      <c r="BW129" t="s" s="0">
        <v>81</v>
      </c>
      <c r="BX129" t="s" s="0">
        <v>115</v>
      </c>
    </row>
    <row r="130">
      <c r="A130" t="s" s="0">
        <v>77</v>
      </c>
      <c r="B130" t="s" s="0">
        <v>77</v>
      </c>
      <c r="C130" t="s" s="0">
        <v>77</v>
      </c>
      <c r="D130" t="s" s="0">
        <v>77</v>
      </c>
      <c r="E130" t="s" s="0">
        <v>3437</v>
      </c>
      <c r="F130" t="s" s="0">
        <v>3438</v>
      </c>
      <c r="G130" t="s" s="0">
        <v>3439</v>
      </c>
      <c r="H130" t="s" s="0">
        <v>81</v>
      </c>
      <c r="I130" t="s" s="0">
        <v>82</v>
      </c>
      <c r="J130" t="s" s="0">
        <v>3440</v>
      </c>
      <c r="K130" t="s" s="0">
        <v>3441</v>
      </c>
      <c r="L130" t="s" s="0">
        <v>3442</v>
      </c>
      <c r="M130" t="s" s="0">
        <v>3443</v>
      </c>
      <c r="N130" t="s" s="0">
        <v>3444</v>
      </c>
      <c r="O130" t="s" s="0">
        <v>3445</v>
      </c>
      <c r="P130" t="s" s="0">
        <v>3446</v>
      </c>
      <c r="Q130" t="s" s="0">
        <v>87</v>
      </c>
      <c r="R130" t="s" s="0">
        <v>81</v>
      </c>
      <c r="S130" t="s" s="0">
        <v>81</v>
      </c>
      <c r="T130" t="s" s="0">
        <v>81</v>
      </c>
      <c r="U130" t="s" s="0">
        <v>81</v>
      </c>
      <c r="V130" t="s" s="0">
        <v>3447</v>
      </c>
      <c r="W130" t="s" s="0">
        <v>485</v>
      </c>
      <c r="X130" t="s" s="0">
        <v>81</v>
      </c>
      <c r="Y130" t="s" s="0">
        <v>81</v>
      </c>
      <c r="Z130" t="s" s="0">
        <v>90</v>
      </c>
      <c r="AA130" t="s" s="0">
        <v>91</v>
      </c>
      <c r="AB130" t="s" s="0">
        <v>81</v>
      </c>
      <c r="AC130" t="s" s="0">
        <v>81</v>
      </c>
      <c r="AD130" t="s" s="0">
        <v>81</v>
      </c>
      <c r="AE130" t="s" s="0">
        <v>81</v>
      </c>
      <c r="AF130" t="s" s="0">
        <v>81</v>
      </c>
      <c r="AG130" t="s" s="0">
        <v>3448</v>
      </c>
      <c r="AH130" t="s" s="0">
        <v>3449</v>
      </c>
      <c r="AI130" t="s" s="0">
        <v>3450</v>
      </c>
      <c r="AJ130" t="s" s="0">
        <v>81</v>
      </c>
      <c r="AK130" t="s" s="0">
        <v>81</v>
      </c>
      <c r="AL130" t="s" s="0">
        <v>286</v>
      </c>
      <c r="AM130" t="s" s="0">
        <v>372</v>
      </c>
      <c r="AN130" t="s" s="0">
        <v>372</v>
      </c>
      <c r="AO130" t="s" s="0">
        <v>144</v>
      </c>
      <c r="AP130" t="s" s="0">
        <v>372</v>
      </c>
      <c r="AQ130" t="s" s="0">
        <v>246</v>
      </c>
      <c r="AR130" t="s" s="0">
        <v>247</v>
      </c>
      <c r="AS130" t="s" s="0">
        <v>248</v>
      </c>
      <c r="AT130" t="s" s="0">
        <v>490</v>
      </c>
      <c r="AU130" t="s" s="0">
        <v>491</v>
      </c>
      <c r="AV130" t="s" s="0">
        <v>81</v>
      </c>
      <c r="AW130" t="s" s="0">
        <v>492</v>
      </c>
      <c r="AX130" t="s" s="0">
        <v>493</v>
      </c>
      <c r="AY130" t="s" s="0">
        <v>380</v>
      </c>
      <c r="AZ130" t="s" s="0">
        <v>142</v>
      </c>
      <c r="BA130" t="s" s="0">
        <v>209</v>
      </c>
      <c r="BB130" t="s" s="0">
        <v>172</v>
      </c>
      <c r="BC130" t="s" s="0">
        <v>81</v>
      </c>
      <c r="BD130" t="s" s="0">
        <v>81</v>
      </c>
      <c r="BE130" t="s" s="0">
        <v>81</v>
      </c>
      <c r="BF130" t="s" s="0">
        <v>81</v>
      </c>
      <c r="BG130" t="s" s="0">
        <v>3451</v>
      </c>
      <c r="BH130" t="s" s="0">
        <v>3452</v>
      </c>
      <c r="BI130" t="s" s="0">
        <v>81</v>
      </c>
      <c r="BJ130" t="s" s="0">
        <v>3453</v>
      </c>
      <c r="BK130" t="s" s="256">
        <f>HYPERLINK("http://dx.doi.org/10.1016/j.acra.2025.02.043","http://dx.doi.org/10.1016/j.acra.2025.02.043")</f>
        <v>3454</v>
      </c>
      <c r="BL130" t="s" s="0">
        <v>81</v>
      </c>
      <c r="BM130" t="s" s="0">
        <v>3455</v>
      </c>
      <c r="BN130" t="s" s="0">
        <v>626</v>
      </c>
      <c r="BO130" t="s" s="0">
        <v>292</v>
      </c>
      <c r="BP130" t="s" s="0">
        <v>292</v>
      </c>
      <c r="BQ130" t="s" s="0">
        <v>3456</v>
      </c>
      <c r="BR130" t="s" s="0">
        <v>3457</v>
      </c>
      <c r="BS130" t="s" s="0">
        <v>3458</v>
      </c>
      <c r="BT130" t="s" s="257">
        <f>HYPERLINK("https://www.webofscience.com/wos/woscc/full-record/WOS:001536423400013","View Record in Web of Science")</f>
        <v>113</v>
      </c>
      <c r="BU130" t="s" s="0">
        <v>81</v>
      </c>
      <c r="BV130" t="s" s="0">
        <v>81</v>
      </c>
      <c r="BW130" t="s" s="0">
        <v>81</v>
      </c>
      <c r="BX130" t="s" s="0">
        <v>115</v>
      </c>
    </row>
    <row r="131">
      <c r="A131" t="s" s="0">
        <v>77</v>
      </c>
      <c r="B131" t="s" s="0">
        <v>77</v>
      </c>
      <c r="C131" t="s" s="0">
        <v>77</v>
      </c>
      <c r="D131" t="s" s="0">
        <v>77</v>
      </c>
      <c r="E131" t="s" s="0">
        <v>3459</v>
      </c>
      <c r="F131" t="s" s="0">
        <v>3460</v>
      </c>
      <c r="G131" t="s" s="0">
        <v>3461</v>
      </c>
      <c r="H131" t="s" s="0">
        <v>81</v>
      </c>
      <c r="I131" t="s" s="0">
        <v>82</v>
      </c>
      <c r="J131" t="s" s="0">
        <v>3462</v>
      </c>
      <c r="K131" t="s" s="0">
        <v>3463</v>
      </c>
      <c r="L131" t="s" s="0">
        <v>3464</v>
      </c>
      <c r="M131" t="s" s="0">
        <v>3465</v>
      </c>
      <c r="N131" t="s" s="0">
        <v>3466</v>
      </c>
      <c r="O131" t="s" s="0">
        <v>3467</v>
      </c>
      <c r="P131" t="s" s="0">
        <v>3468</v>
      </c>
      <c r="Q131" t="s" s="0">
        <v>87</v>
      </c>
      <c r="R131" t="s" s="0">
        <v>81</v>
      </c>
      <c r="S131" t="s" s="0">
        <v>81</v>
      </c>
      <c r="T131" t="s" s="0">
        <v>81</v>
      </c>
      <c r="U131" t="s" s="0">
        <v>81</v>
      </c>
      <c r="V131" t="s" s="0">
        <v>3469</v>
      </c>
      <c r="W131" t="s" s="0">
        <v>3470</v>
      </c>
      <c r="X131" t="s" s="0">
        <v>81</v>
      </c>
      <c r="Y131" t="s" s="0">
        <v>81</v>
      </c>
      <c r="Z131" t="s" s="0">
        <v>90</v>
      </c>
      <c r="AA131" t="s" s="0">
        <v>91</v>
      </c>
      <c r="AB131" t="s" s="0">
        <v>81</v>
      </c>
      <c r="AC131" t="s" s="0">
        <v>81</v>
      </c>
      <c r="AD131" t="s" s="0">
        <v>81</v>
      </c>
      <c r="AE131" t="s" s="0">
        <v>81</v>
      </c>
      <c r="AF131" t="s" s="0">
        <v>81</v>
      </c>
      <c r="AG131" t="s" s="0">
        <v>3471</v>
      </c>
      <c r="AH131" t="s" s="0">
        <v>3472</v>
      </c>
      <c r="AI131" t="s" s="0">
        <v>3473</v>
      </c>
      <c r="AJ131" t="s" s="0">
        <v>81</v>
      </c>
      <c r="AK131" t="s" s="0">
        <v>81</v>
      </c>
      <c r="AL131" t="s" s="0">
        <v>1693</v>
      </c>
      <c r="AM131" t="s" s="0">
        <v>77</v>
      </c>
      <c r="AN131" t="s" s="0">
        <v>77</v>
      </c>
      <c r="AO131" t="s" s="0">
        <v>187</v>
      </c>
      <c r="AP131" t="s" s="0">
        <v>187</v>
      </c>
      <c r="AQ131" t="s" s="0">
        <v>1162</v>
      </c>
      <c r="AR131" t="s" s="0">
        <v>95</v>
      </c>
      <c r="AS131" t="s" s="0">
        <v>1163</v>
      </c>
      <c r="AT131" t="s" s="0">
        <v>3474</v>
      </c>
      <c r="AU131" t="s" s="0">
        <v>3475</v>
      </c>
      <c r="AV131" t="s" s="0">
        <v>81</v>
      </c>
      <c r="AW131" t="s" s="0">
        <v>3476</v>
      </c>
      <c r="AX131" t="s" s="0">
        <v>3477</v>
      </c>
      <c r="AY131" t="s" s="0">
        <v>3478</v>
      </c>
      <c r="AZ131" t="s" s="0">
        <v>101</v>
      </c>
      <c r="BA131" t="s" s="0">
        <v>3479</v>
      </c>
      <c r="BB131" t="s" s="0">
        <v>81</v>
      </c>
      <c r="BC131" t="s" s="0">
        <v>81</v>
      </c>
      <c r="BD131" t="s" s="0">
        <v>81</v>
      </c>
      <c r="BE131" t="s" s="0">
        <v>81</v>
      </c>
      <c r="BF131" t="s" s="0">
        <v>81</v>
      </c>
      <c r="BG131" t="s" s="0">
        <v>81</v>
      </c>
      <c r="BH131" t="s" s="0">
        <v>81</v>
      </c>
      <c r="BI131" t="s" s="0">
        <v>3480</v>
      </c>
      <c r="BJ131" t="s" s="0">
        <v>3481</v>
      </c>
      <c r="BK131" t="s" s="258">
        <f>HYPERLINK("http://dx.doi.org/10.1016/j.eswa.2026.131440","http://dx.doi.org/10.1016/j.eswa.2026.131440")</f>
        <v>3482</v>
      </c>
      <c r="BL131" t="s" s="0">
        <v>81</v>
      </c>
      <c r="BM131" t="s" s="0">
        <v>566</v>
      </c>
      <c r="BN131" t="s" s="0">
        <v>652</v>
      </c>
      <c r="BO131" t="s" s="0">
        <v>3483</v>
      </c>
      <c r="BP131" t="s" s="0">
        <v>3484</v>
      </c>
      <c r="BQ131" t="s" s="0">
        <v>3485</v>
      </c>
      <c r="BR131" t="s" s="0">
        <v>81</v>
      </c>
      <c r="BS131" t="s" s="0">
        <v>3486</v>
      </c>
      <c r="BT131" t="s" s="259">
        <f>HYPERLINK("https://www.webofscience.com/wos/woscc/full-record/WOS:001689609400001","View Record in Web of Science")</f>
        <v>113</v>
      </c>
      <c r="BU131" t="s" s="0">
        <v>81</v>
      </c>
      <c r="BV131" t="s" s="0">
        <v>81</v>
      </c>
      <c r="BW131" t="s" s="0">
        <v>81</v>
      </c>
      <c r="BX131" t="s" s="0">
        <v>115</v>
      </c>
    </row>
    <row r="132">
      <c r="A132" t="s" s="0">
        <v>77</v>
      </c>
      <c r="B132" t="s" s="0">
        <v>77</v>
      </c>
      <c r="C132" t="s" s="0">
        <v>77</v>
      </c>
      <c r="D132" t="s" s="0">
        <v>77</v>
      </c>
      <c r="E132" t="s" s="0">
        <v>3487</v>
      </c>
      <c r="F132" t="s" s="0">
        <v>3488</v>
      </c>
      <c r="G132" t="s" s="0">
        <v>3489</v>
      </c>
      <c r="H132" t="s" s="0">
        <v>81</v>
      </c>
      <c r="I132" t="s" s="0">
        <v>82</v>
      </c>
      <c r="J132" t="s" s="0">
        <v>3490</v>
      </c>
      <c r="K132" t="s" s="0">
        <v>3491</v>
      </c>
      <c r="L132" t="s" s="0">
        <v>81</v>
      </c>
      <c r="M132" t="s" s="0">
        <v>81</v>
      </c>
      <c r="N132" t="s" s="0">
        <v>81</v>
      </c>
      <c r="O132" t="s" s="0">
        <v>3492</v>
      </c>
      <c r="P132" t="s" s="0">
        <v>81</v>
      </c>
      <c r="Q132" t="s" s="0">
        <v>87</v>
      </c>
      <c r="R132" t="s" s="0">
        <v>81</v>
      </c>
      <c r="S132" t="s" s="0">
        <v>81</v>
      </c>
      <c r="T132" t="s" s="0">
        <v>81</v>
      </c>
      <c r="U132" t="s" s="0">
        <v>81</v>
      </c>
      <c r="V132" t="s" s="0">
        <v>3493</v>
      </c>
      <c r="W132" t="s" s="0">
        <v>849</v>
      </c>
      <c r="X132" t="s" s="0">
        <v>81</v>
      </c>
      <c r="Y132" t="s" s="0">
        <v>81</v>
      </c>
      <c r="Z132" t="s" s="0">
        <v>90</v>
      </c>
      <c r="AA132" t="s" s="0">
        <v>91</v>
      </c>
      <c r="AB132" t="s" s="0">
        <v>81</v>
      </c>
      <c r="AC132" t="s" s="0">
        <v>81</v>
      </c>
      <c r="AD132" t="s" s="0">
        <v>81</v>
      </c>
      <c r="AE132" t="s" s="0">
        <v>81</v>
      </c>
      <c r="AF132" t="s" s="0">
        <v>81</v>
      </c>
      <c r="AG132" t="s" s="0">
        <v>3494</v>
      </c>
      <c r="AH132" t="s" s="0">
        <v>3495</v>
      </c>
      <c r="AI132" t="s" s="0">
        <v>81</v>
      </c>
      <c r="AJ132" t="s" s="0">
        <v>81</v>
      </c>
      <c r="AK132" t="s" s="0">
        <v>81</v>
      </c>
      <c r="AL132" t="s" s="0">
        <v>520</v>
      </c>
      <c r="AM132" t="s" s="0">
        <v>77</v>
      </c>
      <c r="AN132" t="s" s="0">
        <v>77</v>
      </c>
      <c r="AO132" t="s" s="0">
        <v>77</v>
      </c>
      <c r="AP132" t="s" s="0">
        <v>77</v>
      </c>
      <c r="AQ132" t="s" s="0">
        <v>174</v>
      </c>
      <c r="AR132" t="s" s="0">
        <v>175</v>
      </c>
      <c r="AS132" t="s" s="0">
        <v>176</v>
      </c>
      <c r="AT132" t="s" s="0">
        <v>855</v>
      </c>
      <c r="AU132" t="s" s="0">
        <v>856</v>
      </c>
      <c r="AV132" t="s" s="0">
        <v>81</v>
      </c>
      <c r="AW132" t="s" s="0">
        <v>857</v>
      </c>
      <c r="AX132" t="s" s="0">
        <v>858</v>
      </c>
      <c r="AY132" t="s" s="0">
        <v>3496</v>
      </c>
      <c r="AZ132" t="s" s="0">
        <v>101</v>
      </c>
      <c r="BA132" t="s" s="0">
        <v>3497</v>
      </c>
      <c r="BB132" t="s" s="0">
        <v>81</v>
      </c>
      <c r="BC132" t="s" s="0">
        <v>81</v>
      </c>
      <c r="BD132" t="s" s="0">
        <v>2033</v>
      </c>
      <c r="BE132" t="s" s="0">
        <v>81</v>
      </c>
      <c r="BF132" t="s" s="0">
        <v>81</v>
      </c>
      <c r="BG132" t="s" s="0">
        <v>81</v>
      </c>
      <c r="BH132" t="s" s="0">
        <v>81</v>
      </c>
      <c r="BI132" t="s" s="0">
        <v>3498</v>
      </c>
      <c r="BJ132" t="s" s="0">
        <v>3499</v>
      </c>
      <c r="BK132" t="s" s="260">
        <f>HYPERLINK("http://dx.doi.org/10.1016/j.bspc.2026.110977","http://dx.doi.org/10.1016/j.bspc.2026.110977")</f>
        <v>3500</v>
      </c>
      <c r="BL132" t="s" s="0">
        <v>81</v>
      </c>
      <c r="BM132" t="s" s="0">
        <v>2241</v>
      </c>
      <c r="BN132" t="s" s="0">
        <v>323</v>
      </c>
      <c r="BO132" t="s" s="0">
        <v>864</v>
      </c>
      <c r="BP132" t="s" s="0">
        <v>865</v>
      </c>
      <c r="BQ132" t="s" s="0">
        <v>3501</v>
      </c>
      <c r="BR132" t="s" s="0">
        <v>81</v>
      </c>
      <c r="BS132" t="s" s="0">
        <v>3502</v>
      </c>
      <c r="BT132" t="s" s="261">
        <f>HYPERLINK("https://www.webofscience.com/wos/woscc/full-record/WOS:001819971700001","View Record in Web of Science")</f>
        <v>113</v>
      </c>
      <c r="BU132" t="s" s="0">
        <v>81</v>
      </c>
      <c r="BV132" t="s" s="0">
        <v>81</v>
      </c>
      <c r="BW132" t="s" s="0">
        <v>81</v>
      </c>
      <c r="BX132" t="s" s="0">
        <v>115</v>
      </c>
    </row>
    <row r="133">
      <c r="A133" t="s" s="0">
        <v>313</v>
      </c>
      <c r="B133" t="s" s="0">
        <v>77</v>
      </c>
      <c r="C133" t="s" s="0">
        <v>77</v>
      </c>
      <c r="D133" t="s" s="0">
        <v>77</v>
      </c>
      <c r="E133" t="s" s="0">
        <v>3503</v>
      </c>
      <c r="F133" t="s" s="0">
        <v>3504</v>
      </c>
      <c r="G133" t="s" s="0">
        <v>3505</v>
      </c>
      <c r="H133" t="s" s="0">
        <v>81</v>
      </c>
      <c r="I133" t="s" s="0">
        <v>82</v>
      </c>
      <c r="J133" t="s" s="0">
        <v>3506</v>
      </c>
      <c r="K133" t="s" s="0">
        <v>3507</v>
      </c>
      <c r="L133" t="s" s="0">
        <v>3508</v>
      </c>
      <c r="M133" t="s" s="0">
        <v>3509</v>
      </c>
      <c r="N133" t="s" s="0">
        <v>3510</v>
      </c>
      <c r="O133" t="s" s="0">
        <v>3511</v>
      </c>
      <c r="P133" t="s" s="0">
        <v>3512</v>
      </c>
      <c r="Q133" t="s" s="0">
        <v>87</v>
      </c>
      <c r="R133" t="s" s="0">
        <v>81</v>
      </c>
      <c r="S133" t="s" s="0">
        <v>81</v>
      </c>
      <c r="T133" t="s" s="0">
        <v>81</v>
      </c>
      <c r="U133" t="s" s="0">
        <v>81</v>
      </c>
      <c r="V133" t="s" s="0">
        <v>3513</v>
      </c>
      <c r="W133" t="s" s="0">
        <v>3514</v>
      </c>
      <c r="X133" t="s" s="0">
        <v>81</v>
      </c>
      <c r="Y133" t="s" s="0">
        <v>81</v>
      </c>
      <c r="Z133" t="s" s="0">
        <v>90</v>
      </c>
      <c r="AA133" t="s" s="0">
        <v>91</v>
      </c>
      <c r="AB133" t="s" s="0">
        <v>81</v>
      </c>
      <c r="AC133" t="s" s="0">
        <v>81</v>
      </c>
      <c r="AD133" t="s" s="0">
        <v>81</v>
      </c>
      <c r="AE133" t="s" s="0">
        <v>81</v>
      </c>
      <c r="AF133" t="s" s="0">
        <v>81</v>
      </c>
      <c r="AG133" t="s" s="0">
        <v>3515</v>
      </c>
      <c r="AH133" t="s" s="0">
        <v>3516</v>
      </c>
      <c r="AI133" t="s" s="0">
        <v>81</v>
      </c>
      <c r="AJ133" t="s" s="0">
        <v>3517</v>
      </c>
      <c r="AK133" t="s" s="0">
        <v>81</v>
      </c>
      <c r="AL133" t="s" s="0">
        <v>1573</v>
      </c>
      <c r="AM133" t="s" s="0">
        <v>468</v>
      </c>
      <c r="AN133" t="s" s="0">
        <v>684</v>
      </c>
      <c r="AO133" t="s" s="0">
        <v>77</v>
      </c>
      <c r="AP133" t="s" s="0">
        <v>173</v>
      </c>
      <c r="AQ133" t="s" s="0">
        <v>94</v>
      </c>
      <c r="AR133" t="s" s="0">
        <v>95</v>
      </c>
      <c r="AS133" t="s" s="0">
        <v>96</v>
      </c>
      <c r="AT133" t="s" s="0">
        <v>3518</v>
      </c>
      <c r="AU133" t="s" s="0">
        <v>3519</v>
      </c>
      <c r="AV133" t="s" s="0">
        <v>81</v>
      </c>
      <c r="AW133" t="s" s="0">
        <v>3520</v>
      </c>
      <c r="AX133" t="s" s="0">
        <v>3521</v>
      </c>
      <c r="AY133" t="s" s="0">
        <v>3522</v>
      </c>
      <c r="AZ133" t="s" s="0">
        <v>742</v>
      </c>
      <c r="BA133" t="s" s="0">
        <v>3523</v>
      </c>
      <c r="BB133" t="s" s="0">
        <v>210</v>
      </c>
      <c r="BC133" t="s" s="0">
        <v>81</v>
      </c>
      <c r="BD133" t="s" s="0">
        <v>81</v>
      </c>
      <c r="BE133" t="s" s="0">
        <v>81</v>
      </c>
      <c r="BF133" t="s" s="0">
        <v>81</v>
      </c>
      <c r="BG133" t="s" s="0">
        <v>3524</v>
      </c>
      <c r="BH133" t="s" s="0">
        <v>3525</v>
      </c>
      <c r="BI133" t="s" s="0">
        <v>81</v>
      </c>
      <c r="BJ133" t="s" s="0">
        <v>3526</v>
      </c>
      <c r="BK133" t="s" s="262">
        <f>HYPERLINK("http://dx.doi.org/10.1093/mnras/stac3259","http://dx.doi.org/10.1093/mnras/stac3259")</f>
        <v>3527</v>
      </c>
      <c r="BL133" t="s" s="0">
        <v>81</v>
      </c>
      <c r="BM133" t="s" s="0">
        <v>3528</v>
      </c>
      <c r="BN133" t="s" s="0">
        <v>107</v>
      </c>
      <c r="BO133" t="s" s="0">
        <v>3529</v>
      </c>
      <c r="BP133" t="s" s="0">
        <v>3529</v>
      </c>
      <c r="BQ133" t="s" s="0">
        <v>3530</v>
      </c>
      <c r="BR133" t="s" s="0">
        <v>81</v>
      </c>
      <c r="BS133" t="s" s="0">
        <v>3531</v>
      </c>
      <c r="BT133" t="s" s="263">
        <f>HYPERLINK("https://www.webofscience.com/wos/woscc/full-record/WOS:000922725900014","View Record in Web of Science")</f>
        <v>113</v>
      </c>
      <c r="BU133" t="s" s="0">
        <v>296</v>
      </c>
      <c r="BV133" t="s" s="0">
        <v>81</v>
      </c>
      <c r="BW133" t="s" s="0">
        <v>81</v>
      </c>
      <c r="BX133" t="s" s="0">
        <v>115</v>
      </c>
    </row>
    <row r="134">
      <c r="A134" t="s" s="0">
        <v>77</v>
      </c>
      <c r="B134" t="s" s="0">
        <v>77</v>
      </c>
      <c r="C134" t="s" s="0">
        <v>172</v>
      </c>
      <c r="D134" t="s" s="0">
        <v>77</v>
      </c>
      <c r="E134" t="s" s="0">
        <v>3532</v>
      </c>
      <c r="F134" t="s" s="0">
        <v>3533</v>
      </c>
      <c r="G134" t="s" s="0">
        <v>3534</v>
      </c>
      <c r="H134" t="s" s="0">
        <v>81</v>
      </c>
      <c r="I134" t="s" s="0">
        <v>82</v>
      </c>
      <c r="J134" t="s" s="0">
        <v>3535</v>
      </c>
      <c r="K134" t="s" s="0">
        <v>3536</v>
      </c>
      <c r="L134" t="s" s="0">
        <v>3537</v>
      </c>
      <c r="M134" t="s" s="0">
        <v>3538</v>
      </c>
      <c r="N134" t="s" s="0">
        <v>3539</v>
      </c>
      <c r="O134" t="s" s="0">
        <v>3540</v>
      </c>
      <c r="P134" t="s" s="0">
        <v>3541</v>
      </c>
      <c r="Q134" t="s" s="0">
        <v>87</v>
      </c>
      <c r="R134" t="s" s="0">
        <v>81</v>
      </c>
      <c r="S134" t="s" s="0">
        <v>81</v>
      </c>
      <c r="T134" t="s" s="0">
        <v>81</v>
      </c>
      <c r="U134" t="s" s="0">
        <v>81</v>
      </c>
      <c r="V134" t="s" s="0">
        <v>3542</v>
      </c>
      <c r="W134" t="s" s="0">
        <v>672</v>
      </c>
      <c r="X134" t="s" s="0">
        <v>81</v>
      </c>
      <c r="Y134" t="s" s="0">
        <v>81</v>
      </c>
      <c r="Z134" t="s" s="0">
        <v>90</v>
      </c>
      <c r="AA134" t="s" s="0">
        <v>91</v>
      </c>
      <c r="AB134" t="s" s="0">
        <v>81</v>
      </c>
      <c r="AC134" t="s" s="0">
        <v>81</v>
      </c>
      <c r="AD134" t="s" s="0">
        <v>81</v>
      </c>
      <c r="AE134" t="s" s="0">
        <v>81</v>
      </c>
      <c r="AF134" t="s" s="0">
        <v>81</v>
      </c>
      <c r="AG134" t="s" s="0">
        <v>3543</v>
      </c>
      <c r="AH134" t="s" s="0">
        <v>3544</v>
      </c>
      <c r="AI134" t="s" s="0">
        <v>3545</v>
      </c>
      <c r="AJ134" t="s" s="0">
        <v>3546</v>
      </c>
      <c r="AK134" t="s" s="0">
        <v>81</v>
      </c>
      <c r="AL134" t="s" s="0">
        <v>2409</v>
      </c>
      <c r="AM134" t="s" s="0">
        <v>277</v>
      </c>
      <c r="AN134" t="s" s="0">
        <v>1253</v>
      </c>
      <c r="AO134" t="s" s="0">
        <v>144</v>
      </c>
      <c r="AP134" t="s" s="0">
        <v>488</v>
      </c>
      <c r="AQ134" t="s" s="0">
        <v>314</v>
      </c>
      <c r="AR134" t="s" s="0">
        <v>315</v>
      </c>
      <c r="AS134" t="s" s="0">
        <v>1002</v>
      </c>
      <c r="AT134" t="s" s="0">
        <v>81</v>
      </c>
      <c r="AU134" t="s" s="0">
        <v>677</v>
      </c>
      <c r="AV134" t="s" s="0">
        <v>81</v>
      </c>
      <c r="AW134" t="s" s="0">
        <v>678</v>
      </c>
      <c r="AX134" t="s" s="0">
        <v>679</v>
      </c>
      <c r="AY134" t="s" s="0">
        <v>1441</v>
      </c>
      <c r="AZ134" t="s" s="0">
        <v>285</v>
      </c>
      <c r="BA134" t="s" s="0">
        <v>245</v>
      </c>
      <c r="BB134" t="s" s="0">
        <v>133</v>
      </c>
      <c r="BC134" t="s" s="0">
        <v>81</v>
      </c>
      <c r="BD134" t="s" s="0">
        <v>81</v>
      </c>
      <c r="BE134" t="s" s="0">
        <v>81</v>
      </c>
      <c r="BF134" t="s" s="0">
        <v>81</v>
      </c>
      <c r="BG134" t="s" s="0">
        <v>81</v>
      </c>
      <c r="BH134" t="s" s="0">
        <v>81</v>
      </c>
      <c r="BI134" t="s" s="0">
        <v>3547</v>
      </c>
      <c r="BJ134" t="s" s="0">
        <v>3548</v>
      </c>
      <c r="BK134" t="s" s="264">
        <f>HYPERLINK("http://dx.doi.org/10.3390/app14093883","http://dx.doi.org/10.3390/app14093883")</f>
        <v>3549</v>
      </c>
      <c r="BL134" t="s" s="0">
        <v>81</v>
      </c>
      <c r="BM134" t="s" s="0">
        <v>81</v>
      </c>
      <c r="BN134" t="s" s="0">
        <v>211</v>
      </c>
      <c r="BO134" t="s" s="0">
        <v>685</v>
      </c>
      <c r="BP134" t="s" s="0">
        <v>686</v>
      </c>
      <c r="BQ134" t="s" s="0">
        <v>3550</v>
      </c>
      <c r="BR134" t="s" s="0">
        <v>81</v>
      </c>
      <c r="BS134" t="s" s="0">
        <v>3551</v>
      </c>
      <c r="BT134" t="s" s="265">
        <f>HYPERLINK("https://www.webofscience.com/wos/woscc/full-record/WOS:001219998000001","View Record in Web of Science")</f>
        <v>113</v>
      </c>
      <c r="BU134" t="s" s="0">
        <v>153</v>
      </c>
      <c r="BV134" t="s" s="0">
        <v>81</v>
      </c>
      <c r="BW134" t="s" s="0">
        <v>81</v>
      </c>
      <c r="BX134" t="s" s="0">
        <v>115</v>
      </c>
    </row>
    <row r="135">
      <c r="A135" t="s" s="0">
        <v>77</v>
      </c>
      <c r="B135" t="s" s="0">
        <v>77</v>
      </c>
      <c r="C135" t="s" s="0">
        <v>116</v>
      </c>
      <c r="D135" t="s" s="0">
        <v>77</v>
      </c>
      <c r="E135" t="s" s="0">
        <v>3552</v>
      </c>
      <c r="F135" t="s" s="0">
        <v>3553</v>
      </c>
      <c r="G135" t="s" s="0">
        <v>3554</v>
      </c>
      <c r="H135" t="s" s="0">
        <v>81</v>
      </c>
      <c r="I135" t="s" s="0">
        <v>82</v>
      </c>
      <c r="J135" t="s" s="0">
        <v>3555</v>
      </c>
      <c r="K135" t="s" s="0">
        <v>3556</v>
      </c>
      <c r="L135" t="s" s="0">
        <v>3557</v>
      </c>
      <c r="M135" t="s" s="0">
        <v>3558</v>
      </c>
      <c r="N135" t="s" s="0">
        <v>3559</v>
      </c>
      <c r="O135" t="s" s="0">
        <v>3560</v>
      </c>
      <c r="P135" t="s" s="0">
        <v>3561</v>
      </c>
      <c r="Q135" t="s" s="0">
        <v>87</v>
      </c>
      <c r="R135" t="s" s="0">
        <v>81</v>
      </c>
      <c r="S135" t="s" s="0">
        <v>81</v>
      </c>
      <c r="T135" t="s" s="0">
        <v>81</v>
      </c>
      <c r="U135" t="s" s="0">
        <v>81</v>
      </c>
      <c r="V135" t="s" s="0">
        <v>3562</v>
      </c>
      <c r="W135" t="s" s="0">
        <v>1658</v>
      </c>
      <c r="X135" t="s" s="0">
        <v>81</v>
      </c>
      <c r="Y135" t="s" s="0">
        <v>81</v>
      </c>
      <c r="Z135" t="s" s="0">
        <v>90</v>
      </c>
      <c r="AA135" t="s" s="0">
        <v>91</v>
      </c>
      <c r="AB135" t="s" s="0">
        <v>81</v>
      </c>
      <c r="AC135" t="s" s="0">
        <v>81</v>
      </c>
      <c r="AD135" t="s" s="0">
        <v>81</v>
      </c>
      <c r="AE135" t="s" s="0">
        <v>81</v>
      </c>
      <c r="AF135" t="s" s="0">
        <v>81</v>
      </c>
      <c r="AG135" t="s" s="0">
        <v>3563</v>
      </c>
      <c r="AH135" t="s" s="0">
        <v>3564</v>
      </c>
      <c r="AI135" t="s" s="0">
        <v>81</v>
      </c>
      <c r="AJ135" t="s" s="0">
        <v>3565</v>
      </c>
      <c r="AK135" t="s" s="0">
        <v>81</v>
      </c>
      <c r="AL135" t="s" s="0">
        <v>3566</v>
      </c>
      <c r="AM135" t="s" s="0">
        <v>488</v>
      </c>
      <c r="AN135" t="s" s="0">
        <v>93</v>
      </c>
      <c r="AO135" t="s" s="0">
        <v>144</v>
      </c>
      <c r="AP135" t="s" s="0">
        <v>3567</v>
      </c>
      <c r="AQ135" t="s" s="0">
        <v>973</v>
      </c>
      <c r="AR135" t="s" s="0">
        <v>974</v>
      </c>
      <c r="AS135" t="s" s="0">
        <v>975</v>
      </c>
      <c r="AT135" t="s" s="0">
        <v>1664</v>
      </c>
      <c r="AU135" t="s" s="0">
        <v>1665</v>
      </c>
      <c r="AV135" t="s" s="0">
        <v>81</v>
      </c>
      <c r="AW135" t="s" s="0">
        <v>1666</v>
      </c>
      <c r="AX135" t="s" s="0">
        <v>1667</v>
      </c>
      <c r="AY135" t="s" s="0">
        <v>3568</v>
      </c>
      <c r="AZ135" t="s" s="0">
        <v>742</v>
      </c>
      <c r="BA135" t="s" s="0">
        <v>2689</v>
      </c>
      <c r="BB135" t="s" s="0">
        <v>81</v>
      </c>
      <c r="BC135" t="s" s="0">
        <v>81</v>
      </c>
      <c r="BD135" t="s" s="0">
        <v>81</v>
      </c>
      <c r="BE135" t="s" s="0">
        <v>81</v>
      </c>
      <c r="BF135" t="s" s="0">
        <v>81</v>
      </c>
      <c r="BG135" t="s" s="0">
        <v>81</v>
      </c>
      <c r="BH135" t="s" s="0">
        <v>81</v>
      </c>
      <c r="BI135" t="s" s="0">
        <v>3569</v>
      </c>
      <c r="BJ135" t="s" s="0">
        <v>3570</v>
      </c>
      <c r="BK135" t="s" s="266">
        <f>HYPERLINK("http://dx.doi.org/10.1016/j.jbi.2023.104415","http://dx.doi.org/10.1016/j.jbi.2023.104415")</f>
        <v>3571</v>
      </c>
      <c r="BL135" t="s" s="0">
        <v>81</v>
      </c>
      <c r="BM135" t="s" s="0">
        <v>3572</v>
      </c>
      <c r="BN135" t="s" s="0">
        <v>245</v>
      </c>
      <c r="BO135" t="s" s="0">
        <v>1672</v>
      </c>
      <c r="BP135" t="s" s="0">
        <v>1673</v>
      </c>
      <c r="BQ135" t="s" s="0">
        <v>3573</v>
      </c>
      <c r="BR135" t="s" s="0">
        <v>3574</v>
      </c>
      <c r="BS135" t="s" s="0">
        <v>3575</v>
      </c>
      <c r="BT135" t="s" s="267">
        <f>HYPERLINK("https://www.webofscience.com/wos/woscc/full-record/WOS:001036089700001","View Record in Web of Science")</f>
        <v>113</v>
      </c>
      <c r="BU135" t="s" s="0">
        <v>296</v>
      </c>
      <c r="BV135" t="s" s="0">
        <v>81</v>
      </c>
      <c r="BW135" t="s" s="0">
        <v>81</v>
      </c>
      <c r="BX135" t="s" s="0">
        <v>115</v>
      </c>
    </row>
    <row r="136">
      <c r="A136" t="s" s="0">
        <v>77</v>
      </c>
      <c r="B136" t="s" s="0">
        <v>77</v>
      </c>
      <c r="C136" t="s" s="0">
        <v>313</v>
      </c>
      <c r="D136" t="s" s="0">
        <v>77</v>
      </c>
      <c r="E136" t="s" s="0">
        <v>3576</v>
      </c>
      <c r="F136" t="s" s="0">
        <v>3577</v>
      </c>
      <c r="G136" t="s" s="0">
        <v>3578</v>
      </c>
      <c r="H136" t="s" s="0">
        <v>81</v>
      </c>
      <c r="I136" t="s" s="0">
        <v>82</v>
      </c>
      <c r="J136" t="s" s="0">
        <v>3579</v>
      </c>
      <c r="K136" t="s" s="0">
        <v>3580</v>
      </c>
      <c r="L136" t="s" s="0">
        <v>3581</v>
      </c>
      <c r="M136" t="s" s="0">
        <v>3582</v>
      </c>
      <c r="N136" t="s" s="0">
        <v>3583</v>
      </c>
      <c r="O136" t="s" s="0">
        <v>3584</v>
      </c>
      <c r="P136" t="s" s="0">
        <v>3585</v>
      </c>
      <c r="Q136" t="s" s="0">
        <v>87</v>
      </c>
      <c r="R136" t="s" s="0">
        <v>81</v>
      </c>
      <c r="S136" t="s" s="0">
        <v>81</v>
      </c>
      <c r="T136" t="s" s="0">
        <v>81</v>
      </c>
      <c r="U136" t="s" s="0">
        <v>81</v>
      </c>
      <c r="V136" t="s" s="0">
        <v>3586</v>
      </c>
      <c r="W136" t="s" s="0">
        <v>3587</v>
      </c>
      <c r="X136" t="s" s="0">
        <v>81</v>
      </c>
      <c r="Y136" t="s" s="0">
        <v>81</v>
      </c>
      <c r="Z136" t="s" s="0">
        <v>90</v>
      </c>
      <c r="AA136" t="s" s="0">
        <v>91</v>
      </c>
      <c r="AB136" t="s" s="0">
        <v>81</v>
      </c>
      <c r="AC136" t="s" s="0">
        <v>81</v>
      </c>
      <c r="AD136" t="s" s="0">
        <v>81</v>
      </c>
      <c r="AE136" t="s" s="0">
        <v>81</v>
      </c>
      <c r="AF136" t="s" s="0">
        <v>81</v>
      </c>
      <c r="AG136" t="s" s="0">
        <v>3588</v>
      </c>
      <c r="AH136" t="s" s="0">
        <v>81</v>
      </c>
      <c r="AI136" t="s" s="0">
        <v>81</v>
      </c>
      <c r="AJ136" t="s" s="0">
        <v>81</v>
      </c>
      <c r="AK136" t="s" s="0">
        <v>81</v>
      </c>
      <c r="AL136" t="s" s="0">
        <v>822</v>
      </c>
      <c r="AM136" t="s" s="0">
        <v>133</v>
      </c>
      <c r="AN136" t="s" s="0">
        <v>107</v>
      </c>
      <c r="AO136" t="s" s="0">
        <v>219</v>
      </c>
      <c r="AP136" t="s" s="0">
        <v>219</v>
      </c>
      <c r="AQ136" t="s" s="0">
        <v>314</v>
      </c>
      <c r="AR136" t="s" s="0">
        <v>315</v>
      </c>
      <c r="AS136" t="s" s="0">
        <v>316</v>
      </c>
      <c r="AT136" t="s" s="0">
        <v>81</v>
      </c>
      <c r="AU136" t="s" s="0">
        <v>3589</v>
      </c>
      <c r="AV136" t="s" s="0">
        <v>81</v>
      </c>
      <c r="AW136" t="s" s="0">
        <v>3587</v>
      </c>
      <c r="AX136" t="s" s="0">
        <v>3590</v>
      </c>
      <c r="AY136" t="s" s="0">
        <v>3591</v>
      </c>
      <c r="AZ136" t="s" s="0">
        <v>142</v>
      </c>
      <c r="BA136" t="s" s="0">
        <v>187</v>
      </c>
      <c r="BB136" t="s" s="0">
        <v>144</v>
      </c>
      <c r="BC136" t="s" s="0">
        <v>81</v>
      </c>
      <c r="BD136" t="s" s="0">
        <v>81</v>
      </c>
      <c r="BE136" t="s" s="0">
        <v>81</v>
      </c>
      <c r="BF136" t="s" s="0">
        <v>81</v>
      </c>
      <c r="BG136" t="s" s="0">
        <v>81</v>
      </c>
      <c r="BH136" t="s" s="0">
        <v>81</v>
      </c>
      <c r="BI136" t="s" s="0">
        <v>172</v>
      </c>
      <c r="BJ136" t="s" s="0">
        <v>3592</v>
      </c>
      <c r="BK136" t="s" s="268">
        <f>HYPERLINK("http://dx.doi.org/10.3390/horticulturae12010008","http://dx.doi.org/10.3390/horticulturae12010008")</f>
        <v>3593</v>
      </c>
      <c r="BL136" t="s" s="0">
        <v>81</v>
      </c>
      <c r="BM136" t="s" s="0">
        <v>81</v>
      </c>
      <c r="BN136" t="s" s="0">
        <v>921</v>
      </c>
      <c r="BO136" t="s" s="0">
        <v>3594</v>
      </c>
      <c r="BP136" t="s" s="0">
        <v>1802</v>
      </c>
      <c r="BQ136" t="s" s="0">
        <v>3595</v>
      </c>
      <c r="BR136" t="s" s="0">
        <v>81</v>
      </c>
      <c r="BS136" t="s" s="0">
        <v>3596</v>
      </c>
      <c r="BT136" t="s" s="269">
        <f>HYPERLINK("https://www.webofscience.com/wos/woscc/full-record/WOS:001670553200001","View Record in Web of Science")</f>
        <v>113</v>
      </c>
      <c r="BU136" t="s" s="0">
        <v>153</v>
      </c>
      <c r="BV136" t="s" s="0">
        <v>81</v>
      </c>
      <c r="BW136" t="s" s="0">
        <v>81</v>
      </c>
      <c r="BX136" t="s" s="0">
        <v>115</v>
      </c>
    </row>
    <row r="137">
      <c r="A137" t="s" s="0">
        <v>77</v>
      </c>
      <c r="B137" t="s" s="0">
        <v>77</v>
      </c>
      <c r="C137" t="s" s="0">
        <v>77</v>
      </c>
      <c r="D137" t="s" s="0">
        <v>77</v>
      </c>
      <c r="E137" t="s" s="0">
        <v>3597</v>
      </c>
      <c r="F137" t="s" s="0">
        <v>3598</v>
      </c>
      <c r="G137" t="s" s="0">
        <v>3599</v>
      </c>
      <c r="H137" t="s" s="0">
        <v>81</v>
      </c>
      <c r="I137" t="s" s="0">
        <v>82</v>
      </c>
      <c r="J137" t="s" s="0">
        <v>3600</v>
      </c>
      <c r="K137" t="s" s="0">
        <v>3601</v>
      </c>
      <c r="L137" t="s" s="0">
        <v>3602</v>
      </c>
      <c r="M137" t="s" s="0">
        <v>3603</v>
      </c>
      <c r="N137" t="s" s="0">
        <v>3604</v>
      </c>
      <c r="O137" t="s" s="0">
        <v>3605</v>
      </c>
      <c r="P137" t="s" s="0">
        <v>3606</v>
      </c>
      <c r="Q137" t="s" s="0">
        <v>87</v>
      </c>
      <c r="R137" t="s" s="0">
        <v>81</v>
      </c>
      <c r="S137" t="s" s="0">
        <v>81</v>
      </c>
      <c r="T137" t="s" s="0">
        <v>81</v>
      </c>
      <c r="U137" t="s" s="0">
        <v>81</v>
      </c>
      <c r="V137" t="s" s="0">
        <v>3607</v>
      </c>
      <c r="W137" t="s" s="0">
        <v>3608</v>
      </c>
      <c r="X137" t="s" s="0">
        <v>81</v>
      </c>
      <c r="Y137" t="s" s="0">
        <v>81</v>
      </c>
      <c r="Z137" t="s" s="0">
        <v>90</v>
      </c>
      <c r="AA137" t="s" s="0">
        <v>91</v>
      </c>
      <c r="AB137" t="s" s="0">
        <v>81</v>
      </c>
      <c r="AC137" t="s" s="0">
        <v>81</v>
      </c>
      <c r="AD137" t="s" s="0">
        <v>81</v>
      </c>
      <c r="AE137" t="s" s="0">
        <v>81</v>
      </c>
      <c r="AF137" t="s" s="0">
        <v>81</v>
      </c>
      <c r="AG137" t="s" s="0">
        <v>3609</v>
      </c>
      <c r="AH137" t="s" s="0">
        <v>81</v>
      </c>
      <c r="AI137" t="s" s="0">
        <v>3610</v>
      </c>
      <c r="AJ137" t="s" s="0">
        <v>81</v>
      </c>
      <c r="AK137" t="s" s="0">
        <v>81</v>
      </c>
      <c r="AL137" t="s" s="0">
        <v>822</v>
      </c>
      <c r="AM137" t="s" s="0">
        <v>372</v>
      </c>
      <c r="AN137" t="s" s="0">
        <v>372</v>
      </c>
      <c r="AO137" t="s" s="0">
        <v>313</v>
      </c>
      <c r="AP137" t="s" s="0">
        <v>210</v>
      </c>
      <c r="AQ137" t="s" s="0">
        <v>522</v>
      </c>
      <c r="AR137" t="s" s="0">
        <v>523</v>
      </c>
      <c r="AS137" t="s" s="0">
        <v>524</v>
      </c>
      <c r="AT137" t="s" s="0">
        <v>3611</v>
      </c>
      <c r="AU137" t="s" s="0">
        <v>3612</v>
      </c>
      <c r="AV137" t="s" s="0">
        <v>81</v>
      </c>
      <c r="AW137" t="s" s="0">
        <v>3613</v>
      </c>
      <c r="AX137" t="s" s="0">
        <v>3614</v>
      </c>
      <c r="AY137" t="s" s="0">
        <v>1140</v>
      </c>
      <c r="AZ137" t="s" s="0">
        <v>142</v>
      </c>
      <c r="BA137" t="s" s="0">
        <v>3615</v>
      </c>
      <c r="BB137" t="s" s="0">
        <v>81</v>
      </c>
      <c r="BC137" t="s" s="0">
        <v>81</v>
      </c>
      <c r="BD137" t="s" s="0">
        <v>81</v>
      </c>
      <c r="BE137" t="s" s="0">
        <v>81</v>
      </c>
      <c r="BF137" t="s" s="0">
        <v>81</v>
      </c>
      <c r="BG137" t="s" s="0">
        <v>81</v>
      </c>
      <c r="BH137" t="s" s="0">
        <v>81</v>
      </c>
      <c r="BI137" t="s" s="0">
        <v>3616</v>
      </c>
      <c r="BJ137" t="s" s="0">
        <v>3617</v>
      </c>
      <c r="BK137" t="s" s="270">
        <f>HYPERLINK("http://dx.doi.org/10.1016/j.ejrad.2025.112468","http://dx.doi.org/10.1016/j.ejrad.2025.112468")</f>
        <v>3618</v>
      </c>
      <c r="BL137" t="s" s="0">
        <v>81</v>
      </c>
      <c r="BM137" t="s" s="0">
        <v>218</v>
      </c>
      <c r="BN137" t="s" s="0">
        <v>133</v>
      </c>
      <c r="BO137" t="s" s="0">
        <v>292</v>
      </c>
      <c r="BP137" t="s" s="0">
        <v>292</v>
      </c>
      <c r="BQ137" t="s" s="0">
        <v>3619</v>
      </c>
      <c r="BR137" t="s" s="0">
        <v>3620</v>
      </c>
      <c r="BS137" t="s" s="0">
        <v>3621</v>
      </c>
      <c r="BT137" t="s" s="271">
        <f>HYPERLINK("https://www.webofscience.com/wos/woscc/full-record/WOS:001599147400001","View Record in Web of Science")</f>
        <v>113</v>
      </c>
      <c r="BU137" t="s" s="0">
        <v>81</v>
      </c>
      <c r="BV137" t="s" s="0">
        <v>81</v>
      </c>
      <c r="BW137" t="s" s="0">
        <v>81</v>
      </c>
      <c r="BX137" t="s" s="0">
        <v>115</v>
      </c>
    </row>
    <row r="138">
      <c r="A138" t="s" s="0">
        <v>77</v>
      </c>
      <c r="B138" t="s" s="0">
        <v>77</v>
      </c>
      <c r="C138" t="s" s="0">
        <v>77</v>
      </c>
      <c r="D138" t="s" s="0">
        <v>77</v>
      </c>
      <c r="E138" t="s" s="0">
        <v>3622</v>
      </c>
      <c r="F138" t="s" s="0">
        <v>3623</v>
      </c>
      <c r="G138" t="s" s="0">
        <v>3624</v>
      </c>
      <c r="H138" t="s" s="0">
        <v>81</v>
      </c>
      <c r="I138" t="s" s="0">
        <v>82</v>
      </c>
      <c r="J138" t="s" s="0">
        <v>3625</v>
      </c>
      <c r="K138" t="s" s="0">
        <v>3626</v>
      </c>
      <c r="L138" t="s" s="0">
        <v>81</v>
      </c>
      <c r="M138" t="s" s="0">
        <v>81</v>
      </c>
      <c r="N138" t="s" s="0">
        <v>81</v>
      </c>
      <c r="O138" t="s" s="0">
        <v>3627</v>
      </c>
      <c r="P138" t="s" s="0">
        <v>3628</v>
      </c>
      <c r="Q138" t="s" s="0">
        <v>87</v>
      </c>
      <c r="R138" t="s" s="0">
        <v>81</v>
      </c>
      <c r="S138" t="s" s="0">
        <v>81</v>
      </c>
      <c r="T138" t="s" s="0">
        <v>81</v>
      </c>
      <c r="U138" t="s" s="0">
        <v>81</v>
      </c>
      <c r="V138" t="s" s="0">
        <v>3629</v>
      </c>
      <c r="W138" t="s" s="0">
        <v>3630</v>
      </c>
      <c r="X138" t="s" s="0">
        <v>81</v>
      </c>
      <c r="Y138" t="s" s="0">
        <v>81</v>
      </c>
      <c r="Z138" t="s" s="0">
        <v>90</v>
      </c>
      <c r="AA138" t="s" s="0">
        <v>2522</v>
      </c>
      <c r="AB138" t="s" s="0">
        <v>81</v>
      </c>
      <c r="AC138" t="s" s="0">
        <v>81</v>
      </c>
      <c r="AD138" t="s" s="0">
        <v>81</v>
      </c>
      <c r="AE138" t="s" s="0">
        <v>81</v>
      </c>
      <c r="AF138" t="s" s="0">
        <v>81</v>
      </c>
      <c r="AG138" t="s" s="0">
        <v>3631</v>
      </c>
      <c r="AH138" t="s" s="0">
        <v>81</v>
      </c>
      <c r="AI138" t="s" s="0">
        <v>81</v>
      </c>
      <c r="AJ138" t="s" s="0">
        <v>81</v>
      </c>
      <c r="AK138" t="s" s="0">
        <v>81</v>
      </c>
      <c r="AL138" t="s" s="0">
        <v>345</v>
      </c>
      <c r="AM138" t="s" s="0">
        <v>144</v>
      </c>
      <c r="AN138" t="s" s="0">
        <v>144</v>
      </c>
      <c r="AO138" t="s" s="0">
        <v>116</v>
      </c>
      <c r="AP138" t="s" s="0">
        <v>116</v>
      </c>
      <c r="AQ138" t="s" s="0">
        <v>1463</v>
      </c>
      <c r="AR138" t="s" s="0">
        <v>1464</v>
      </c>
      <c r="AS138" t="s" s="0">
        <v>1465</v>
      </c>
      <c r="AT138" t="s" s="0">
        <v>3632</v>
      </c>
      <c r="AU138" t="s" s="0">
        <v>3633</v>
      </c>
      <c r="AV138" t="s" s="0">
        <v>81</v>
      </c>
      <c r="AW138" t="s" s="0">
        <v>3634</v>
      </c>
      <c r="AX138" t="s" s="0">
        <v>3635</v>
      </c>
      <c r="AY138" t="s" s="0">
        <v>81</v>
      </c>
      <c r="AZ138" t="s" s="0">
        <v>101</v>
      </c>
      <c r="BA138" t="s" s="0">
        <v>81</v>
      </c>
      <c r="BB138" t="s" s="0">
        <v>81</v>
      </c>
      <c r="BC138" t="s" s="0">
        <v>81</v>
      </c>
      <c r="BD138" t="s" s="0">
        <v>81</v>
      </c>
      <c r="BE138" t="s" s="0">
        <v>81</v>
      </c>
      <c r="BF138" t="s" s="0">
        <v>81</v>
      </c>
      <c r="BG138" t="s" s="0">
        <v>81</v>
      </c>
      <c r="BH138" t="s" s="0">
        <v>81</v>
      </c>
      <c r="BI138" t="s" s="0">
        <v>81</v>
      </c>
      <c r="BJ138" t="s" s="0">
        <v>3636</v>
      </c>
      <c r="BK138" t="s" s="272">
        <f>HYPERLINK("http://dx.doi.org/10.1142/S1793431125400019","http://dx.doi.org/10.1142/S1793431125400019")</f>
        <v>3637</v>
      </c>
      <c r="BL138" t="s" s="0">
        <v>81</v>
      </c>
      <c r="BM138" t="s" s="0">
        <v>566</v>
      </c>
      <c r="BN138" t="s" s="0">
        <v>1887</v>
      </c>
      <c r="BO138" t="s" s="0">
        <v>3638</v>
      </c>
      <c r="BP138" t="s" s="0">
        <v>3639</v>
      </c>
      <c r="BQ138" t="s" s="0">
        <v>3640</v>
      </c>
      <c r="BR138" t="s" s="0">
        <v>81</v>
      </c>
      <c r="BS138" t="s" s="0">
        <v>3641</v>
      </c>
      <c r="BT138" t="s" s="273">
        <f>HYPERLINK("https://www.webofscience.com/wos/woscc/full-record/WOS:001704505100001","View Record in Web of Science")</f>
        <v>113</v>
      </c>
      <c r="BU138" t="s" s="0">
        <v>81</v>
      </c>
      <c r="BV138" t="s" s="0">
        <v>81</v>
      </c>
      <c r="BW138" t="s" s="0">
        <v>81</v>
      </c>
      <c r="BX138" t="s" s="0">
        <v>115</v>
      </c>
    </row>
    <row r="139">
      <c r="A139" t="s" s="0">
        <v>103</v>
      </c>
      <c r="B139" t="s" s="0">
        <v>77</v>
      </c>
      <c r="C139" t="s" s="0">
        <v>107</v>
      </c>
      <c r="D139" t="s" s="0">
        <v>77</v>
      </c>
      <c r="E139" t="s" s="0">
        <v>3642</v>
      </c>
      <c r="F139" t="s" s="0">
        <v>3643</v>
      </c>
      <c r="G139" t="s" s="0">
        <v>3644</v>
      </c>
      <c r="H139" t="s" s="0">
        <v>81</v>
      </c>
      <c r="I139" t="s" s="0">
        <v>82</v>
      </c>
      <c r="J139" t="s" s="0">
        <v>3645</v>
      </c>
      <c r="K139" t="s" s="0">
        <v>3646</v>
      </c>
      <c r="L139" t="s" s="0">
        <v>3647</v>
      </c>
      <c r="M139" t="s" s="0">
        <v>3648</v>
      </c>
      <c r="N139" t="s" s="0">
        <v>3649</v>
      </c>
      <c r="O139" t="s" s="0">
        <v>3650</v>
      </c>
      <c r="P139" t="s" s="0">
        <v>3651</v>
      </c>
      <c r="Q139" t="s" s="0">
        <v>87</v>
      </c>
      <c r="R139" t="s" s="0">
        <v>81</v>
      </c>
      <c r="S139" t="s" s="0">
        <v>81</v>
      </c>
      <c r="T139" t="s" s="0">
        <v>81</v>
      </c>
      <c r="U139" t="s" s="0">
        <v>81</v>
      </c>
      <c r="V139" t="s" s="0">
        <v>3652</v>
      </c>
      <c r="W139" t="s" s="0">
        <v>3653</v>
      </c>
      <c r="X139" t="s" s="0">
        <v>81</v>
      </c>
      <c r="Y139" t="s" s="0">
        <v>81</v>
      </c>
      <c r="Z139" t="s" s="0">
        <v>90</v>
      </c>
      <c r="AA139" t="s" s="0">
        <v>91</v>
      </c>
      <c r="AB139" t="s" s="0">
        <v>81</v>
      </c>
      <c r="AC139" t="s" s="0">
        <v>81</v>
      </c>
      <c r="AD139" t="s" s="0">
        <v>81</v>
      </c>
      <c r="AE139" t="s" s="0">
        <v>81</v>
      </c>
      <c r="AF139" t="s" s="0">
        <v>81</v>
      </c>
      <c r="AG139" t="s" s="0">
        <v>3654</v>
      </c>
      <c r="AH139" t="s" s="0">
        <v>3655</v>
      </c>
      <c r="AI139" t="s" s="0">
        <v>3656</v>
      </c>
      <c r="AJ139" t="s" s="0">
        <v>3657</v>
      </c>
      <c r="AK139" t="s" s="0">
        <v>81</v>
      </c>
      <c r="AL139" t="s" s="0">
        <v>401</v>
      </c>
      <c r="AM139" t="s" s="0">
        <v>521</v>
      </c>
      <c r="AN139" t="s" s="0">
        <v>102</v>
      </c>
      <c r="AO139" t="s" s="0">
        <v>313</v>
      </c>
      <c r="AP139" t="s" s="0">
        <v>102</v>
      </c>
      <c r="AQ139" t="s" s="0">
        <v>174</v>
      </c>
      <c r="AR139" t="s" s="0">
        <v>175</v>
      </c>
      <c r="AS139" t="s" s="0">
        <v>176</v>
      </c>
      <c r="AT139" t="s" s="0">
        <v>3658</v>
      </c>
      <c r="AU139" t="s" s="0">
        <v>3659</v>
      </c>
      <c r="AV139" t="s" s="0">
        <v>81</v>
      </c>
      <c r="AW139" t="s" s="0">
        <v>3660</v>
      </c>
      <c r="AX139" t="s" s="0">
        <v>3653</v>
      </c>
      <c r="AY139" t="s" s="0">
        <v>3572</v>
      </c>
      <c r="AZ139" t="s" s="0">
        <v>742</v>
      </c>
      <c r="BA139" t="s" s="0">
        <v>767</v>
      </c>
      <c r="BB139" t="s" s="0">
        <v>144</v>
      </c>
      <c r="BC139" t="s" s="0">
        <v>81</v>
      </c>
      <c r="BD139" t="s" s="0">
        <v>81</v>
      </c>
      <c r="BE139" t="s" s="0">
        <v>81</v>
      </c>
      <c r="BF139" t="s" s="0">
        <v>81</v>
      </c>
      <c r="BG139" t="s" s="0">
        <v>3661</v>
      </c>
      <c r="BH139" t="s" s="0">
        <v>3662</v>
      </c>
      <c r="BI139" t="s" s="0">
        <v>81</v>
      </c>
      <c r="BJ139" t="s" s="0">
        <v>3663</v>
      </c>
      <c r="BK139" t="s" s="274">
        <f>HYPERLINK("http://dx.doi.org/10.1016/j.ejso.2022.08.036","http://dx.doi.org/10.1016/j.ejso.2022.08.036")</f>
        <v>3664</v>
      </c>
      <c r="BL139" t="s" s="0">
        <v>81</v>
      </c>
      <c r="BM139" t="s" s="0">
        <v>3572</v>
      </c>
      <c r="BN139" t="s" s="0">
        <v>133</v>
      </c>
      <c r="BO139" t="s" s="0">
        <v>3665</v>
      </c>
      <c r="BP139" t="s" s="0">
        <v>3665</v>
      </c>
      <c r="BQ139" t="s" s="0">
        <v>3666</v>
      </c>
      <c r="BR139" t="s" s="0">
        <v>3667</v>
      </c>
      <c r="BS139" t="s" s="0">
        <v>3668</v>
      </c>
      <c r="BT139" t="s" s="275">
        <f>HYPERLINK("https://www.webofscience.com/wos/woscc/full-record/WOS:000923363400001","View Record in Web of Science")</f>
        <v>113</v>
      </c>
      <c r="BU139" t="s" s="0">
        <v>81</v>
      </c>
      <c r="BV139" t="s" s="0">
        <v>81</v>
      </c>
      <c r="BW139" t="s" s="0">
        <v>81</v>
      </c>
      <c r="BX139" t="s" s="0">
        <v>115</v>
      </c>
    </row>
    <row r="140">
      <c r="A140" t="s" s="0">
        <v>77</v>
      </c>
      <c r="B140" t="s" s="0">
        <v>77</v>
      </c>
      <c r="C140" t="s" s="0">
        <v>77</v>
      </c>
      <c r="D140" t="s" s="0">
        <v>77</v>
      </c>
      <c r="E140" t="s" s="0">
        <v>3669</v>
      </c>
      <c r="F140" t="s" s="0">
        <v>3670</v>
      </c>
      <c r="G140" t="s" s="0">
        <v>3671</v>
      </c>
      <c r="H140" t="s" s="0">
        <v>81</v>
      </c>
      <c r="I140" t="s" s="0">
        <v>82</v>
      </c>
      <c r="J140" t="s" s="0">
        <v>3672</v>
      </c>
      <c r="K140" t="s" s="0">
        <v>3673</v>
      </c>
      <c r="L140" t="s" s="0">
        <v>3674</v>
      </c>
      <c r="M140" t="s" s="0">
        <v>3674</v>
      </c>
      <c r="N140" t="s" s="0">
        <v>3675</v>
      </c>
      <c r="O140" t="s" s="0">
        <v>3676</v>
      </c>
      <c r="P140" t="s" s="0">
        <v>3677</v>
      </c>
      <c r="Q140" t="s" s="0">
        <v>87</v>
      </c>
      <c r="R140" t="s" s="0">
        <v>81</v>
      </c>
      <c r="S140" t="s" s="0">
        <v>81</v>
      </c>
      <c r="T140" t="s" s="0">
        <v>81</v>
      </c>
      <c r="U140" t="s" s="0">
        <v>81</v>
      </c>
      <c r="V140" t="s" s="0">
        <v>3678</v>
      </c>
      <c r="W140" t="s" s="0">
        <v>3679</v>
      </c>
      <c r="X140" t="s" s="0">
        <v>81</v>
      </c>
      <c r="Y140" t="s" s="0">
        <v>81</v>
      </c>
      <c r="Z140" t="s" s="0">
        <v>90</v>
      </c>
      <c r="AA140" t="s" s="0">
        <v>91</v>
      </c>
      <c r="AB140" t="s" s="0">
        <v>81</v>
      </c>
      <c r="AC140" t="s" s="0">
        <v>81</v>
      </c>
      <c r="AD140" t="s" s="0">
        <v>81</v>
      </c>
      <c r="AE140" t="s" s="0">
        <v>81</v>
      </c>
      <c r="AF140" t="s" s="0">
        <v>81</v>
      </c>
      <c r="AG140" t="s" s="0">
        <v>3680</v>
      </c>
      <c r="AH140" t="s" s="0">
        <v>81</v>
      </c>
      <c r="AI140" t="s" s="0">
        <v>3681</v>
      </c>
      <c r="AJ140" t="s" s="0">
        <v>3682</v>
      </c>
      <c r="AK140" t="s" s="0">
        <v>81</v>
      </c>
      <c r="AL140" t="s" s="0">
        <v>1001</v>
      </c>
      <c r="AM140" t="s" s="0">
        <v>77</v>
      </c>
      <c r="AN140" t="s" s="0">
        <v>77</v>
      </c>
      <c r="AO140" t="s" s="0">
        <v>77</v>
      </c>
      <c r="AP140" t="s" s="0">
        <v>313</v>
      </c>
      <c r="AQ140" t="s" s="0">
        <v>3683</v>
      </c>
      <c r="AR140" t="s" s="0">
        <v>646</v>
      </c>
      <c r="AS140" t="s" s="0">
        <v>3684</v>
      </c>
      <c r="AT140" t="s" s="0">
        <v>3685</v>
      </c>
      <c r="AU140" t="s" s="0">
        <v>3686</v>
      </c>
      <c r="AV140" t="s" s="0">
        <v>81</v>
      </c>
      <c r="AW140" t="s" s="0">
        <v>3687</v>
      </c>
      <c r="AX140" t="s" s="0">
        <v>3688</v>
      </c>
      <c r="AY140" t="s" s="0">
        <v>622</v>
      </c>
      <c r="AZ140" t="s" s="0">
        <v>101</v>
      </c>
      <c r="BA140" t="s" s="0">
        <v>1262</v>
      </c>
      <c r="BB140" t="s" s="0">
        <v>372</v>
      </c>
      <c r="BC140" t="s" s="0">
        <v>81</v>
      </c>
      <c r="BD140" t="s" s="0">
        <v>81</v>
      </c>
      <c r="BE140" t="s" s="0">
        <v>81</v>
      </c>
      <c r="BF140" t="s" s="0">
        <v>81</v>
      </c>
      <c r="BG140" t="s" s="0">
        <v>3689</v>
      </c>
      <c r="BH140" t="s" s="0">
        <v>3690</v>
      </c>
      <c r="BI140" t="s" s="0">
        <v>81</v>
      </c>
      <c r="BJ140" t="s" s="0">
        <v>3691</v>
      </c>
      <c r="BK140" t="s" s="276">
        <f>HYPERLINK("http://dx.doi.org/10.1136/bjo-2025-327506","http://dx.doi.org/10.1136/bjo-2025-327506")</f>
        <v>3692</v>
      </c>
      <c r="BL140" t="s" s="0">
        <v>81</v>
      </c>
      <c r="BM140" t="s" s="0">
        <v>253</v>
      </c>
      <c r="BN140" t="s" s="0">
        <v>103</v>
      </c>
      <c r="BO140" t="s" s="0">
        <v>1084</v>
      </c>
      <c r="BP140" t="s" s="0">
        <v>1084</v>
      </c>
      <c r="BQ140" t="s" s="0">
        <v>3693</v>
      </c>
      <c r="BR140" t="s" s="0">
        <v>3694</v>
      </c>
      <c r="BS140" t="s" s="0">
        <v>3695</v>
      </c>
      <c r="BT140" t="s" s="277">
        <f>HYPERLINK("https://www.webofscience.com/wos/woscc/full-record/WOS:001611110900001","View Record in Web of Science")</f>
        <v>113</v>
      </c>
      <c r="BU140" t="s" s="0">
        <v>193</v>
      </c>
      <c r="BV140" t="s" s="0">
        <v>81</v>
      </c>
      <c r="BW140" t="s" s="0">
        <v>81</v>
      </c>
      <c r="BX140" t="s" s="0">
        <v>115</v>
      </c>
    </row>
    <row r="141">
      <c r="A141" t="s" s="0">
        <v>77</v>
      </c>
      <c r="B141" t="s" s="0">
        <v>77</v>
      </c>
      <c r="C141" t="s" s="0">
        <v>77</v>
      </c>
      <c r="D141" t="s" s="0">
        <v>77</v>
      </c>
      <c r="E141" t="s" s="0">
        <v>3696</v>
      </c>
      <c r="F141" t="s" s="0">
        <v>3697</v>
      </c>
      <c r="G141" t="s" s="0">
        <v>3698</v>
      </c>
      <c r="H141" t="s" s="0">
        <v>81</v>
      </c>
      <c r="I141" t="s" s="0">
        <v>82</v>
      </c>
      <c r="J141" t="s" s="0">
        <v>3699</v>
      </c>
      <c r="K141" t="s" s="0">
        <v>3700</v>
      </c>
      <c r="L141" t="s" s="0">
        <v>3701</v>
      </c>
      <c r="M141" t="s" s="0">
        <v>267</v>
      </c>
      <c r="N141" t="s" s="0">
        <v>3702</v>
      </c>
      <c r="O141" t="s" s="0">
        <v>3703</v>
      </c>
      <c r="P141" t="s" s="0">
        <v>3704</v>
      </c>
      <c r="Q141" t="s" s="0">
        <v>87</v>
      </c>
      <c r="R141" t="s" s="0">
        <v>81</v>
      </c>
      <c r="S141" t="s" s="0">
        <v>81</v>
      </c>
      <c r="T141" t="s" s="0">
        <v>81</v>
      </c>
      <c r="U141" t="s" s="0">
        <v>81</v>
      </c>
      <c r="V141" t="s" s="0">
        <v>3705</v>
      </c>
      <c r="W141" t="s" s="0">
        <v>3706</v>
      </c>
      <c r="X141" t="s" s="0">
        <v>81</v>
      </c>
      <c r="Y141" t="s" s="0">
        <v>81</v>
      </c>
      <c r="Z141" t="s" s="0">
        <v>90</v>
      </c>
      <c r="AA141" t="s" s="0">
        <v>91</v>
      </c>
      <c r="AB141" t="s" s="0">
        <v>81</v>
      </c>
      <c r="AC141" t="s" s="0">
        <v>81</v>
      </c>
      <c r="AD141" t="s" s="0">
        <v>81</v>
      </c>
      <c r="AE141" t="s" s="0">
        <v>81</v>
      </c>
      <c r="AF141" t="s" s="0">
        <v>81</v>
      </c>
      <c r="AG141" t="s" s="0">
        <v>3707</v>
      </c>
      <c r="AH141" t="s" s="0">
        <v>3708</v>
      </c>
      <c r="AI141" t="s" s="0">
        <v>81</v>
      </c>
      <c r="AJ141" t="s" s="0">
        <v>81</v>
      </c>
      <c r="AK141" t="s" s="0">
        <v>81</v>
      </c>
      <c r="AL141" t="s" s="0">
        <v>519</v>
      </c>
      <c r="AM141" t="s" s="0">
        <v>187</v>
      </c>
      <c r="AN141" t="s" s="0">
        <v>187</v>
      </c>
      <c r="AO141" t="s" s="0">
        <v>143</v>
      </c>
      <c r="AP141" t="s" s="0">
        <v>433</v>
      </c>
      <c r="AQ141" t="s" s="0">
        <v>1162</v>
      </c>
      <c r="AR141" t="s" s="0">
        <v>95</v>
      </c>
      <c r="AS141" t="s" s="0">
        <v>1163</v>
      </c>
      <c r="AT141" t="s" s="0">
        <v>3709</v>
      </c>
      <c r="AU141" t="s" s="0">
        <v>3710</v>
      </c>
      <c r="AV141" t="s" s="0">
        <v>81</v>
      </c>
      <c r="AW141" t="s" s="0">
        <v>3711</v>
      </c>
      <c r="AX141" t="s" s="0">
        <v>3712</v>
      </c>
      <c r="AY141" t="s" s="0">
        <v>3713</v>
      </c>
      <c r="AZ141" t="s" s="0">
        <v>142</v>
      </c>
      <c r="BA141" t="s" s="0">
        <v>3714</v>
      </c>
      <c r="BB141" t="s" s="0">
        <v>81</v>
      </c>
      <c r="BC141" t="s" s="0">
        <v>81</v>
      </c>
      <c r="BD141" t="s" s="0">
        <v>81</v>
      </c>
      <c r="BE141" t="s" s="0">
        <v>81</v>
      </c>
      <c r="BF141" t="s" s="0">
        <v>81</v>
      </c>
      <c r="BG141" t="s" s="0">
        <v>81</v>
      </c>
      <c r="BH141" t="s" s="0">
        <v>81</v>
      </c>
      <c r="BI141" t="s" s="0">
        <v>3715</v>
      </c>
      <c r="BJ141" t="s" s="0">
        <v>3716</v>
      </c>
      <c r="BK141" t="s" s="278">
        <f>HYPERLINK("http://dx.doi.org/10.1016/j.oceaneng.2025.121766","http://dx.doi.org/10.1016/j.oceaneng.2025.121766")</f>
        <v>3717</v>
      </c>
      <c r="BL141" t="s" s="0">
        <v>81</v>
      </c>
      <c r="BM141" t="s" s="0">
        <v>494</v>
      </c>
      <c r="BN141" t="s" s="0">
        <v>134</v>
      </c>
      <c r="BO141" t="s" s="0">
        <v>3718</v>
      </c>
      <c r="BP141" t="s" s="0">
        <v>3719</v>
      </c>
      <c r="BQ141" t="s" s="0">
        <v>3720</v>
      </c>
      <c r="BR141" t="s" s="0">
        <v>81</v>
      </c>
      <c r="BS141" t="s" s="0">
        <v>3721</v>
      </c>
      <c r="BT141" t="s" s="279">
        <f>HYPERLINK("https://www.webofscience.com/wos/woscc/full-record/WOS:001517303500009","View Record in Web of Science")</f>
        <v>113</v>
      </c>
      <c r="BU141" t="s" s="0">
        <v>81</v>
      </c>
      <c r="BV141" t="s" s="0">
        <v>81</v>
      </c>
      <c r="BW141" t="s" s="0">
        <v>81</v>
      </c>
      <c r="BX141" t="s" s="0">
        <v>115</v>
      </c>
    </row>
    <row r="142">
      <c r="A142" t="s" s="0">
        <v>77</v>
      </c>
      <c r="B142" t="s" s="0">
        <v>77</v>
      </c>
      <c r="C142" t="s" s="0">
        <v>144</v>
      </c>
      <c r="D142" t="s" s="0">
        <v>77</v>
      </c>
      <c r="E142" t="s" s="0">
        <v>3722</v>
      </c>
      <c r="F142" t="s" s="0">
        <v>3723</v>
      </c>
      <c r="G142" t="s" s="0">
        <v>3724</v>
      </c>
      <c r="H142" t="s" s="0">
        <v>81</v>
      </c>
      <c r="I142" t="s" s="0">
        <v>157</v>
      </c>
      <c r="J142" t="s" s="0">
        <v>3725</v>
      </c>
      <c r="K142" t="s" s="0">
        <v>3726</v>
      </c>
      <c r="L142" t="s" s="0">
        <v>3727</v>
      </c>
      <c r="M142" t="s" s="0">
        <v>3728</v>
      </c>
      <c r="N142" t="s" s="0">
        <v>3729</v>
      </c>
      <c r="O142" t="s" s="0">
        <v>3730</v>
      </c>
      <c r="P142" t="s" s="0">
        <v>3731</v>
      </c>
      <c r="Q142" t="s" s="0">
        <v>87</v>
      </c>
      <c r="R142" t="s" s="0">
        <v>81</v>
      </c>
      <c r="S142" t="s" s="0">
        <v>81</v>
      </c>
      <c r="T142" t="s" s="0">
        <v>81</v>
      </c>
      <c r="U142" t="s" s="0">
        <v>81</v>
      </c>
      <c r="V142" t="s" s="0">
        <v>3732</v>
      </c>
      <c r="W142" t="s" s="0">
        <v>1105</v>
      </c>
      <c r="X142" t="s" s="0">
        <v>81</v>
      </c>
      <c r="Y142" t="s" s="0">
        <v>81</v>
      </c>
      <c r="Z142" t="s" s="0">
        <v>90</v>
      </c>
      <c r="AA142" t="s" s="0">
        <v>91</v>
      </c>
      <c r="AB142" t="s" s="0">
        <v>81</v>
      </c>
      <c r="AC142" t="s" s="0">
        <v>81</v>
      </c>
      <c r="AD142" t="s" s="0">
        <v>81</v>
      </c>
      <c r="AE142" t="s" s="0">
        <v>81</v>
      </c>
      <c r="AF142" t="s" s="0">
        <v>81</v>
      </c>
      <c r="AG142" t="s" s="0">
        <v>3733</v>
      </c>
      <c r="AH142" t="s" s="0">
        <v>3734</v>
      </c>
      <c r="AI142" t="s" s="0">
        <v>81</v>
      </c>
      <c r="AJ142" t="s" s="0">
        <v>3735</v>
      </c>
      <c r="AK142" t="s" s="0">
        <v>81</v>
      </c>
      <c r="AL142" t="s" s="0">
        <v>1887</v>
      </c>
      <c r="AM142" t="s" s="0">
        <v>313</v>
      </c>
      <c r="AN142" t="s" s="0">
        <v>313</v>
      </c>
      <c r="AO142" t="s" s="0">
        <v>77</v>
      </c>
      <c r="AP142" t="s" s="0">
        <v>323</v>
      </c>
      <c r="AQ142" t="s" s="0">
        <v>402</v>
      </c>
      <c r="AR142" t="s" s="0">
        <v>403</v>
      </c>
      <c r="AS142" t="s" s="0">
        <v>404</v>
      </c>
      <c r="AT142" t="s" s="0">
        <v>81</v>
      </c>
      <c r="AU142" t="s" s="0">
        <v>1108</v>
      </c>
      <c r="AV142" t="s" s="0">
        <v>81</v>
      </c>
      <c r="AW142" t="s" s="0">
        <v>1109</v>
      </c>
      <c r="AX142" t="s" s="0">
        <v>1110</v>
      </c>
      <c r="AY142" t="s" s="0">
        <v>3736</v>
      </c>
      <c r="AZ142" t="s" s="0">
        <v>920</v>
      </c>
      <c r="BA142" t="s" s="0">
        <v>107</v>
      </c>
      <c r="BB142" t="s" s="0">
        <v>81</v>
      </c>
      <c r="BC142" t="s" s="0">
        <v>81</v>
      </c>
      <c r="BD142" t="s" s="0">
        <v>81</v>
      </c>
      <c r="BE142" t="s" s="0">
        <v>81</v>
      </c>
      <c r="BF142" t="s" s="0">
        <v>81</v>
      </c>
      <c r="BG142" t="s" s="0">
        <v>81</v>
      </c>
      <c r="BH142" t="s" s="0">
        <v>81</v>
      </c>
      <c r="BI142" t="s" s="0">
        <v>3737</v>
      </c>
      <c r="BJ142" t="s" s="0">
        <v>3738</v>
      </c>
      <c r="BK142" t="s" s="280">
        <f>HYPERLINK("http://dx.doi.org/10.3389/fpubh.2022.982289","http://dx.doi.org/10.3389/fpubh.2022.982289")</f>
        <v>3739</v>
      </c>
      <c r="BL142" t="s" s="0">
        <v>81</v>
      </c>
      <c r="BM142" t="s" s="0">
        <v>81</v>
      </c>
      <c r="BN142" t="s" s="0">
        <v>143</v>
      </c>
      <c r="BO142" t="s" s="0">
        <v>1115</v>
      </c>
      <c r="BP142" t="s" s="0">
        <v>1115</v>
      </c>
      <c r="BQ142" t="s" s="0">
        <v>3740</v>
      </c>
      <c r="BR142" t="s" s="0">
        <v>3741</v>
      </c>
      <c r="BS142" t="s" s="0">
        <v>3742</v>
      </c>
      <c r="BT142" t="s" s="281">
        <f>HYPERLINK("https://www.webofscience.com/wos/woscc/full-record/WOS:000893969800001","View Record in Web of Science")</f>
        <v>113</v>
      </c>
      <c r="BU142" t="s" s="0">
        <v>153</v>
      </c>
      <c r="BV142" t="s" s="0">
        <v>81</v>
      </c>
      <c r="BW142" t="s" s="0">
        <v>81</v>
      </c>
      <c r="BX142" t="s" s="0">
        <v>115</v>
      </c>
    </row>
    <row r="143">
      <c r="A143" t="s" s="0">
        <v>77</v>
      </c>
      <c r="B143" t="s" s="0">
        <v>77</v>
      </c>
      <c r="C143" t="s" s="0">
        <v>77</v>
      </c>
      <c r="D143" t="s" s="0">
        <v>77</v>
      </c>
      <c r="E143" t="s" s="0">
        <v>3743</v>
      </c>
      <c r="F143" t="s" s="0">
        <v>3744</v>
      </c>
      <c r="G143" t="s" s="0">
        <v>3745</v>
      </c>
      <c r="H143" t="s" s="0">
        <v>81</v>
      </c>
      <c r="I143" t="s" s="0">
        <v>82</v>
      </c>
      <c r="J143" t="s" s="0">
        <v>3746</v>
      </c>
      <c r="K143" t="s" s="0">
        <v>3747</v>
      </c>
      <c r="L143" t="s" s="0">
        <v>3748</v>
      </c>
      <c r="M143" t="s" s="0">
        <v>3749</v>
      </c>
      <c r="N143" t="s" s="0">
        <v>3750</v>
      </c>
      <c r="O143" t="s" s="0">
        <v>3751</v>
      </c>
      <c r="P143" t="s" s="0">
        <v>3752</v>
      </c>
      <c r="Q143" t="s" s="0">
        <v>87</v>
      </c>
      <c r="R143" t="s" s="0">
        <v>81</v>
      </c>
      <c r="S143" t="s" s="0">
        <v>81</v>
      </c>
      <c r="T143" t="s" s="0">
        <v>81</v>
      </c>
      <c r="U143" t="s" s="0">
        <v>81</v>
      </c>
      <c r="V143" t="s" s="0">
        <v>3753</v>
      </c>
      <c r="W143" t="s" s="0">
        <v>3754</v>
      </c>
      <c r="X143" t="s" s="0">
        <v>81</v>
      </c>
      <c r="Y143" t="s" s="0">
        <v>81</v>
      </c>
      <c r="Z143" t="s" s="0">
        <v>90</v>
      </c>
      <c r="AA143" t="s" s="0">
        <v>91</v>
      </c>
      <c r="AB143" t="s" s="0">
        <v>81</v>
      </c>
      <c r="AC143" t="s" s="0">
        <v>81</v>
      </c>
      <c r="AD143" t="s" s="0">
        <v>81</v>
      </c>
      <c r="AE143" t="s" s="0">
        <v>81</v>
      </c>
      <c r="AF143" t="s" s="0">
        <v>81</v>
      </c>
      <c r="AG143" t="s" s="0">
        <v>3755</v>
      </c>
      <c r="AH143" t="s" s="0">
        <v>81</v>
      </c>
      <c r="AI143" t="s" s="0">
        <v>81</v>
      </c>
      <c r="AJ143" t="s" s="0">
        <v>81</v>
      </c>
      <c r="AK143" t="s" s="0">
        <v>81</v>
      </c>
      <c r="AL143" t="s" s="0">
        <v>345</v>
      </c>
      <c r="AM143" t="s" s="0">
        <v>77</v>
      </c>
      <c r="AN143" t="s" s="0">
        <v>77</v>
      </c>
      <c r="AO143" t="s" s="0">
        <v>116</v>
      </c>
      <c r="AP143" t="s" s="0">
        <v>116</v>
      </c>
      <c r="AQ143" t="s" s="0">
        <v>615</v>
      </c>
      <c r="AR143" t="s" s="0">
        <v>616</v>
      </c>
      <c r="AS143" t="s" s="0">
        <v>617</v>
      </c>
      <c r="AT143" t="s" s="0">
        <v>3756</v>
      </c>
      <c r="AU143" t="s" s="0">
        <v>3757</v>
      </c>
      <c r="AV143" t="s" s="0">
        <v>81</v>
      </c>
      <c r="AW143" t="s" s="0">
        <v>3758</v>
      </c>
      <c r="AX143" t="s" s="0">
        <v>3759</v>
      </c>
      <c r="AY143" t="s" s="0">
        <v>3760</v>
      </c>
      <c r="AZ143" t="s" s="0">
        <v>101</v>
      </c>
      <c r="BA143" t="s" s="0">
        <v>3761</v>
      </c>
      <c r="BB143" t="s" s="0">
        <v>81</v>
      </c>
      <c r="BC143" t="s" s="0">
        <v>81</v>
      </c>
      <c r="BD143" t="s" s="0">
        <v>81</v>
      </c>
      <c r="BE143" t="s" s="0">
        <v>81</v>
      </c>
      <c r="BF143" t="s" s="0">
        <v>81</v>
      </c>
      <c r="BG143" t="s" s="0">
        <v>81</v>
      </c>
      <c r="BH143" t="s" s="0">
        <v>81</v>
      </c>
      <c r="BI143" t="s" s="0">
        <v>3762</v>
      </c>
      <c r="BJ143" t="s" s="0">
        <v>3763</v>
      </c>
      <c r="BK143" t="s" s="282">
        <f>HYPERLINK("http://dx.doi.org/10.1016/j.chemolab.2026.105782","http://dx.doi.org/10.1016/j.chemolab.2026.105782")</f>
        <v>3764</v>
      </c>
      <c r="BL143" t="s" s="0">
        <v>81</v>
      </c>
      <c r="BM143" t="s" s="0">
        <v>81</v>
      </c>
      <c r="BN143" t="s" s="0">
        <v>187</v>
      </c>
      <c r="BO143" t="s" s="0">
        <v>3765</v>
      </c>
      <c r="BP143" t="s" s="0">
        <v>3766</v>
      </c>
      <c r="BQ143" t="s" s="0">
        <v>3767</v>
      </c>
      <c r="BR143" t="s" s="0">
        <v>81</v>
      </c>
      <c r="BS143" t="s" s="0">
        <v>3768</v>
      </c>
      <c r="BT143" t="s" s="283">
        <f>HYPERLINK("https://www.webofscience.com/wos/woscc/full-record/WOS:001796445000001","View Record in Web of Science")</f>
        <v>113</v>
      </c>
      <c r="BU143" t="s" s="0">
        <v>81</v>
      </c>
      <c r="BV143" t="s" s="0">
        <v>81</v>
      </c>
      <c r="BW143" t="s" s="0">
        <v>81</v>
      </c>
      <c r="BX143" t="s" s="0">
        <v>115</v>
      </c>
    </row>
    <row r="144">
      <c r="A144" t="s" s="0">
        <v>77</v>
      </c>
      <c r="B144" t="s" s="0">
        <v>77</v>
      </c>
      <c r="C144" t="s" s="0">
        <v>77</v>
      </c>
      <c r="D144" t="s" s="0">
        <v>77</v>
      </c>
      <c r="E144" t="s" s="0">
        <v>3769</v>
      </c>
      <c r="F144" t="s" s="0">
        <v>3770</v>
      </c>
      <c r="G144" t="s" s="0">
        <v>3771</v>
      </c>
      <c r="H144" t="s" s="0">
        <v>81</v>
      </c>
      <c r="I144" t="s" s="0">
        <v>82</v>
      </c>
      <c r="J144" t="s" s="0">
        <v>3772</v>
      </c>
      <c r="K144" t="s" s="0">
        <v>3773</v>
      </c>
      <c r="L144" t="s" s="0">
        <v>3774</v>
      </c>
      <c r="M144" t="s" s="0">
        <v>3775</v>
      </c>
      <c r="N144" t="s" s="0">
        <v>81</v>
      </c>
      <c r="O144" t="s" s="0">
        <v>3776</v>
      </c>
      <c r="P144" t="s" s="0">
        <v>3777</v>
      </c>
      <c r="Q144" t="s" s="0">
        <v>87</v>
      </c>
      <c r="R144" t="s" s="0">
        <v>81</v>
      </c>
      <c r="S144" t="s" s="0">
        <v>81</v>
      </c>
      <c r="T144" t="s" s="0">
        <v>81</v>
      </c>
      <c r="U144" t="s" s="0">
        <v>81</v>
      </c>
      <c r="V144" t="s" s="0">
        <v>3778</v>
      </c>
      <c r="W144" t="s" s="0">
        <v>3779</v>
      </c>
      <c r="X144" t="s" s="0">
        <v>81</v>
      </c>
      <c r="Y144" t="s" s="0">
        <v>81</v>
      </c>
      <c r="Z144" t="s" s="0">
        <v>90</v>
      </c>
      <c r="AA144" t="s" s="0">
        <v>91</v>
      </c>
      <c r="AB144" t="s" s="0">
        <v>81</v>
      </c>
      <c r="AC144" t="s" s="0">
        <v>81</v>
      </c>
      <c r="AD144" t="s" s="0">
        <v>81</v>
      </c>
      <c r="AE144" t="s" s="0">
        <v>81</v>
      </c>
      <c r="AF144" t="s" s="0">
        <v>81</v>
      </c>
      <c r="AG144" t="s" s="0">
        <v>3780</v>
      </c>
      <c r="AH144" t="s" s="0">
        <v>3781</v>
      </c>
      <c r="AI144" t="s" s="0">
        <v>3782</v>
      </c>
      <c r="AJ144" t="s" s="0">
        <v>3783</v>
      </c>
      <c r="AK144" t="s" s="0">
        <v>81</v>
      </c>
      <c r="AL144" t="s" s="0">
        <v>1887</v>
      </c>
      <c r="AM144" t="s" s="0">
        <v>313</v>
      </c>
      <c r="AN144" t="s" s="0">
        <v>313</v>
      </c>
      <c r="AO144" t="s" s="0">
        <v>77</v>
      </c>
      <c r="AP144" t="s" s="0">
        <v>173</v>
      </c>
      <c r="AQ144" t="s" s="0">
        <v>645</v>
      </c>
      <c r="AR144" t="s" s="0">
        <v>646</v>
      </c>
      <c r="AS144" t="s" s="0">
        <v>647</v>
      </c>
      <c r="AT144" t="s" s="0">
        <v>3784</v>
      </c>
      <c r="AU144" t="s" s="0">
        <v>81</v>
      </c>
      <c r="AV144" t="s" s="0">
        <v>81</v>
      </c>
      <c r="AW144" t="s" s="0">
        <v>3779</v>
      </c>
      <c r="AX144" t="s" s="0">
        <v>3785</v>
      </c>
      <c r="AY144" t="s" s="0">
        <v>3786</v>
      </c>
      <c r="AZ144" t="s" s="0">
        <v>742</v>
      </c>
      <c r="BA144" t="s" s="0">
        <v>652</v>
      </c>
      <c r="BB144" t="s" s="0">
        <v>144</v>
      </c>
      <c r="BC144" t="s" s="0">
        <v>81</v>
      </c>
      <c r="BD144" t="s" s="0">
        <v>81</v>
      </c>
      <c r="BE144" t="s" s="0">
        <v>81</v>
      </c>
      <c r="BF144" t="s" s="0">
        <v>81</v>
      </c>
      <c r="BG144" t="s" s="0">
        <v>81</v>
      </c>
      <c r="BH144" t="s" s="0">
        <v>81</v>
      </c>
      <c r="BI144" t="s" s="0">
        <v>345</v>
      </c>
      <c r="BJ144" t="s" s="0">
        <v>3787</v>
      </c>
      <c r="BK144" t="s" s="284">
        <f>HYPERLINK("http://dx.doi.org/10.1186/s12859-023-05146-x","http://dx.doi.org/10.1186/s12859-023-05146-x")</f>
        <v>3788</v>
      </c>
      <c r="BL144" t="s" s="0">
        <v>81</v>
      </c>
      <c r="BM144" t="s" s="0">
        <v>81</v>
      </c>
      <c r="BN144" t="s" s="0">
        <v>187</v>
      </c>
      <c r="BO144" t="s" s="0">
        <v>3789</v>
      </c>
      <c r="BP144" t="s" s="0">
        <v>3790</v>
      </c>
      <c r="BQ144" t="s" s="0">
        <v>3791</v>
      </c>
      <c r="BR144" t="s" s="0">
        <v>3792</v>
      </c>
      <c r="BS144" t="s" s="0">
        <v>3793</v>
      </c>
      <c r="BT144" t="s" s="285">
        <f>HYPERLINK("https://www.webofscience.com/wos/woscc/full-record/WOS:000935720600001","View Record in Web of Science")</f>
        <v>113</v>
      </c>
      <c r="BU144" t="s" s="0">
        <v>153</v>
      </c>
      <c r="BV144" t="s" s="0">
        <v>81</v>
      </c>
      <c r="BW144" t="s" s="0">
        <v>81</v>
      </c>
      <c r="BX144" t="s" s="0">
        <v>115</v>
      </c>
    </row>
    <row r="145">
      <c r="A145" t="s" s="0">
        <v>77</v>
      </c>
      <c r="B145" t="s" s="0">
        <v>77</v>
      </c>
      <c r="C145" t="s" s="0">
        <v>172</v>
      </c>
      <c r="D145" t="s" s="0">
        <v>77</v>
      </c>
      <c r="E145" t="s" s="0">
        <v>3794</v>
      </c>
      <c r="F145" t="s" s="0">
        <v>3795</v>
      </c>
      <c r="G145" t="s" s="0">
        <v>3796</v>
      </c>
      <c r="H145" t="s" s="0">
        <v>81</v>
      </c>
      <c r="I145" t="s" s="0">
        <v>82</v>
      </c>
      <c r="J145" t="s" s="0">
        <v>3797</v>
      </c>
      <c r="K145" t="s" s="0">
        <v>3798</v>
      </c>
      <c r="L145" t="s" s="0">
        <v>266</v>
      </c>
      <c r="M145" t="s" s="0">
        <v>267</v>
      </c>
      <c r="N145" t="s" s="0">
        <v>268</v>
      </c>
      <c r="O145" t="s" s="0">
        <v>3799</v>
      </c>
      <c r="P145" t="s" s="0">
        <v>3800</v>
      </c>
      <c r="Q145" t="s" s="0">
        <v>87</v>
      </c>
      <c r="R145" t="s" s="0">
        <v>81</v>
      </c>
      <c r="S145" t="s" s="0">
        <v>81</v>
      </c>
      <c r="T145" t="s" s="0">
        <v>81</v>
      </c>
      <c r="U145" t="s" s="0">
        <v>81</v>
      </c>
      <c r="V145" t="s" s="0">
        <v>3801</v>
      </c>
      <c r="W145" t="s" s="0">
        <v>3802</v>
      </c>
      <c r="X145" t="s" s="0">
        <v>81</v>
      </c>
      <c r="Y145" t="s" s="0">
        <v>81</v>
      </c>
      <c r="Z145" t="s" s="0">
        <v>90</v>
      </c>
      <c r="AA145" t="s" s="0">
        <v>91</v>
      </c>
      <c r="AB145" t="s" s="0">
        <v>81</v>
      </c>
      <c r="AC145" t="s" s="0">
        <v>81</v>
      </c>
      <c r="AD145" t="s" s="0">
        <v>81</v>
      </c>
      <c r="AE145" t="s" s="0">
        <v>81</v>
      </c>
      <c r="AF145" t="s" s="0">
        <v>81</v>
      </c>
      <c r="AG145" t="s" s="0">
        <v>3803</v>
      </c>
      <c r="AH145" t="s" s="0">
        <v>3804</v>
      </c>
      <c r="AI145" t="s" s="0">
        <v>3805</v>
      </c>
      <c r="AJ145" t="s" s="0">
        <v>3806</v>
      </c>
      <c r="AK145" t="s" s="0">
        <v>81</v>
      </c>
      <c r="AL145" t="s" s="0">
        <v>433</v>
      </c>
      <c r="AM145" t="s" s="0">
        <v>211</v>
      </c>
      <c r="AN145" t="s" s="0">
        <v>488</v>
      </c>
      <c r="AO145" t="s" s="0">
        <v>144</v>
      </c>
      <c r="AP145" t="s" s="0">
        <v>323</v>
      </c>
      <c r="AQ145" t="s" s="0">
        <v>3807</v>
      </c>
      <c r="AR145" t="s" s="0">
        <v>3808</v>
      </c>
      <c r="AS145" t="s" s="0">
        <v>3809</v>
      </c>
      <c r="AT145" t="s" s="0">
        <v>3810</v>
      </c>
      <c r="AU145" t="s" s="0">
        <v>81</v>
      </c>
      <c r="AV145" t="s" s="0">
        <v>81</v>
      </c>
      <c r="AW145" t="s" s="0">
        <v>3811</v>
      </c>
      <c r="AX145" t="s" s="0">
        <v>3812</v>
      </c>
      <c r="AY145" t="s" s="0">
        <v>3813</v>
      </c>
      <c r="AZ145" t="s" s="0">
        <v>285</v>
      </c>
      <c r="BA145" t="s" s="0">
        <v>143</v>
      </c>
      <c r="BB145" t="s" s="0">
        <v>144</v>
      </c>
      <c r="BC145" t="s" s="0">
        <v>81</v>
      </c>
      <c r="BD145" t="s" s="0">
        <v>81</v>
      </c>
      <c r="BE145" t="s" s="0">
        <v>81</v>
      </c>
      <c r="BF145" t="s" s="0">
        <v>81</v>
      </c>
      <c r="BG145" t="s" s="0">
        <v>81</v>
      </c>
      <c r="BH145" t="s" s="0">
        <v>81</v>
      </c>
      <c r="BI145" t="s" s="0">
        <v>3814</v>
      </c>
      <c r="BJ145" t="s" s="0">
        <v>3815</v>
      </c>
      <c r="BK145" t="s" s="286">
        <f>HYPERLINK("http://dx.doi.org/10.1186/s13244-024-01784-8","http://dx.doi.org/10.1186/s13244-024-01784-8")</f>
        <v>3816</v>
      </c>
      <c r="BL145" t="s" s="0">
        <v>81</v>
      </c>
      <c r="BM145" t="s" s="0">
        <v>81</v>
      </c>
      <c r="BN145" t="s" s="0">
        <v>134</v>
      </c>
      <c r="BO145" t="s" s="0">
        <v>292</v>
      </c>
      <c r="BP145" t="s" s="0">
        <v>292</v>
      </c>
      <c r="BQ145" t="s" s="0">
        <v>3817</v>
      </c>
      <c r="BR145" t="s" s="0">
        <v>3818</v>
      </c>
      <c r="BS145" t="s" s="0">
        <v>3819</v>
      </c>
      <c r="BT145" t="s" s="287">
        <f>HYPERLINK("https://www.webofscience.com/wos/woscc/full-record/WOS:001298806400001","View Record in Web of Science")</f>
        <v>113</v>
      </c>
      <c r="BU145" t="s" s="0">
        <v>153</v>
      </c>
      <c r="BV145" t="s" s="0">
        <v>81</v>
      </c>
      <c r="BW145" t="s" s="0">
        <v>81</v>
      </c>
      <c r="BX145" t="s" s="0">
        <v>115</v>
      </c>
    </row>
    <row r="146">
      <c r="A146" t="s" s="0">
        <v>77</v>
      </c>
      <c r="B146" t="s" s="0">
        <v>77</v>
      </c>
      <c r="C146" t="s" s="0">
        <v>77</v>
      </c>
      <c r="D146" t="s" s="0">
        <v>77</v>
      </c>
      <c r="E146" t="s" s="0">
        <v>3820</v>
      </c>
      <c r="F146" t="s" s="0">
        <v>3821</v>
      </c>
      <c r="G146" t="s" s="0">
        <v>3822</v>
      </c>
      <c r="H146" t="s" s="0">
        <v>81</v>
      </c>
      <c r="I146" t="s" s="0">
        <v>82</v>
      </c>
      <c r="J146" t="s" s="0">
        <v>3823</v>
      </c>
      <c r="K146" t="s" s="0">
        <v>3824</v>
      </c>
      <c r="L146" t="s" s="0">
        <v>81</v>
      </c>
      <c r="M146" t="s" s="0">
        <v>81</v>
      </c>
      <c r="N146" t="s" s="0">
        <v>81</v>
      </c>
      <c r="O146" t="s" s="0">
        <v>3825</v>
      </c>
      <c r="P146" t="s" s="0">
        <v>3826</v>
      </c>
      <c r="Q146" t="s" s="0">
        <v>87</v>
      </c>
      <c r="R146" t="s" s="0">
        <v>81</v>
      </c>
      <c r="S146" t="s" s="0">
        <v>81</v>
      </c>
      <c r="T146" t="s" s="0">
        <v>81</v>
      </c>
      <c r="U146" t="s" s="0">
        <v>81</v>
      </c>
      <c r="V146" t="s" s="0">
        <v>3827</v>
      </c>
      <c r="W146" t="s" s="0">
        <v>1432</v>
      </c>
      <c r="X146" t="s" s="0">
        <v>81</v>
      </c>
      <c r="Y146" t="s" s="0">
        <v>81</v>
      </c>
      <c r="Z146" t="s" s="0">
        <v>90</v>
      </c>
      <c r="AA146" t="s" s="0">
        <v>91</v>
      </c>
      <c r="AB146" t="s" s="0">
        <v>81</v>
      </c>
      <c r="AC146" t="s" s="0">
        <v>81</v>
      </c>
      <c r="AD146" t="s" s="0">
        <v>81</v>
      </c>
      <c r="AE146" t="s" s="0">
        <v>81</v>
      </c>
      <c r="AF146" t="s" s="0">
        <v>81</v>
      </c>
      <c r="AG146" t="s" s="0">
        <v>3828</v>
      </c>
      <c r="AH146" t="s" s="0">
        <v>3829</v>
      </c>
      <c r="AI146" t="s" s="0">
        <v>3830</v>
      </c>
      <c r="AJ146" t="s" s="0">
        <v>3831</v>
      </c>
      <c r="AK146" t="s" s="0">
        <v>81</v>
      </c>
      <c r="AL146" t="s" s="0">
        <v>520</v>
      </c>
      <c r="AM146" t="s" s="0">
        <v>313</v>
      </c>
      <c r="AN146" t="s" s="0">
        <v>313</v>
      </c>
      <c r="AO146" t="s" s="0">
        <v>210</v>
      </c>
      <c r="AP146" t="s" s="0">
        <v>219</v>
      </c>
      <c r="AQ146" t="s" s="0">
        <v>278</v>
      </c>
      <c r="AR146" t="s" s="0">
        <v>247</v>
      </c>
      <c r="AS146" t="s" s="0">
        <v>279</v>
      </c>
      <c r="AT146" t="s" s="0">
        <v>1437</v>
      </c>
      <c r="AU146" t="s" s="0">
        <v>1438</v>
      </c>
      <c r="AV146" t="s" s="0">
        <v>81</v>
      </c>
      <c r="AW146" t="s" s="0">
        <v>1439</v>
      </c>
      <c r="AX146" t="s" s="0">
        <v>1440</v>
      </c>
      <c r="AY146" t="s" s="0">
        <v>2331</v>
      </c>
      <c r="AZ146" t="s" s="0">
        <v>101</v>
      </c>
      <c r="BA146" t="s" s="0">
        <v>519</v>
      </c>
      <c r="BB146" t="s" s="0">
        <v>144</v>
      </c>
      <c r="BC146" t="s" s="0">
        <v>81</v>
      </c>
      <c r="BD146" t="s" s="0">
        <v>81</v>
      </c>
      <c r="BE146" t="s" s="0">
        <v>81</v>
      </c>
      <c r="BF146" t="s" s="0">
        <v>81</v>
      </c>
      <c r="BG146" t="s" s="0">
        <v>3832</v>
      </c>
      <c r="BH146" t="s" s="0">
        <v>3833</v>
      </c>
      <c r="BI146" t="s" s="0">
        <v>81</v>
      </c>
      <c r="BJ146" t="s" s="0">
        <v>3834</v>
      </c>
      <c r="BK146" t="s" s="288">
        <f>HYPERLINK("http://dx.doi.org/10.1007/s00261-025-05045-0","http://dx.doi.org/10.1007/s00261-025-05045-0")</f>
        <v>3835</v>
      </c>
      <c r="BL146" t="s" s="0">
        <v>81</v>
      </c>
      <c r="BM146" t="s" s="0">
        <v>494</v>
      </c>
      <c r="BN146" t="s" s="0">
        <v>245</v>
      </c>
      <c r="BO146" t="s" s="0">
        <v>292</v>
      </c>
      <c r="BP146" t="s" s="0">
        <v>292</v>
      </c>
      <c r="BQ146" t="s" s="0">
        <v>3836</v>
      </c>
      <c r="BR146" t="s" s="0">
        <v>3837</v>
      </c>
      <c r="BS146" t="s" s="0">
        <v>3838</v>
      </c>
      <c r="BT146" t="s" s="289">
        <f>HYPERLINK("https://www.webofscience.com/wos/woscc/full-record/WOS:001518892800001","View Record in Web of Science")</f>
        <v>113</v>
      </c>
      <c r="BU146" t="s" s="0">
        <v>81</v>
      </c>
      <c r="BV146" t="s" s="0">
        <v>81</v>
      </c>
      <c r="BW146" t="s" s="0">
        <v>81</v>
      </c>
      <c r="BX146" t="s" s="0">
        <v>115</v>
      </c>
    </row>
    <row r="147">
      <c r="A147" t="s" s="0">
        <v>77</v>
      </c>
      <c r="B147" t="s" s="0">
        <v>77</v>
      </c>
      <c r="C147" t="s" s="0">
        <v>144</v>
      </c>
      <c r="D147" t="s" s="0">
        <v>77</v>
      </c>
      <c r="E147" t="s" s="0">
        <v>3839</v>
      </c>
      <c r="F147" t="s" s="0">
        <v>3840</v>
      </c>
      <c r="G147" t="s" s="0">
        <v>3841</v>
      </c>
      <c r="H147" t="s" s="0">
        <v>81</v>
      </c>
      <c r="I147" t="s" s="0">
        <v>82</v>
      </c>
      <c r="J147" t="s" s="0">
        <v>3842</v>
      </c>
      <c r="K147" t="s" s="0">
        <v>3843</v>
      </c>
      <c r="L147" t="s" s="0">
        <v>3844</v>
      </c>
      <c r="M147" t="s" s="0">
        <v>3844</v>
      </c>
      <c r="N147" t="s" s="0">
        <v>3845</v>
      </c>
      <c r="O147" t="s" s="0">
        <v>3846</v>
      </c>
      <c r="P147" t="s" s="0">
        <v>3847</v>
      </c>
      <c r="Q147" t="s" s="0">
        <v>87</v>
      </c>
      <c r="R147" t="s" s="0">
        <v>81</v>
      </c>
      <c r="S147" t="s" s="0">
        <v>81</v>
      </c>
      <c r="T147" t="s" s="0">
        <v>81</v>
      </c>
      <c r="U147" t="s" s="0">
        <v>81</v>
      </c>
      <c r="V147" t="s" s="0">
        <v>3848</v>
      </c>
      <c r="W147" t="s" s="0">
        <v>3849</v>
      </c>
      <c r="X147" t="s" s="0">
        <v>81</v>
      </c>
      <c r="Y147" t="s" s="0">
        <v>81</v>
      </c>
      <c r="Z147" t="s" s="0">
        <v>90</v>
      </c>
      <c r="AA147" t="s" s="0">
        <v>91</v>
      </c>
      <c r="AB147" t="s" s="0">
        <v>81</v>
      </c>
      <c r="AC147" t="s" s="0">
        <v>81</v>
      </c>
      <c r="AD147" t="s" s="0">
        <v>81</v>
      </c>
      <c r="AE147" t="s" s="0">
        <v>81</v>
      </c>
      <c r="AF147" t="s" s="0">
        <v>81</v>
      </c>
      <c r="AG147" t="s" s="0">
        <v>3850</v>
      </c>
      <c r="AH147" t="s" s="0">
        <v>3851</v>
      </c>
      <c r="AI147" t="s" s="0">
        <v>81</v>
      </c>
      <c r="AJ147" t="s" s="0">
        <v>3852</v>
      </c>
      <c r="AK147" t="s" s="0">
        <v>81</v>
      </c>
      <c r="AL147" t="s" s="0">
        <v>401</v>
      </c>
      <c r="AM147" t="s" s="0">
        <v>372</v>
      </c>
      <c r="AN147" t="s" s="0">
        <v>372</v>
      </c>
      <c r="AO147" t="s" s="0">
        <v>144</v>
      </c>
      <c r="AP147" t="s" s="0">
        <v>372</v>
      </c>
      <c r="AQ147" t="s" s="0">
        <v>1195</v>
      </c>
      <c r="AR147" t="s" s="0">
        <v>1196</v>
      </c>
      <c r="AS147" t="s" s="0">
        <v>1197</v>
      </c>
      <c r="AT147" t="s" s="0">
        <v>3853</v>
      </c>
      <c r="AU147" t="s" s="0">
        <v>81</v>
      </c>
      <c r="AV147" t="s" s="0">
        <v>81</v>
      </c>
      <c r="AW147" t="s" s="0">
        <v>3854</v>
      </c>
      <c r="AX147" t="s" s="0">
        <v>3855</v>
      </c>
      <c r="AY147" t="s" s="0">
        <v>142</v>
      </c>
      <c r="AZ147" t="s" s="0">
        <v>142</v>
      </c>
      <c r="BA147" t="s" s="0">
        <v>134</v>
      </c>
      <c r="BB147" t="s" s="0">
        <v>81</v>
      </c>
      <c r="BC147" t="s" s="0">
        <v>81</v>
      </c>
      <c r="BD147" t="s" s="0">
        <v>81</v>
      </c>
      <c r="BE147" t="s" s="0">
        <v>81</v>
      </c>
      <c r="BF147" t="s" s="0">
        <v>81</v>
      </c>
      <c r="BG147" t="s" s="0">
        <v>3856</v>
      </c>
      <c r="BH147" t="s" s="0">
        <v>3857</v>
      </c>
      <c r="BI147" t="s" s="0">
        <v>81</v>
      </c>
      <c r="BJ147" t="s" s="0">
        <v>3858</v>
      </c>
      <c r="BK147" t="s" s="290">
        <f>HYPERLINK("http://dx.doi.org/10.1109/JTEHM.2025.3588427","http://dx.doi.org/10.1109/JTEHM.2025.3588427")</f>
        <v>3859</v>
      </c>
      <c r="BL147" t="s" s="0">
        <v>81</v>
      </c>
      <c r="BM147" t="s" s="0">
        <v>81</v>
      </c>
      <c r="BN147" t="s" s="0">
        <v>134</v>
      </c>
      <c r="BO147" t="s" s="0">
        <v>864</v>
      </c>
      <c r="BP147" t="s" s="0">
        <v>865</v>
      </c>
      <c r="BQ147" t="s" s="0">
        <v>3860</v>
      </c>
      <c r="BR147" t="s" s="0">
        <v>3861</v>
      </c>
      <c r="BS147" t="s" s="0">
        <v>3862</v>
      </c>
      <c r="BT147" t="s" s="291">
        <f>HYPERLINK("https://www.webofscience.com/wos/woscc/full-record/WOS:001718370200001","View Record in Web of Science")</f>
        <v>113</v>
      </c>
      <c r="BU147" t="s" s="0">
        <v>153</v>
      </c>
      <c r="BV147" t="s" s="0">
        <v>81</v>
      </c>
      <c r="BW147" t="s" s="0">
        <v>81</v>
      </c>
      <c r="BX147" t="s" s="0">
        <v>115</v>
      </c>
    </row>
    <row r="148">
      <c r="A148" t="s" s="0">
        <v>77</v>
      </c>
      <c r="B148" t="s" s="0">
        <v>77</v>
      </c>
      <c r="C148" t="s" s="0">
        <v>77</v>
      </c>
      <c r="D148" t="s" s="0">
        <v>77</v>
      </c>
      <c r="E148" t="s" s="0">
        <v>3863</v>
      </c>
      <c r="F148" t="s" s="0">
        <v>3864</v>
      </c>
      <c r="G148" t="s" s="0">
        <v>3865</v>
      </c>
      <c r="H148" t="s" s="0">
        <v>81</v>
      </c>
      <c r="I148" t="s" s="0">
        <v>82</v>
      </c>
      <c r="J148" t="s" s="0">
        <v>3866</v>
      </c>
      <c r="K148" t="s" s="0">
        <v>3867</v>
      </c>
      <c r="L148" t="s" s="0">
        <v>81</v>
      </c>
      <c r="M148" t="s" s="0">
        <v>81</v>
      </c>
      <c r="N148" t="s" s="0">
        <v>81</v>
      </c>
      <c r="O148" t="s" s="0">
        <v>3868</v>
      </c>
      <c r="P148" t="s" s="0">
        <v>3869</v>
      </c>
      <c r="Q148" t="s" s="0">
        <v>87</v>
      </c>
      <c r="R148" t="s" s="0">
        <v>81</v>
      </c>
      <c r="S148" t="s" s="0">
        <v>81</v>
      </c>
      <c r="T148" t="s" s="0">
        <v>81</v>
      </c>
      <c r="U148" t="s" s="0">
        <v>81</v>
      </c>
      <c r="V148" t="s" s="0">
        <v>3870</v>
      </c>
      <c r="W148" t="s" s="0">
        <v>3871</v>
      </c>
      <c r="X148" t="s" s="0">
        <v>81</v>
      </c>
      <c r="Y148" t="s" s="0">
        <v>81</v>
      </c>
      <c r="Z148" t="s" s="0">
        <v>90</v>
      </c>
      <c r="AA148" t="s" s="0">
        <v>91</v>
      </c>
      <c r="AB148" t="s" s="0">
        <v>81</v>
      </c>
      <c r="AC148" t="s" s="0">
        <v>81</v>
      </c>
      <c r="AD148" t="s" s="0">
        <v>81</v>
      </c>
      <c r="AE148" t="s" s="0">
        <v>81</v>
      </c>
      <c r="AF148" t="s" s="0">
        <v>81</v>
      </c>
      <c r="AG148" t="s" s="0">
        <v>3872</v>
      </c>
      <c r="AH148" t="s" s="0">
        <v>3873</v>
      </c>
      <c r="AI148" t="s" s="0">
        <v>3874</v>
      </c>
      <c r="AJ148" t="s" s="0">
        <v>3875</v>
      </c>
      <c r="AK148" t="s" s="0">
        <v>81</v>
      </c>
      <c r="AL148" t="s" s="0">
        <v>2409</v>
      </c>
      <c r="AM148" t="s" s="0">
        <v>116</v>
      </c>
      <c r="AN148" t="s" s="0">
        <v>116</v>
      </c>
      <c r="AO148" t="s" s="0">
        <v>107</v>
      </c>
      <c r="AP148" t="s" s="0">
        <v>767</v>
      </c>
      <c r="AQ148" t="s" s="0">
        <v>1162</v>
      </c>
      <c r="AR148" t="s" s="0">
        <v>95</v>
      </c>
      <c r="AS148" t="s" s="0">
        <v>1163</v>
      </c>
      <c r="AT148" t="s" s="0">
        <v>3876</v>
      </c>
      <c r="AU148" t="s" s="0">
        <v>3877</v>
      </c>
      <c r="AV148" t="s" s="0">
        <v>81</v>
      </c>
      <c r="AW148" t="s" s="0">
        <v>3878</v>
      </c>
      <c r="AX148" t="s" s="0">
        <v>3879</v>
      </c>
      <c r="AY148" t="s" s="0">
        <v>218</v>
      </c>
      <c r="AZ148" t="s" s="0">
        <v>142</v>
      </c>
      <c r="BA148" t="s" s="0">
        <v>3880</v>
      </c>
      <c r="BB148" t="s" s="0">
        <v>81</v>
      </c>
      <c r="BC148" t="s" s="0">
        <v>81</v>
      </c>
      <c r="BD148" t="s" s="0">
        <v>81</v>
      </c>
      <c r="BE148" t="s" s="0">
        <v>81</v>
      </c>
      <c r="BF148" t="s" s="0">
        <v>81</v>
      </c>
      <c r="BG148" t="s" s="0">
        <v>81</v>
      </c>
      <c r="BH148" t="s" s="0">
        <v>81</v>
      </c>
      <c r="BI148" t="s" s="0">
        <v>3881</v>
      </c>
      <c r="BJ148" t="s" s="0">
        <v>3882</v>
      </c>
      <c r="BK148" t="s" s="292">
        <f>HYPERLINK("http://dx.doi.org/10.1016/j.ijrmms.2025.106225","http://dx.doi.org/10.1016/j.ijrmms.2025.106225")</f>
        <v>3883</v>
      </c>
      <c r="BL148" t="s" s="0">
        <v>81</v>
      </c>
      <c r="BM148" t="s" s="0">
        <v>467</v>
      </c>
      <c r="BN148" t="s" s="0">
        <v>245</v>
      </c>
      <c r="BO148" t="s" s="0">
        <v>3884</v>
      </c>
      <c r="BP148" t="s" s="0">
        <v>3885</v>
      </c>
      <c r="BQ148" t="s" s="0">
        <v>3886</v>
      </c>
      <c r="BR148" t="s" s="0">
        <v>81</v>
      </c>
      <c r="BS148" t="s" s="0">
        <v>3887</v>
      </c>
      <c r="BT148" t="s" s="293">
        <f>HYPERLINK("https://www.webofscience.com/wos/woscc/full-record/WOS:001545545500002","View Record in Web of Science")</f>
        <v>113</v>
      </c>
      <c r="BU148" t="s" s="0">
        <v>81</v>
      </c>
      <c r="BV148" t="s" s="0">
        <v>81</v>
      </c>
      <c r="BW148" t="s" s="0">
        <v>81</v>
      </c>
      <c r="BX148" t="s" s="0">
        <v>115</v>
      </c>
    </row>
    <row r="149">
      <c r="A149" t="s" s="0">
        <v>77</v>
      </c>
      <c r="B149" t="s" s="0">
        <v>77</v>
      </c>
      <c r="C149" t="s" s="0">
        <v>313</v>
      </c>
      <c r="D149" t="s" s="0">
        <v>77</v>
      </c>
      <c r="E149" t="s" s="0">
        <v>3888</v>
      </c>
      <c r="F149" t="s" s="0">
        <v>3889</v>
      </c>
      <c r="G149" t="s" s="0">
        <v>3890</v>
      </c>
      <c r="H149" t="s" s="0">
        <v>81</v>
      </c>
      <c r="I149" t="s" s="0">
        <v>82</v>
      </c>
      <c r="J149" t="s" s="0">
        <v>3891</v>
      </c>
      <c r="K149" t="s" s="0">
        <v>3892</v>
      </c>
      <c r="L149" t="s" s="0">
        <v>3893</v>
      </c>
      <c r="M149" t="s" s="0">
        <v>3894</v>
      </c>
      <c r="N149" t="s" s="0">
        <v>3895</v>
      </c>
      <c r="O149" t="s" s="0">
        <v>3896</v>
      </c>
      <c r="P149" t="s" s="0">
        <v>3897</v>
      </c>
      <c r="Q149" t="s" s="0">
        <v>87</v>
      </c>
      <c r="R149" t="s" s="0">
        <v>81</v>
      </c>
      <c r="S149" t="s" s="0">
        <v>81</v>
      </c>
      <c r="T149" t="s" s="0">
        <v>81</v>
      </c>
      <c r="U149" t="s" s="0">
        <v>81</v>
      </c>
      <c r="V149" t="s" s="0">
        <v>3898</v>
      </c>
      <c r="W149" t="s" s="0">
        <v>879</v>
      </c>
      <c r="X149" t="s" s="0">
        <v>81</v>
      </c>
      <c r="Y149" t="s" s="0">
        <v>81</v>
      </c>
      <c r="Z149" t="s" s="0">
        <v>90</v>
      </c>
      <c r="AA149" t="s" s="0">
        <v>91</v>
      </c>
      <c r="AB149" t="s" s="0">
        <v>81</v>
      </c>
      <c r="AC149" t="s" s="0">
        <v>81</v>
      </c>
      <c r="AD149" t="s" s="0">
        <v>81</v>
      </c>
      <c r="AE149" t="s" s="0">
        <v>81</v>
      </c>
      <c r="AF149" t="s" s="0">
        <v>81</v>
      </c>
      <c r="AG149" t="s" s="0">
        <v>3899</v>
      </c>
      <c r="AH149" t="s" s="0">
        <v>3900</v>
      </c>
      <c r="AI149" t="s" s="0">
        <v>81</v>
      </c>
      <c r="AJ149" t="s" s="0">
        <v>81</v>
      </c>
      <c r="AK149" t="s" s="0">
        <v>81</v>
      </c>
      <c r="AL149" t="s" s="0">
        <v>345</v>
      </c>
      <c r="AM149" t="s" s="0">
        <v>210</v>
      </c>
      <c r="AN149" t="s" s="0">
        <v>210</v>
      </c>
      <c r="AO149" t="s" s="0">
        <v>219</v>
      </c>
      <c r="AP149" t="s" s="0">
        <v>219</v>
      </c>
      <c r="AQ149" t="s" s="0">
        <v>402</v>
      </c>
      <c r="AR149" t="s" s="0">
        <v>403</v>
      </c>
      <c r="AS149" t="s" s="0">
        <v>404</v>
      </c>
      <c r="AT149" t="s" s="0">
        <v>882</v>
      </c>
      <c r="AU149" t="s" s="0">
        <v>81</v>
      </c>
      <c r="AV149" t="s" s="0">
        <v>81</v>
      </c>
      <c r="AW149" t="s" s="0">
        <v>883</v>
      </c>
      <c r="AX149" t="s" s="0">
        <v>884</v>
      </c>
      <c r="AY149" t="s" s="0">
        <v>3901</v>
      </c>
      <c r="AZ149" t="s" s="0">
        <v>101</v>
      </c>
      <c r="BA149" t="s" s="0">
        <v>277</v>
      </c>
      <c r="BB149" t="s" s="0">
        <v>81</v>
      </c>
      <c r="BC149" t="s" s="0">
        <v>81</v>
      </c>
      <c r="BD149" t="s" s="0">
        <v>81</v>
      </c>
      <c r="BE149" t="s" s="0">
        <v>81</v>
      </c>
      <c r="BF149" t="s" s="0">
        <v>81</v>
      </c>
      <c r="BG149" t="s" s="0">
        <v>81</v>
      </c>
      <c r="BH149" t="s" s="0">
        <v>81</v>
      </c>
      <c r="BI149" t="s" s="0">
        <v>3902</v>
      </c>
      <c r="BJ149" t="s" s="0">
        <v>3903</v>
      </c>
      <c r="BK149" t="s" s="294">
        <f>HYPERLINK("http://dx.doi.org/10.3389/fimmu.2026.1602846","http://dx.doi.org/10.3389/fimmu.2026.1602846")</f>
        <v>3904</v>
      </c>
      <c r="BL149" t="s" s="0">
        <v>81</v>
      </c>
      <c r="BM149" t="s" s="0">
        <v>81</v>
      </c>
      <c r="BN149" t="s" s="0">
        <v>134</v>
      </c>
      <c r="BO149" t="s" s="0">
        <v>888</v>
      </c>
      <c r="BP149" t="s" s="0">
        <v>888</v>
      </c>
      <c r="BQ149" t="s" s="0">
        <v>3905</v>
      </c>
      <c r="BR149" t="s" s="0">
        <v>3906</v>
      </c>
      <c r="BS149" t="s" s="0">
        <v>3907</v>
      </c>
      <c r="BT149" t="s" s="295">
        <f>HYPERLINK("https://www.webofscience.com/wos/woscc/full-record/WOS:001697538000001","View Record in Web of Science")</f>
        <v>113</v>
      </c>
      <c r="BU149" t="s" s="0">
        <v>153</v>
      </c>
      <c r="BV149" t="s" s="0">
        <v>81</v>
      </c>
      <c r="BW149" t="s" s="0">
        <v>81</v>
      </c>
      <c r="BX149" t="s" s="0">
        <v>115</v>
      </c>
    </row>
    <row r="150">
      <c r="A150" t="s" s="0">
        <v>77</v>
      </c>
      <c r="B150" t="s" s="0">
        <v>77</v>
      </c>
      <c r="C150" t="s" s="0">
        <v>77</v>
      </c>
      <c r="D150" t="s" s="0">
        <v>77</v>
      </c>
      <c r="E150" t="s" s="0">
        <v>3908</v>
      </c>
      <c r="F150" t="s" s="0">
        <v>3909</v>
      </c>
      <c r="G150" t="s" s="0">
        <v>3910</v>
      </c>
      <c r="H150" t="s" s="0">
        <v>81</v>
      </c>
      <c r="I150" t="s" s="0">
        <v>82</v>
      </c>
      <c r="J150" t="s" s="0">
        <v>3911</v>
      </c>
      <c r="K150" t="s" s="0">
        <v>3912</v>
      </c>
      <c r="L150" t="s" s="0">
        <v>3913</v>
      </c>
      <c r="M150" t="s" s="0">
        <v>3914</v>
      </c>
      <c r="N150" t="s" s="0">
        <v>3915</v>
      </c>
      <c r="O150" t="s" s="0">
        <v>3916</v>
      </c>
      <c r="P150" t="s" s="0">
        <v>3917</v>
      </c>
      <c r="Q150" t="s" s="0">
        <v>87</v>
      </c>
      <c r="R150" t="s" s="0">
        <v>81</v>
      </c>
      <c r="S150" t="s" s="0">
        <v>81</v>
      </c>
      <c r="T150" t="s" s="0">
        <v>81</v>
      </c>
      <c r="U150" t="s" s="0">
        <v>81</v>
      </c>
      <c r="V150" t="s" s="0">
        <v>3918</v>
      </c>
      <c r="W150" t="s" s="0">
        <v>3919</v>
      </c>
      <c r="X150" t="s" s="0">
        <v>81</v>
      </c>
      <c r="Y150" t="s" s="0">
        <v>81</v>
      </c>
      <c r="Z150" t="s" s="0">
        <v>90</v>
      </c>
      <c r="AA150" t="s" s="0">
        <v>91</v>
      </c>
      <c r="AB150" t="s" s="0">
        <v>81</v>
      </c>
      <c r="AC150" t="s" s="0">
        <v>81</v>
      </c>
      <c r="AD150" t="s" s="0">
        <v>81</v>
      </c>
      <c r="AE150" t="s" s="0">
        <v>81</v>
      </c>
      <c r="AF150" t="s" s="0">
        <v>81</v>
      </c>
      <c r="AG150" t="s" s="0">
        <v>3920</v>
      </c>
      <c r="AH150" t="s" s="0">
        <v>3921</v>
      </c>
      <c r="AI150" t="s" s="0">
        <v>81</v>
      </c>
      <c r="AJ150" t="s" s="0">
        <v>81</v>
      </c>
      <c r="AK150" t="s" s="0">
        <v>81</v>
      </c>
      <c r="AL150" t="s" s="0">
        <v>488</v>
      </c>
      <c r="AM150" t="s" s="0">
        <v>116</v>
      </c>
      <c r="AN150" t="s" s="0">
        <v>116</v>
      </c>
      <c r="AO150" t="s" s="0">
        <v>116</v>
      </c>
      <c r="AP150" t="s" s="0">
        <v>219</v>
      </c>
      <c r="AQ150" t="s" s="0">
        <v>402</v>
      </c>
      <c r="AR150" t="s" s="0">
        <v>403</v>
      </c>
      <c r="AS150" t="s" s="0">
        <v>404</v>
      </c>
      <c r="AT150" t="s" s="0">
        <v>81</v>
      </c>
      <c r="AU150" t="s" s="0">
        <v>3922</v>
      </c>
      <c r="AV150" t="s" s="0">
        <v>81</v>
      </c>
      <c r="AW150" t="s" s="0">
        <v>3923</v>
      </c>
      <c r="AX150" t="s" s="0">
        <v>3924</v>
      </c>
      <c r="AY150" t="s" s="0">
        <v>3925</v>
      </c>
      <c r="AZ150" t="s" s="0">
        <v>142</v>
      </c>
      <c r="BA150" t="s" s="0">
        <v>323</v>
      </c>
      <c r="BB150" t="s" s="0">
        <v>81</v>
      </c>
      <c r="BC150" t="s" s="0">
        <v>81</v>
      </c>
      <c r="BD150" t="s" s="0">
        <v>81</v>
      </c>
      <c r="BE150" t="s" s="0">
        <v>81</v>
      </c>
      <c r="BF150" t="s" s="0">
        <v>81</v>
      </c>
      <c r="BG150" t="s" s="0">
        <v>81</v>
      </c>
      <c r="BH150" t="s" s="0">
        <v>81</v>
      </c>
      <c r="BI150" t="s" s="0">
        <v>3926</v>
      </c>
      <c r="BJ150" t="s" s="0">
        <v>3927</v>
      </c>
      <c r="BK150" t="s" s="296">
        <f>HYPERLINK("http://dx.doi.org/10.3389/fphys.2025.1558997","http://dx.doi.org/10.3389/fphys.2025.1558997")</f>
        <v>3928</v>
      </c>
      <c r="BL150" t="s" s="0">
        <v>81</v>
      </c>
      <c r="BM150" t="s" s="0">
        <v>81</v>
      </c>
      <c r="BN150" t="s" s="0">
        <v>107</v>
      </c>
      <c r="BO150" t="s" s="0">
        <v>3929</v>
      </c>
      <c r="BP150" t="s" s="0">
        <v>3929</v>
      </c>
      <c r="BQ150" t="s" s="0">
        <v>3930</v>
      </c>
      <c r="BR150" t="s" s="0">
        <v>3931</v>
      </c>
      <c r="BS150" t="s" s="0">
        <v>3932</v>
      </c>
      <c r="BT150" t="s" s="297">
        <f>HYPERLINK("https://www.webofscience.com/wos/woscc/full-record/WOS:001449371000001","View Record in Web of Science")</f>
        <v>113</v>
      </c>
      <c r="BU150" t="s" s="0">
        <v>153</v>
      </c>
      <c r="BV150" t="s" s="0">
        <v>81</v>
      </c>
      <c r="BW150" t="s" s="0">
        <v>81</v>
      </c>
      <c r="BX150" t="s" s="0">
        <v>115</v>
      </c>
    </row>
    <row r="151">
      <c r="A151" t="s" s="0">
        <v>77</v>
      </c>
      <c r="B151" t="s" s="0">
        <v>77</v>
      </c>
      <c r="C151" t="s" s="0">
        <v>77</v>
      </c>
      <c r="D151" t="s" s="0">
        <v>77</v>
      </c>
      <c r="E151" t="s" s="0">
        <v>3933</v>
      </c>
      <c r="F151" t="s" s="0">
        <v>3934</v>
      </c>
      <c r="G151" t="s" s="0">
        <v>3935</v>
      </c>
      <c r="H151" t="s" s="0">
        <v>81</v>
      </c>
      <c r="I151" t="s" s="0">
        <v>543</v>
      </c>
      <c r="J151" t="s" s="0">
        <v>3936</v>
      </c>
      <c r="K151" t="s" s="0">
        <v>3937</v>
      </c>
      <c r="L151" t="s" s="0">
        <v>81</v>
      </c>
      <c r="M151" t="s" s="0">
        <v>81</v>
      </c>
      <c r="N151" t="s" s="0">
        <v>81</v>
      </c>
      <c r="O151" t="s" s="0">
        <v>3938</v>
      </c>
      <c r="P151" t="s" s="0">
        <v>3939</v>
      </c>
      <c r="Q151" t="s" s="0">
        <v>87</v>
      </c>
      <c r="R151" t="s" s="0">
        <v>81</v>
      </c>
      <c r="S151" t="s" s="0">
        <v>81</v>
      </c>
      <c r="T151" t="s" s="0">
        <v>81</v>
      </c>
      <c r="U151" t="s" s="0">
        <v>81</v>
      </c>
      <c r="V151" t="s" s="0">
        <v>3940</v>
      </c>
      <c r="W151" t="s" s="0">
        <v>3941</v>
      </c>
      <c r="X151" t="s" s="0">
        <v>81</v>
      </c>
      <c r="Y151" t="s" s="0">
        <v>81</v>
      </c>
      <c r="Z151" t="s" s="0">
        <v>90</v>
      </c>
      <c r="AA151" t="s" s="0">
        <v>91</v>
      </c>
      <c r="AB151" t="s" s="0">
        <v>81</v>
      </c>
      <c r="AC151" t="s" s="0">
        <v>81</v>
      </c>
      <c r="AD151" t="s" s="0">
        <v>81</v>
      </c>
      <c r="AE151" t="s" s="0">
        <v>81</v>
      </c>
      <c r="AF151" t="s" s="0">
        <v>81</v>
      </c>
      <c r="AG151" t="s" s="0">
        <v>3942</v>
      </c>
      <c r="AH151" t="s" s="0">
        <v>81</v>
      </c>
      <c r="AI151" t="s" s="0">
        <v>3943</v>
      </c>
      <c r="AJ151" t="s" s="0">
        <v>81</v>
      </c>
      <c r="AK151" t="s" s="0">
        <v>81</v>
      </c>
      <c r="AL151" t="s" s="0">
        <v>187</v>
      </c>
      <c r="AM151" t="s" s="0">
        <v>116</v>
      </c>
      <c r="AN151" t="s" s="0">
        <v>116</v>
      </c>
      <c r="AO151" t="s" s="0">
        <v>77</v>
      </c>
      <c r="AP151" t="s" s="0">
        <v>144</v>
      </c>
      <c r="AQ151" t="s" s="0">
        <v>3944</v>
      </c>
      <c r="AR151" t="s" s="0">
        <v>3945</v>
      </c>
      <c r="AS151" t="s" s="0">
        <v>3946</v>
      </c>
      <c r="AT151" t="s" s="0">
        <v>3947</v>
      </c>
      <c r="AU151" t="s" s="0">
        <v>3948</v>
      </c>
      <c r="AV151" t="s" s="0">
        <v>81</v>
      </c>
      <c r="AW151" t="s" s="0">
        <v>3949</v>
      </c>
      <c r="AX151" t="s" s="0">
        <v>3950</v>
      </c>
      <c r="AY151" t="s" s="0">
        <v>142</v>
      </c>
      <c r="AZ151" t="s" s="0">
        <v>142</v>
      </c>
      <c r="BA151" t="s" s="0">
        <v>132</v>
      </c>
      <c r="BB151" t="s" s="0">
        <v>210</v>
      </c>
      <c r="BC151" t="s" s="0">
        <v>81</v>
      </c>
      <c r="BD151" t="s" s="0">
        <v>81</v>
      </c>
      <c r="BE151" t="s" s="0">
        <v>81</v>
      </c>
      <c r="BF151" t="s" s="0">
        <v>81</v>
      </c>
      <c r="BG151" t="s" s="0">
        <v>3951</v>
      </c>
      <c r="BH151" t="s" s="0">
        <v>3952</v>
      </c>
      <c r="BI151" t="s" s="0">
        <v>81</v>
      </c>
      <c r="BJ151" t="s" s="0">
        <v>81</v>
      </c>
      <c r="BK151" t="s" s="0">
        <v>81</v>
      </c>
      <c r="BL151" t="s" s="0">
        <v>81</v>
      </c>
      <c r="BM151" t="s" s="0">
        <v>81</v>
      </c>
      <c r="BN151" t="s" s="0">
        <v>133</v>
      </c>
      <c r="BO151" t="s" s="0">
        <v>3953</v>
      </c>
      <c r="BP151" t="s" s="0">
        <v>3953</v>
      </c>
      <c r="BQ151" t="s" s="0">
        <v>3954</v>
      </c>
      <c r="BR151" t="s" s="0">
        <v>81</v>
      </c>
      <c r="BS151" t="s" s="0">
        <v>3955</v>
      </c>
      <c r="BT151" t="s" s="298">
        <f>HYPERLINK("https://www.webofscience.com/wos/woscc/full-record/WOS:001477509500009","View Record in Web of Science")</f>
        <v>113</v>
      </c>
      <c r="BU151" t="s" s="0">
        <v>81</v>
      </c>
      <c r="BV151" t="s" s="0">
        <v>81</v>
      </c>
      <c r="BW151" t="s" s="0">
        <v>81</v>
      </c>
      <c r="BX151" t="s" s="0">
        <v>115</v>
      </c>
    </row>
    <row r="152">
      <c r="A152" t="s" s="0">
        <v>77</v>
      </c>
      <c r="B152" t="s" s="0">
        <v>77</v>
      </c>
      <c r="C152" t="s" s="0">
        <v>116</v>
      </c>
      <c r="D152" t="s" s="0">
        <v>77</v>
      </c>
      <c r="E152" t="s" s="0">
        <v>3956</v>
      </c>
      <c r="F152" t="s" s="0">
        <v>3957</v>
      </c>
      <c r="G152" t="s" s="0">
        <v>3958</v>
      </c>
      <c r="H152" t="s" s="0">
        <v>81</v>
      </c>
      <c r="I152" t="s" s="0">
        <v>82</v>
      </c>
      <c r="J152" t="s" s="0">
        <v>3959</v>
      </c>
      <c r="K152" t="s" s="0">
        <v>3960</v>
      </c>
      <c r="L152" t="s" s="0">
        <v>3961</v>
      </c>
      <c r="M152" t="s" s="0">
        <v>3962</v>
      </c>
      <c r="N152" t="s" s="0">
        <v>3963</v>
      </c>
      <c r="O152" t="s" s="0">
        <v>3964</v>
      </c>
      <c r="P152" t="s" s="0">
        <v>3965</v>
      </c>
      <c r="Q152" t="s" s="0">
        <v>87</v>
      </c>
      <c r="R152" t="s" s="0">
        <v>81</v>
      </c>
      <c r="S152" t="s" s="0">
        <v>81</v>
      </c>
      <c r="T152" t="s" s="0">
        <v>81</v>
      </c>
      <c r="U152" t="s" s="0">
        <v>81</v>
      </c>
      <c r="V152" t="s" s="0">
        <v>3966</v>
      </c>
      <c r="W152" t="s" s="0">
        <v>3967</v>
      </c>
      <c r="X152" t="s" s="0">
        <v>81</v>
      </c>
      <c r="Y152" t="s" s="0">
        <v>81</v>
      </c>
      <c r="Z152" t="s" s="0">
        <v>90</v>
      </c>
      <c r="AA152" t="s" s="0">
        <v>91</v>
      </c>
      <c r="AB152" t="s" s="0">
        <v>81</v>
      </c>
      <c r="AC152" t="s" s="0">
        <v>81</v>
      </c>
      <c r="AD152" t="s" s="0">
        <v>81</v>
      </c>
      <c r="AE152" t="s" s="0">
        <v>81</v>
      </c>
      <c r="AF152" t="s" s="0">
        <v>81</v>
      </c>
      <c r="AG152" t="s" s="0">
        <v>3968</v>
      </c>
      <c r="AH152" t="s" s="0">
        <v>3969</v>
      </c>
      <c r="AI152" t="s" s="0">
        <v>3970</v>
      </c>
      <c r="AJ152" t="s" s="0">
        <v>81</v>
      </c>
      <c r="AK152" t="s" s="0">
        <v>81</v>
      </c>
      <c r="AL152" t="s" s="0">
        <v>401</v>
      </c>
      <c r="AM152" t="s" s="0">
        <v>133</v>
      </c>
      <c r="AN152" t="s" s="0">
        <v>107</v>
      </c>
      <c r="AO152" t="s" s="0">
        <v>313</v>
      </c>
      <c r="AP152" t="s" s="0">
        <v>107</v>
      </c>
      <c r="AQ152" t="s" s="0">
        <v>1254</v>
      </c>
      <c r="AR152" t="s" s="0">
        <v>1255</v>
      </c>
      <c r="AS152" t="s" s="0">
        <v>1256</v>
      </c>
      <c r="AT152" t="s" s="0">
        <v>3971</v>
      </c>
      <c r="AU152" t="s" s="0">
        <v>3972</v>
      </c>
      <c r="AV152" t="s" s="0">
        <v>81</v>
      </c>
      <c r="AW152" t="s" s="0">
        <v>3973</v>
      </c>
      <c r="AX152" t="s" s="0">
        <v>3974</v>
      </c>
      <c r="AY152" t="s" s="0">
        <v>1037</v>
      </c>
      <c r="AZ152" t="s" s="0">
        <v>742</v>
      </c>
      <c r="BA152" t="s" s="0">
        <v>209</v>
      </c>
      <c r="BB152" t="s" s="0">
        <v>107</v>
      </c>
      <c r="BC152" t="s" s="0">
        <v>81</v>
      </c>
      <c r="BD152" t="s" s="0">
        <v>81</v>
      </c>
      <c r="BE152" t="s" s="0">
        <v>81</v>
      </c>
      <c r="BF152" t="s" s="0">
        <v>81</v>
      </c>
      <c r="BG152" t="s" s="0">
        <v>3975</v>
      </c>
      <c r="BH152" t="s" s="0">
        <v>3976</v>
      </c>
      <c r="BI152" t="s" s="0">
        <v>81</v>
      </c>
      <c r="BJ152" t="s" s="0">
        <v>3977</v>
      </c>
      <c r="BK152" t="s" s="299">
        <f>HYPERLINK("http://dx.doi.org/10.1097/IJG.0000000000002267","http://dx.doi.org/10.1097/IJG.0000000000002267")</f>
        <v>3978</v>
      </c>
      <c r="BL152" t="s" s="0">
        <v>81</v>
      </c>
      <c r="BM152" t="s" s="0">
        <v>81</v>
      </c>
      <c r="BN152" t="s" s="0">
        <v>219</v>
      </c>
      <c r="BO152" t="s" s="0">
        <v>1084</v>
      </c>
      <c r="BP152" t="s" s="0">
        <v>1084</v>
      </c>
      <c r="BQ152" t="s" s="0">
        <v>3979</v>
      </c>
      <c r="BR152" t="s" s="0">
        <v>3980</v>
      </c>
      <c r="BS152" t="s" s="0">
        <v>3981</v>
      </c>
      <c r="BT152" t="s" s="300">
        <f>HYPERLINK("https://www.webofscience.com/wos/woscc/full-record/WOS:001077170100010","View Record in Web of Science")</f>
        <v>113</v>
      </c>
      <c r="BU152" t="s" s="0">
        <v>81</v>
      </c>
      <c r="BV152" t="s" s="0">
        <v>81</v>
      </c>
      <c r="BW152" t="s" s="0">
        <v>81</v>
      </c>
      <c r="BX152" t="s" s="0">
        <v>115</v>
      </c>
    </row>
    <row r="153">
      <c r="A153" t="s" s="0">
        <v>77</v>
      </c>
      <c r="B153" t="s" s="0">
        <v>77</v>
      </c>
      <c r="C153" t="s" s="0">
        <v>77</v>
      </c>
      <c r="D153" t="s" s="0">
        <v>77</v>
      </c>
      <c r="E153" t="s" s="0">
        <v>3982</v>
      </c>
      <c r="F153" t="s" s="0">
        <v>3983</v>
      </c>
      <c r="G153" t="s" s="0">
        <v>3984</v>
      </c>
      <c r="H153" t="s" s="0">
        <v>81</v>
      </c>
      <c r="I153" t="s" s="0">
        <v>82</v>
      </c>
      <c r="J153" t="s" s="0">
        <v>3985</v>
      </c>
      <c r="K153" t="s" s="0">
        <v>3986</v>
      </c>
      <c r="L153" t="s" s="0">
        <v>3987</v>
      </c>
      <c r="M153" t="s" s="0">
        <v>3988</v>
      </c>
      <c r="N153" t="s" s="0">
        <v>3989</v>
      </c>
      <c r="O153" t="s" s="0">
        <v>3990</v>
      </c>
      <c r="P153" t="s" s="0">
        <v>3991</v>
      </c>
      <c r="Q153" t="s" s="0">
        <v>87</v>
      </c>
      <c r="R153" t="s" s="0">
        <v>81</v>
      </c>
      <c r="S153" t="s" s="0">
        <v>81</v>
      </c>
      <c r="T153" t="s" s="0">
        <v>81</v>
      </c>
      <c r="U153" t="s" s="0">
        <v>81</v>
      </c>
      <c r="V153" t="s" s="0">
        <v>3992</v>
      </c>
      <c r="W153" t="s" s="0">
        <v>3993</v>
      </c>
      <c r="X153" t="s" s="0">
        <v>81</v>
      </c>
      <c r="Y153" t="s" s="0">
        <v>81</v>
      </c>
      <c r="Z153" t="s" s="0">
        <v>90</v>
      </c>
      <c r="AA153" t="s" s="0">
        <v>91</v>
      </c>
      <c r="AB153" t="s" s="0">
        <v>81</v>
      </c>
      <c r="AC153" t="s" s="0">
        <v>81</v>
      </c>
      <c r="AD153" t="s" s="0">
        <v>81</v>
      </c>
      <c r="AE153" t="s" s="0">
        <v>81</v>
      </c>
      <c r="AF153" t="s" s="0">
        <v>81</v>
      </c>
      <c r="AG153" t="s" s="0">
        <v>3994</v>
      </c>
      <c r="AH153" t="s" s="0">
        <v>3995</v>
      </c>
      <c r="AI153" t="s" s="0">
        <v>3996</v>
      </c>
      <c r="AJ153" t="s" s="0">
        <v>3997</v>
      </c>
      <c r="AK153" t="s" s="0">
        <v>81</v>
      </c>
      <c r="AL153" t="s" s="0">
        <v>1693</v>
      </c>
      <c r="AM153" t="s" s="0">
        <v>77</v>
      </c>
      <c r="AN153" t="s" s="0">
        <v>77</v>
      </c>
      <c r="AO153" t="s" s="0">
        <v>116</v>
      </c>
      <c r="AP153" t="s" s="0">
        <v>116</v>
      </c>
      <c r="AQ153" t="s" s="0">
        <v>645</v>
      </c>
      <c r="AR153" t="s" s="0">
        <v>646</v>
      </c>
      <c r="AS153" t="s" s="0">
        <v>647</v>
      </c>
      <c r="AT153" t="s" s="0">
        <v>81</v>
      </c>
      <c r="AU153" t="s" s="0">
        <v>3998</v>
      </c>
      <c r="AV153" t="s" s="0">
        <v>81</v>
      </c>
      <c r="AW153" t="s" s="0">
        <v>3999</v>
      </c>
      <c r="AX153" t="s" s="0">
        <v>4000</v>
      </c>
      <c r="AY153" t="s" s="0">
        <v>4001</v>
      </c>
      <c r="AZ153" t="s" s="0">
        <v>101</v>
      </c>
      <c r="BA153" t="s" s="0">
        <v>1253</v>
      </c>
      <c r="BB153" t="s" s="0">
        <v>144</v>
      </c>
      <c r="BC153" t="s" s="0">
        <v>81</v>
      </c>
      <c r="BD153" t="s" s="0">
        <v>81</v>
      </c>
      <c r="BE153" t="s" s="0">
        <v>81</v>
      </c>
      <c r="BF153" t="s" s="0">
        <v>81</v>
      </c>
      <c r="BG153" t="s" s="0">
        <v>81</v>
      </c>
      <c r="BH153" t="s" s="0">
        <v>81</v>
      </c>
      <c r="BI153" t="s" s="0">
        <v>4002</v>
      </c>
      <c r="BJ153" t="s" s="0">
        <v>4003</v>
      </c>
      <c r="BK153" t="s" s="301">
        <f>HYPERLINK("http://dx.doi.org/10.1186/s12911-026-03518-w","http://dx.doi.org/10.1186/s12911-026-03518-w")</f>
        <v>4004</v>
      </c>
      <c r="BL153" t="s" s="0">
        <v>81</v>
      </c>
      <c r="BM153" t="s" s="0">
        <v>438</v>
      </c>
      <c r="BN153" t="s" s="0">
        <v>709</v>
      </c>
      <c r="BO153" t="s" s="0">
        <v>352</v>
      </c>
      <c r="BP153" t="s" s="0">
        <v>352</v>
      </c>
      <c r="BQ153" t="s" s="0">
        <v>4005</v>
      </c>
      <c r="BR153" t="s" s="0">
        <v>4006</v>
      </c>
      <c r="BS153" t="s" s="0">
        <v>4007</v>
      </c>
      <c r="BT153" t="s" s="302">
        <f>HYPERLINK("https://www.webofscience.com/wos/woscc/full-record/WOS:001787068500002","View Record in Web of Science")</f>
        <v>113</v>
      </c>
      <c r="BU153" t="s" s="0">
        <v>153</v>
      </c>
      <c r="BV153" t="s" s="0">
        <v>81</v>
      </c>
      <c r="BW153" t="s" s="0">
        <v>81</v>
      </c>
      <c r="BX153" t="s" s="0">
        <v>115</v>
      </c>
    </row>
    <row r="154">
      <c r="A154" t="s" s="0">
        <v>77</v>
      </c>
      <c r="B154" t="s" s="0">
        <v>77</v>
      </c>
      <c r="C154" t="s" s="0">
        <v>144</v>
      </c>
      <c r="D154" t="s" s="0">
        <v>77</v>
      </c>
      <c r="E154" t="s" s="0">
        <v>4008</v>
      </c>
      <c r="F154" t="s" s="0">
        <v>4009</v>
      </c>
      <c r="G154" t="s" s="0">
        <v>4010</v>
      </c>
      <c r="H154" t="s" s="0">
        <v>81</v>
      </c>
      <c r="I154" t="s" s="0">
        <v>82</v>
      </c>
      <c r="J154" t="s" s="0">
        <v>4011</v>
      </c>
      <c r="K154" t="s" s="0">
        <v>4012</v>
      </c>
      <c r="L154" t="s" s="0">
        <v>4013</v>
      </c>
      <c r="M154" t="s" s="0">
        <v>4014</v>
      </c>
      <c r="N154" t="s" s="0">
        <v>4015</v>
      </c>
      <c r="O154" t="s" s="0">
        <v>4016</v>
      </c>
      <c r="P154" t="s" s="0">
        <v>4017</v>
      </c>
      <c r="Q154" t="s" s="0">
        <v>87</v>
      </c>
      <c r="R154" t="s" s="0">
        <v>81</v>
      </c>
      <c r="S154" t="s" s="0">
        <v>81</v>
      </c>
      <c r="T154" t="s" s="0">
        <v>81</v>
      </c>
      <c r="U154" t="s" s="0">
        <v>81</v>
      </c>
      <c r="V154" t="s" s="0">
        <v>4018</v>
      </c>
      <c r="W154" t="s" s="0">
        <v>4019</v>
      </c>
      <c r="X154" t="s" s="0">
        <v>81</v>
      </c>
      <c r="Y154" t="s" s="0">
        <v>81</v>
      </c>
      <c r="Z154" t="s" s="0">
        <v>90</v>
      </c>
      <c r="AA154" t="s" s="0">
        <v>91</v>
      </c>
      <c r="AB154" t="s" s="0">
        <v>81</v>
      </c>
      <c r="AC154" t="s" s="0">
        <v>81</v>
      </c>
      <c r="AD154" t="s" s="0">
        <v>81</v>
      </c>
      <c r="AE154" t="s" s="0">
        <v>81</v>
      </c>
      <c r="AF154" t="s" s="0">
        <v>81</v>
      </c>
      <c r="AG154" t="s" s="0">
        <v>4020</v>
      </c>
      <c r="AH154" t="s" s="0">
        <v>4021</v>
      </c>
      <c r="AI154" t="s" s="0">
        <v>4022</v>
      </c>
      <c r="AJ154" t="s" s="0">
        <v>81</v>
      </c>
      <c r="AK154" t="s" s="0">
        <v>81</v>
      </c>
      <c r="AL154" t="s" s="0">
        <v>910</v>
      </c>
      <c r="AM154" t="s" s="0">
        <v>116</v>
      </c>
      <c r="AN154" t="s" s="0">
        <v>116</v>
      </c>
      <c r="AO154" t="s" s="0">
        <v>210</v>
      </c>
      <c r="AP154" t="s" s="0">
        <v>210</v>
      </c>
      <c r="AQ154" t="s" s="0">
        <v>4023</v>
      </c>
      <c r="AR154" t="s" s="0">
        <v>4024</v>
      </c>
      <c r="AS154" t="s" s="0">
        <v>4025</v>
      </c>
      <c r="AT154" t="s" s="0">
        <v>4026</v>
      </c>
      <c r="AU154" t="s" s="0">
        <v>81</v>
      </c>
      <c r="AV154" t="s" s="0">
        <v>81</v>
      </c>
      <c r="AW154" t="s" s="0">
        <v>4027</v>
      </c>
      <c r="AX154" t="s" s="0">
        <v>4028</v>
      </c>
      <c r="AY154" t="s" s="0">
        <v>2529</v>
      </c>
      <c r="AZ154" t="s" s="0">
        <v>101</v>
      </c>
      <c r="BA154" t="s" s="0">
        <v>1963</v>
      </c>
      <c r="BB154" t="s" s="0">
        <v>81</v>
      </c>
      <c r="BC154" t="s" s="0">
        <v>81</v>
      </c>
      <c r="BD154" t="s" s="0">
        <v>81</v>
      </c>
      <c r="BE154" t="s" s="0">
        <v>81</v>
      </c>
      <c r="BF154" t="s" s="0">
        <v>81</v>
      </c>
      <c r="BG154" t="s" s="0">
        <v>81</v>
      </c>
      <c r="BH154" t="s" s="0">
        <v>81</v>
      </c>
      <c r="BI154" t="s" s="0">
        <v>4029</v>
      </c>
      <c r="BJ154" t="s" s="0">
        <v>4030</v>
      </c>
      <c r="BK154" t="s" s="303">
        <f>HYPERLINK("http://dx.doi.org/10.1016/j.jot.2026.101062","http://dx.doi.org/10.1016/j.jot.2026.101062")</f>
        <v>4031</v>
      </c>
      <c r="BL154" t="s" s="0">
        <v>81</v>
      </c>
      <c r="BM154" t="s" s="0">
        <v>566</v>
      </c>
      <c r="BN154" t="s" s="0">
        <v>245</v>
      </c>
      <c r="BO154" t="s" s="0">
        <v>4032</v>
      </c>
      <c r="BP154" t="s" s="0">
        <v>4032</v>
      </c>
      <c r="BQ154" t="s" s="0">
        <v>4033</v>
      </c>
      <c r="BR154" t="s" s="0">
        <v>4034</v>
      </c>
      <c r="BS154" t="s" s="0">
        <v>4035</v>
      </c>
      <c r="BT154" t="s" s="304">
        <f>HYPERLINK("https://www.webofscience.com/wos/woscc/full-record/WOS:001705855800001","View Record in Web of Science")</f>
        <v>113</v>
      </c>
      <c r="BU154" t="s" s="0">
        <v>153</v>
      </c>
      <c r="BV154" t="s" s="0">
        <v>81</v>
      </c>
      <c r="BW154" t="s" s="0">
        <v>81</v>
      </c>
      <c r="BX154" t="s" s="0">
        <v>115</v>
      </c>
    </row>
    <row r="155">
      <c r="A155" t="s" s="0">
        <v>77</v>
      </c>
      <c r="B155" t="s" s="0">
        <v>77</v>
      </c>
      <c r="C155" t="s" s="0">
        <v>313</v>
      </c>
      <c r="D155" t="s" s="0">
        <v>77</v>
      </c>
      <c r="E155" t="s" s="0">
        <v>4036</v>
      </c>
      <c r="F155" t="s" s="0">
        <v>4037</v>
      </c>
      <c r="G155" t="s" s="0">
        <v>4038</v>
      </c>
      <c r="H155" t="s" s="0">
        <v>81</v>
      </c>
      <c r="I155" t="s" s="0">
        <v>543</v>
      </c>
      <c r="J155" t="s" s="0">
        <v>4039</v>
      </c>
      <c r="K155" t="s" s="0">
        <v>4040</v>
      </c>
      <c r="L155" t="s" s="0">
        <v>4041</v>
      </c>
      <c r="M155" t="s" s="0">
        <v>4041</v>
      </c>
      <c r="N155" t="s" s="0">
        <v>4042</v>
      </c>
      <c r="O155" t="s" s="0">
        <v>4043</v>
      </c>
      <c r="P155" t="s" s="0">
        <v>4044</v>
      </c>
      <c r="Q155" t="s" s="0">
        <v>87</v>
      </c>
      <c r="R155" t="s" s="0">
        <v>81</v>
      </c>
      <c r="S155" t="s" s="0">
        <v>81</v>
      </c>
      <c r="T155" t="s" s="0">
        <v>81</v>
      </c>
      <c r="U155" t="s" s="0">
        <v>81</v>
      </c>
      <c r="V155" t="s" s="0">
        <v>4045</v>
      </c>
      <c r="W155" t="s" s="0">
        <v>4046</v>
      </c>
      <c r="X155" t="s" s="0">
        <v>81</v>
      </c>
      <c r="Y155" t="s" s="0">
        <v>81</v>
      </c>
      <c r="Z155" t="s" s="0">
        <v>90</v>
      </c>
      <c r="AA155" t="s" s="0">
        <v>91</v>
      </c>
      <c r="AB155" t="s" s="0">
        <v>81</v>
      </c>
      <c r="AC155" t="s" s="0">
        <v>81</v>
      </c>
      <c r="AD155" t="s" s="0">
        <v>81</v>
      </c>
      <c r="AE155" t="s" s="0">
        <v>81</v>
      </c>
      <c r="AF155" t="s" s="0">
        <v>81</v>
      </c>
      <c r="AG155" t="s" s="0">
        <v>4047</v>
      </c>
      <c r="AH155" t="s" s="0">
        <v>4048</v>
      </c>
      <c r="AI155" t="s" s="0">
        <v>4049</v>
      </c>
      <c r="AJ155" t="s" s="0">
        <v>81</v>
      </c>
      <c r="AK155" t="s" s="0">
        <v>81</v>
      </c>
      <c r="AL155" t="s" s="0">
        <v>1573</v>
      </c>
      <c r="AM155" t="s" s="0">
        <v>103</v>
      </c>
      <c r="AN155" t="s" s="0">
        <v>219</v>
      </c>
      <c r="AO155" t="s" s="0">
        <v>144</v>
      </c>
      <c r="AP155" t="s" s="0">
        <v>144</v>
      </c>
      <c r="AQ155" t="s" s="0">
        <v>314</v>
      </c>
      <c r="AR155" t="s" s="0">
        <v>315</v>
      </c>
      <c r="AS155" t="s" s="0">
        <v>316</v>
      </c>
      <c r="AT155" t="s" s="0">
        <v>81</v>
      </c>
      <c r="AU155" t="s" s="0">
        <v>4050</v>
      </c>
      <c r="AV155" t="s" s="0">
        <v>81</v>
      </c>
      <c r="AW155" t="s" s="0">
        <v>4046</v>
      </c>
      <c r="AX155" t="s" s="0">
        <v>4051</v>
      </c>
      <c r="AY155" t="s" s="0">
        <v>4052</v>
      </c>
      <c r="AZ155" t="s" s="0">
        <v>742</v>
      </c>
      <c r="BA155" t="s" s="0">
        <v>116</v>
      </c>
      <c r="BB155" t="s" s="0">
        <v>116</v>
      </c>
      <c r="BC155" t="s" s="0">
        <v>81</v>
      </c>
      <c r="BD155" t="s" s="0">
        <v>81</v>
      </c>
      <c r="BE155" t="s" s="0">
        <v>81</v>
      </c>
      <c r="BF155" t="s" s="0">
        <v>81</v>
      </c>
      <c r="BG155" t="s" s="0">
        <v>4053</v>
      </c>
      <c r="BH155" t="s" s="0">
        <v>4054</v>
      </c>
      <c r="BI155" t="s" s="0">
        <v>81</v>
      </c>
      <c r="BJ155" t="s" s="0">
        <v>4055</v>
      </c>
      <c r="BK155" t="s" s="305">
        <f>HYPERLINK("http://dx.doi.org/10.3390/biomedinformatics3030034","http://dx.doi.org/10.3390/biomedinformatics3030034")</f>
        <v>4056</v>
      </c>
      <c r="BL155" t="s" s="0">
        <v>81</v>
      </c>
      <c r="BM155" t="s" s="0">
        <v>81</v>
      </c>
      <c r="BN155" t="s" s="0">
        <v>1001</v>
      </c>
      <c r="BO155" t="s" s="0">
        <v>4057</v>
      </c>
      <c r="BP155" t="s" s="0">
        <v>4057</v>
      </c>
      <c r="BQ155" t="s" s="0">
        <v>4058</v>
      </c>
      <c r="BR155" t="s" s="0">
        <v>81</v>
      </c>
      <c r="BS155" t="s" s="0">
        <v>4059</v>
      </c>
      <c r="BT155" t="s" s="306">
        <f>HYPERLINK("https://www.webofscience.com/wos/woscc/full-record/WOS:001644279800001","View Record in Web of Science")</f>
        <v>113</v>
      </c>
      <c r="BU155" t="s" s="0">
        <v>153</v>
      </c>
      <c r="BV155" t="s" s="0">
        <v>81</v>
      </c>
      <c r="BW155" t="s" s="0">
        <v>81</v>
      </c>
      <c r="BX155" t="s" s="0">
        <v>115</v>
      </c>
    </row>
    <row r="156">
      <c r="A156" t="s" s="0">
        <v>77</v>
      </c>
      <c r="B156" t="s" s="0">
        <v>77</v>
      </c>
      <c r="C156" t="s" s="0">
        <v>77</v>
      </c>
      <c r="D156" t="s" s="0">
        <v>77</v>
      </c>
      <c r="E156" t="s" s="0">
        <v>4060</v>
      </c>
      <c r="F156" t="s" s="0">
        <v>4061</v>
      </c>
      <c r="G156" t="s" s="0">
        <v>4062</v>
      </c>
      <c r="H156" t="s" s="0">
        <v>81</v>
      </c>
      <c r="I156" t="s" s="0">
        <v>82</v>
      </c>
      <c r="J156" t="s" s="0">
        <v>4063</v>
      </c>
      <c r="K156" t="s" s="0">
        <v>4064</v>
      </c>
      <c r="L156" t="s" s="0">
        <v>81</v>
      </c>
      <c r="M156" t="s" s="0">
        <v>81</v>
      </c>
      <c r="N156" t="s" s="0">
        <v>81</v>
      </c>
      <c r="O156" t="s" s="0">
        <v>4065</v>
      </c>
      <c r="P156" t="s" s="0">
        <v>4066</v>
      </c>
      <c r="Q156" t="s" s="0">
        <v>87</v>
      </c>
      <c r="R156" t="s" s="0">
        <v>81</v>
      </c>
      <c r="S156" t="s" s="0">
        <v>81</v>
      </c>
      <c r="T156" t="s" s="0">
        <v>81</v>
      </c>
      <c r="U156" t="s" s="0">
        <v>81</v>
      </c>
      <c r="V156" t="s" s="0">
        <v>4067</v>
      </c>
      <c r="W156" t="s" s="0">
        <v>4068</v>
      </c>
      <c r="X156" t="s" s="0">
        <v>81</v>
      </c>
      <c r="Y156" t="s" s="0">
        <v>81</v>
      </c>
      <c r="Z156" t="s" s="0">
        <v>90</v>
      </c>
      <c r="AA156" t="s" s="0">
        <v>91</v>
      </c>
      <c r="AB156" t="s" s="0">
        <v>81</v>
      </c>
      <c r="AC156" t="s" s="0">
        <v>81</v>
      </c>
      <c r="AD156" t="s" s="0">
        <v>81</v>
      </c>
      <c r="AE156" t="s" s="0">
        <v>81</v>
      </c>
      <c r="AF156" t="s" s="0">
        <v>81</v>
      </c>
      <c r="AG156" t="s" s="0">
        <v>4069</v>
      </c>
      <c r="AH156" t="s" s="0">
        <v>4070</v>
      </c>
      <c r="AI156" t="s" s="0">
        <v>4071</v>
      </c>
      <c r="AJ156" t="s" s="0">
        <v>81</v>
      </c>
      <c r="AK156" t="s" s="0">
        <v>81</v>
      </c>
      <c r="AL156" t="s" s="0">
        <v>1887</v>
      </c>
      <c r="AM156" t="s" s="0">
        <v>77</v>
      </c>
      <c r="AN156" t="s" s="0">
        <v>77</v>
      </c>
      <c r="AO156" t="s" s="0">
        <v>313</v>
      </c>
      <c r="AP156" t="s" s="0">
        <v>372</v>
      </c>
      <c r="AQ156" t="s" s="0">
        <v>373</v>
      </c>
      <c r="AR156" t="s" s="0">
        <v>374</v>
      </c>
      <c r="AS156" t="s" s="0">
        <v>375</v>
      </c>
      <c r="AT156" t="s" s="0">
        <v>4072</v>
      </c>
      <c r="AU156" t="s" s="0">
        <v>4073</v>
      </c>
      <c r="AV156" t="s" s="0">
        <v>81</v>
      </c>
      <c r="AW156" t="s" s="0">
        <v>4074</v>
      </c>
      <c r="AX156" t="s" s="0">
        <v>4075</v>
      </c>
      <c r="AY156" t="s" s="0">
        <v>4076</v>
      </c>
      <c r="AZ156" t="s" s="0">
        <v>142</v>
      </c>
      <c r="BA156" t="s" s="0">
        <v>277</v>
      </c>
      <c r="BB156" t="s" s="0">
        <v>107</v>
      </c>
      <c r="BC156" t="s" s="0">
        <v>81</v>
      </c>
      <c r="BD156" t="s" s="0">
        <v>81</v>
      </c>
      <c r="BE156" t="s" s="0">
        <v>81</v>
      </c>
      <c r="BF156" t="s" s="0">
        <v>81</v>
      </c>
      <c r="BG156" t="s" s="0">
        <v>4077</v>
      </c>
      <c r="BH156" t="s" s="0">
        <v>4078</v>
      </c>
      <c r="BI156" t="s" s="0">
        <v>81</v>
      </c>
      <c r="BJ156" t="s" s="0">
        <v>4079</v>
      </c>
      <c r="BK156" t="s" s="307">
        <f>HYPERLINK("http://dx.doi.org/10.21037/jtd-2025-1010","http://dx.doi.org/10.21037/jtd-2025-1010")</f>
        <v>4080</v>
      </c>
      <c r="BL156" t="s" s="0">
        <v>81</v>
      </c>
      <c r="BM156" t="s" s="0">
        <v>81</v>
      </c>
      <c r="BN156" t="s" s="0">
        <v>187</v>
      </c>
      <c r="BO156" t="s" s="0">
        <v>4081</v>
      </c>
      <c r="BP156" t="s" s="0">
        <v>4081</v>
      </c>
      <c r="BQ156" t="s" s="0">
        <v>4082</v>
      </c>
      <c r="BR156" t="s" s="0">
        <v>4083</v>
      </c>
      <c r="BS156" t="s" s="0">
        <v>4084</v>
      </c>
      <c r="BT156" t="s" s="308">
        <f>HYPERLINK("https://www.webofscience.com/wos/woscc/full-record/WOS:001626418800033","View Record in Web of Science")</f>
        <v>113</v>
      </c>
      <c r="BU156" t="s" s="0">
        <v>153</v>
      </c>
      <c r="BV156" t="s" s="0">
        <v>81</v>
      </c>
      <c r="BW156" t="s" s="0">
        <v>81</v>
      </c>
      <c r="BX156" t="s" s="0">
        <v>115</v>
      </c>
    </row>
    <row r="157">
      <c r="A157" t="s" s="0">
        <v>219</v>
      </c>
      <c r="B157" t="s" s="0">
        <v>77</v>
      </c>
      <c r="C157" t="s" s="0">
        <v>173</v>
      </c>
      <c r="D157" t="s" s="0">
        <v>77</v>
      </c>
      <c r="E157" t="s" s="0">
        <v>4085</v>
      </c>
      <c r="F157" t="s" s="0">
        <v>4086</v>
      </c>
      <c r="G157" t="s" s="0">
        <v>4087</v>
      </c>
      <c r="H157" t="s" s="0">
        <v>81</v>
      </c>
      <c r="I157" t="s" s="0">
        <v>82</v>
      </c>
      <c r="J157" t="s" s="0">
        <v>4088</v>
      </c>
      <c r="K157" t="s" s="0">
        <v>4089</v>
      </c>
      <c r="L157" t="s" s="0">
        <v>4090</v>
      </c>
      <c r="M157" t="s" s="0">
        <v>267</v>
      </c>
      <c r="N157" t="s" s="0">
        <v>4091</v>
      </c>
      <c r="O157" t="s" s="0">
        <v>4092</v>
      </c>
      <c r="P157" t="s" s="0">
        <v>4093</v>
      </c>
      <c r="Q157" t="s" s="0">
        <v>87</v>
      </c>
      <c r="R157" t="s" s="0">
        <v>81</v>
      </c>
      <c r="S157" t="s" s="0">
        <v>81</v>
      </c>
      <c r="T157" t="s" s="0">
        <v>81</v>
      </c>
      <c r="U157" t="s" s="0">
        <v>81</v>
      </c>
      <c r="V157" t="s" s="0">
        <v>4094</v>
      </c>
      <c r="W157" t="s" s="0">
        <v>4095</v>
      </c>
      <c r="X157" t="s" s="0">
        <v>81</v>
      </c>
      <c r="Y157" t="s" s="0">
        <v>81</v>
      </c>
      <c r="Z157" t="s" s="0">
        <v>90</v>
      </c>
      <c r="AA157" t="s" s="0">
        <v>91</v>
      </c>
      <c r="AB157" t="s" s="0">
        <v>81</v>
      </c>
      <c r="AC157" t="s" s="0">
        <v>81</v>
      </c>
      <c r="AD157" t="s" s="0">
        <v>81</v>
      </c>
      <c r="AE157" t="s" s="0">
        <v>81</v>
      </c>
      <c r="AF157" t="s" s="0">
        <v>81</v>
      </c>
      <c r="AG157" t="s" s="0">
        <v>81</v>
      </c>
      <c r="AH157" t="s" s="0">
        <v>4096</v>
      </c>
      <c r="AI157" t="s" s="0">
        <v>4097</v>
      </c>
      <c r="AJ157" t="s" s="0">
        <v>4098</v>
      </c>
      <c r="AK157" t="s" s="0">
        <v>81</v>
      </c>
      <c r="AL157" t="s" s="0">
        <v>1887</v>
      </c>
      <c r="AM157" t="s" s="0">
        <v>1389</v>
      </c>
      <c r="AN157" t="s" s="0">
        <v>1284</v>
      </c>
      <c r="AO157" t="s" s="0">
        <v>210</v>
      </c>
      <c r="AP157" t="s" s="0">
        <v>428</v>
      </c>
      <c r="AQ157" t="s" s="0">
        <v>4099</v>
      </c>
      <c r="AR157" t="s" s="0">
        <v>4100</v>
      </c>
      <c r="AS157" t="s" s="0">
        <v>4101</v>
      </c>
      <c r="AT157" t="s" s="0">
        <v>4102</v>
      </c>
      <c r="AU157" t="s" s="0">
        <v>81</v>
      </c>
      <c r="AV157" t="s" s="0">
        <v>81</v>
      </c>
      <c r="AW157" t="s" s="0">
        <v>4103</v>
      </c>
      <c r="AX157" t="s" s="0">
        <v>4104</v>
      </c>
      <c r="AY157" t="s" s="0">
        <v>4105</v>
      </c>
      <c r="AZ157" t="s" s="0">
        <v>285</v>
      </c>
      <c r="BA157" t="s" s="0">
        <v>219</v>
      </c>
      <c r="BB157" t="s" s="0">
        <v>219</v>
      </c>
      <c r="BC157" t="s" s="0">
        <v>81</v>
      </c>
      <c r="BD157" t="s" s="0">
        <v>81</v>
      </c>
      <c r="BE157" t="s" s="0">
        <v>81</v>
      </c>
      <c r="BF157" t="s" s="0">
        <v>81</v>
      </c>
      <c r="BG157" t="s" s="0">
        <v>81</v>
      </c>
      <c r="BH157" t="s" s="0">
        <v>81</v>
      </c>
      <c r="BI157" t="s" s="0">
        <v>4106</v>
      </c>
      <c r="BJ157" t="s" s="0">
        <v>4107</v>
      </c>
      <c r="BK157" t="s" s="309">
        <f>HYPERLINK("http://dx.doi.org/10.1001/jamanetworkopen.2024.22454","http://dx.doi.org/10.1001/jamanetworkopen.2024.22454")</f>
        <v>4108</v>
      </c>
      <c r="BL157" t="s" s="0">
        <v>81</v>
      </c>
      <c r="BM157" t="s" s="0">
        <v>81</v>
      </c>
      <c r="BN157" t="s" s="0">
        <v>173</v>
      </c>
      <c r="BO157" t="s" s="0">
        <v>324</v>
      </c>
      <c r="BP157" t="s" s="0">
        <v>325</v>
      </c>
      <c r="BQ157" t="s" s="0">
        <v>4109</v>
      </c>
      <c r="BR157" t="s" s="0">
        <v>4110</v>
      </c>
      <c r="BS157" t="s" s="0">
        <v>4111</v>
      </c>
      <c r="BT157" t="s" s="310">
        <f>HYPERLINK("https://www.webofscience.com/wos/woscc/full-record/WOS:001272857200003","View Record in Web of Science")</f>
        <v>113</v>
      </c>
      <c r="BU157" t="s" s="0">
        <v>153</v>
      </c>
      <c r="BV157" t="s" s="0">
        <v>81</v>
      </c>
      <c r="BW157" t="s" s="0">
        <v>81</v>
      </c>
      <c r="BX157" t="s" s="0">
        <v>115</v>
      </c>
    </row>
    <row r="158">
      <c r="A158" t="s" s="0">
        <v>77</v>
      </c>
      <c r="B158" t="s" s="0">
        <v>77</v>
      </c>
      <c r="C158" t="s" s="0">
        <v>372</v>
      </c>
      <c r="D158" t="s" s="0">
        <v>77</v>
      </c>
      <c r="E158" t="s" s="0">
        <v>4112</v>
      </c>
      <c r="F158" t="s" s="0">
        <v>4113</v>
      </c>
      <c r="G158" t="s" s="0">
        <v>4114</v>
      </c>
      <c r="H158" t="s" s="0">
        <v>81</v>
      </c>
      <c r="I158" t="s" s="0">
        <v>82</v>
      </c>
      <c r="J158" t="s" s="0">
        <v>4115</v>
      </c>
      <c r="K158" t="s" s="0">
        <v>4116</v>
      </c>
      <c r="L158" t="s" s="0">
        <v>4117</v>
      </c>
      <c r="M158" t="s" s="0">
        <v>4117</v>
      </c>
      <c r="N158" t="s" s="0">
        <v>4118</v>
      </c>
      <c r="O158" t="s" s="0">
        <v>4119</v>
      </c>
      <c r="P158" t="s" s="0">
        <v>4120</v>
      </c>
      <c r="Q158" t="s" s="0">
        <v>87</v>
      </c>
      <c r="R158" t="s" s="0">
        <v>81</v>
      </c>
      <c r="S158" t="s" s="0">
        <v>81</v>
      </c>
      <c r="T158" t="s" s="0">
        <v>81</v>
      </c>
      <c r="U158" t="s" s="0">
        <v>81</v>
      </c>
      <c r="V158" t="s" s="0">
        <v>4121</v>
      </c>
      <c r="W158" t="s" s="0">
        <v>4095</v>
      </c>
      <c r="X158" t="s" s="0">
        <v>81</v>
      </c>
      <c r="Y158" t="s" s="0">
        <v>81</v>
      </c>
      <c r="Z158" t="s" s="0">
        <v>90</v>
      </c>
      <c r="AA158" t="s" s="0">
        <v>91</v>
      </c>
      <c r="AB158" t="s" s="0">
        <v>81</v>
      </c>
      <c r="AC158" t="s" s="0">
        <v>81</v>
      </c>
      <c r="AD158" t="s" s="0">
        <v>81</v>
      </c>
      <c r="AE158" t="s" s="0">
        <v>81</v>
      </c>
      <c r="AF158" t="s" s="0">
        <v>81</v>
      </c>
      <c r="AG158" t="s" s="0">
        <v>81</v>
      </c>
      <c r="AH158" t="s" s="0">
        <v>81</v>
      </c>
      <c r="AI158" t="s" s="0">
        <v>4122</v>
      </c>
      <c r="AJ158" t="s" s="0">
        <v>4123</v>
      </c>
      <c r="AK158" t="s" s="0">
        <v>81</v>
      </c>
      <c r="AL158" t="s" s="0">
        <v>1887</v>
      </c>
      <c r="AM158" t="s" s="0">
        <v>520</v>
      </c>
      <c r="AN158" t="s" s="0">
        <v>433</v>
      </c>
      <c r="AO158" t="s" s="0">
        <v>313</v>
      </c>
      <c r="AP158" t="s" s="0">
        <v>107</v>
      </c>
      <c r="AQ158" t="s" s="0">
        <v>4099</v>
      </c>
      <c r="AR158" t="s" s="0">
        <v>4100</v>
      </c>
      <c r="AS158" t="s" s="0">
        <v>4101</v>
      </c>
      <c r="AT158" t="s" s="0">
        <v>4102</v>
      </c>
      <c r="AU158" t="s" s="0">
        <v>81</v>
      </c>
      <c r="AV158" t="s" s="0">
        <v>81</v>
      </c>
      <c r="AW158" t="s" s="0">
        <v>4103</v>
      </c>
      <c r="AX158" t="s" s="0">
        <v>4104</v>
      </c>
      <c r="AY158" t="s" s="0">
        <v>4124</v>
      </c>
      <c r="AZ158" t="s" s="0">
        <v>285</v>
      </c>
      <c r="BA158" t="s" s="0">
        <v>219</v>
      </c>
      <c r="BB158" t="s" s="0">
        <v>107</v>
      </c>
      <c r="BC158" t="s" s="0">
        <v>81</v>
      </c>
      <c r="BD158" t="s" s="0">
        <v>81</v>
      </c>
      <c r="BE158" t="s" s="0">
        <v>81</v>
      </c>
      <c r="BF158" t="s" s="0">
        <v>81</v>
      </c>
      <c r="BG158" t="s" s="0">
        <v>81</v>
      </c>
      <c r="BH158" t="s" s="0">
        <v>81</v>
      </c>
      <c r="BI158" t="s" s="0">
        <v>4125</v>
      </c>
      <c r="BJ158" t="s" s="0">
        <v>4126</v>
      </c>
      <c r="BK158" t="s" s="311">
        <f>HYPERLINK("http://dx.doi.org/10.1001/jamanetworkopen.2024.37711","http://dx.doi.org/10.1001/jamanetworkopen.2024.37711")</f>
        <v>4127</v>
      </c>
      <c r="BL158" t="s" s="0">
        <v>81</v>
      </c>
      <c r="BM158" t="s" s="0">
        <v>81</v>
      </c>
      <c r="BN158" t="s" s="0">
        <v>172</v>
      </c>
      <c r="BO158" t="s" s="0">
        <v>324</v>
      </c>
      <c r="BP158" t="s" s="0">
        <v>325</v>
      </c>
      <c r="BQ158" t="s" s="0">
        <v>4128</v>
      </c>
      <c r="BR158" t="s" s="0">
        <v>4129</v>
      </c>
      <c r="BS158" t="s" s="0">
        <v>4130</v>
      </c>
      <c r="BT158" t="s" s="312">
        <f>HYPERLINK("https://www.webofscience.com/wos/woscc/full-record/WOS:001342041200010","View Record in Web of Science")</f>
        <v>113</v>
      </c>
      <c r="BU158" t="s" s="0">
        <v>153</v>
      </c>
      <c r="BV158" t="s" s="0">
        <v>81</v>
      </c>
      <c r="BW158" t="s" s="0">
        <v>81</v>
      </c>
      <c r="BX158" t="s" s="0">
        <v>115</v>
      </c>
    </row>
    <row r="159">
      <c r="A159" t="s" s="0">
        <v>77</v>
      </c>
      <c r="B159" t="s" s="0">
        <v>77</v>
      </c>
      <c r="C159" t="s" s="0">
        <v>77</v>
      </c>
      <c r="D159" t="s" s="0">
        <v>77</v>
      </c>
      <c r="E159" t="s" s="0">
        <v>4131</v>
      </c>
      <c r="F159" t="s" s="0">
        <v>4132</v>
      </c>
      <c r="G159" t="s" s="0">
        <v>4133</v>
      </c>
      <c r="H159" t="s" s="0">
        <v>81</v>
      </c>
      <c r="I159" t="s" s="0">
        <v>82</v>
      </c>
      <c r="J159" t="s" s="0">
        <v>4134</v>
      </c>
      <c r="K159" t="s" s="0">
        <v>4135</v>
      </c>
      <c r="L159" t="s" s="0">
        <v>4136</v>
      </c>
      <c r="M159" t="s" s="0">
        <v>4137</v>
      </c>
      <c r="N159" t="s" s="0">
        <v>4138</v>
      </c>
      <c r="O159" t="s" s="0">
        <v>4139</v>
      </c>
      <c r="P159" t="s" s="0">
        <v>4140</v>
      </c>
      <c r="Q159" t="s" s="0">
        <v>87</v>
      </c>
      <c r="R159" t="s" s="0">
        <v>81</v>
      </c>
      <c r="S159" t="s" s="0">
        <v>81</v>
      </c>
      <c r="T159" t="s" s="0">
        <v>81</v>
      </c>
      <c r="U159" t="s" s="0">
        <v>81</v>
      </c>
      <c r="V159" t="s" s="0">
        <v>4141</v>
      </c>
      <c r="W159" t="s" s="0">
        <v>308</v>
      </c>
      <c r="X159" t="s" s="0">
        <v>81</v>
      </c>
      <c r="Y159" t="s" s="0">
        <v>81</v>
      </c>
      <c r="Z159" t="s" s="0">
        <v>90</v>
      </c>
      <c r="AA159" t="s" s="0">
        <v>91</v>
      </c>
      <c r="AB159" t="s" s="0">
        <v>81</v>
      </c>
      <c r="AC159" t="s" s="0">
        <v>81</v>
      </c>
      <c r="AD159" t="s" s="0">
        <v>81</v>
      </c>
      <c r="AE159" t="s" s="0">
        <v>81</v>
      </c>
      <c r="AF159" t="s" s="0">
        <v>81</v>
      </c>
      <c r="AG159" t="s" s="0">
        <v>4142</v>
      </c>
      <c r="AH159" t="s" s="0">
        <v>81</v>
      </c>
      <c r="AI159" t="s" s="0">
        <v>4143</v>
      </c>
      <c r="AJ159" t="s" s="0">
        <v>81</v>
      </c>
      <c r="AK159" t="s" s="0">
        <v>81</v>
      </c>
      <c r="AL159" t="s" s="0">
        <v>822</v>
      </c>
      <c r="AM159" t="s" s="0">
        <v>144</v>
      </c>
      <c r="AN159" t="s" s="0">
        <v>144</v>
      </c>
      <c r="AO159" t="s" s="0">
        <v>144</v>
      </c>
      <c r="AP159" t="s" s="0">
        <v>144</v>
      </c>
      <c r="AQ159" t="s" s="0">
        <v>314</v>
      </c>
      <c r="AR159" t="s" s="0">
        <v>315</v>
      </c>
      <c r="AS159" t="s" s="0">
        <v>316</v>
      </c>
      <c r="AT159" t="s" s="0">
        <v>81</v>
      </c>
      <c r="AU159" t="s" s="0">
        <v>317</v>
      </c>
      <c r="AV159" t="s" s="0">
        <v>81</v>
      </c>
      <c r="AW159" t="s" s="0">
        <v>308</v>
      </c>
      <c r="AX159" t="s" s="0">
        <v>318</v>
      </c>
      <c r="AY159" t="s" s="0">
        <v>4144</v>
      </c>
      <c r="AZ159" t="s" s="0">
        <v>101</v>
      </c>
      <c r="BA159" t="s" s="0">
        <v>323</v>
      </c>
      <c r="BB159" t="s" s="0">
        <v>372</v>
      </c>
      <c r="BC159" t="s" s="0">
        <v>81</v>
      </c>
      <c r="BD159" t="s" s="0">
        <v>81</v>
      </c>
      <c r="BE159" t="s" s="0">
        <v>81</v>
      </c>
      <c r="BF159" t="s" s="0">
        <v>81</v>
      </c>
      <c r="BG159" t="s" s="0">
        <v>81</v>
      </c>
      <c r="BH159" t="s" s="0">
        <v>81</v>
      </c>
      <c r="BI159" t="s" s="0">
        <v>4145</v>
      </c>
      <c r="BJ159" t="s" s="0">
        <v>4146</v>
      </c>
      <c r="BK159" t="s" s="313">
        <f>HYPERLINK("http://dx.doi.org/10.3390/diagnostics16050734","http://dx.doi.org/10.3390/diagnostics16050734")</f>
        <v>4147</v>
      </c>
      <c r="BL159" t="s" s="0">
        <v>81</v>
      </c>
      <c r="BM159" t="s" s="0">
        <v>81</v>
      </c>
      <c r="BN159" t="s" s="0">
        <v>93</v>
      </c>
      <c r="BO159" t="s" s="0">
        <v>324</v>
      </c>
      <c r="BP159" t="s" s="0">
        <v>325</v>
      </c>
      <c r="BQ159" t="s" s="0">
        <v>4148</v>
      </c>
      <c r="BR159" t="s" s="0">
        <v>4149</v>
      </c>
      <c r="BS159" t="s" s="0">
        <v>4150</v>
      </c>
      <c r="BT159" t="s" s="314">
        <f>HYPERLINK("https://www.webofscience.com/wos/woscc/full-record/WOS:001713909700001","View Record in Web of Science")</f>
        <v>113</v>
      </c>
      <c r="BU159" t="s" s="0">
        <v>153</v>
      </c>
      <c r="BV159" t="s" s="0">
        <v>81</v>
      </c>
      <c r="BW159" t="s" s="0">
        <v>81</v>
      </c>
      <c r="BX159" t="s" s="0">
        <v>115</v>
      </c>
    </row>
    <row r="160">
      <c r="A160" t="s" s="0">
        <v>77</v>
      </c>
      <c r="B160" t="s" s="0">
        <v>77</v>
      </c>
      <c r="C160" t="s" s="0">
        <v>77</v>
      </c>
      <c r="D160" t="s" s="0">
        <v>77</v>
      </c>
      <c r="E160" t="s" s="0">
        <v>4151</v>
      </c>
      <c r="F160" t="s" s="0">
        <v>4152</v>
      </c>
      <c r="G160" t="s" s="0">
        <v>4153</v>
      </c>
      <c r="H160" t="s" s="0">
        <v>81</v>
      </c>
      <c r="I160" t="s" s="0">
        <v>82</v>
      </c>
      <c r="J160" t="s" s="0">
        <v>4154</v>
      </c>
      <c r="K160" t="s" s="0">
        <v>4155</v>
      </c>
      <c r="L160" t="s" s="0">
        <v>4156</v>
      </c>
      <c r="M160" t="s" s="0">
        <v>4157</v>
      </c>
      <c r="N160" t="s" s="0">
        <v>4158</v>
      </c>
      <c r="O160" t="s" s="0">
        <v>4159</v>
      </c>
      <c r="P160" t="s" s="0">
        <v>81</v>
      </c>
      <c r="Q160" t="s" s="0">
        <v>87</v>
      </c>
      <c r="R160" t="s" s="0">
        <v>81</v>
      </c>
      <c r="S160" t="s" s="0">
        <v>81</v>
      </c>
      <c r="T160" t="s" s="0">
        <v>81</v>
      </c>
      <c r="U160" t="s" s="0">
        <v>81</v>
      </c>
      <c r="V160" t="s" s="0">
        <v>4160</v>
      </c>
      <c r="W160" t="s" s="0">
        <v>3360</v>
      </c>
      <c r="X160" t="s" s="0">
        <v>81</v>
      </c>
      <c r="Y160" t="s" s="0">
        <v>81</v>
      </c>
      <c r="Z160" t="s" s="0">
        <v>90</v>
      </c>
      <c r="AA160" t="s" s="0">
        <v>91</v>
      </c>
      <c r="AB160" t="s" s="0">
        <v>81</v>
      </c>
      <c r="AC160" t="s" s="0">
        <v>81</v>
      </c>
      <c r="AD160" t="s" s="0">
        <v>81</v>
      </c>
      <c r="AE160" t="s" s="0">
        <v>81</v>
      </c>
      <c r="AF160" t="s" s="0">
        <v>81</v>
      </c>
      <c r="AG160" t="s" s="0">
        <v>4161</v>
      </c>
      <c r="AH160" t="s" s="0">
        <v>4162</v>
      </c>
      <c r="AI160" t="s" s="0">
        <v>81</v>
      </c>
      <c r="AJ160" t="s" s="0">
        <v>81</v>
      </c>
      <c r="AK160" t="s" s="0">
        <v>81</v>
      </c>
      <c r="AL160" t="s" s="0">
        <v>2409</v>
      </c>
      <c r="AM160" t="s" s="0">
        <v>77</v>
      </c>
      <c r="AN160" t="s" s="0">
        <v>77</v>
      </c>
      <c r="AO160" t="s" s="0">
        <v>77</v>
      </c>
      <c r="AP160" t="s" s="0">
        <v>77</v>
      </c>
      <c r="AQ160" t="s" s="0">
        <v>3362</v>
      </c>
      <c r="AR160" t="s" s="0">
        <v>3363</v>
      </c>
      <c r="AS160" t="s" s="0">
        <v>3364</v>
      </c>
      <c r="AT160" t="s" s="0">
        <v>81</v>
      </c>
      <c r="AU160" t="s" s="0">
        <v>3365</v>
      </c>
      <c r="AV160" t="s" s="0">
        <v>81</v>
      </c>
      <c r="AW160" t="s" s="0">
        <v>3366</v>
      </c>
      <c r="AX160" t="s" s="0">
        <v>3367</v>
      </c>
      <c r="AY160" t="s" s="0">
        <v>101</v>
      </c>
      <c r="AZ160" t="s" s="0">
        <v>101</v>
      </c>
      <c r="BA160" t="s" s="0">
        <v>245</v>
      </c>
      <c r="BB160" t="s" s="0">
        <v>81</v>
      </c>
      <c r="BC160" t="s" s="0">
        <v>81</v>
      </c>
      <c r="BD160" t="s" s="0">
        <v>81</v>
      </c>
      <c r="BE160" t="s" s="0">
        <v>81</v>
      </c>
      <c r="BF160" t="s" s="0">
        <v>81</v>
      </c>
      <c r="BG160" t="s" s="0">
        <v>81</v>
      </c>
      <c r="BH160" t="s" s="0">
        <v>81</v>
      </c>
      <c r="BI160" t="s" s="0">
        <v>4163</v>
      </c>
      <c r="BJ160" t="s" s="0">
        <v>4164</v>
      </c>
      <c r="BK160" t="s" s="315">
        <f>HYPERLINK("http://dx.doi.org/10.2196/91048","http://dx.doi.org/10.2196/91048")</f>
        <v>4165</v>
      </c>
      <c r="BL160" t="s" s="0">
        <v>81</v>
      </c>
      <c r="BM160" t="s" s="0">
        <v>81</v>
      </c>
      <c r="BN160" t="s" s="0">
        <v>187</v>
      </c>
      <c r="BO160" t="s" s="0">
        <v>352</v>
      </c>
      <c r="BP160" t="s" s="0">
        <v>352</v>
      </c>
      <c r="BQ160" t="s" s="0">
        <v>4166</v>
      </c>
      <c r="BR160" t="s" s="0">
        <v>4167</v>
      </c>
      <c r="BS160" t="s" s="0">
        <v>4168</v>
      </c>
      <c r="BT160" t="s" s="316">
        <f>HYPERLINK("https://www.webofscience.com/wos/woscc/full-record/WOS:001848297900002","View Record in Web of Science")</f>
        <v>113</v>
      </c>
      <c r="BU160" t="s" s="0">
        <v>153</v>
      </c>
      <c r="BV160" t="s" s="0">
        <v>81</v>
      </c>
      <c r="BW160" t="s" s="0">
        <v>81</v>
      </c>
      <c r="BX160" t="s" s="0">
        <v>115</v>
      </c>
    </row>
    <row r="161">
      <c r="A161" t="s" s="0">
        <v>77</v>
      </c>
      <c r="B161" t="s" s="0">
        <v>77</v>
      </c>
      <c r="C161" t="s" s="0">
        <v>116</v>
      </c>
      <c r="D161" t="s" s="0">
        <v>77</v>
      </c>
      <c r="E161" t="s" s="0">
        <v>4169</v>
      </c>
      <c r="F161" t="s" s="0">
        <v>4170</v>
      </c>
      <c r="G161" t="s" s="0">
        <v>4171</v>
      </c>
      <c r="H161" t="s" s="0">
        <v>81</v>
      </c>
      <c r="I161" t="s" s="0">
        <v>82</v>
      </c>
      <c r="J161" t="s" s="0">
        <v>4172</v>
      </c>
      <c r="K161" t="s" s="0">
        <v>4173</v>
      </c>
      <c r="L161" t="s" s="0">
        <v>81</v>
      </c>
      <c r="M161" t="s" s="0">
        <v>81</v>
      </c>
      <c r="N161" t="s" s="0">
        <v>81</v>
      </c>
      <c r="O161" t="s" s="0">
        <v>4174</v>
      </c>
      <c r="P161" t="s" s="0">
        <v>4175</v>
      </c>
      <c r="Q161" t="s" s="0">
        <v>87</v>
      </c>
      <c r="R161" t="s" s="0">
        <v>81</v>
      </c>
      <c r="S161" t="s" s="0">
        <v>81</v>
      </c>
      <c r="T161" t="s" s="0">
        <v>81</v>
      </c>
      <c r="U161" t="s" s="0">
        <v>81</v>
      </c>
      <c r="V161" t="s" s="0">
        <v>4176</v>
      </c>
      <c r="W161" t="s" s="0">
        <v>308</v>
      </c>
      <c r="X161" t="s" s="0">
        <v>81</v>
      </c>
      <c r="Y161" t="s" s="0">
        <v>81</v>
      </c>
      <c r="Z161" t="s" s="0">
        <v>90</v>
      </c>
      <c r="AA161" t="s" s="0">
        <v>91</v>
      </c>
      <c r="AB161" t="s" s="0">
        <v>81</v>
      </c>
      <c r="AC161" t="s" s="0">
        <v>81</v>
      </c>
      <c r="AD161" t="s" s="0">
        <v>81</v>
      </c>
      <c r="AE161" t="s" s="0">
        <v>81</v>
      </c>
      <c r="AF161" t="s" s="0">
        <v>81</v>
      </c>
      <c r="AG161" t="s" s="0">
        <v>4177</v>
      </c>
      <c r="AH161" t="s" s="0">
        <v>4178</v>
      </c>
      <c r="AI161" t="s" s="0">
        <v>4179</v>
      </c>
      <c r="AJ161" t="s" s="0">
        <v>4180</v>
      </c>
      <c r="AK161" t="s" s="0">
        <v>81</v>
      </c>
      <c r="AL161" t="s" s="0">
        <v>3114</v>
      </c>
      <c r="AM161" t="s" s="0">
        <v>626</v>
      </c>
      <c r="AN161" t="s" s="0">
        <v>796</v>
      </c>
      <c r="AO161" t="s" s="0">
        <v>210</v>
      </c>
      <c r="AP161" t="s" s="0">
        <v>187</v>
      </c>
      <c r="AQ161" t="s" s="0">
        <v>314</v>
      </c>
      <c r="AR161" t="s" s="0">
        <v>315</v>
      </c>
      <c r="AS161" t="s" s="0">
        <v>316</v>
      </c>
      <c r="AT161" t="s" s="0">
        <v>81</v>
      </c>
      <c r="AU161" t="s" s="0">
        <v>317</v>
      </c>
      <c r="AV161" t="s" s="0">
        <v>81</v>
      </c>
      <c r="AW161" t="s" s="0">
        <v>308</v>
      </c>
      <c r="AX161" t="s" s="0">
        <v>318</v>
      </c>
      <c r="AY161" t="s" s="0">
        <v>4181</v>
      </c>
      <c r="AZ161" t="s" s="0">
        <v>142</v>
      </c>
      <c r="BA161" t="s" s="0">
        <v>143</v>
      </c>
      <c r="BB161" t="s" s="0">
        <v>172</v>
      </c>
      <c r="BC161" t="s" s="0">
        <v>81</v>
      </c>
      <c r="BD161" t="s" s="0">
        <v>81</v>
      </c>
      <c r="BE161" t="s" s="0">
        <v>81</v>
      </c>
      <c r="BF161" t="s" s="0">
        <v>81</v>
      </c>
      <c r="BG161" t="s" s="0">
        <v>81</v>
      </c>
      <c r="BH161" t="s" s="0">
        <v>81</v>
      </c>
      <c r="BI161" t="s" s="0">
        <v>4182</v>
      </c>
      <c r="BJ161" t="s" s="0">
        <v>4183</v>
      </c>
      <c r="BK161" t="s" s="317">
        <f>HYPERLINK("http://dx.doi.org/10.3390/diagnostics15080995","http://dx.doi.org/10.3390/diagnostics15080995")</f>
        <v>4184</v>
      </c>
      <c r="BL161" t="s" s="0">
        <v>81</v>
      </c>
      <c r="BM161" t="s" s="0">
        <v>81</v>
      </c>
      <c r="BN161" t="s" s="0">
        <v>277</v>
      </c>
      <c r="BO161" t="s" s="0">
        <v>324</v>
      </c>
      <c r="BP161" t="s" s="0">
        <v>325</v>
      </c>
      <c r="BQ161" t="s" s="0">
        <v>4185</v>
      </c>
      <c r="BR161" t="s" s="0">
        <v>4186</v>
      </c>
      <c r="BS161" t="s" s="0">
        <v>4187</v>
      </c>
      <c r="BT161" t="s" s="318">
        <f>HYPERLINK("https://www.webofscience.com/wos/woscc/full-record/WOS:001475098100001","View Record in Web of Science")</f>
        <v>113</v>
      </c>
      <c r="BU161" t="s" s="0">
        <v>153</v>
      </c>
      <c r="BV161" t="s" s="0">
        <v>81</v>
      </c>
      <c r="BW161" t="s" s="0">
        <v>81</v>
      </c>
      <c r="BX161" t="s" s="0">
        <v>115</v>
      </c>
    </row>
    <row r="162">
      <c r="A162" t="s" s="0">
        <v>77</v>
      </c>
      <c r="B162" t="s" s="0">
        <v>77</v>
      </c>
      <c r="C162" t="s" s="0">
        <v>210</v>
      </c>
      <c r="D162" t="s" s="0">
        <v>77</v>
      </c>
      <c r="E162" t="s" s="0">
        <v>4188</v>
      </c>
      <c r="F162" t="s" s="0">
        <v>4189</v>
      </c>
      <c r="G162" t="s" s="0">
        <v>4190</v>
      </c>
      <c r="H162" t="s" s="0">
        <v>81</v>
      </c>
      <c r="I162" t="s" s="0">
        <v>82</v>
      </c>
      <c r="J162" t="s" s="0">
        <v>4191</v>
      </c>
      <c r="K162" t="s" s="0">
        <v>4192</v>
      </c>
      <c r="L162" t="s" s="0">
        <v>81</v>
      </c>
      <c r="M162" t="s" s="0">
        <v>81</v>
      </c>
      <c r="N162" t="s" s="0">
        <v>81</v>
      </c>
      <c r="O162" t="s" s="0">
        <v>4193</v>
      </c>
      <c r="P162" t="s" s="0">
        <v>4194</v>
      </c>
      <c r="Q162" t="s" s="0">
        <v>87</v>
      </c>
      <c r="R162" t="s" s="0">
        <v>81</v>
      </c>
      <c r="S162" t="s" s="0">
        <v>81</v>
      </c>
      <c r="T162" t="s" s="0">
        <v>81</v>
      </c>
      <c r="U162" t="s" s="0">
        <v>81</v>
      </c>
      <c r="V162" t="s" s="0">
        <v>4195</v>
      </c>
      <c r="W162" t="s" s="0">
        <v>3993</v>
      </c>
      <c r="X162" t="s" s="0">
        <v>81</v>
      </c>
      <c r="Y162" t="s" s="0">
        <v>81</v>
      </c>
      <c r="Z162" t="s" s="0">
        <v>90</v>
      </c>
      <c r="AA162" t="s" s="0">
        <v>91</v>
      </c>
      <c r="AB162" t="s" s="0">
        <v>81</v>
      </c>
      <c r="AC162" t="s" s="0">
        <v>81</v>
      </c>
      <c r="AD162" t="s" s="0">
        <v>81</v>
      </c>
      <c r="AE162" t="s" s="0">
        <v>81</v>
      </c>
      <c r="AF162" t="s" s="0">
        <v>81</v>
      </c>
      <c r="AG162" t="s" s="0">
        <v>4196</v>
      </c>
      <c r="AH162" t="s" s="0">
        <v>4197</v>
      </c>
      <c r="AI162" t="s" s="0">
        <v>4198</v>
      </c>
      <c r="AJ162" t="s" s="0">
        <v>4199</v>
      </c>
      <c r="AK162" t="s" s="0">
        <v>81</v>
      </c>
      <c r="AL162" t="s" s="0">
        <v>276</v>
      </c>
      <c r="AM162" t="s" s="0">
        <v>134</v>
      </c>
      <c r="AN162" t="s" s="0">
        <v>323</v>
      </c>
      <c r="AO162" t="s" s="0">
        <v>313</v>
      </c>
      <c r="AP162" t="s" s="0">
        <v>187</v>
      </c>
      <c r="AQ162" t="s" s="0">
        <v>645</v>
      </c>
      <c r="AR162" t="s" s="0">
        <v>646</v>
      </c>
      <c r="AS162" t="s" s="0">
        <v>647</v>
      </c>
      <c r="AT162" t="s" s="0">
        <v>81</v>
      </c>
      <c r="AU162" t="s" s="0">
        <v>3998</v>
      </c>
      <c r="AV162" t="s" s="0">
        <v>81</v>
      </c>
      <c r="AW162" t="s" s="0">
        <v>3999</v>
      </c>
      <c r="AX162" t="s" s="0">
        <v>4000</v>
      </c>
      <c r="AY162" t="s" s="0">
        <v>4200</v>
      </c>
      <c r="AZ162" t="s" s="0">
        <v>285</v>
      </c>
      <c r="BA162" t="s" s="0">
        <v>652</v>
      </c>
      <c r="BB162" t="s" s="0">
        <v>144</v>
      </c>
      <c r="BC162" t="s" s="0">
        <v>81</v>
      </c>
      <c r="BD162" t="s" s="0">
        <v>81</v>
      </c>
      <c r="BE162" t="s" s="0">
        <v>81</v>
      </c>
      <c r="BF162" t="s" s="0">
        <v>81</v>
      </c>
      <c r="BG162" t="s" s="0">
        <v>81</v>
      </c>
      <c r="BH162" t="s" s="0">
        <v>81</v>
      </c>
      <c r="BI162" t="s" s="0">
        <v>4201</v>
      </c>
      <c r="BJ162" t="s" s="0">
        <v>4202</v>
      </c>
      <c r="BK162" t="s" s="319">
        <f>HYPERLINK("http://dx.doi.org/10.1186/s12911-024-02772-0","http://dx.doi.org/10.1186/s12911-024-02772-0")</f>
        <v>4203</v>
      </c>
      <c r="BL162" t="s" s="0">
        <v>81</v>
      </c>
      <c r="BM162" t="s" s="0">
        <v>81</v>
      </c>
      <c r="BN162" t="s" s="0">
        <v>684</v>
      </c>
      <c r="BO162" t="s" s="0">
        <v>352</v>
      </c>
      <c r="BP162" t="s" s="0">
        <v>352</v>
      </c>
      <c r="BQ162" t="s" s="0">
        <v>4204</v>
      </c>
      <c r="BR162" t="s" s="0">
        <v>4205</v>
      </c>
      <c r="BS162" t="s" s="0">
        <v>4206</v>
      </c>
      <c r="BT162" t="s" s="320">
        <f>HYPERLINK("https://www.webofscience.com/wos/woscc/full-record/WOS:001361222400001","View Record in Web of Science")</f>
        <v>113</v>
      </c>
      <c r="BU162" t="s" s="0">
        <v>153</v>
      </c>
      <c r="BV162" t="s" s="0">
        <v>81</v>
      </c>
      <c r="BW162" t="s" s="0">
        <v>81</v>
      </c>
      <c r="BX162" t="s" s="0">
        <v>115</v>
      </c>
    </row>
    <row r="163">
      <c r="A163" t="s" s="0">
        <v>77</v>
      </c>
      <c r="B163" t="s" s="0">
        <v>77</v>
      </c>
      <c r="C163" t="s" s="0">
        <v>77</v>
      </c>
      <c r="D163" t="s" s="0">
        <v>77</v>
      </c>
      <c r="E163" t="s" s="0">
        <v>4207</v>
      </c>
      <c r="F163" t="s" s="0">
        <v>4208</v>
      </c>
      <c r="G163" t="s" s="0">
        <v>4209</v>
      </c>
      <c r="H163" t="s" s="0">
        <v>81</v>
      </c>
      <c r="I163" t="s" s="0">
        <v>82</v>
      </c>
      <c r="J163" t="s" s="0">
        <v>4210</v>
      </c>
      <c r="K163" t="s" s="0">
        <v>4211</v>
      </c>
      <c r="L163" t="s" s="0">
        <v>4212</v>
      </c>
      <c r="M163" t="s" s="0">
        <v>3049</v>
      </c>
      <c r="N163" t="s" s="0">
        <v>4213</v>
      </c>
      <c r="O163" t="s" s="0">
        <v>4214</v>
      </c>
      <c r="P163" t="s" s="0">
        <v>4215</v>
      </c>
      <c r="Q163" t="s" s="0">
        <v>87</v>
      </c>
      <c r="R163" t="s" s="0">
        <v>81</v>
      </c>
      <c r="S163" t="s" s="0">
        <v>81</v>
      </c>
      <c r="T163" t="s" s="0">
        <v>81</v>
      </c>
      <c r="U163" t="s" s="0">
        <v>81</v>
      </c>
      <c r="V163" t="s" s="0">
        <v>4216</v>
      </c>
      <c r="W163" t="s" s="0">
        <v>272</v>
      </c>
      <c r="X163" t="s" s="0">
        <v>81</v>
      </c>
      <c r="Y163" t="s" s="0">
        <v>81</v>
      </c>
      <c r="Z163" t="s" s="0">
        <v>90</v>
      </c>
      <c r="AA163" t="s" s="0">
        <v>2522</v>
      </c>
      <c r="AB163" t="s" s="0">
        <v>81</v>
      </c>
      <c r="AC163" t="s" s="0">
        <v>81</v>
      </c>
      <c r="AD163" t="s" s="0">
        <v>81</v>
      </c>
      <c r="AE163" t="s" s="0">
        <v>81</v>
      </c>
      <c r="AF163" t="s" s="0">
        <v>81</v>
      </c>
      <c r="AG163" t="s" s="0">
        <v>4217</v>
      </c>
      <c r="AH163" t="s" s="0">
        <v>4218</v>
      </c>
      <c r="AI163" t="s" s="0">
        <v>4219</v>
      </c>
      <c r="AJ163" t="s" s="0">
        <v>4220</v>
      </c>
      <c r="AK163" t="s" s="0">
        <v>81</v>
      </c>
      <c r="AL163" t="s" s="0">
        <v>93</v>
      </c>
      <c r="AM163" t="s" s="0">
        <v>144</v>
      </c>
      <c r="AN163" t="s" s="0">
        <v>144</v>
      </c>
      <c r="AO163" t="s" s="0">
        <v>116</v>
      </c>
      <c r="AP163" t="s" s="0">
        <v>372</v>
      </c>
      <c r="AQ163" t="s" s="0">
        <v>278</v>
      </c>
      <c r="AR163" t="s" s="0">
        <v>247</v>
      </c>
      <c r="AS163" t="s" s="0">
        <v>279</v>
      </c>
      <c r="AT163" t="s" s="0">
        <v>280</v>
      </c>
      <c r="AU163" t="s" s="0">
        <v>281</v>
      </c>
      <c r="AV163" t="s" s="0">
        <v>81</v>
      </c>
      <c r="AW163" t="s" s="0">
        <v>282</v>
      </c>
      <c r="AX163" t="s" s="0">
        <v>283</v>
      </c>
      <c r="AY163" t="s" s="0">
        <v>81</v>
      </c>
      <c r="AZ163" t="s" s="0">
        <v>142</v>
      </c>
      <c r="BA163" t="s" s="0">
        <v>81</v>
      </c>
      <c r="BB163" t="s" s="0">
        <v>81</v>
      </c>
      <c r="BC163" t="s" s="0">
        <v>81</v>
      </c>
      <c r="BD163" t="s" s="0">
        <v>81</v>
      </c>
      <c r="BE163" t="s" s="0">
        <v>81</v>
      </c>
      <c r="BF163" t="s" s="0">
        <v>81</v>
      </c>
      <c r="BG163" t="s" s="0">
        <v>81</v>
      </c>
      <c r="BH163" t="s" s="0">
        <v>81</v>
      </c>
      <c r="BI163" t="s" s="0">
        <v>81</v>
      </c>
      <c r="BJ163" t="s" s="0">
        <v>4221</v>
      </c>
      <c r="BK163" t="s" s="321">
        <f>HYPERLINK("http://dx.doi.org/10.1007/s10278-025-01788-w","http://dx.doi.org/10.1007/s10278-025-01788-w")</f>
        <v>4222</v>
      </c>
      <c r="BL163" t="s" s="0">
        <v>81</v>
      </c>
      <c r="BM163" t="s" s="0">
        <v>1140</v>
      </c>
      <c r="BN163" t="s" s="0">
        <v>245</v>
      </c>
      <c r="BO163" t="s" s="0">
        <v>292</v>
      </c>
      <c r="BP163" t="s" s="0">
        <v>292</v>
      </c>
      <c r="BQ163" t="s" s="0">
        <v>4223</v>
      </c>
      <c r="BR163" t="s" s="0">
        <v>4224</v>
      </c>
      <c r="BS163" t="s" s="0">
        <v>4225</v>
      </c>
      <c r="BT163" t="s" s="322">
        <f>HYPERLINK("https://www.webofscience.com/wos/woscc/full-record/WOS:001640854800001","View Record in Web of Science")</f>
        <v>113</v>
      </c>
      <c r="BU163" t="s" s="0">
        <v>81</v>
      </c>
      <c r="BV163" t="s" s="0">
        <v>81</v>
      </c>
      <c r="BW163" t="s" s="0">
        <v>81</v>
      </c>
      <c r="BX163" t="s" s="0">
        <v>115</v>
      </c>
    </row>
    <row r="164">
      <c r="A164" t="s" s="0">
        <v>77</v>
      </c>
      <c r="B164" t="s" s="0">
        <v>77</v>
      </c>
      <c r="C164" t="s" s="0">
        <v>77</v>
      </c>
      <c r="D164" t="s" s="0">
        <v>77</v>
      </c>
      <c r="E164" t="s" s="0">
        <v>4226</v>
      </c>
      <c r="F164" t="s" s="0">
        <v>4227</v>
      </c>
      <c r="G164" t="s" s="0">
        <v>4228</v>
      </c>
      <c r="H164" t="s" s="0">
        <v>81</v>
      </c>
      <c r="I164" t="s" s="0">
        <v>82</v>
      </c>
      <c r="J164" t="s" s="0">
        <v>4229</v>
      </c>
      <c r="K164" t="s" s="0">
        <v>4230</v>
      </c>
      <c r="L164" t="s" s="0">
        <v>4231</v>
      </c>
      <c r="M164" t="s" s="0">
        <v>4232</v>
      </c>
      <c r="N164" t="s" s="0">
        <v>4233</v>
      </c>
      <c r="O164" t="s" s="0">
        <v>4234</v>
      </c>
      <c r="P164" t="s" s="0">
        <v>4235</v>
      </c>
      <c r="Q164" t="s" s="0">
        <v>87</v>
      </c>
      <c r="R164" t="s" s="0">
        <v>81</v>
      </c>
      <c r="S164" t="s" s="0">
        <v>81</v>
      </c>
      <c r="T164" t="s" s="0">
        <v>81</v>
      </c>
      <c r="U164" t="s" s="0">
        <v>81</v>
      </c>
      <c r="V164" t="s" s="0">
        <v>4236</v>
      </c>
      <c r="W164" t="s" s="0">
        <v>1567</v>
      </c>
      <c r="X164" t="s" s="0">
        <v>81</v>
      </c>
      <c r="Y164" t="s" s="0">
        <v>81</v>
      </c>
      <c r="Z164" t="s" s="0">
        <v>90</v>
      </c>
      <c r="AA164" t="s" s="0">
        <v>91</v>
      </c>
      <c r="AB164" t="s" s="0">
        <v>81</v>
      </c>
      <c r="AC164" t="s" s="0">
        <v>81</v>
      </c>
      <c r="AD164" t="s" s="0">
        <v>81</v>
      </c>
      <c r="AE164" t="s" s="0">
        <v>81</v>
      </c>
      <c r="AF164" t="s" s="0">
        <v>81</v>
      </c>
      <c r="AG164" t="s" s="0">
        <v>81</v>
      </c>
      <c r="AH164" t="s" s="0">
        <v>81</v>
      </c>
      <c r="AI164" t="s" s="0">
        <v>4237</v>
      </c>
      <c r="AJ164" t="s" s="0">
        <v>4238</v>
      </c>
      <c r="AK164" t="s" s="0">
        <v>81</v>
      </c>
      <c r="AL164" t="s" s="0">
        <v>521</v>
      </c>
      <c r="AM164" t="s" s="0">
        <v>210</v>
      </c>
      <c r="AN164" t="s" s="0">
        <v>372</v>
      </c>
      <c r="AO164" t="s" s="0">
        <v>372</v>
      </c>
      <c r="AP164" t="s" s="0">
        <v>103</v>
      </c>
      <c r="AQ164" t="s" s="0">
        <v>135</v>
      </c>
      <c r="AR164" t="s" s="0">
        <v>136</v>
      </c>
      <c r="AS164" t="s" s="0">
        <v>137</v>
      </c>
      <c r="AT164" t="s" s="0">
        <v>1569</v>
      </c>
      <c r="AU164" t="s" s="0">
        <v>81</v>
      </c>
      <c r="AV164" t="s" s="0">
        <v>81</v>
      </c>
      <c r="AW164" t="s" s="0">
        <v>1570</v>
      </c>
      <c r="AX164" t="s" s="0">
        <v>1571</v>
      </c>
      <c r="AY164" t="s" s="0">
        <v>4239</v>
      </c>
      <c r="AZ164" t="s" s="0">
        <v>142</v>
      </c>
      <c r="BA164" t="s" s="0">
        <v>172</v>
      </c>
      <c r="BB164" t="s" s="0">
        <v>144</v>
      </c>
      <c r="BC164" t="s" s="0">
        <v>81</v>
      </c>
      <c r="BD164" t="s" s="0">
        <v>81</v>
      </c>
      <c r="BE164" t="s" s="0">
        <v>81</v>
      </c>
      <c r="BF164" t="s" s="0">
        <v>81</v>
      </c>
      <c r="BG164" t="s" s="0">
        <v>81</v>
      </c>
      <c r="BH164" t="s" s="0">
        <v>81</v>
      </c>
      <c r="BI164" t="s" s="0">
        <v>4240</v>
      </c>
      <c r="BJ164" t="s" s="0">
        <v>4241</v>
      </c>
      <c r="BK164" t="s" s="323">
        <f>HYPERLINK("http://dx.doi.org/10.1038/s41746-025-02144-6","http://dx.doi.org/10.1038/s41746-025-02144-6")</f>
        <v>4242</v>
      </c>
      <c r="BL164" t="s" s="0">
        <v>81</v>
      </c>
      <c r="BM164" t="s" s="0">
        <v>81</v>
      </c>
      <c r="BN164" t="s" s="0">
        <v>133</v>
      </c>
      <c r="BO164" t="s" s="0">
        <v>1576</v>
      </c>
      <c r="BP164" t="s" s="0">
        <v>1576</v>
      </c>
      <c r="BQ164" t="s" s="0">
        <v>4243</v>
      </c>
      <c r="BR164" t="s" s="0">
        <v>4244</v>
      </c>
      <c r="BS164" t="s" s="0">
        <v>4245</v>
      </c>
      <c r="BT164" t="s" s="324">
        <f>HYPERLINK("https://www.webofscience.com/wos/woscc/full-record/WOS:001641099400002","View Record in Web of Science")</f>
        <v>113</v>
      </c>
      <c r="BU164" t="s" s="0">
        <v>153</v>
      </c>
      <c r="BV164" t="s" s="0">
        <v>81</v>
      </c>
      <c r="BW164" t="s" s="0">
        <v>81</v>
      </c>
      <c r="BX164" t="s" s="0">
        <v>115</v>
      </c>
    </row>
    <row r="165">
      <c r="A165" t="s" s="0">
        <v>77</v>
      </c>
      <c r="B165" t="s" s="0">
        <v>77</v>
      </c>
      <c r="C165" t="s" s="0">
        <v>77</v>
      </c>
      <c r="D165" t="s" s="0">
        <v>77</v>
      </c>
      <c r="E165" t="s" s="0">
        <v>4246</v>
      </c>
      <c r="F165" t="s" s="0">
        <v>4247</v>
      </c>
      <c r="G165" t="s" s="0">
        <v>4248</v>
      </c>
      <c r="H165" t="s" s="0">
        <v>81</v>
      </c>
      <c r="I165" t="s" s="0">
        <v>543</v>
      </c>
      <c r="J165" t="s" s="0">
        <v>4249</v>
      </c>
      <c r="K165" t="s" s="0">
        <v>4250</v>
      </c>
      <c r="L165" t="s" s="0">
        <v>4251</v>
      </c>
      <c r="M165" t="s" s="0">
        <v>4251</v>
      </c>
      <c r="N165" t="s" s="0">
        <v>4252</v>
      </c>
      <c r="O165" t="s" s="0">
        <v>4253</v>
      </c>
      <c r="P165" t="s" s="0">
        <v>4254</v>
      </c>
      <c r="Q165" t="s" s="0">
        <v>87</v>
      </c>
      <c r="R165" t="s" s="0">
        <v>81</v>
      </c>
      <c r="S165" t="s" s="0">
        <v>81</v>
      </c>
      <c r="T165" t="s" s="0">
        <v>81</v>
      </c>
      <c r="U165" t="s" s="0">
        <v>81</v>
      </c>
      <c r="V165" t="s" s="0">
        <v>4255</v>
      </c>
      <c r="W165" t="s" s="0">
        <v>4256</v>
      </c>
      <c r="X165" t="s" s="0">
        <v>81</v>
      </c>
      <c r="Y165" t="s" s="0">
        <v>81</v>
      </c>
      <c r="Z165" t="s" s="0">
        <v>90</v>
      </c>
      <c r="AA165" t="s" s="0">
        <v>91</v>
      </c>
      <c r="AB165" t="s" s="0">
        <v>81</v>
      </c>
      <c r="AC165" t="s" s="0">
        <v>81</v>
      </c>
      <c r="AD165" t="s" s="0">
        <v>81</v>
      </c>
      <c r="AE165" t="s" s="0">
        <v>81</v>
      </c>
      <c r="AF165" t="s" s="0">
        <v>81</v>
      </c>
      <c r="AG165" t="s" s="0">
        <v>4257</v>
      </c>
      <c r="AH165" t="s" s="0">
        <v>4258</v>
      </c>
      <c r="AI165" t="s" s="0">
        <v>4259</v>
      </c>
      <c r="AJ165" t="s" s="0">
        <v>4260</v>
      </c>
      <c r="AK165" t="s" s="0">
        <v>81</v>
      </c>
      <c r="AL165" t="s" s="0">
        <v>286</v>
      </c>
      <c r="AM165" t="s" s="0">
        <v>313</v>
      </c>
      <c r="AN165" t="s" s="0">
        <v>313</v>
      </c>
      <c r="AO165" t="s" s="0">
        <v>144</v>
      </c>
      <c r="AP165" t="s" s="0">
        <v>144</v>
      </c>
      <c r="AQ165" t="s" s="0">
        <v>94</v>
      </c>
      <c r="AR165" t="s" s="0">
        <v>95</v>
      </c>
      <c r="AS165" t="s" s="0">
        <v>96</v>
      </c>
      <c r="AT165" t="s" s="0">
        <v>81</v>
      </c>
      <c r="AU165" t="s" s="0">
        <v>4261</v>
      </c>
      <c r="AV165" t="s" s="0">
        <v>81</v>
      </c>
      <c r="AW165" t="s" s="0">
        <v>4262</v>
      </c>
      <c r="AX165" t="s" s="0">
        <v>4263</v>
      </c>
      <c r="AY165" t="s" s="0">
        <v>142</v>
      </c>
      <c r="AZ165" t="s" s="0">
        <v>142</v>
      </c>
      <c r="BA165" t="s" s="0">
        <v>219</v>
      </c>
      <c r="BB165" t="s" s="0">
        <v>116</v>
      </c>
      <c r="BC165" t="s" s="0">
        <v>81</v>
      </c>
      <c r="BD165" t="s" s="0">
        <v>81</v>
      </c>
      <c r="BE165" t="s" s="0">
        <v>81</v>
      </c>
      <c r="BF165" t="s" s="0">
        <v>81</v>
      </c>
      <c r="BG165" t="s" s="0">
        <v>81</v>
      </c>
      <c r="BH165" t="s" s="0">
        <v>81</v>
      </c>
      <c r="BI165" t="s" s="0">
        <v>4264</v>
      </c>
      <c r="BJ165" t="s" s="0">
        <v>4265</v>
      </c>
      <c r="BK165" t="s" s="325">
        <f>HYPERLINK("http://dx.doi.org/10.1093/braincomms/fcaf179","http://dx.doi.org/10.1093/braincomms/fcaf179")</f>
        <v>4266</v>
      </c>
      <c r="BL165" t="s" s="0">
        <v>81</v>
      </c>
      <c r="BM165" t="s" s="0">
        <v>81</v>
      </c>
      <c r="BN165" t="s" s="0">
        <v>187</v>
      </c>
      <c r="BO165" t="s" s="0">
        <v>1937</v>
      </c>
      <c r="BP165" t="s" s="0">
        <v>749</v>
      </c>
      <c r="BQ165" t="s" s="0">
        <v>4267</v>
      </c>
      <c r="BR165" t="s" s="0">
        <v>4268</v>
      </c>
      <c r="BS165" t="s" s="0">
        <v>4269</v>
      </c>
      <c r="BT165" t="s" s="326">
        <f>HYPERLINK("https://www.webofscience.com/wos/woscc/full-record/WOS:001489166400001","View Record in Web of Science")</f>
        <v>113</v>
      </c>
      <c r="BU165" t="s" s="0">
        <v>153</v>
      </c>
      <c r="BV165" t="s" s="0">
        <v>81</v>
      </c>
      <c r="BW165" t="s" s="0">
        <v>81</v>
      </c>
      <c r="BX165" t="s" s="0">
        <v>115</v>
      </c>
    </row>
    <row r="166">
      <c r="A166" t="s" s="0">
        <v>77</v>
      </c>
      <c r="B166" t="s" s="0">
        <v>77</v>
      </c>
      <c r="C166" t="s" s="0">
        <v>77</v>
      </c>
      <c r="D166" t="s" s="0">
        <v>77</v>
      </c>
      <c r="E166" t="s" s="0">
        <v>4270</v>
      </c>
      <c r="F166" t="s" s="0">
        <v>4271</v>
      </c>
      <c r="G166" t="s" s="0">
        <v>4272</v>
      </c>
      <c r="H166" t="s" s="0">
        <v>81</v>
      </c>
      <c r="I166" t="s" s="0">
        <v>543</v>
      </c>
      <c r="J166" t="s" s="0">
        <v>4273</v>
      </c>
      <c r="K166" t="s" s="0">
        <v>4274</v>
      </c>
      <c r="L166" t="s" s="0">
        <v>81</v>
      </c>
      <c r="M166" t="s" s="0">
        <v>81</v>
      </c>
      <c r="N166" t="s" s="0">
        <v>81</v>
      </c>
      <c r="O166" t="s" s="0">
        <v>4275</v>
      </c>
      <c r="P166" t="s" s="0">
        <v>4276</v>
      </c>
      <c r="Q166" t="s" s="0">
        <v>87</v>
      </c>
      <c r="R166" t="s" s="0">
        <v>81</v>
      </c>
      <c r="S166" t="s" s="0">
        <v>81</v>
      </c>
      <c r="T166" t="s" s="0">
        <v>81</v>
      </c>
      <c r="U166" t="s" s="0">
        <v>81</v>
      </c>
      <c r="V166" t="s" s="0">
        <v>4277</v>
      </c>
      <c r="W166" t="s" s="0">
        <v>4278</v>
      </c>
      <c r="X166" t="s" s="0">
        <v>81</v>
      </c>
      <c r="Y166" t="s" s="0">
        <v>81</v>
      </c>
      <c r="Z166" t="s" s="0">
        <v>90</v>
      </c>
      <c r="AA166" t="s" s="0">
        <v>91</v>
      </c>
      <c r="AB166" t="s" s="0">
        <v>81</v>
      </c>
      <c r="AC166" t="s" s="0">
        <v>81</v>
      </c>
      <c r="AD166" t="s" s="0">
        <v>81</v>
      </c>
      <c r="AE166" t="s" s="0">
        <v>81</v>
      </c>
      <c r="AF166" t="s" s="0">
        <v>81</v>
      </c>
      <c r="AG166" t="s" s="0">
        <v>4279</v>
      </c>
      <c r="AH166" t="s" s="0">
        <v>4280</v>
      </c>
      <c r="AI166" t="s" s="0">
        <v>4281</v>
      </c>
      <c r="AJ166" t="s" s="0">
        <v>4282</v>
      </c>
      <c r="AK166" t="s" s="0">
        <v>81</v>
      </c>
      <c r="AL166" t="s" s="0">
        <v>276</v>
      </c>
      <c r="AM166" t="s" s="0">
        <v>144</v>
      </c>
      <c r="AN166" t="s" s="0">
        <v>144</v>
      </c>
      <c r="AO166" t="s" s="0">
        <v>144</v>
      </c>
      <c r="AP166" t="s" s="0">
        <v>144</v>
      </c>
      <c r="AQ166" t="s" s="0">
        <v>402</v>
      </c>
      <c r="AR166" t="s" s="0">
        <v>403</v>
      </c>
      <c r="AS166" t="s" s="0">
        <v>404</v>
      </c>
      <c r="AT166" t="s" s="0">
        <v>81</v>
      </c>
      <c r="AU166" t="s" s="0">
        <v>4283</v>
      </c>
      <c r="AV166" t="s" s="0">
        <v>81</v>
      </c>
      <c r="AW166" t="s" s="0">
        <v>4284</v>
      </c>
      <c r="AX166" t="s" s="0">
        <v>4285</v>
      </c>
      <c r="AY166" t="s" s="0">
        <v>4286</v>
      </c>
      <c r="AZ166" t="s" s="0">
        <v>101</v>
      </c>
      <c r="BA166" t="s" s="0">
        <v>219</v>
      </c>
      <c r="BB166" t="s" s="0">
        <v>81</v>
      </c>
      <c r="BC166" t="s" s="0">
        <v>81</v>
      </c>
      <c r="BD166" t="s" s="0">
        <v>81</v>
      </c>
      <c r="BE166" t="s" s="0">
        <v>81</v>
      </c>
      <c r="BF166" t="s" s="0">
        <v>81</v>
      </c>
      <c r="BG166" t="s" s="0">
        <v>81</v>
      </c>
      <c r="BH166" t="s" s="0">
        <v>81</v>
      </c>
      <c r="BI166" t="s" s="0">
        <v>4287</v>
      </c>
      <c r="BJ166" t="s" s="0">
        <v>4288</v>
      </c>
      <c r="BK166" t="s" s="327">
        <f>HYPERLINK("http://dx.doi.org/10.3389/fdgth.2025.1709277","http://dx.doi.org/10.3389/fdgth.2025.1709277")</f>
        <v>4289</v>
      </c>
      <c r="BL166" t="s" s="0">
        <v>81</v>
      </c>
      <c r="BM166" t="s" s="0">
        <v>81</v>
      </c>
      <c r="BN166" t="s" s="0">
        <v>134</v>
      </c>
      <c r="BO166" t="s" s="0">
        <v>1576</v>
      </c>
      <c r="BP166" t="s" s="0">
        <v>1576</v>
      </c>
      <c r="BQ166" t="s" s="0">
        <v>4290</v>
      </c>
      <c r="BR166" t="s" s="0">
        <v>4291</v>
      </c>
      <c r="BS166" t="s" s="0">
        <v>4292</v>
      </c>
      <c r="BT166" t="s" s="328">
        <f>HYPERLINK("https://www.webofscience.com/wos/woscc/full-record/WOS:001685448000001","View Record in Web of Science")</f>
        <v>113</v>
      </c>
      <c r="BU166" t="s" s="0">
        <v>153</v>
      </c>
      <c r="BV166" t="s" s="0">
        <v>81</v>
      </c>
      <c r="BW166" t="s" s="0">
        <v>81</v>
      </c>
      <c r="BX166" t="s" s="0">
        <v>115</v>
      </c>
    </row>
    <row r="167">
      <c r="A167" t="s" s="0">
        <v>77</v>
      </c>
      <c r="B167" t="s" s="0">
        <v>77</v>
      </c>
      <c r="C167" t="s" s="0">
        <v>173</v>
      </c>
      <c r="D167" t="s" s="0">
        <v>77</v>
      </c>
      <c r="E167" t="s" s="0">
        <v>4293</v>
      </c>
      <c r="F167" t="s" s="0">
        <v>4294</v>
      </c>
      <c r="G167" t="s" s="0">
        <v>4295</v>
      </c>
      <c r="H167" t="s" s="0">
        <v>81</v>
      </c>
      <c r="I167" t="s" s="0">
        <v>82</v>
      </c>
      <c r="J167" t="s" s="0">
        <v>4296</v>
      </c>
      <c r="K167" t="s" s="0">
        <v>4297</v>
      </c>
      <c r="L167" t="s" s="0">
        <v>4298</v>
      </c>
      <c r="M167" t="s" s="0">
        <v>4299</v>
      </c>
      <c r="N167" t="s" s="0">
        <v>4300</v>
      </c>
      <c r="O167" t="s" s="0">
        <v>4301</v>
      </c>
      <c r="P167" t="s" s="0">
        <v>4302</v>
      </c>
      <c r="Q167" t="s" s="0">
        <v>87</v>
      </c>
      <c r="R167" t="s" s="0">
        <v>81</v>
      </c>
      <c r="S167" t="s" s="0">
        <v>81</v>
      </c>
      <c r="T167" t="s" s="0">
        <v>81</v>
      </c>
      <c r="U167" t="s" s="0">
        <v>81</v>
      </c>
      <c r="V167" t="s" s="0">
        <v>4303</v>
      </c>
      <c r="W167" t="s" s="0">
        <v>128</v>
      </c>
      <c r="X167" t="s" s="0">
        <v>81</v>
      </c>
      <c r="Y167" t="s" s="0">
        <v>81</v>
      </c>
      <c r="Z167" t="s" s="0">
        <v>90</v>
      </c>
      <c r="AA167" t="s" s="0">
        <v>91</v>
      </c>
      <c r="AB167" t="s" s="0">
        <v>81</v>
      </c>
      <c r="AC167" t="s" s="0">
        <v>81</v>
      </c>
      <c r="AD167" t="s" s="0">
        <v>81</v>
      </c>
      <c r="AE167" t="s" s="0">
        <v>81</v>
      </c>
      <c r="AF167" t="s" s="0">
        <v>81</v>
      </c>
      <c r="AG167" t="s" s="0">
        <v>4304</v>
      </c>
      <c r="AH167" t="s" s="0">
        <v>81</v>
      </c>
      <c r="AI167" t="s" s="0">
        <v>4305</v>
      </c>
      <c r="AJ167" t="s" s="0">
        <v>4306</v>
      </c>
      <c r="AK167" t="s" s="0">
        <v>81</v>
      </c>
      <c r="AL167" t="s" s="0">
        <v>767</v>
      </c>
      <c r="AM167" t="s" s="0">
        <v>93</v>
      </c>
      <c r="AN167" t="s" s="0">
        <v>521</v>
      </c>
      <c r="AO167" t="s" s="0">
        <v>372</v>
      </c>
      <c r="AP167" t="s" s="0">
        <v>796</v>
      </c>
      <c r="AQ167" t="s" s="0">
        <v>135</v>
      </c>
      <c r="AR167" t="s" s="0">
        <v>136</v>
      </c>
      <c r="AS167" t="s" s="0">
        <v>137</v>
      </c>
      <c r="AT167" t="s" s="0">
        <v>138</v>
      </c>
      <c r="AU167" t="s" s="0">
        <v>81</v>
      </c>
      <c r="AV167" t="s" s="0">
        <v>81</v>
      </c>
      <c r="AW167" t="s" s="0">
        <v>139</v>
      </c>
      <c r="AX167" t="s" s="0">
        <v>140</v>
      </c>
      <c r="AY167" t="s" s="0">
        <v>4307</v>
      </c>
      <c r="AZ167" t="s" s="0">
        <v>285</v>
      </c>
      <c r="BA167" t="s" s="0">
        <v>245</v>
      </c>
      <c r="BB167" t="s" s="0">
        <v>144</v>
      </c>
      <c r="BC167" t="s" s="0">
        <v>81</v>
      </c>
      <c r="BD167" t="s" s="0">
        <v>81</v>
      </c>
      <c r="BE167" t="s" s="0">
        <v>81</v>
      </c>
      <c r="BF167" t="s" s="0">
        <v>81</v>
      </c>
      <c r="BG167" t="s" s="0">
        <v>81</v>
      </c>
      <c r="BH167" t="s" s="0">
        <v>81</v>
      </c>
      <c r="BI167" t="s" s="0">
        <v>4308</v>
      </c>
      <c r="BJ167" t="s" s="0">
        <v>4309</v>
      </c>
      <c r="BK167" t="s" s="329">
        <f>HYPERLINK("http://dx.doi.org/10.1038/s41598-024-56172-5","http://dx.doi.org/10.1038/s41598-024-56172-5")</f>
        <v>4310</v>
      </c>
      <c r="BL167" t="s" s="0">
        <v>81</v>
      </c>
      <c r="BM167" t="s" s="0">
        <v>81</v>
      </c>
      <c r="BN167" t="s" s="0">
        <v>245</v>
      </c>
      <c r="BO167" t="s" s="0">
        <v>148</v>
      </c>
      <c r="BP167" t="s" s="0">
        <v>149</v>
      </c>
      <c r="BQ167" t="s" s="0">
        <v>4311</v>
      </c>
      <c r="BR167" t="s" s="0">
        <v>4312</v>
      </c>
      <c r="BS167" t="s" s="0">
        <v>4313</v>
      </c>
      <c r="BT167" t="s" s="330">
        <f>HYPERLINK("https://www.webofscience.com/wos/woscc/full-record/WOS:001185083700054","View Record in Web of Science")</f>
        <v>113</v>
      </c>
      <c r="BU167" t="s" s="0">
        <v>153</v>
      </c>
      <c r="BV167" t="s" s="0">
        <v>81</v>
      </c>
      <c r="BW167" t="s" s="0">
        <v>81</v>
      </c>
      <c r="BX167" t="s" s="0">
        <v>115</v>
      </c>
    </row>
    <row r="168">
      <c r="A168" t="s" s="0">
        <v>77</v>
      </c>
      <c r="B168" t="s" s="0">
        <v>77</v>
      </c>
      <c r="C168" t="s" s="0">
        <v>77</v>
      </c>
      <c r="D168" t="s" s="0">
        <v>77</v>
      </c>
      <c r="E168" t="s" s="0">
        <v>4314</v>
      </c>
      <c r="F168" t="s" s="0">
        <v>4315</v>
      </c>
      <c r="G168" t="s" s="0">
        <v>4316</v>
      </c>
      <c r="H168" t="s" s="0">
        <v>81</v>
      </c>
      <c r="I168" t="s" s="0">
        <v>82</v>
      </c>
      <c r="J168" t="s" s="0">
        <v>4317</v>
      </c>
      <c r="K168" t="s" s="0">
        <v>4318</v>
      </c>
      <c r="L168" t="s" s="0">
        <v>4319</v>
      </c>
      <c r="M168" t="s" s="0">
        <v>4320</v>
      </c>
      <c r="N168" t="s" s="0">
        <v>4321</v>
      </c>
      <c r="O168" t="s" s="0">
        <v>4322</v>
      </c>
      <c r="P168" t="s" s="0">
        <v>4323</v>
      </c>
      <c r="Q168" t="s" s="0">
        <v>87</v>
      </c>
      <c r="R168" t="s" s="0">
        <v>81</v>
      </c>
      <c r="S168" t="s" s="0">
        <v>81</v>
      </c>
      <c r="T168" t="s" s="0">
        <v>81</v>
      </c>
      <c r="U168" t="s" s="0">
        <v>81</v>
      </c>
      <c r="V168" t="s" s="0">
        <v>4324</v>
      </c>
      <c r="W168" t="s" s="0">
        <v>4325</v>
      </c>
      <c r="X168" t="s" s="0">
        <v>81</v>
      </c>
      <c r="Y168" t="s" s="0">
        <v>81</v>
      </c>
      <c r="Z168" t="s" s="0">
        <v>90</v>
      </c>
      <c r="AA168" t="s" s="0">
        <v>91</v>
      </c>
      <c r="AB168" t="s" s="0">
        <v>81</v>
      </c>
      <c r="AC168" t="s" s="0">
        <v>81</v>
      </c>
      <c r="AD168" t="s" s="0">
        <v>81</v>
      </c>
      <c r="AE168" t="s" s="0">
        <v>81</v>
      </c>
      <c r="AF168" t="s" s="0">
        <v>81</v>
      </c>
      <c r="AG168" t="s" s="0">
        <v>4326</v>
      </c>
      <c r="AH168" t="s" s="0">
        <v>81</v>
      </c>
      <c r="AI168" t="s" s="0">
        <v>4327</v>
      </c>
      <c r="AJ168" t="s" s="0">
        <v>81</v>
      </c>
      <c r="AK168" t="s" s="0">
        <v>81</v>
      </c>
      <c r="AL168" t="s" s="0">
        <v>822</v>
      </c>
      <c r="AM168" t="s" s="0">
        <v>77</v>
      </c>
      <c r="AN168" t="s" s="0">
        <v>77</v>
      </c>
      <c r="AO168" t="s" s="0">
        <v>77</v>
      </c>
      <c r="AP168" t="s" s="0">
        <v>77</v>
      </c>
      <c r="AQ168" t="s" s="0">
        <v>1162</v>
      </c>
      <c r="AR168" t="s" s="0">
        <v>95</v>
      </c>
      <c r="AS168" t="s" s="0">
        <v>1163</v>
      </c>
      <c r="AT168" t="s" s="0">
        <v>4328</v>
      </c>
      <c r="AU168" t="s" s="0">
        <v>4329</v>
      </c>
      <c r="AV168" t="s" s="0">
        <v>81</v>
      </c>
      <c r="AW168" t="s" s="0">
        <v>4330</v>
      </c>
      <c r="AX168" t="s" s="0">
        <v>4331</v>
      </c>
      <c r="AY168" t="s" s="0">
        <v>2031</v>
      </c>
      <c r="AZ168" t="s" s="0">
        <v>101</v>
      </c>
      <c r="BA168" t="s" s="0">
        <v>4332</v>
      </c>
      <c r="BB168" t="s" s="0">
        <v>81</v>
      </c>
      <c r="BC168" t="s" s="0">
        <v>81</v>
      </c>
      <c r="BD168" t="s" s="0">
        <v>210</v>
      </c>
      <c r="BE168" t="s" s="0">
        <v>81</v>
      </c>
      <c r="BF168" t="s" s="0">
        <v>81</v>
      </c>
      <c r="BG168" t="s" s="0">
        <v>81</v>
      </c>
      <c r="BH168" t="s" s="0">
        <v>81</v>
      </c>
      <c r="BI168" t="s" s="0">
        <v>4333</v>
      </c>
      <c r="BJ168" t="s" s="0">
        <v>4334</v>
      </c>
      <c r="BK168" t="s" s="331">
        <f>HYPERLINK("http://dx.doi.org/10.1016/j.engappai.2026.115544","http://dx.doi.org/10.1016/j.engappai.2026.115544")</f>
        <v>4335</v>
      </c>
      <c r="BL168" t="s" s="0">
        <v>81</v>
      </c>
      <c r="BM168" t="s" s="0">
        <v>2241</v>
      </c>
      <c r="BN168" t="s" s="0">
        <v>488</v>
      </c>
      <c r="BO168" t="s" s="0">
        <v>4336</v>
      </c>
      <c r="BP168" t="s" s="0">
        <v>4337</v>
      </c>
      <c r="BQ168" t="s" s="0">
        <v>4338</v>
      </c>
      <c r="BR168" t="s" s="0">
        <v>81</v>
      </c>
      <c r="BS168" t="s" s="0">
        <v>4339</v>
      </c>
      <c r="BT168" t="s" s="332">
        <f>HYPERLINK("https://www.webofscience.com/wos/woscc/full-record/WOS:001814882400001","View Record in Web of Science")</f>
        <v>113</v>
      </c>
      <c r="BU168" t="s" s="0">
        <v>81</v>
      </c>
      <c r="BV168" t="s" s="0">
        <v>81</v>
      </c>
      <c r="BW168" t="s" s="0">
        <v>81</v>
      </c>
      <c r="BX168" t="s" s="0">
        <v>115</v>
      </c>
    </row>
    <row r="169">
      <c r="A169" t="s" s="0">
        <v>77</v>
      </c>
      <c r="B169" t="s" s="0">
        <v>77</v>
      </c>
      <c r="C169" t="s" s="0">
        <v>144</v>
      </c>
      <c r="D169" t="s" s="0">
        <v>77</v>
      </c>
      <c r="E169" t="s" s="0">
        <v>4340</v>
      </c>
      <c r="F169" t="s" s="0">
        <v>4341</v>
      </c>
      <c r="G169" t="s" s="0">
        <v>4342</v>
      </c>
      <c r="H169" t="s" s="0">
        <v>81</v>
      </c>
      <c r="I169" t="s" s="0">
        <v>82</v>
      </c>
      <c r="J169" t="s" s="0">
        <v>4343</v>
      </c>
      <c r="K169" t="s" s="0">
        <v>4344</v>
      </c>
      <c r="L169" t="s" s="0">
        <v>4345</v>
      </c>
      <c r="M169" t="s" s="0">
        <v>4346</v>
      </c>
      <c r="N169" t="s" s="0">
        <v>4347</v>
      </c>
      <c r="O169" t="s" s="0">
        <v>4348</v>
      </c>
      <c r="P169" t="s" s="0">
        <v>4349</v>
      </c>
      <c r="Q169" t="s" s="0">
        <v>87</v>
      </c>
      <c r="R169" t="s" s="0">
        <v>81</v>
      </c>
      <c r="S169" t="s" s="0">
        <v>81</v>
      </c>
      <c r="T169" t="s" s="0">
        <v>81</v>
      </c>
      <c r="U169" t="s" s="0">
        <v>81</v>
      </c>
      <c r="V169" t="s" s="0">
        <v>4350</v>
      </c>
      <c r="W169" t="s" s="0">
        <v>4068</v>
      </c>
      <c r="X169" t="s" s="0">
        <v>81</v>
      </c>
      <c r="Y169" t="s" s="0">
        <v>81</v>
      </c>
      <c r="Z169" t="s" s="0">
        <v>90</v>
      </c>
      <c r="AA169" t="s" s="0">
        <v>91</v>
      </c>
      <c r="AB169" t="s" s="0">
        <v>81</v>
      </c>
      <c r="AC169" t="s" s="0">
        <v>81</v>
      </c>
      <c r="AD169" t="s" s="0">
        <v>81</v>
      </c>
      <c r="AE169" t="s" s="0">
        <v>81</v>
      </c>
      <c r="AF169" t="s" s="0">
        <v>81</v>
      </c>
      <c r="AG169" t="s" s="0">
        <v>4351</v>
      </c>
      <c r="AH169" t="s" s="0">
        <v>4352</v>
      </c>
      <c r="AI169" t="s" s="0">
        <v>81</v>
      </c>
      <c r="AJ169" t="s" s="0">
        <v>81</v>
      </c>
      <c r="AK169" t="s" s="0">
        <v>81</v>
      </c>
      <c r="AL169" t="s" s="0">
        <v>2106</v>
      </c>
      <c r="AM169" t="s" s="0">
        <v>210</v>
      </c>
      <c r="AN169" t="s" s="0">
        <v>210</v>
      </c>
      <c r="AO169" t="s" s="0">
        <v>144</v>
      </c>
      <c r="AP169" t="s" s="0">
        <v>103</v>
      </c>
      <c r="AQ169" t="s" s="0">
        <v>373</v>
      </c>
      <c r="AR169" t="s" s="0">
        <v>374</v>
      </c>
      <c r="AS169" t="s" s="0">
        <v>375</v>
      </c>
      <c r="AT169" t="s" s="0">
        <v>4072</v>
      </c>
      <c r="AU169" t="s" s="0">
        <v>4073</v>
      </c>
      <c r="AV169" t="s" s="0">
        <v>81</v>
      </c>
      <c r="AW169" t="s" s="0">
        <v>4074</v>
      </c>
      <c r="AX169" t="s" s="0">
        <v>4075</v>
      </c>
      <c r="AY169" t="s" s="0">
        <v>4076</v>
      </c>
      <c r="AZ169" t="s" s="0">
        <v>142</v>
      </c>
      <c r="BA169" t="s" s="0">
        <v>277</v>
      </c>
      <c r="BB169" t="s" s="0">
        <v>107</v>
      </c>
      <c r="BC169" t="s" s="0">
        <v>81</v>
      </c>
      <c r="BD169" t="s" s="0">
        <v>81</v>
      </c>
      <c r="BE169" t="s" s="0">
        <v>81</v>
      </c>
      <c r="BF169" t="s" s="0">
        <v>81</v>
      </c>
      <c r="BG169" t="s" s="0">
        <v>4353</v>
      </c>
      <c r="BH169" t="s" s="0">
        <v>4354</v>
      </c>
      <c r="BI169" t="s" s="0">
        <v>81</v>
      </c>
      <c r="BJ169" t="s" s="0">
        <v>4355</v>
      </c>
      <c r="BK169" t="s" s="333">
        <f>HYPERLINK("http://dx.doi.org/10.21037/jtd-2025-1012","http://dx.doi.org/10.21037/jtd-2025-1012")</f>
        <v>4356</v>
      </c>
      <c r="BL169" t="s" s="0">
        <v>81</v>
      </c>
      <c r="BM169" t="s" s="0">
        <v>81</v>
      </c>
      <c r="BN169" t="s" s="0">
        <v>143</v>
      </c>
      <c r="BO169" t="s" s="0">
        <v>4081</v>
      </c>
      <c r="BP169" t="s" s="0">
        <v>4081</v>
      </c>
      <c r="BQ169" t="s" s="0">
        <v>4357</v>
      </c>
      <c r="BR169" t="s" s="0">
        <v>4358</v>
      </c>
      <c r="BS169" t="s" s="0">
        <v>4359</v>
      </c>
      <c r="BT169" t="s" s="334">
        <f>HYPERLINK("https://www.webofscience.com/wos/woscc/full-record/WOS:001615901300001","View Record in Web of Science")</f>
        <v>113</v>
      </c>
      <c r="BU169" t="s" s="0">
        <v>153</v>
      </c>
      <c r="BV169" t="s" s="0">
        <v>81</v>
      </c>
      <c r="BW169" t="s" s="0">
        <v>81</v>
      </c>
      <c r="BX169" t="s" s="0">
        <v>115</v>
      </c>
    </row>
    <row r="170">
      <c r="A170" t="s" s="0">
        <v>77</v>
      </c>
      <c r="B170" t="s" s="0">
        <v>77</v>
      </c>
      <c r="C170" t="s" s="0">
        <v>77</v>
      </c>
      <c r="D170" t="s" s="0">
        <v>77</v>
      </c>
      <c r="E170" t="s" s="0">
        <v>4360</v>
      </c>
      <c r="F170" t="s" s="0">
        <v>4361</v>
      </c>
      <c r="G170" t="s" s="0">
        <v>4362</v>
      </c>
      <c r="H170" t="s" s="0">
        <v>81</v>
      </c>
      <c r="I170" t="s" s="0">
        <v>82</v>
      </c>
      <c r="J170" t="s" s="0">
        <v>4363</v>
      </c>
      <c r="K170" t="s" s="0">
        <v>4364</v>
      </c>
      <c r="L170" t="s" s="0">
        <v>81</v>
      </c>
      <c r="M170" t="s" s="0">
        <v>81</v>
      </c>
      <c r="N170" t="s" s="0">
        <v>81</v>
      </c>
      <c r="O170" t="s" s="0">
        <v>4365</v>
      </c>
      <c r="P170" t="s" s="0">
        <v>4366</v>
      </c>
      <c r="Q170" t="s" s="0">
        <v>87</v>
      </c>
      <c r="R170" t="s" s="0">
        <v>81</v>
      </c>
      <c r="S170" t="s" s="0">
        <v>81</v>
      </c>
      <c r="T170" t="s" s="0">
        <v>81</v>
      </c>
      <c r="U170" t="s" s="0">
        <v>81</v>
      </c>
      <c r="V170" t="s" s="0">
        <v>4367</v>
      </c>
      <c r="W170" t="s" s="0">
        <v>4368</v>
      </c>
      <c r="X170" t="s" s="0">
        <v>81</v>
      </c>
      <c r="Y170" t="s" s="0">
        <v>81</v>
      </c>
      <c r="Z170" t="s" s="0">
        <v>90</v>
      </c>
      <c r="AA170" t="s" s="0">
        <v>91</v>
      </c>
      <c r="AB170" t="s" s="0">
        <v>81</v>
      </c>
      <c r="AC170" t="s" s="0">
        <v>81</v>
      </c>
      <c r="AD170" t="s" s="0">
        <v>81</v>
      </c>
      <c r="AE170" t="s" s="0">
        <v>81</v>
      </c>
      <c r="AF170" t="s" s="0">
        <v>81</v>
      </c>
      <c r="AG170" t="s" s="0">
        <v>4369</v>
      </c>
      <c r="AH170" t="s" s="0">
        <v>81</v>
      </c>
      <c r="AI170" t="s" s="0">
        <v>81</v>
      </c>
      <c r="AJ170" t="s" s="0">
        <v>81</v>
      </c>
      <c r="AK170" t="s" s="0">
        <v>81</v>
      </c>
      <c r="AL170" t="s" s="0">
        <v>433</v>
      </c>
      <c r="AM170" t="s" s="0">
        <v>77</v>
      </c>
      <c r="AN170" t="s" s="0">
        <v>77</v>
      </c>
      <c r="AO170" t="s" s="0">
        <v>77</v>
      </c>
      <c r="AP170" t="s" s="0">
        <v>77</v>
      </c>
      <c r="AQ170" t="s" s="0">
        <v>246</v>
      </c>
      <c r="AR170" t="s" s="0">
        <v>247</v>
      </c>
      <c r="AS170" t="s" s="0">
        <v>248</v>
      </c>
      <c r="AT170" t="s" s="0">
        <v>4370</v>
      </c>
      <c r="AU170" t="s" s="0">
        <v>4371</v>
      </c>
      <c r="AV170" t="s" s="0">
        <v>81</v>
      </c>
      <c r="AW170" t="s" s="0">
        <v>4372</v>
      </c>
      <c r="AX170" t="s" s="0">
        <v>4373</v>
      </c>
      <c r="AY170" t="s" s="0">
        <v>2459</v>
      </c>
      <c r="AZ170" t="s" s="0">
        <v>101</v>
      </c>
      <c r="BA170" t="s" s="0">
        <v>1363</v>
      </c>
      <c r="BB170" t="s" s="0">
        <v>133</v>
      </c>
      <c r="BC170" t="s" s="0">
        <v>81</v>
      </c>
      <c r="BD170" t="s" s="0">
        <v>81</v>
      </c>
      <c r="BE170" t="s" s="0">
        <v>81</v>
      </c>
      <c r="BF170" t="s" s="0">
        <v>81</v>
      </c>
      <c r="BG170" t="s" s="0">
        <v>4374</v>
      </c>
      <c r="BH170" t="s" s="0">
        <v>4375</v>
      </c>
      <c r="BI170" t="s" s="0">
        <v>81</v>
      </c>
      <c r="BJ170" t="s" s="0">
        <v>4376</v>
      </c>
      <c r="BK170" t="s" s="335">
        <f>HYPERLINK("http://dx.doi.org/10.1016/j.dld.2026.07.005","http://dx.doi.org/10.1016/j.dld.2026.07.005")</f>
        <v>4377</v>
      </c>
      <c r="BL170" t="s" s="0">
        <v>81</v>
      </c>
      <c r="BM170" t="s" s="0">
        <v>81</v>
      </c>
      <c r="BN170" t="s" s="0">
        <v>133</v>
      </c>
      <c r="BO170" t="s" s="0">
        <v>1503</v>
      </c>
      <c r="BP170" t="s" s="0">
        <v>1503</v>
      </c>
      <c r="BQ170" t="s" s="0">
        <v>4378</v>
      </c>
      <c r="BR170" t="s" s="0">
        <v>4379</v>
      </c>
      <c r="BS170" t="s" s="0">
        <v>4380</v>
      </c>
      <c r="BT170" t="s" s="336">
        <f>HYPERLINK("https://www.webofscience.com/wos/woscc/full-record/WOS:001851497600001","View Record in Web of Science")</f>
        <v>113</v>
      </c>
      <c r="BU170" t="s" s="0">
        <v>193</v>
      </c>
      <c r="BV170" t="s" s="0">
        <v>81</v>
      </c>
      <c r="BW170" t="s" s="0">
        <v>81</v>
      </c>
      <c r="BX170" t="s" s="0">
        <v>115</v>
      </c>
    </row>
    <row r="171">
      <c r="A171" t="s" s="0">
        <v>77</v>
      </c>
      <c r="B171" t="s" s="0">
        <v>77</v>
      </c>
      <c r="C171" t="s" s="0">
        <v>77</v>
      </c>
      <c r="D171" t="s" s="0">
        <v>77</v>
      </c>
      <c r="E171" t="s" s="0">
        <v>4381</v>
      </c>
      <c r="F171" t="s" s="0">
        <v>4382</v>
      </c>
      <c r="G171" t="s" s="0">
        <v>4383</v>
      </c>
      <c r="H171" t="s" s="0">
        <v>81</v>
      </c>
      <c r="I171" t="s" s="0">
        <v>543</v>
      </c>
      <c r="J171" t="s" s="0">
        <v>4384</v>
      </c>
      <c r="K171" t="s" s="0">
        <v>4385</v>
      </c>
      <c r="L171" t="s" s="0">
        <v>81</v>
      </c>
      <c r="M171" t="s" s="0">
        <v>81</v>
      </c>
      <c r="N171" t="s" s="0">
        <v>81</v>
      </c>
      <c r="O171" t="s" s="0">
        <v>4386</v>
      </c>
      <c r="P171" t="s" s="0">
        <v>4387</v>
      </c>
      <c r="Q171" t="s" s="0">
        <v>87</v>
      </c>
      <c r="R171" t="s" s="0">
        <v>81</v>
      </c>
      <c r="S171" t="s" s="0">
        <v>81</v>
      </c>
      <c r="T171" t="s" s="0">
        <v>81</v>
      </c>
      <c r="U171" t="s" s="0">
        <v>81</v>
      </c>
      <c r="V171" t="s" s="0">
        <v>4388</v>
      </c>
      <c r="W171" t="s" s="0">
        <v>2233</v>
      </c>
      <c r="X171" t="s" s="0">
        <v>81</v>
      </c>
      <c r="Y171" t="s" s="0">
        <v>81</v>
      </c>
      <c r="Z171" t="s" s="0">
        <v>90</v>
      </c>
      <c r="AA171" t="s" s="0">
        <v>91</v>
      </c>
      <c r="AB171" t="s" s="0">
        <v>81</v>
      </c>
      <c r="AC171" t="s" s="0">
        <v>81</v>
      </c>
      <c r="AD171" t="s" s="0">
        <v>81</v>
      </c>
      <c r="AE171" t="s" s="0">
        <v>81</v>
      </c>
      <c r="AF171" t="s" s="0">
        <v>81</v>
      </c>
      <c r="AG171" t="s" s="0">
        <v>4389</v>
      </c>
      <c r="AH171" t="s" s="0">
        <v>4390</v>
      </c>
      <c r="AI171" t="s" s="0">
        <v>81</v>
      </c>
      <c r="AJ171" t="s" s="0">
        <v>81</v>
      </c>
      <c r="AK171" t="s" s="0">
        <v>81</v>
      </c>
      <c r="AL171" t="s" s="0">
        <v>401</v>
      </c>
      <c r="AM171" t="s" s="0">
        <v>77</v>
      </c>
      <c r="AN171" t="s" s="0">
        <v>77</v>
      </c>
      <c r="AO171" t="s" s="0">
        <v>116</v>
      </c>
      <c r="AP171" t="s" s="0">
        <v>116</v>
      </c>
      <c r="AQ171" t="s" s="0">
        <v>615</v>
      </c>
      <c r="AR171" t="s" s="0">
        <v>616</v>
      </c>
      <c r="AS171" t="s" s="0">
        <v>617</v>
      </c>
      <c r="AT171" t="s" s="0">
        <v>2238</v>
      </c>
      <c r="AU171" t="s" s="0">
        <v>81</v>
      </c>
      <c r="AV171" t="s" s="0">
        <v>81</v>
      </c>
      <c r="AW171" t="s" s="0">
        <v>2239</v>
      </c>
      <c r="AX171" t="s" s="0">
        <v>2240</v>
      </c>
      <c r="AY171" t="s" s="0">
        <v>2529</v>
      </c>
      <c r="AZ171" t="s" s="0">
        <v>101</v>
      </c>
      <c r="BA171" t="s" s="0">
        <v>93</v>
      </c>
      <c r="BB171" t="s" s="0">
        <v>81</v>
      </c>
      <c r="BC171" t="s" s="0">
        <v>81</v>
      </c>
      <c r="BD171" t="s" s="0">
        <v>81</v>
      </c>
      <c r="BE171" t="s" s="0">
        <v>81</v>
      </c>
      <c r="BF171" t="s" s="0">
        <v>81</v>
      </c>
      <c r="BG171" t="s" s="0">
        <v>81</v>
      </c>
      <c r="BH171" t="s" s="0">
        <v>81</v>
      </c>
      <c r="BI171" t="s" s="0">
        <v>4391</v>
      </c>
      <c r="BJ171" t="s" s="0">
        <v>4392</v>
      </c>
      <c r="BK171" t="s" s="337">
        <f>HYPERLINK("http://dx.doi.org/10.1016/j.array.2026.100730","http://dx.doi.org/10.1016/j.array.2026.100730")</f>
        <v>4393</v>
      </c>
      <c r="BL171" t="s" s="0">
        <v>81</v>
      </c>
      <c r="BM171" t="s" s="0">
        <v>81</v>
      </c>
      <c r="BN171" t="s" s="0">
        <v>143</v>
      </c>
      <c r="BO171" t="s" s="0">
        <v>2245</v>
      </c>
      <c r="BP171" t="s" s="0">
        <v>835</v>
      </c>
      <c r="BQ171" t="s" s="0">
        <v>4394</v>
      </c>
      <c r="BR171" t="s" s="0">
        <v>81</v>
      </c>
      <c r="BS171" t="s" s="0">
        <v>4395</v>
      </c>
      <c r="BT171" t="s" s="338">
        <f>HYPERLINK("https://www.webofscience.com/wos/woscc/full-record/WOS:001712972600001","View Record in Web of Science")</f>
        <v>113</v>
      </c>
      <c r="BU171" t="s" s="0">
        <v>153</v>
      </c>
      <c r="BV171" t="s" s="0">
        <v>81</v>
      </c>
      <c r="BW171" t="s" s="0">
        <v>81</v>
      </c>
      <c r="BX171" t="s" s="0">
        <v>115</v>
      </c>
    </row>
    <row r="172">
      <c r="A172" t="s" s="0">
        <v>144</v>
      </c>
      <c r="B172" t="s" s="0">
        <v>77</v>
      </c>
      <c r="C172" t="s" s="0">
        <v>219</v>
      </c>
      <c r="D172" t="s" s="0">
        <v>77</v>
      </c>
      <c r="E172" t="s" s="0">
        <v>4396</v>
      </c>
      <c r="F172" t="s" s="0">
        <v>4397</v>
      </c>
      <c r="G172" t="s" s="0">
        <v>4398</v>
      </c>
      <c r="H172" t="s" s="0">
        <v>81</v>
      </c>
      <c r="I172" t="s" s="0">
        <v>82</v>
      </c>
      <c r="J172" t="s" s="0">
        <v>4399</v>
      </c>
      <c r="K172" t="s" s="0">
        <v>4400</v>
      </c>
      <c r="L172" t="s" s="0">
        <v>81</v>
      </c>
      <c r="M172" t="s" s="0">
        <v>81</v>
      </c>
      <c r="N172" t="s" s="0">
        <v>81</v>
      </c>
      <c r="O172" t="s" s="0">
        <v>4401</v>
      </c>
      <c r="P172" t="s" s="0">
        <v>4402</v>
      </c>
      <c r="Q172" t="s" s="0">
        <v>87</v>
      </c>
      <c r="R172" t="s" s="0">
        <v>81</v>
      </c>
      <c r="S172" t="s" s="0">
        <v>81</v>
      </c>
      <c r="T172" t="s" s="0">
        <v>81</v>
      </c>
      <c r="U172" t="s" s="0">
        <v>81</v>
      </c>
      <c r="V172" t="s" s="0">
        <v>4403</v>
      </c>
      <c r="W172" t="s" s="0">
        <v>4404</v>
      </c>
      <c r="X172" t="s" s="0">
        <v>81</v>
      </c>
      <c r="Y172" t="s" s="0">
        <v>81</v>
      </c>
      <c r="Z172" t="s" s="0">
        <v>90</v>
      </c>
      <c r="AA172" t="s" s="0">
        <v>91</v>
      </c>
      <c r="AB172" t="s" s="0">
        <v>81</v>
      </c>
      <c r="AC172" t="s" s="0">
        <v>81</v>
      </c>
      <c r="AD172" t="s" s="0">
        <v>81</v>
      </c>
      <c r="AE172" t="s" s="0">
        <v>81</v>
      </c>
      <c r="AF172" t="s" s="0">
        <v>81</v>
      </c>
      <c r="AG172" t="s" s="0">
        <v>4405</v>
      </c>
      <c r="AH172" t="s" s="0">
        <v>3257</v>
      </c>
      <c r="AI172" t="s" s="0">
        <v>4406</v>
      </c>
      <c r="AJ172" t="s" s="0">
        <v>4407</v>
      </c>
      <c r="AK172" t="s" s="0">
        <v>81</v>
      </c>
      <c r="AL172" t="s" s="0">
        <v>286</v>
      </c>
      <c r="AM172" t="s" s="0">
        <v>652</v>
      </c>
      <c r="AN172" t="s" s="0">
        <v>921</v>
      </c>
      <c r="AO172" t="s" s="0">
        <v>144</v>
      </c>
      <c r="AP172" t="s" s="0">
        <v>488</v>
      </c>
      <c r="AQ172" t="s" s="0">
        <v>4408</v>
      </c>
      <c r="AR172" t="s" s="0">
        <v>4409</v>
      </c>
      <c r="AS172" t="s" s="0">
        <v>4410</v>
      </c>
      <c r="AT172" t="s" s="0">
        <v>4411</v>
      </c>
      <c r="AU172" t="s" s="0">
        <v>81</v>
      </c>
      <c r="AV172" t="s" s="0">
        <v>81</v>
      </c>
      <c r="AW172" t="s" s="0">
        <v>4412</v>
      </c>
      <c r="AX172" t="s" s="0">
        <v>4413</v>
      </c>
      <c r="AY172" t="s" s="0">
        <v>534</v>
      </c>
      <c r="AZ172" t="s" s="0">
        <v>285</v>
      </c>
      <c r="BA172" t="s" s="0">
        <v>1887</v>
      </c>
      <c r="BB172" t="s" s="0">
        <v>144</v>
      </c>
      <c r="BC172" t="s" s="0">
        <v>81</v>
      </c>
      <c r="BD172" t="s" s="0">
        <v>81</v>
      </c>
      <c r="BE172" t="s" s="0">
        <v>81</v>
      </c>
      <c r="BF172" t="s" s="0">
        <v>81</v>
      </c>
      <c r="BG172" t="s" s="0">
        <v>133</v>
      </c>
      <c r="BH172" t="s" s="0">
        <v>684</v>
      </c>
      <c r="BI172" t="s" s="0">
        <v>81</v>
      </c>
      <c r="BJ172" t="s" s="0">
        <v>4414</v>
      </c>
      <c r="BK172" t="s" s="339">
        <f>HYPERLINK("http://dx.doi.org/10.4274/dir.2023.232116","http://dx.doi.org/10.4274/dir.2023.232116")</f>
        <v>4415</v>
      </c>
      <c r="BL172" t="s" s="0">
        <v>81</v>
      </c>
      <c r="BM172" t="s" s="0">
        <v>81</v>
      </c>
      <c r="BN172" t="s" s="0">
        <v>187</v>
      </c>
      <c r="BO172" t="s" s="0">
        <v>292</v>
      </c>
      <c r="BP172" t="s" s="0">
        <v>292</v>
      </c>
      <c r="BQ172" t="s" s="0">
        <v>4416</v>
      </c>
      <c r="BR172" t="s" s="0">
        <v>4417</v>
      </c>
      <c r="BS172" t="s" s="0">
        <v>4418</v>
      </c>
      <c r="BT172" t="s" s="340">
        <f>HYPERLINK("https://www.webofscience.com/wos/woscc/full-record/WOS:001175843700010","View Record in Web of Science")</f>
        <v>113</v>
      </c>
      <c r="BU172" t="s" s="0">
        <v>153</v>
      </c>
      <c r="BV172" t="s" s="0">
        <v>81</v>
      </c>
      <c r="BW172" t="s" s="0">
        <v>81</v>
      </c>
      <c r="BX172" t="s" s="0">
        <v>115</v>
      </c>
    </row>
    <row r="173">
      <c r="A173" t="s" s="0">
        <v>77</v>
      </c>
      <c r="B173" t="s" s="0">
        <v>77</v>
      </c>
      <c r="C173" t="s" s="0">
        <v>116</v>
      </c>
      <c r="D173" t="s" s="0">
        <v>77</v>
      </c>
      <c r="E173" t="s" s="0">
        <v>4419</v>
      </c>
      <c r="F173" t="s" s="0">
        <v>4420</v>
      </c>
      <c r="G173" t="s" s="0">
        <v>4421</v>
      </c>
      <c r="H173" t="s" s="0">
        <v>81</v>
      </c>
      <c r="I173" t="s" s="0">
        <v>82</v>
      </c>
      <c r="J173" t="s" s="0">
        <v>4422</v>
      </c>
      <c r="K173" t="s" s="0">
        <v>4423</v>
      </c>
      <c r="L173" t="s" s="0">
        <v>4424</v>
      </c>
      <c r="M173" t="s" s="0">
        <v>4425</v>
      </c>
      <c r="N173" t="s" s="0">
        <v>4426</v>
      </c>
      <c r="O173" t="s" s="0">
        <v>4427</v>
      </c>
      <c r="P173" t="s" s="0">
        <v>4428</v>
      </c>
      <c r="Q173" t="s" s="0">
        <v>87</v>
      </c>
      <c r="R173" t="s" s="0">
        <v>81</v>
      </c>
      <c r="S173" t="s" s="0">
        <v>81</v>
      </c>
      <c r="T173" t="s" s="0">
        <v>81</v>
      </c>
      <c r="U173" t="s" s="0">
        <v>81</v>
      </c>
      <c r="V173" t="s" s="0">
        <v>4429</v>
      </c>
      <c r="W173" t="s" s="0">
        <v>4430</v>
      </c>
      <c r="X173" t="s" s="0">
        <v>81</v>
      </c>
      <c r="Y173" t="s" s="0">
        <v>81</v>
      </c>
      <c r="Z173" t="s" s="0">
        <v>90</v>
      </c>
      <c r="AA173" t="s" s="0">
        <v>91</v>
      </c>
      <c r="AB173" t="s" s="0">
        <v>81</v>
      </c>
      <c r="AC173" t="s" s="0">
        <v>81</v>
      </c>
      <c r="AD173" t="s" s="0">
        <v>81</v>
      </c>
      <c r="AE173" t="s" s="0">
        <v>81</v>
      </c>
      <c r="AF173" t="s" s="0">
        <v>81</v>
      </c>
      <c r="AG173" t="s" s="0">
        <v>4431</v>
      </c>
      <c r="AH173" t="s" s="0">
        <v>4432</v>
      </c>
      <c r="AI173" t="s" s="0">
        <v>4433</v>
      </c>
      <c r="AJ173" t="s" s="0">
        <v>4434</v>
      </c>
      <c r="AK173" t="s" s="0">
        <v>81</v>
      </c>
      <c r="AL173" t="s" s="0">
        <v>4435</v>
      </c>
      <c r="AM173" t="s" s="0">
        <v>107</v>
      </c>
      <c r="AN173" t="s" s="0">
        <v>134</v>
      </c>
      <c r="AO173" t="s" s="0">
        <v>187</v>
      </c>
      <c r="AP173" t="s" s="0">
        <v>521</v>
      </c>
      <c r="AQ173" t="s" s="0">
        <v>615</v>
      </c>
      <c r="AR173" t="s" s="0">
        <v>616</v>
      </c>
      <c r="AS173" t="s" s="0">
        <v>617</v>
      </c>
      <c r="AT173" t="s" s="0">
        <v>4436</v>
      </c>
      <c r="AU173" t="s" s="0">
        <v>4437</v>
      </c>
      <c r="AV173" t="s" s="0">
        <v>81</v>
      </c>
      <c r="AW173" t="s" s="0">
        <v>4438</v>
      </c>
      <c r="AX173" t="s" s="0">
        <v>4439</v>
      </c>
      <c r="AY173" t="s" s="0">
        <v>494</v>
      </c>
      <c r="AZ173" t="s" s="0">
        <v>142</v>
      </c>
      <c r="BA173" t="s" s="0">
        <v>4440</v>
      </c>
      <c r="BB173" t="s" s="0">
        <v>81</v>
      </c>
      <c r="BC173" t="s" s="0">
        <v>81</v>
      </c>
      <c r="BD173" t="s" s="0">
        <v>81</v>
      </c>
      <c r="BE173" t="s" s="0">
        <v>81</v>
      </c>
      <c r="BF173" t="s" s="0">
        <v>81</v>
      </c>
      <c r="BG173" t="s" s="0">
        <v>81</v>
      </c>
      <c r="BH173" t="s" s="0">
        <v>81</v>
      </c>
      <c r="BI173" t="s" s="0">
        <v>4441</v>
      </c>
      <c r="BJ173" t="s" s="0">
        <v>4442</v>
      </c>
      <c r="BK173" t="s" s="341">
        <f>HYPERLINK("http://dx.doi.org/10.1016/j.inffus.2025.102981","http://dx.doi.org/10.1016/j.inffus.2025.102981")</f>
        <v>4443</v>
      </c>
      <c r="BL173" t="s" s="0">
        <v>81</v>
      </c>
      <c r="BM173" t="s" s="0">
        <v>951</v>
      </c>
      <c r="BN173" t="s" s="0">
        <v>652</v>
      </c>
      <c r="BO173" t="s" s="0">
        <v>2413</v>
      </c>
      <c r="BP173" t="s" s="0">
        <v>835</v>
      </c>
      <c r="BQ173" t="s" s="0">
        <v>4444</v>
      </c>
      <c r="BR173" t="s" s="0">
        <v>81</v>
      </c>
      <c r="BS173" t="s" s="0">
        <v>4445</v>
      </c>
      <c r="BT173" t="s" s="342">
        <f>HYPERLINK("https://www.webofscience.com/wos/woscc/full-record/WOS:001424816800001","View Record in Web of Science")</f>
        <v>113</v>
      </c>
      <c r="BU173" t="s" s="0">
        <v>81</v>
      </c>
      <c r="BV173" t="s" s="0">
        <v>81</v>
      </c>
      <c r="BW173" t="s" s="0">
        <v>81</v>
      </c>
      <c r="BX173" t="s" s="0">
        <v>115</v>
      </c>
    </row>
    <row r="174">
      <c r="A174" t="s" s="0">
        <v>77</v>
      </c>
      <c r="B174" t="s" s="0">
        <v>77</v>
      </c>
      <c r="C174" t="s" s="0">
        <v>77</v>
      </c>
      <c r="D174" t="s" s="0">
        <v>77</v>
      </c>
      <c r="E174" t="s" s="0">
        <v>4446</v>
      </c>
      <c r="F174" t="s" s="0">
        <v>4447</v>
      </c>
      <c r="G174" t="s" s="0">
        <v>4448</v>
      </c>
      <c r="H174" t="s" s="0">
        <v>81</v>
      </c>
      <c r="I174" t="s" s="0">
        <v>543</v>
      </c>
      <c r="J174" t="s" s="0">
        <v>4449</v>
      </c>
      <c r="K174" t="s" s="0">
        <v>4450</v>
      </c>
      <c r="L174" t="s" s="0">
        <v>81</v>
      </c>
      <c r="M174" t="s" s="0">
        <v>81</v>
      </c>
      <c r="N174" t="s" s="0">
        <v>4451</v>
      </c>
      <c r="O174" t="s" s="0">
        <v>4452</v>
      </c>
      <c r="P174" t="s" s="0">
        <v>81</v>
      </c>
      <c r="Q174" t="s" s="0">
        <v>87</v>
      </c>
      <c r="R174" t="s" s="0">
        <v>81</v>
      </c>
      <c r="S174" t="s" s="0">
        <v>81</v>
      </c>
      <c r="T174" t="s" s="0">
        <v>81</v>
      </c>
      <c r="U174" t="s" s="0">
        <v>81</v>
      </c>
      <c r="V174" t="s" s="0">
        <v>4453</v>
      </c>
      <c r="W174" t="s" s="0">
        <v>4454</v>
      </c>
      <c r="X174" t="s" s="0">
        <v>81</v>
      </c>
      <c r="Y174" t="s" s="0">
        <v>81</v>
      </c>
      <c r="Z174" t="s" s="0">
        <v>90</v>
      </c>
      <c r="AA174" t="s" s="0">
        <v>91</v>
      </c>
      <c r="AB174" t="s" s="0">
        <v>81</v>
      </c>
      <c r="AC174" t="s" s="0">
        <v>81</v>
      </c>
      <c r="AD174" t="s" s="0">
        <v>81</v>
      </c>
      <c r="AE174" t="s" s="0">
        <v>81</v>
      </c>
      <c r="AF174" t="s" s="0">
        <v>81</v>
      </c>
      <c r="AG174" t="s" s="0">
        <v>4455</v>
      </c>
      <c r="AH174" t="s" s="0">
        <v>81</v>
      </c>
      <c r="AI174" t="s" s="0">
        <v>81</v>
      </c>
      <c r="AJ174" t="s" s="0">
        <v>81</v>
      </c>
      <c r="AK174" t="s" s="0">
        <v>81</v>
      </c>
      <c r="AL174" t="s" s="0">
        <v>1493</v>
      </c>
      <c r="AM174" t="s" s="0">
        <v>77</v>
      </c>
      <c r="AN174" t="s" s="0">
        <v>77</v>
      </c>
      <c r="AO174" t="s" s="0">
        <v>372</v>
      </c>
      <c r="AP174" t="s" s="0">
        <v>372</v>
      </c>
      <c r="AQ174" t="s" s="0">
        <v>4456</v>
      </c>
      <c r="AR174" t="s" s="0">
        <v>4457</v>
      </c>
      <c r="AS174" t="s" s="0">
        <v>4458</v>
      </c>
      <c r="AT174" t="s" s="0">
        <v>4459</v>
      </c>
      <c r="AU174" t="s" s="0">
        <v>4460</v>
      </c>
      <c r="AV174" t="s" s="0">
        <v>81</v>
      </c>
      <c r="AW174" t="s" s="0">
        <v>4461</v>
      </c>
      <c r="AX174" t="s" s="0">
        <v>4462</v>
      </c>
      <c r="AY174" t="s" s="0">
        <v>101</v>
      </c>
      <c r="AZ174" t="s" s="0">
        <v>101</v>
      </c>
      <c r="BA174" t="s" s="0">
        <v>1887</v>
      </c>
      <c r="BB174" t="s" s="0">
        <v>144</v>
      </c>
      <c r="BC174" t="s" s="0">
        <v>81</v>
      </c>
      <c r="BD174" t="s" s="0">
        <v>81</v>
      </c>
      <c r="BE174" t="s" s="0">
        <v>81</v>
      </c>
      <c r="BF174" t="s" s="0">
        <v>81</v>
      </c>
      <c r="BG174" t="s" s="0">
        <v>4463</v>
      </c>
      <c r="BH174" t="s" s="0">
        <v>4464</v>
      </c>
      <c r="BI174" t="s" s="0">
        <v>81</v>
      </c>
      <c r="BJ174" t="s" s="0">
        <v>4465</v>
      </c>
      <c r="BK174" t="s" s="343">
        <f>HYPERLINK("http://dx.doi.org/10.13053/CyS-30-1-6316","http://dx.doi.org/10.13053/CyS-30-1-6316")</f>
        <v>4466</v>
      </c>
      <c r="BL174" t="s" s="0">
        <v>81</v>
      </c>
      <c r="BM174" t="s" s="0">
        <v>81</v>
      </c>
      <c r="BN174" t="s" s="0">
        <v>1001</v>
      </c>
      <c r="BO174" t="s" s="0">
        <v>4467</v>
      </c>
      <c r="BP174" t="s" s="0">
        <v>835</v>
      </c>
      <c r="BQ174" t="s" s="0">
        <v>4468</v>
      </c>
      <c r="BR174" t="s" s="0">
        <v>81</v>
      </c>
      <c r="BS174" t="s" s="0">
        <v>4469</v>
      </c>
      <c r="BT174" t="s" s="344">
        <f>HYPERLINK("https://www.webofscience.com/wos/woscc/full-record/WOS:001733635600015","View Record in Web of Science")</f>
        <v>113</v>
      </c>
      <c r="BU174" t="s" s="0">
        <v>81</v>
      </c>
      <c r="BV174" t="s" s="0">
        <v>81</v>
      </c>
      <c r="BW174" t="s" s="0">
        <v>81</v>
      </c>
      <c r="BX174" t="s" s="0">
        <v>115</v>
      </c>
    </row>
    <row r="175">
      <c r="A175" t="s" s="0">
        <v>77</v>
      </c>
      <c r="B175" t="s" s="0">
        <v>77</v>
      </c>
      <c r="C175" t="s" s="0">
        <v>144</v>
      </c>
      <c r="D175" t="s" s="0">
        <v>77</v>
      </c>
      <c r="E175" t="s" s="0">
        <v>4470</v>
      </c>
      <c r="F175" t="s" s="0">
        <v>4471</v>
      </c>
      <c r="G175" t="s" s="0">
        <v>4472</v>
      </c>
      <c r="H175" t="s" s="0">
        <v>81</v>
      </c>
      <c r="I175" t="s" s="0">
        <v>82</v>
      </c>
      <c r="J175" t="s" s="0">
        <v>4473</v>
      </c>
      <c r="K175" t="s" s="0">
        <v>4474</v>
      </c>
      <c r="L175" t="s" s="0">
        <v>81</v>
      </c>
      <c r="M175" t="s" s="0">
        <v>81</v>
      </c>
      <c r="N175" t="s" s="0">
        <v>81</v>
      </c>
      <c r="O175" t="s" s="0">
        <v>4475</v>
      </c>
      <c r="P175" t="s" s="0">
        <v>4476</v>
      </c>
      <c r="Q175" t="s" s="0">
        <v>87</v>
      </c>
      <c r="R175" t="s" s="0">
        <v>81</v>
      </c>
      <c r="S175" t="s" s="0">
        <v>81</v>
      </c>
      <c r="T175" t="s" s="0">
        <v>81</v>
      </c>
      <c r="U175" t="s" s="0">
        <v>81</v>
      </c>
      <c r="V175" t="s" s="0">
        <v>4477</v>
      </c>
      <c r="W175" t="s" s="0">
        <v>4478</v>
      </c>
      <c r="X175" t="s" s="0">
        <v>81</v>
      </c>
      <c r="Y175" t="s" s="0">
        <v>81</v>
      </c>
      <c r="Z175" t="s" s="0">
        <v>90</v>
      </c>
      <c r="AA175" t="s" s="0">
        <v>91</v>
      </c>
      <c r="AB175" t="s" s="0">
        <v>81</v>
      </c>
      <c r="AC175" t="s" s="0">
        <v>81</v>
      </c>
      <c r="AD175" t="s" s="0">
        <v>81</v>
      </c>
      <c r="AE175" t="s" s="0">
        <v>81</v>
      </c>
      <c r="AF175" t="s" s="0">
        <v>81</v>
      </c>
      <c r="AG175" t="s" s="0">
        <v>4479</v>
      </c>
      <c r="AH175" t="s" s="0">
        <v>81</v>
      </c>
      <c r="AI175" t="s" s="0">
        <v>81</v>
      </c>
      <c r="AJ175" t="s" s="0">
        <v>81</v>
      </c>
      <c r="AK175" t="s" s="0">
        <v>81</v>
      </c>
      <c r="AL175" t="s" s="0">
        <v>209</v>
      </c>
      <c r="AM175" t="s" s="0">
        <v>313</v>
      </c>
      <c r="AN175" t="s" s="0">
        <v>116</v>
      </c>
      <c r="AO175" t="s" s="0">
        <v>210</v>
      </c>
      <c r="AP175" t="s" s="0">
        <v>372</v>
      </c>
      <c r="AQ175" t="s" s="0">
        <v>278</v>
      </c>
      <c r="AR175" t="s" s="0">
        <v>823</v>
      </c>
      <c r="AS175" t="s" s="0">
        <v>824</v>
      </c>
      <c r="AT175" t="s" s="0">
        <v>4480</v>
      </c>
      <c r="AU175" t="s" s="0">
        <v>4481</v>
      </c>
      <c r="AV175" t="s" s="0">
        <v>81</v>
      </c>
      <c r="AW175" t="s" s="0">
        <v>4482</v>
      </c>
      <c r="AX175" t="s" s="0">
        <v>4483</v>
      </c>
      <c r="AY175" t="s" s="0">
        <v>4484</v>
      </c>
      <c r="AZ175" t="s" s="0">
        <v>101</v>
      </c>
      <c r="BA175" t="s" s="0">
        <v>93</v>
      </c>
      <c r="BB175" t="s" s="0">
        <v>144</v>
      </c>
      <c r="BC175" t="s" s="0">
        <v>81</v>
      </c>
      <c r="BD175" t="s" s="0">
        <v>81</v>
      </c>
      <c r="BE175" t="s" s="0">
        <v>81</v>
      </c>
      <c r="BF175" t="s" s="0">
        <v>81</v>
      </c>
      <c r="BG175" t="s" s="0">
        <v>81</v>
      </c>
      <c r="BH175" t="s" s="0">
        <v>81</v>
      </c>
      <c r="BI175" t="s" s="0">
        <v>219</v>
      </c>
      <c r="BJ175" t="s" s="0">
        <v>4485</v>
      </c>
      <c r="BK175" t="s" s="345">
        <f>HYPERLINK("http://dx.doi.org/10.1007/s10791-025-09901-x","http://dx.doi.org/10.1007/s10791-025-09901-x")</f>
        <v>4486</v>
      </c>
      <c r="BL175" t="s" s="0">
        <v>81</v>
      </c>
      <c r="BM175" t="s" s="0">
        <v>81</v>
      </c>
      <c r="BN175" t="s" s="0">
        <v>1887</v>
      </c>
      <c r="BO175" t="s" s="0">
        <v>4467</v>
      </c>
      <c r="BP175" t="s" s="0">
        <v>835</v>
      </c>
      <c r="BQ175" t="s" s="0">
        <v>4487</v>
      </c>
      <c r="BR175" t="s" s="0">
        <v>81</v>
      </c>
      <c r="BS175" t="s" s="0">
        <v>4488</v>
      </c>
      <c r="BT175" t="s" s="346">
        <f>HYPERLINK("https://www.webofscience.com/wos/woscc/full-record/WOS:001655532200003","View Record in Web of Science")</f>
        <v>113</v>
      </c>
      <c r="BU175" t="s" s="0">
        <v>153</v>
      </c>
      <c r="BV175" t="s" s="0">
        <v>81</v>
      </c>
      <c r="BW175" t="s" s="0">
        <v>81</v>
      </c>
      <c r="BX175" t="s" s="0">
        <v>115</v>
      </c>
    </row>
    <row r="176">
      <c r="A176" t="s" s="0">
        <v>77</v>
      </c>
      <c r="B176" t="s" s="0">
        <v>77</v>
      </c>
      <c r="C176" t="s" s="0">
        <v>144</v>
      </c>
      <c r="D176" t="s" s="0">
        <v>77</v>
      </c>
      <c r="E176" t="s" s="0">
        <v>4489</v>
      </c>
      <c r="F176" t="s" s="0">
        <v>4490</v>
      </c>
      <c r="G176" t="s" s="0">
        <v>4491</v>
      </c>
      <c r="H176" t="s" s="0">
        <v>81</v>
      </c>
      <c r="I176" t="s" s="0">
        <v>82</v>
      </c>
      <c r="J176" t="s" s="0">
        <v>4492</v>
      </c>
      <c r="K176" t="s" s="0">
        <v>4493</v>
      </c>
      <c r="L176" t="s" s="0">
        <v>4494</v>
      </c>
      <c r="M176" t="s" s="0">
        <v>4495</v>
      </c>
      <c r="N176" t="s" s="0">
        <v>4496</v>
      </c>
      <c r="O176" t="s" s="0">
        <v>4497</v>
      </c>
      <c r="P176" t="s" s="0">
        <v>4498</v>
      </c>
      <c r="Q176" t="s" s="0">
        <v>87</v>
      </c>
      <c r="R176" t="s" s="0">
        <v>81</v>
      </c>
      <c r="S176" t="s" s="0">
        <v>81</v>
      </c>
      <c r="T176" t="s" s="0">
        <v>81</v>
      </c>
      <c r="U176" t="s" s="0">
        <v>81</v>
      </c>
      <c r="V176" t="s" s="0">
        <v>4499</v>
      </c>
      <c r="W176" t="s" s="0">
        <v>4500</v>
      </c>
      <c r="X176" t="s" s="0">
        <v>81</v>
      </c>
      <c r="Y176" t="s" s="0">
        <v>81</v>
      </c>
      <c r="Z176" t="s" s="0">
        <v>90</v>
      </c>
      <c r="AA176" t="s" s="0">
        <v>91</v>
      </c>
      <c r="AB176" t="s" s="0">
        <v>81</v>
      </c>
      <c r="AC176" t="s" s="0">
        <v>81</v>
      </c>
      <c r="AD176" t="s" s="0">
        <v>81</v>
      </c>
      <c r="AE176" t="s" s="0">
        <v>81</v>
      </c>
      <c r="AF176" t="s" s="0">
        <v>81</v>
      </c>
      <c r="AG176" t="s" s="0">
        <v>4501</v>
      </c>
      <c r="AH176" t="s" s="0">
        <v>81</v>
      </c>
      <c r="AI176" t="s" s="0">
        <v>4502</v>
      </c>
      <c r="AJ176" t="s" s="0">
        <v>4503</v>
      </c>
      <c r="AK176" t="s" s="0">
        <v>81</v>
      </c>
      <c r="AL176" t="s" s="0">
        <v>1542</v>
      </c>
      <c r="AM176" t="s" s="0">
        <v>372</v>
      </c>
      <c r="AN176" t="s" s="0">
        <v>219</v>
      </c>
      <c r="AO176" t="s" s="0">
        <v>116</v>
      </c>
      <c r="AP176" t="s" s="0">
        <v>107</v>
      </c>
      <c r="AQ176" t="s" s="0">
        <v>314</v>
      </c>
      <c r="AR176" t="s" s="0">
        <v>315</v>
      </c>
      <c r="AS176" t="s" s="0">
        <v>316</v>
      </c>
      <c r="AT176" t="s" s="0">
        <v>81</v>
      </c>
      <c r="AU176" t="s" s="0">
        <v>4504</v>
      </c>
      <c r="AV176" t="s" s="0">
        <v>81</v>
      </c>
      <c r="AW176" t="s" s="0">
        <v>4500</v>
      </c>
      <c r="AX176" t="s" s="0">
        <v>4505</v>
      </c>
      <c r="AY176" t="s" s="0">
        <v>4506</v>
      </c>
      <c r="AZ176" t="s" s="0">
        <v>285</v>
      </c>
      <c r="BA176" t="s" s="0">
        <v>173</v>
      </c>
      <c r="BB176" t="s" s="0">
        <v>173</v>
      </c>
      <c r="BC176" t="s" s="0">
        <v>81</v>
      </c>
      <c r="BD176" t="s" s="0">
        <v>81</v>
      </c>
      <c r="BE176" t="s" s="0">
        <v>81</v>
      </c>
      <c r="BF176" t="s" s="0">
        <v>81</v>
      </c>
      <c r="BG176" t="s" s="0">
        <v>81</v>
      </c>
      <c r="BH176" t="s" s="0">
        <v>81</v>
      </c>
      <c r="BI176" t="s" s="0">
        <v>4507</v>
      </c>
      <c r="BJ176" t="s" s="0">
        <v>4508</v>
      </c>
      <c r="BK176" t="s" s="347">
        <f>HYPERLINK("http://dx.doi.org/10.3390/bioengineering11111080","http://dx.doi.org/10.3390/bioengineering11111080")</f>
        <v>4509</v>
      </c>
      <c r="BL176" t="s" s="0">
        <v>81</v>
      </c>
      <c r="BM176" t="s" s="0">
        <v>81</v>
      </c>
      <c r="BN176" t="s" s="0">
        <v>245</v>
      </c>
      <c r="BO176" t="s" s="0">
        <v>4510</v>
      </c>
      <c r="BP176" t="s" s="0">
        <v>4511</v>
      </c>
      <c r="BQ176" t="s" s="0">
        <v>4512</v>
      </c>
      <c r="BR176" t="s" s="0">
        <v>4513</v>
      </c>
      <c r="BS176" t="s" s="0">
        <v>4514</v>
      </c>
      <c r="BT176" t="s" s="348">
        <f>HYPERLINK("https://www.webofscience.com/wos/woscc/full-record/WOS:001366845700001","View Record in Web of Science")</f>
        <v>113</v>
      </c>
      <c r="BU176" t="s" s="0">
        <v>153</v>
      </c>
      <c r="BV176" t="s" s="0">
        <v>81</v>
      </c>
      <c r="BW176" t="s" s="0">
        <v>81</v>
      </c>
      <c r="BX176" t="s" s="0">
        <v>115</v>
      </c>
    </row>
    <row r="177">
      <c r="A177" t="s" s="0">
        <v>77</v>
      </c>
      <c r="B177" t="s" s="0">
        <v>77</v>
      </c>
      <c r="C177" t="s" s="0">
        <v>77</v>
      </c>
      <c r="D177" t="s" s="0">
        <v>77</v>
      </c>
      <c r="E177" t="s" s="0">
        <v>4515</v>
      </c>
      <c r="F177" t="s" s="0">
        <v>4516</v>
      </c>
      <c r="G177" t="s" s="0">
        <v>4517</v>
      </c>
      <c r="H177" t="s" s="0">
        <v>81</v>
      </c>
      <c r="I177" t="s" s="0">
        <v>82</v>
      </c>
      <c r="J177" t="s" s="0">
        <v>4518</v>
      </c>
      <c r="K177" t="s" s="0">
        <v>4519</v>
      </c>
      <c r="L177" t="s" s="0">
        <v>4520</v>
      </c>
      <c r="M177" t="s" s="0">
        <v>4521</v>
      </c>
      <c r="N177" t="s" s="0">
        <v>4522</v>
      </c>
      <c r="O177" t="s" s="0">
        <v>4523</v>
      </c>
      <c r="P177" t="s" s="0">
        <v>4524</v>
      </c>
      <c r="Q177" t="s" s="0">
        <v>87</v>
      </c>
      <c r="R177" t="s" s="0">
        <v>81</v>
      </c>
      <c r="S177" t="s" s="0">
        <v>81</v>
      </c>
      <c r="T177" t="s" s="0">
        <v>81</v>
      </c>
      <c r="U177" t="s" s="0">
        <v>81</v>
      </c>
      <c r="V177" t="s" s="0">
        <v>4525</v>
      </c>
      <c r="W177" t="s" s="0">
        <v>1189</v>
      </c>
      <c r="X177" t="s" s="0">
        <v>81</v>
      </c>
      <c r="Y177" t="s" s="0">
        <v>81</v>
      </c>
      <c r="Z177" t="s" s="0">
        <v>90</v>
      </c>
      <c r="AA177" t="s" s="0">
        <v>91</v>
      </c>
      <c r="AB177" t="s" s="0">
        <v>81</v>
      </c>
      <c r="AC177" t="s" s="0">
        <v>81</v>
      </c>
      <c r="AD177" t="s" s="0">
        <v>81</v>
      </c>
      <c r="AE177" t="s" s="0">
        <v>81</v>
      </c>
      <c r="AF177" t="s" s="0">
        <v>81</v>
      </c>
      <c r="AG177" t="s" s="0">
        <v>4526</v>
      </c>
      <c r="AH177" t="s" s="0">
        <v>4527</v>
      </c>
      <c r="AI177" t="s" s="0">
        <v>4528</v>
      </c>
      <c r="AJ177" t="s" s="0">
        <v>81</v>
      </c>
      <c r="AK177" t="s" s="0">
        <v>81</v>
      </c>
      <c r="AL177" t="s" s="0">
        <v>767</v>
      </c>
      <c r="AM177" t="s" s="0">
        <v>77</v>
      </c>
      <c r="AN177" t="s" s="0">
        <v>77</v>
      </c>
      <c r="AO177" t="s" s="0">
        <v>77</v>
      </c>
      <c r="AP177" t="s" s="0">
        <v>77</v>
      </c>
      <c r="AQ177" t="s" s="0">
        <v>1195</v>
      </c>
      <c r="AR177" t="s" s="0">
        <v>1196</v>
      </c>
      <c r="AS177" t="s" s="0">
        <v>1197</v>
      </c>
      <c r="AT177" t="s" s="0">
        <v>1198</v>
      </c>
      <c r="AU177" t="s" s="0">
        <v>81</v>
      </c>
      <c r="AV177" t="s" s="0">
        <v>81</v>
      </c>
      <c r="AW177" t="s" s="0">
        <v>1189</v>
      </c>
      <c r="AX177" t="s" s="0">
        <v>1199</v>
      </c>
      <c r="AY177" t="s" s="0">
        <v>101</v>
      </c>
      <c r="AZ177" t="s" s="0">
        <v>101</v>
      </c>
      <c r="BA177" t="s" s="0">
        <v>245</v>
      </c>
      <c r="BB177" t="s" s="0">
        <v>81</v>
      </c>
      <c r="BC177" t="s" s="0">
        <v>81</v>
      </c>
      <c r="BD177" t="s" s="0">
        <v>81</v>
      </c>
      <c r="BE177" t="s" s="0">
        <v>81</v>
      </c>
      <c r="BF177" t="s" s="0">
        <v>81</v>
      </c>
      <c r="BG177" t="s" s="0">
        <v>4529</v>
      </c>
      <c r="BH177" t="s" s="0">
        <v>4530</v>
      </c>
      <c r="BI177" t="s" s="0">
        <v>81</v>
      </c>
      <c r="BJ177" t="s" s="0">
        <v>4531</v>
      </c>
      <c r="BK177" t="s" s="349">
        <f>HYPERLINK("http://dx.doi.org/10.1109/ACCESS.2026.3687397","http://dx.doi.org/10.1109/ACCESS.2026.3687397")</f>
        <v>4532</v>
      </c>
      <c r="BL177" t="s" s="0">
        <v>81</v>
      </c>
      <c r="BM177" t="s" s="0">
        <v>81</v>
      </c>
      <c r="BN177" t="s" s="0">
        <v>143</v>
      </c>
      <c r="BO177" t="s" s="0">
        <v>1204</v>
      </c>
      <c r="BP177" t="s" s="0">
        <v>1205</v>
      </c>
      <c r="BQ177" t="s" s="0">
        <v>4533</v>
      </c>
      <c r="BR177" t="s" s="0">
        <v>81</v>
      </c>
      <c r="BS177" t="s" s="0">
        <v>4534</v>
      </c>
      <c r="BT177" t="s" s="350">
        <f>HYPERLINK("https://www.webofscience.com/wos/woscc/full-record/WOS:001754886700030","View Record in Web of Science")</f>
        <v>113</v>
      </c>
      <c r="BU177" t="s" s="0">
        <v>153</v>
      </c>
      <c r="BV177" t="s" s="0">
        <v>81</v>
      </c>
      <c r="BW177" t="s" s="0">
        <v>81</v>
      </c>
      <c r="BX177" t="s" s="0">
        <v>115</v>
      </c>
    </row>
    <row r="178">
      <c r="A178" t="s" s="0">
        <v>77</v>
      </c>
      <c r="B178" t="s" s="0">
        <v>77</v>
      </c>
      <c r="C178" t="s" s="0">
        <v>77</v>
      </c>
      <c r="D178" t="s" s="0">
        <v>77</v>
      </c>
      <c r="E178" t="s" s="0">
        <v>4535</v>
      </c>
      <c r="F178" t="s" s="0">
        <v>4536</v>
      </c>
      <c r="G178" t="s" s="0">
        <v>4537</v>
      </c>
      <c r="H178" t="s" s="0">
        <v>81</v>
      </c>
      <c r="I178" t="s" s="0">
        <v>82</v>
      </c>
      <c r="J178" t="s" s="0">
        <v>4538</v>
      </c>
      <c r="K178" t="s" s="0">
        <v>4539</v>
      </c>
      <c r="L178" t="s" s="0">
        <v>81</v>
      </c>
      <c r="M178" t="s" s="0">
        <v>81</v>
      </c>
      <c r="N178" t="s" s="0">
        <v>81</v>
      </c>
      <c r="O178" t="s" s="0">
        <v>4540</v>
      </c>
      <c r="P178" t="s" s="0">
        <v>4541</v>
      </c>
      <c r="Q178" t="s" s="0">
        <v>87</v>
      </c>
      <c r="R178" t="s" s="0">
        <v>81</v>
      </c>
      <c r="S178" t="s" s="0">
        <v>81</v>
      </c>
      <c r="T178" t="s" s="0">
        <v>81</v>
      </c>
      <c r="U178" t="s" s="0">
        <v>81</v>
      </c>
      <c r="V178" t="s" s="0">
        <v>4542</v>
      </c>
      <c r="W178" t="s" s="0">
        <v>1567</v>
      </c>
      <c r="X178" t="s" s="0">
        <v>81</v>
      </c>
      <c r="Y178" t="s" s="0">
        <v>81</v>
      </c>
      <c r="Z178" t="s" s="0">
        <v>90</v>
      </c>
      <c r="AA178" t="s" s="0">
        <v>91</v>
      </c>
      <c r="AB178" t="s" s="0">
        <v>81</v>
      </c>
      <c r="AC178" t="s" s="0">
        <v>81</v>
      </c>
      <c r="AD178" t="s" s="0">
        <v>81</v>
      </c>
      <c r="AE178" t="s" s="0">
        <v>81</v>
      </c>
      <c r="AF178" t="s" s="0">
        <v>81</v>
      </c>
      <c r="AG178" t="s" s="0">
        <v>81</v>
      </c>
      <c r="AH178" t="s" s="0">
        <v>81</v>
      </c>
      <c r="AI178" t="s" s="0">
        <v>4543</v>
      </c>
      <c r="AJ178" t="s" s="0">
        <v>81</v>
      </c>
      <c r="AK178" t="s" s="0">
        <v>81</v>
      </c>
      <c r="AL178" t="s" s="0">
        <v>132</v>
      </c>
      <c r="AM178" t="s" s="0">
        <v>77</v>
      </c>
      <c r="AN178" t="s" s="0">
        <v>144</v>
      </c>
      <c r="AO178" t="s" s="0">
        <v>107</v>
      </c>
      <c r="AP178" t="s" s="0">
        <v>107</v>
      </c>
      <c r="AQ178" t="s" s="0">
        <v>135</v>
      </c>
      <c r="AR178" t="s" s="0">
        <v>136</v>
      </c>
      <c r="AS178" t="s" s="0">
        <v>137</v>
      </c>
      <c r="AT178" t="s" s="0">
        <v>1569</v>
      </c>
      <c r="AU178" t="s" s="0">
        <v>81</v>
      </c>
      <c r="AV178" t="s" s="0">
        <v>81</v>
      </c>
      <c r="AW178" t="s" s="0">
        <v>1570</v>
      </c>
      <c r="AX178" t="s" s="0">
        <v>1571</v>
      </c>
      <c r="AY178" t="s" s="0">
        <v>4544</v>
      </c>
      <c r="AZ178" t="s" s="0">
        <v>101</v>
      </c>
      <c r="BA178" t="s" s="0">
        <v>133</v>
      </c>
      <c r="BB178" t="s" s="0">
        <v>144</v>
      </c>
      <c r="BC178" t="s" s="0">
        <v>81</v>
      </c>
      <c r="BD178" t="s" s="0">
        <v>81</v>
      </c>
      <c r="BE178" t="s" s="0">
        <v>81</v>
      </c>
      <c r="BF178" t="s" s="0">
        <v>81</v>
      </c>
      <c r="BG178" t="s" s="0">
        <v>81</v>
      </c>
      <c r="BH178" t="s" s="0">
        <v>81</v>
      </c>
      <c r="BI178" t="s" s="0">
        <v>831</v>
      </c>
      <c r="BJ178" t="s" s="0">
        <v>4545</v>
      </c>
      <c r="BK178" t="s" s="351">
        <f>HYPERLINK("http://dx.doi.org/10.1038/s41746-025-02295-6","http://dx.doi.org/10.1038/s41746-025-02295-6")</f>
        <v>4546</v>
      </c>
      <c r="BL178" t="s" s="0">
        <v>81</v>
      </c>
      <c r="BM178" t="s" s="0">
        <v>81</v>
      </c>
      <c r="BN178" t="s" s="0">
        <v>684</v>
      </c>
      <c r="BO178" t="s" s="0">
        <v>1576</v>
      </c>
      <c r="BP178" t="s" s="0">
        <v>1576</v>
      </c>
      <c r="BQ178" t="s" s="0">
        <v>4547</v>
      </c>
      <c r="BR178" t="s" s="0">
        <v>4548</v>
      </c>
      <c r="BS178" t="s" s="0">
        <v>4549</v>
      </c>
      <c r="BT178" t="s" s="352">
        <f>HYPERLINK("https://www.webofscience.com/wos/woscc/full-record/WOS:001679395900001","View Record in Web of Science")</f>
        <v>113</v>
      </c>
      <c r="BU178" t="s" s="0">
        <v>153</v>
      </c>
      <c r="BV178" t="s" s="0">
        <v>81</v>
      </c>
      <c r="BW178" t="s" s="0">
        <v>81</v>
      </c>
      <c r="BX178" t="s" s="0">
        <v>115</v>
      </c>
    </row>
    <row r="179">
      <c r="A179" t="s" s="0">
        <v>77</v>
      </c>
      <c r="B179" t="s" s="0">
        <v>77</v>
      </c>
      <c r="C179" t="s" s="0">
        <v>77</v>
      </c>
      <c r="D179" t="s" s="0">
        <v>77</v>
      </c>
      <c r="E179" t="s" s="0">
        <v>4550</v>
      </c>
      <c r="F179" t="s" s="0">
        <v>4551</v>
      </c>
      <c r="G179" t="s" s="0">
        <v>4552</v>
      </c>
      <c r="H179" t="s" s="0">
        <v>81</v>
      </c>
      <c r="I179" t="s" s="0">
        <v>82</v>
      </c>
      <c r="J179" t="s" s="0">
        <v>4553</v>
      </c>
      <c r="K179" t="s" s="0">
        <v>4554</v>
      </c>
      <c r="L179" t="s" s="0">
        <v>4555</v>
      </c>
      <c r="M179" t="s" s="0">
        <v>267</v>
      </c>
      <c r="N179" t="s" s="0">
        <v>4556</v>
      </c>
      <c r="O179" t="s" s="0">
        <v>4557</v>
      </c>
      <c r="P179" t="s" s="0">
        <v>4558</v>
      </c>
      <c r="Q179" t="s" s="0">
        <v>87</v>
      </c>
      <c r="R179" t="s" s="0">
        <v>81</v>
      </c>
      <c r="S179" t="s" s="0">
        <v>81</v>
      </c>
      <c r="T179" t="s" s="0">
        <v>81</v>
      </c>
      <c r="U179" t="s" s="0">
        <v>81</v>
      </c>
      <c r="V179" t="s" s="0">
        <v>4559</v>
      </c>
      <c r="W179" t="s" s="0">
        <v>2101</v>
      </c>
      <c r="X179" t="s" s="0">
        <v>81</v>
      </c>
      <c r="Y179" t="s" s="0">
        <v>81</v>
      </c>
      <c r="Z179" t="s" s="0">
        <v>90</v>
      </c>
      <c r="AA179" t="s" s="0">
        <v>91</v>
      </c>
      <c r="AB179" t="s" s="0">
        <v>81</v>
      </c>
      <c r="AC179" t="s" s="0">
        <v>81</v>
      </c>
      <c r="AD179" t="s" s="0">
        <v>81</v>
      </c>
      <c r="AE179" t="s" s="0">
        <v>81</v>
      </c>
      <c r="AF179" t="s" s="0">
        <v>81</v>
      </c>
      <c r="AG179" t="s" s="0">
        <v>4560</v>
      </c>
      <c r="AH179" t="s" s="0">
        <v>4561</v>
      </c>
      <c r="AI179" t="s" s="0">
        <v>4562</v>
      </c>
      <c r="AJ179" t="s" s="0">
        <v>81</v>
      </c>
      <c r="AK179" t="s" s="0">
        <v>81</v>
      </c>
      <c r="AL179" t="s" s="0">
        <v>2054</v>
      </c>
      <c r="AM179" t="s" s="0">
        <v>144</v>
      </c>
      <c r="AN179" t="s" s="0">
        <v>144</v>
      </c>
      <c r="AO179" t="s" s="0">
        <v>245</v>
      </c>
      <c r="AP179" t="s" s="0">
        <v>277</v>
      </c>
      <c r="AQ179" t="s" s="0">
        <v>212</v>
      </c>
      <c r="AR179" t="s" s="0">
        <v>213</v>
      </c>
      <c r="AS179" t="s" s="0">
        <v>214</v>
      </c>
      <c r="AT179" t="s" s="0">
        <v>81</v>
      </c>
      <c r="AU179" t="s" s="0">
        <v>2107</v>
      </c>
      <c r="AV179" t="s" s="0">
        <v>81</v>
      </c>
      <c r="AW179" t="s" s="0">
        <v>2108</v>
      </c>
      <c r="AX179" t="s" s="0">
        <v>2109</v>
      </c>
      <c r="AY179" t="s" s="0">
        <v>2529</v>
      </c>
      <c r="AZ179" t="s" s="0">
        <v>101</v>
      </c>
      <c r="BA179" t="s" s="0">
        <v>134</v>
      </c>
      <c r="BB179" t="s" s="0">
        <v>277</v>
      </c>
      <c r="BC179" t="s" s="0">
        <v>81</v>
      </c>
      <c r="BD179" t="s" s="0">
        <v>81</v>
      </c>
      <c r="BE179" t="s" s="0">
        <v>81</v>
      </c>
      <c r="BF179" t="s" s="0">
        <v>81</v>
      </c>
      <c r="BG179" t="s" s="0">
        <v>81</v>
      </c>
      <c r="BH179" t="s" s="0">
        <v>81</v>
      </c>
      <c r="BI179" t="s" s="0">
        <v>81</v>
      </c>
      <c r="BJ179" t="s" s="0">
        <v>4563</v>
      </c>
      <c r="BK179" t="s" s="353">
        <f>HYPERLINK("http://dx.doi.org/10.1002/advs.202510931","http://dx.doi.org/10.1002/advs.202510931")</f>
        <v>4564</v>
      </c>
      <c r="BL179" t="s" s="0">
        <v>81</v>
      </c>
      <c r="BM179" t="s" s="0">
        <v>2331</v>
      </c>
      <c r="BN179" t="s" s="0">
        <v>468</v>
      </c>
      <c r="BO179" t="s" s="0">
        <v>2113</v>
      </c>
      <c r="BP179" t="s" s="0">
        <v>2114</v>
      </c>
      <c r="BQ179" t="s" s="0">
        <v>4565</v>
      </c>
      <c r="BR179" t="s" s="0">
        <v>4566</v>
      </c>
      <c r="BS179" t="s" s="0">
        <v>4567</v>
      </c>
      <c r="BT179" t="s" s="354">
        <f>HYPERLINK("https://www.webofscience.com/wos/woscc/full-record/WOS:001664846200001","View Record in Web of Science")</f>
        <v>113</v>
      </c>
      <c r="BU179" t="s" s="0">
        <v>153</v>
      </c>
      <c r="BV179" t="s" s="0">
        <v>81</v>
      </c>
      <c r="BW179" t="s" s="0">
        <v>81</v>
      </c>
      <c r="BX179" t="s" s="0">
        <v>115</v>
      </c>
    </row>
    <row r="180">
      <c r="A180" t="s" s="0">
        <v>77</v>
      </c>
      <c r="B180" t="s" s="0">
        <v>77</v>
      </c>
      <c r="C180" t="s" s="0">
        <v>77</v>
      </c>
      <c r="D180" t="s" s="0">
        <v>77</v>
      </c>
      <c r="E180" t="s" s="0">
        <v>4568</v>
      </c>
      <c r="F180" t="s" s="0">
        <v>4569</v>
      </c>
      <c r="G180" t="s" s="0">
        <v>4570</v>
      </c>
      <c r="H180" t="s" s="0">
        <v>81</v>
      </c>
      <c r="I180" t="s" s="0">
        <v>543</v>
      </c>
      <c r="J180" t="s" s="0">
        <v>4571</v>
      </c>
      <c r="K180" t="s" s="0">
        <v>4572</v>
      </c>
      <c r="L180" t="s" s="0">
        <v>81</v>
      </c>
      <c r="M180" t="s" s="0">
        <v>81</v>
      </c>
      <c r="N180" t="s" s="0">
        <v>81</v>
      </c>
      <c r="O180" t="s" s="0">
        <v>4573</v>
      </c>
      <c r="P180" t="s" s="0">
        <v>4574</v>
      </c>
      <c r="Q180" t="s" s="0">
        <v>87</v>
      </c>
      <c r="R180" t="s" s="0">
        <v>81</v>
      </c>
      <c r="S180" t="s" s="0">
        <v>81</v>
      </c>
      <c r="T180" t="s" s="0">
        <v>81</v>
      </c>
      <c r="U180" t="s" s="0">
        <v>81</v>
      </c>
      <c r="V180" t="s" s="0">
        <v>4575</v>
      </c>
      <c r="W180" t="s" s="0">
        <v>4576</v>
      </c>
      <c r="X180" t="s" s="0">
        <v>81</v>
      </c>
      <c r="Y180" t="s" s="0">
        <v>81</v>
      </c>
      <c r="Z180" t="s" s="0">
        <v>90</v>
      </c>
      <c r="AA180" t="s" s="0">
        <v>91</v>
      </c>
      <c r="AB180" t="s" s="0">
        <v>81</v>
      </c>
      <c r="AC180" t="s" s="0">
        <v>81</v>
      </c>
      <c r="AD180" t="s" s="0">
        <v>81</v>
      </c>
      <c r="AE180" t="s" s="0">
        <v>81</v>
      </c>
      <c r="AF180" t="s" s="0">
        <v>81</v>
      </c>
      <c r="AG180" t="s" s="0">
        <v>4577</v>
      </c>
      <c r="AH180" t="s" s="0">
        <v>4578</v>
      </c>
      <c r="AI180" t="s" s="0">
        <v>4579</v>
      </c>
      <c r="AJ180" t="s" s="0">
        <v>4580</v>
      </c>
      <c r="AK180" t="s" s="0">
        <v>81</v>
      </c>
      <c r="AL180" t="s" s="0">
        <v>211</v>
      </c>
      <c r="AM180" t="s" s="0">
        <v>116</v>
      </c>
      <c r="AN180" t="s" s="0">
        <v>116</v>
      </c>
      <c r="AO180" t="s" s="0">
        <v>144</v>
      </c>
      <c r="AP180" t="s" s="0">
        <v>313</v>
      </c>
      <c r="AQ180" t="s" s="0">
        <v>94</v>
      </c>
      <c r="AR180" t="s" s="0">
        <v>95</v>
      </c>
      <c r="AS180" t="s" s="0">
        <v>96</v>
      </c>
      <c r="AT180" t="s" s="0">
        <v>81</v>
      </c>
      <c r="AU180" t="s" s="0">
        <v>4581</v>
      </c>
      <c r="AV180" t="s" s="0">
        <v>81</v>
      </c>
      <c r="AW180" t="s" s="0">
        <v>4582</v>
      </c>
      <c r="AX180" t="s" s="0">
        <v>4583</v>
      </c>
      <c r="AY180" t="s" s="0">
        <v>181</v>
      </c>
      <c r="AZ180" t="s" s="0">
        <v>142</v>
      </c>
      <c r="BA180" t="s" s="0">
        <v>313</v>
      </c>
      <c r="BB180" t="s" s="0">
        <v>372</v>
      </c>
      <c r="BC180" t="s" s="0">
        <v>81</v>
      </c>
      <c r="BD180" t="s" s="0">
        <v>81</v>
      </c>
      <c r="BE180" t="s" s="0">
        <v>81</v>
      </c>
      <c r="BF180" t="s" s="0">
        <v>81</v>
      </c>
      <c r="BG180" t="s" s="0">
        <v>81</v>
      </c>
      <c r="BH180" t="s" s="0">
        <v>81</v>
      </c>
      <c r="BI180" t="s" s="0">
        <v>4584</v>
      </c>
      <c r="BJ180" t="s" s="0">
        <v>4585</v>
      </c>
      <c r="BK180" t="s" s="355">
        <f>HYPERLINK("http://dx.doi.org/10.1093/radadv/umaf035","http://dx.doi.org/10.1093/radadv/umaf035")</f>
        <v>4586</v>
      </c>
      <c r="BL180" t="s" s="0">
        <v>81</v>
      </c>
      <c r="BM180" t="s" s="0">
        <v>81</v>
      </c>
      <c r="BN180" t="s" s="0">
        <v>173</v>
      </c>
      <c r="BO180" t="s" s="0">
        <v>292</v>
      </c>
      <c r="BP180" t="s" s="0">
        <v>292</v>
      </c>
      <c r="BQ180" t="s" s="0">
        <v>4587</v>
      </c>
      <c r="BR180" t="s" s="0">
        <v>4588</v>
      </c>
      <c r="BS180" t="s" s="0">
        <v>4589</v>
      </c>
      <c r="BT180" t="s" s="356">
        <f>HYPERLINK("https://www.webofscience.com/wos/woscc/full-record/WOS:001601387300001","View Record in Web of Science")</f>
        <v>113</v>
      </c>
      <c r="BU180" t="s" s="0">
        <v>153</v>
      </c>
      <c r="BV180" t="s" s="0">
        <v>81</v>
      </c>
      <c r="BW180" t="s" s="0">
        <v>81</v>
      </c>
      <c r="BX180" t="s" s="0">
        <v>115</v>
      </c>
    </row>
    <row r="181">
      <c r="A181" t="s" s="0">
        <v>77</v>
      </c>
      <c r="B181" t="s" s="0">
        <v>77</v>
      </c>
      <c r="C181" t="s" s="0">
        <v>77</v>
      </c>
      <c r="D181" t="s" s="0">
        <v>77</v>
      </c>
      <c r="E181" t="s" s="0">
        <v>4590</v>
      </c>
      <c r="F181" t="s" s="0">
        <v>4591</v>
      </c>
      <c r="G181" t="s" s="0">
        <v>4592</v>
      </c>
      <c r="H181" t="s" s="0">
        <v>81</v>
      </c>
      <c r="I181" t="s" s="0">
        <v>82</v>
      </c>
      <c r="J181" t="s" s="0">
        <v>4593</v>
      </c>
      <c r="K181" t="s" s="0">
        <v>4594</v>
      </c>
      <c r="L181" t="s" s="0">
        <v>81</v>
      </c>
      <c r="M181" t="s" s="0">
        <v>81</v>
      </c>
      <c r="N181" t="s" s="0">
        <v>81</v>
      </c>
      <c r="O181" t="s" s="0">
        <v>4595</v>
      </c>
      <c r="P181" t="s" s="0">
        <v>4596</v>
      </c>
      <c r="Q181" t="s" s="0">
        <v>87</v>
      </c>
      <c r="R181" t="s" s="0">
        <v>81</v>
      </c>
      <c r="S181" t="s" s="0">
        <v>81</v>
      </c>
      <c r="T181" t="s" s="0">
        <v>81</v>
      </c>
      <c r="U181" t="s" s="0">
        <v>81</v>
      </c>
      <c r="V181" t="s" s="0">
        <v>4597</v>
      </c>
      <c r="W181" t="s" s="0">
        <v>3470</v>
      </c>
      <c r="X181" t="s" s="0">
        <v>81</v>
      </c>
      <c r="Y181" t="s" s="0">
        <v>81</v>
      </c>
      <c r="Z181" t="s" s="0">
        <v>90</v>
      </c>
      <c r="AA181" t="s" s="0">
        <v>91</v>
      </c>
      <c r="AB181" t="s" s="0">
        <v>81</v>
      </c>
      <c r="AC181" t="s" s="0">
        <v>81</v>
      </c>
      <c r="AD181" t="s" s="0">
        <v>81</v>
      </c>
      <c r="AE181" t="s" s="0">
        <v>81</v>
      </c>
      <c r="AF181" t="s" s="0">
        <v>81</v>
      </c>
      <c r="AG181" t="s" s="0">
        <v>4598</v>
      </c>
      <c r="AH181" t="s" s="0">
        <v>81</v>
      </c>
      <c r="AI181" t="s" s="0">
        <v>4599</v>
      </c>
      <c r="AJ181" t="s" s="0">
        <v>4600</v>
      </c>
      <c r="AK181" t="s" s="0">
        <v>81</v>
      </c>
      <c r="AL181" t="s" s="0">
        <v>93</v>
      </c>
      <c r="AM181" t="s" s="0">
        <v>103</v>
      </c>
      <c r="AN181" t="s" s="0">
        <v>103</v>
      </c>
      <c r="AO181" t="s" s="0">
        <v>133</v>
      </c>
      <c r="AP181" t="s" s="0">
        <v>245</v>
      </c>
      <c r="AQ181" t="s" s="0">
        <v>1162</v>
      </c>
      <c r="AR181" t="s" s="0">
        <v>95</v>
      </c>
      <c r="AS181" t="s" s="0">
        <v>1163</v>
      </c>
      <c r="AT181" t="s" s="0">
        <v>3474</v>
      </c>
      <c r="AU181" t="s" s="0">
        <v>3475</v>
      </c>
      <c r="AV181" t="s" s="0">
        <v>81</v>
      </c>
      <c r="AW181" t="s" s="0">
        <v>3476</v>
      </c>
      <c r="AX181" t="s" s="0">
        <v>3477</v>
      </c>
      <c r="AY181" t="s" s="0">
        <v>4144</v>
      </c>
      <c r="AZ181" t="s" s="0">
        <v>101</v>
      </c>
      <c r="BA181" t="s" s="0">
        <v>4601</v>
      </c>
      <c r="BB181" t="s" s="0">
        <v>81</v>
      </c>
      <c r="BC181" t="s" s="0">
        <v>81</v>
      </c>
      <c r="BD181" t="s" s="0">
        <v>4602</v>
      </c>
      <c r="BE181" t="s" s="0">
        <v>81</v>
      </c>
      <c r="BF181" t="s" s="0">
        <v>81</v>
      </c>
      <c r="BG181" t="s" s="0">
        <v>81</v>
      </c>
      <c r="BH181" t="s" s="0">
        <v>81</v>
      </c>
      <c r="BI181" t="s" s="0">
        <v>4603</v>
      </c>
      <c r="BJ181" t="s" s="0">
        <v>4604</v>
      </c>
      <c r="BK181" t="s" s="357">
        <f>HYPERLINK("http://dx.doi.org/10.1016/j.eswa.2025.130174","http://dx.doi.org/10.1016/j.eswa.2025.130174")</f>
        <v>4605</v>
      </c>
      <c r="BL181" t="s" s="0">
        <v>81</v>
      </c>
      <c r="BM181" t="s" s="0">
        <v>467</v>
      </c>
      <c r="BN181" t="s" s="0">
        <v>626</v>
      </c>
      <c r="BO181" t="s" s="0">
        <v>3483</v>
      </c>
      <c r="BP181" t="s" s="0">
        <v>3484</v>
      </c>
      <c r="BQ181" t="s" s="0">
        <v>4606</v>
      </c>
      <c r="BR181" t="s" s="0">
        <v>81</v>
      </c>
      <c r="BS181" t="s" s="0">
        <v>4607</v>
      </c>
      <c r="BT181" t="s" s="358">
        <f>HYPERLINK("https://www.webofscience.com/wos/woscc/full-record/WOS:001617982400017","View Record in Web of Science")</f>
        <v>113</v>
      </c>
      <c r="BU181" t="s" s="0">
        <v>81</v>
      </c>
      <c r="BV181" t="s" s="0">
        <v>81</v>
      </c>
      <c r="BW181" t="s" s="0">
        <v>81</v>
      </c>
      <c r="BX181" t="s" s="0">
        <v>115</v>
      </c>
    </row>
    <row r="182">
      <c r="A182" t="s" s="0">
        <v>77</v>
      </c>
      <c r="B182" t="s" s="0">
        <v>77</v>
      </c>
      <c r="C182" t="s" s="0">
        <v>116</v>
      </c>
      <c r="D182" t="s" s="0">
        <v>77</v>
      </c>
      <c r="E182" t="s" s="0">
        <v>4608</v>
      </c>
      <c r="F182" t="s" s="0">
        <v>4609</v>
      </c>
      <c r="G182" t="s" s="0">
        <v>4610</v>
      </c>
      <c r="H182" t="s" s="0">
        <v>81</v>
      </c>
      <c r="I182" t="s" s="0">
        <v>82</v>
      </c>
      <c r="J182" t="s" s="0">
        <v>4611</v>
      </c>
      <c r="K182" t="s" s="0">
        <v>4612</v>
      </c>
      <c r="L182" t="s" s="0">
        <v>4613</v>
      </c>
      <c r="M182" t="s" s="0">
        <v>4614</v>
      </c>
      <c r="N182" t="s" s="0">
        <v>4615</v>
      </c>
      <c r="O182" t="s" s="0">
        <v>4616</v>
      </c>
      <c r="P182" t="s" s="0">
        <v>4617</v>
      </c>
      <c r="Q182" t="s" s="0">
        <v>87</v>
      </c>
      <c r="R182" t="s" s="0">
        <v>81</v>
      </c>
      <c r="S182" t="s" s="0">
        <v>81</v>
      </c>
      <c r="T182" t="s" s="0">
        <v>81</v>
      </c>
      <c r="U182" t="s" s="0">
        <v>81</v>
      </c>
      <c r="V182" t="s" s="0">
        <v>4618</v>
      </c>
      <c r="W182" t="s" s="0">
        <v>128</v>
      </c>
      <c r="X182" t="s" s="0">
        <v>81</v>
      </c>
      <c r="Y182" t="s" s="0">
        <v>81</v>
      </c>
      <c r="Z182" t="s" s="0">
        <v>90</v>
      </c>
      <c r="AA182" t="s" s="0">
        <v>91</v>
      </c>
      <c r="AB182" t="s" s="0">
        <v>81</v>
      </c>
      <c r="AC182" t="s" s="0">
        <v>81</v>
      </c>
      <c r="AD182" t="s" s="0">
        <v>81</v>
      </c>
      <c r="AE182" t="s" s="0">
        <v>81</v>
      </c>
      <c r="AF182" t="s" s="0">
        <v>81</v>
      </c>
      <c r="AG182" t="s" s="0">
        <v>4619</v>
      </c>
      <c r="AH182" t="s" s="0">
        <v>4620</v>
      </c>
      <c r="AI182" t="s" s="0">
        <v>4621</v>
      </c>
      <c r="AJ182" t="s" s="0">
        <v>4622</v>
      </c>
      <c r="AK182" t="s" s="0">
        <v>81</v>
      </c>
      <c r="AL182" t="s" s="0">
        <v>401</v>
      </c>
      <c r="AM182" t="s" s="0">
        <v>133</v>
      </c>
      <c r="AN182" t="s" s="0">
        <v>133</v>
      </c>
      <c r="AO182" t="s" s="0">
        <v>116</v>
      </c>
      <c r="AP182" t="s" s="0">
        <v>133</v>
      </c>
      <c r="AQ182" t="s" s="0">
        <v>135</v>
      </c>
      <c r="AR182" t="s" s="0">
        <v>136</v>
      </c>
      <c r="AS182" t="s" s="0">
        <v>137</v>
      </c>
      <c r="AT182" t="s" s="0">
        <v>138</v>
      </c>
      <c r="AU182" t="s" s="0">
        <v>81</v>
      </c>
      <c r="AV182" t="s" s="0">
        <v>81</v>
      </c>
      <c r="AW182" t="s" s="0">
        <v>139</v>
      </c>
      <c r="AX182" t="s" s="0">
        <v>140</v>
      </c>
      <c r="AY182" t="s" s="0">
        <v>4623</v>
      </c>
      <c r="AZ182" t="s" s="0">
        <v>142</v>
      </c>
      <c r="BA182" t="s" s="0">
        <v>143</v>
      </c>
      <c r="BB182" t="s" s="0">
        <v>144</v>
      </c>
      <c r="BC182" t="s" s="0">
        <v>81</v>
      </c>
      <c r="BD182" t="s" s="0">
        <v>81</v>
      </c>
      <c r="BE182" t="s" s="0">
        <v>81</v>
      </c>
      <c r="BF182" t="s" s="0">
        <v>81</v>
      </c>
      <c r="BG182" t="s" s="0">
        <v>81</v>
      </c>
      <c r="BH182" t="s" s="0">
        <v>81</v>
      </c>
      <c r="BI182" t="s" s="0">
        <v>4624</v>
      </c>
      <c r="BJ182" t="s" s="0">
        <v>4625</v>
      </c>
      <c r="BK182" t="s" s="359">
        <f>HYPERLINK("http://dx.doi.org/10.1038/s41598-025-85777-7","http://dx.doi.org/10.1038/s41598-025-85777-7")</f>
        <v>4626</v>
      </c>
      <c r="BL182" t="s" s="0">
        <v>81</v>
      </c>
      <c r="BM182" t="s" s="0">
        <v>81</v>
      </c>
      <c r="BN182" t="s" s="0">
        <v>187</v>
      </c>
      <c r="BO182" t="s" s="0">
        <v>148</v>
      </c>
      <c r="BP182" t="s" s="0">
        <v>149</v>
      </c>
      <c r="BQ182" t="s" s="0">
        <v>4627</v>
      </c>
      <c r="BR182" t="s" s="0">
        <v>4628</v>
      </c>
      <c r="BS182" t="s" s="0">
        <v>4629</v>
      </c>
      <c r="BT182" t="s" s="360">
        <f>HYPERLINK("https://www.webofscience.com/wos/woscc/full-record/WOS:001403090300040","View Record in Web of Science")</f>
        <v>113</v>
      </c>
      <c r="BU182" t="s" s="0">
        <v>153</v>
      </c>
      <c r="BV182" t="s" s="0">
        <v>81</v>
      </c>
      <c r="BW182" t="s" s="0">
        <v>81</v>
      </c>
      <c r="BX182" t="s" s="0">
        <v>115</v>
      </c>
    </row>
    <row r="183">
      <c r="A183" t="s" s="0">
        <v>77</v>
      </c>
      <c r="B183" t="s" s="0">
        <v>77</v>
      </c>
      <c r="C183" t="s" s="0">
        <v>144</v>
      </c>
      <c r="D183" t="s" s="0">
        <v>77</v>
      </c>
      <c r="E183" t="s" s="0">
        <v>4630</v>
      </c>
      <c r="F183" t="s" s="0">
        <v>4631</v>
      </c>
      <c r="G183" t="s" s="0">
        <v>4632</v>
      </c>
      <c r="H183" t="s" s="0">
        <v>81</v>
      </c>
      <c r="I183" t="s" s="0">
        <v>82</v>
      </c>
      <c r="J183" t="s" s="0">
        <v>4633</v>
      </c>
      <c r="K183" t="s" s="0">
        <v>4634</v>
      </c>
      <c r="L183" t="s" s="0">
        <v>4635</v>
      </c>
      <c r="M183" t="s" s="0">
        <v>4636</v>
      </c>
      <c r="N183" t="s" s="0">
        <v>4637</v>
      </c>
      <c r="O183" t="s" s="0">
        <v>4638</v>
      </c>
      <c r="P183" t="s" s="0">
        <v>4639</v>
      </c>
      <c r="Q183" t="s" s="0">
        <v>87</v>
      </c>
      <c r="R183" t="s" s="0">
        <v>81</v>
      </c>
      <c r="S183" t="s" s="0">
        <v>81</v>
      </c>
      <c r="T183" t="s" s="0">
        <v>81</v>
      </c>
      <c r="U183" t="s" s="0">
        <v>81</v>
      </c>
      <c r="V183" t="s" s="0">
        <v>4640</v>
      </c>
      <c r="W183" t="s" s="0">
        <v>272</v>
      </c>
      <c r="X183" t="s" s="0">
        <v>81</v>
      </c>
      <c r="Y183" t="s" s="0">
        <v>81</v>
      </c>
      <c r="Z183" t="s" s="0">
        <v>90</v>
      </c>
      <c r="AA183" t="s" s="0">
        <v>91</v>
      </c>
      <c r="AB183" t="s" s="0">
        <v>81</v>
      </c>
      <c r="AC183" t="s" s="0">
        <v>81</v>
      </c>
      <c r="AD183" t="s" s="0">
        <v>81</v>
      </c>
      <c r="AE183" t="s" s="0">
        <v>81</v>
      </c>
      <c r="AF183" t="s" s="0">
        <v>81</v>
      </c>
      <c r="AG183" t="s" s="0">
        <v>4641</v>
      </c>
      <c r="AH183" t="s" s="0">
        <v>4642</v>
      </c>
      <c r="AI183" t="s" s="0">
        <v>4643</v>
      </c>
      <c r="AJ183" t="s" s="0">
        <v>4644</v>
      </c>
      <c r="AK183" t="s" s="0">
        <v>81</v>
      </c>
      <c r="AL183" t="s" s="0">
        <v>2026</v>
      </c>
      <c r="AM183" t="s" s="0">
        <v>107</v>
      </c>
      <c r="AN183" t="s" s="0">
        <v>107</v>
      </c>
      <c r="AO183" t="s" s="0">
        <v>219</v>
      </c>
      <c r="AP183" t="s" s="0">
        <v>143</v>
      </c>
      <c r="AQ183" t="s" s="0">
        <v>278</v>
      </c>
      <c r="AR183" t="s" s="0">
        <v>247</v>
      </c>
      <c r="AS183" t="s" s="0">
        <v>279</v>
      </c>
      <c r="AT183" t="s" s="0">
        <v>280</v>
      </c>
      <c r="AU183" t="s" s="0">
        <v>281</v>
      </c>
      <c r="AV183" t="s" s="0">
        <v>81</v>
      </c>
      <c r="AW183" t="s" s="0">
        <v>282</v>
      </c>
      <c r="AX183" t="s" s="0">
        <v>283</v>
      </c>
      <c r="AY183" t="s" s="0">
        <v>1140</v>
      </c>
      <c r="AZ183" t="s" s="0">
        <v>142</v>
      </c>
      <c r="BA183" t="s" s="0">
        <v>1493</v>
      </c>
      <c r="BB183" t="s" s="0">
        <v>103</v>
      </c>
      <c r="BC183" t="s" s="0">
        <v>81</v>
      </c>
      <c r="BD183" t="s" s="0">
        <v>81</v>
      </c>
      <c r="BE183" t="s" s="0">
        <v>81</v>
      </c>
      <c r="BF183" t="s" s="0">
        <v>81</v>
      </c>
      <c r="BG183" t="s" s="0">
        <v>4645</v>
      </c>
      <c r="BH183" t="s" s="0">
        <v>4646</v>
      </c>
      <c r="BI183" t="s" s="0">
        <v>81</v>
      </c>
      <c r="BJ183" t="s" s="0">
        <v>4647</v>
      </c>
      <c r="BK183" t="s" s="361">
        <f>HYPERLINK("http://dx.doi.org/10.1007/s10278-025-01446-1","http://dx.doi.org/10.1007/s10278-025-01446-1")</f>
        <v>4648</v>
      </c>
      <c r="BL183" t="s" s="0">
        <v>81</v>
      </c>
      <c r="BM183" t="s" s="0">
        <v>951</v>
      </c>
      <c r="BN183" t="s" s="0">
        <v>323</v>
      </c>
      <c r="BO183" t="s" s="0">
        <v>292</v>
      </c>
      <c r="BP183" t="s" s="0">
        <v>292</v>
      </c>
      <c r="BQ183" t="s" s="0">
        <v>4649</v>
      </c>
      <c r="BR183" t="s" s="0">
        <v>4650</v>
      </c>
      <c r="BS183" t="s" s="0">
        <v>4651</v>
      </c>
      <c r="BT183" t="s" s="362">
        <f>HYPERLINK("https://www.webofscience.com/wos/woscc/full-record/WOS:001426198600001","View Record in Web of Science")</f>
        <v>113</v>
      </c>
      <c r="BU183" t="s" s="0">
        <v>356</v>
      </c>
      <c r="BV183" t="s" s="0">
        <v>81</v>
      </c>
      <c r="BW183" t="s" s="0">
        <v>81</v>
      </c>
      <c r="BX183" t="s" s="0">
        <v>115</v>
      </c>
    </row>
    <row r="184">
      <c r="A184" t="s" s="0">
        <v>77</v>
      </c>
      <c r="B184" t="s" s="0">
        <v>77</v>
      </c>
      <c r="C184" t="s" s="0">
        <v>116</v>
      </c>
      <c r="D184" t="s" s="0">
        <v>77</v>
      </c>
      <c r="E184" t="s" s="0">
        <v>4652</v>
      </c>
      <c r="F184" t="s" s="0">
        <v>4653</v>
      </c>
      <c r="G184" t="s" s="0">
        <v>4654</v>
      </c>
      <c r="H184" t="s" s="0">
        <v>81</v>
      </c>
      <c r="I184" t="s" s="0">
        <v>82</v>
      </c>
      <c r="J184" t="s" s="0">
        <v>4655</v>
      </c>
      <c r="K184" t="s" s="0">
        <v>4656</v>
      </c>
      <c r="L184" t="s" s="0">
        <v>4657</v>
      </c>
      <c r="M184" t="s" s="0">
        <v>4658</v>
      </c>
      <c r="N184" t="s" s="0">
        <v>4659</v>
      </c>
      <c r="O184" t="s" s="0">
        <v>4660</v>
      </c>
      <c r="P184" t="s" s="0">
        <v>4661</v>
      </c>
      <c r="Q184" t="s" s="0">
        <v>87</v>
      </c>
      <c r="R184" t="s" s="0">
        <v>81</v>
      </c>
      <c r="S184" t="s" s="0">
        <v>81</v>
      </c>
      <c r="T184" t="s" s="0">
        <v>81</v>
      </c>
      <c r="U184" t="s" s="0">
        <v>81</v>
      </c>
      <c r="V184" t="s" s="0">
        <v>4662</v>
      </c>
      <c r="W184" t="s" s="0">
        <v>4663</v>
      </c>
      <c r="X184" t="s" s="0">
        <v>81</v>
      </c>
      <c r="Y184" t="s" s="0">
        <v>81</v>
      </c>
      <c r="Z184" t="s" s="0">
        <v>90</v>
      </c>
      <c r="AA184" t="s" s="0">
        <v>91</v>
      </c>
      <c r="AB184" t="s" s="0">
        <v>81</v>
      </c>
      <c r="AC184" t="s" s="0">
        <v>81</v>
      </c>
      <c r="AD184" t="s" s="0">
        <v>81</v>
      </c>
      <c r="AE184" t="s" s="0">
        <v>81</v>
      </c>
      <c r="AF184" t="s" s="0">
        <v>81</v>
      </c>
      <c r="AG184" t="s" s="0">
        <v>4664</v>
      </c>
      <c r="AH184" t="s" s="0">
        <v>81</v>
      </c>
      <c r="AI184" t="s" s="0">
        <v>4665</v>
      </c>
      <c r="AJ184" t="s" s="0">
        <v>4666</v>
      </c>
      <c r="AK184" t="s" s="0">
        <v>81</v>
      </c>
      <c r="AL184" t="s" s="0">
        <v>428</v>
      </c>
      <c r="AM184" t="s" s="0">
        <v>1887</v>
      </c>
      <c r="AN184" t="s" s="0">
        <v>521</v>
      </c>
      <c r="AO184" t="s" s="0">
        <v>313</v>
      </c>
      <c r="AP184" t="s" s="0">
        <v>1284</v>
      </c>
      <c r="AQ184" t="s" s="0">
        <v>3362</v>
      </c>
      <c r="AR184" t="s" s="0">
        <v>3363</v>
      </c>
      <c r="AS184" t="s" s="0">
        <v>3364</v>
      </c>
      <c r="AT184" t="s" s="0">
        <v>4667</v>
      </c>
      <c r="AU184" t="s" s="0">
        <v>81</v>
      </c>
      <c r="AV184" t="s" s="0">
        <v>81</v>
      </c>
      <c r="AW184" t="s" s="0">
        <v>4668</v>
      </c>
      <c r="AX184" t="s" s="0">
        <v>4669</v>
      </c>
      <c r="AY184" t="s" s="0">
        <v>4670</v>
      </c>
      <c r="AZ184" t="s" s="0">
        <v>285</v>
      </c>
      <c r="BA184" t="s" s="0">
        <v>1253</v>
      </c>
      <c r="BB184" t="s" s="0">
        <v>81</v>
      </c>
      <c r="BC184" t="s" s="0">
        <v>81</v>
      </c>
      <c r="BD184" t="s" s="0">
        <v>81</v>
      </c>
      <c r="BE184" t="s" s="0">
        <v>81</v>
      </c>
      <c r="BF184" t="s" s="0">
        <v>81</v>
      </c>
      <c r="BG184" t="s" s="0">
        <v>81</v>
      </c>
      <c r="BH184" t="s" s="0">
        <v>81</v>
      </c>
      <c r="BI184" t="s" s="0">
        <v>4671</v>
      </c>
      <c r="BJ184" t="s" s="0">
        <v>4672</v>
      </c>
      <c r="BK184" t="s" s="363">
        <f>HYPERLINK("http://dx.doi.org/10.2196/54363","http://dx.doi.org/10.2196/54363")</f>
        <v>4673</v>
      </c>
      <c r="BL184" t="s" s="0">
        <v>81</v>
      </c>
      <c r="BM184" t="s" s="0">
        <v>81</v>
      </c>
      <c r="BN184" t="s" s="0">
        <v>173</v>
      </c>
      <c r="BO184" t="s" s="0">
        <v>1576</v>
      </c>
      <c r="BP184" t="s" s="0">
        <v>1576</v>
      </c>
      <c r="BQ184" t="s" s="0">
        <v>4674</v>
      </c>
      <c r="BR184" t="s" s="0">
        <v>4675</v>
      </c>
      <c r="BS184" t="s" s="0">
        <v>4676</v>
      </c>
      <c r="BT184" t="s" s="364">
        <f>HYPERLINK("https://www.webofscience.com/wos/woscc/full-record/WOS:001226586000002","View Record in Web of Science")</f>
        <v>113</v>
      </c>
      <c r="BU184" t="s" s="0">
        <v>153</v>
      </c>
      <c r="BV184" t="s" s="0">
        <v>81</v>
      </c>
      <c r="BW184" t="s" s="0">
        <v>81</v>
      </c>
      <c r="BX184" t="s" s="0">
        <v>115</v>
      </c>
    </row>
    <row r="185">
      <c r="A185" t="s" s="0">
        <v>77</v>
      </c>
      <c r="B185" t="s" s="0">
        <v>77</v>
      </c>
      <c r="C185" t="s" s="0">
        <v>77</v>
      </c>
      <c r="D185" t="s" s="0">
        <v>77</v>
      </c>
      <c r="E185" t="s" s="0">
        <v>4677</v>
      </c>
      <c r="F185" t="s" s="0">
        <v>4678</v>
      </c>
      <c r="G185" t="s" s="0">
        <v>4679</v>
      </c>
      <c r="H185" t="s" s="0">
        <v>81</v>
      </c>
      <c r="I185" t="s" s="0">
        <v>82</v>
      </c>
      <c r="J185" t="s" s="0">
        <v>4680</v>
      </c>
      <c r="K185" t="s" s="0">
        <v>4681</v>
      </c>
      <c r="L185" t="s" s="0">
        <v>4682</v>
      </c>
      <c r="M185" t="s" s="0">
        <v>4683</v>
      </c>
      <c r="N185" t="s" s="0">
        <v>4684</v>
      </c>
      <c r="O185" t="s" s="0">
        <v>4685</v>
      </c>
      <c r="P185" t="s" s="0">
        <v>4686</v>
      </c>
      <c r="Q185" t="s" s="0">
        <v>87</v>
      </c>
      <c r="R185" t="s" s="0">
        <v>81</v>
      </c>
      <c r="S185" t="s" s="0">
        <v>81</v>
      </c>
      <c r="T185" t="s" s="0">
        <v>81</v>
      </c>
      <c r="U185" t="s" s="0">
        <v>81</v>
      </c>
      <c r="V185" t="s" s="0">
        <v>4687</v>
      </c>
      <c r="W185" t="s" s="0">
        <v>4688</v>
      </c>
      <c r="X185" t="s" s="0">
        <v>81</v>
      </c>
      <c r="Y185" t="s" s="0">
        <v>81</v>
      </c>
      <c r="Z185" t="s" s="0">
        <v>90</v>
      </c>
      <c r="AA185" t="s" s="0">
        <v>91</v>
      </c>
      <c r="AB185" t="s" s="0">
        <v>81</v>
      </c>
      <c r="AC185" t="s" s="0">
        <v>81</v>
      </c>
      <c r="AD185" t="s" s="0">
        <v>81</v>
      </c>
      <c r="AE185" t="s" s="0">
        <v>81</v>
      </c>
      <c r="AF185" t="s" s="0">
        <v>81</v>
      </c>
      <c r="AG185" t="s" s="0">
        <v>4689</v>
      </c>
      <c r="AH185" t="s" s="0">
        <v>81</v>
      </c>
      <c r="AI185" t="s" s="0">
        <v>4690</v>
      </c>
      <c r="AJ185" t="s" s="0">
        <v>4691</v>
      </c>
      <c r="AK185" t="s" s="0">
        <v>81</v>
      </c>
      <c r="AL185" t="s" s="0">
        <v>614</v>
      </c>
      <c r="AM185" t="s" s="0">
        <v>144</v>
      </c>
      <c r="AN185" t="s" s="0">
        <v>313</v>
      </c>
      <c r="AO185" t="s" s="0">
        <v>172</v>
      </c>
      <c r="AP185" t="s" s="0">
        <v>93</v>
      </c>
      <c r="AQ185" t="s" s="0">
        <v>278</v>
      </c>
      <c r="AR185" t="s" s="0">
        <v>823</v>
      </c>
      <c r="AS185" t="s" s="0">
        <v>824</v>
      </c>
      <c r="AT185" t="s" s="0">
        <v>4692</v>
      </c>
      <c r="AU185" t="s" s="0">
        <v>4693</v>
      </c>
      <c r="AV185" t="s" s="0">
        <v>81</v>
      </c>
      <c r="AW185" t="s" s="0">
        <v>4694</v>
      </c>
      <c r="AX185" t="s" s="0">
        <v>4695</v>
      </c>
      <c r="AY185" t="s" s="0">
        <v>467</v>
      </c>
      <c r="AZ185" t="s" s="0">
        <v>142</v>
      </c>
      <c r="BA185" t="s" s="0">
        <v>2591</v>
      </c>
      <c r="BB185" t="s" s="0">
        <v>144</v>
      </c>
      <c r="BC185" t="s" s="0">
        <v>81</v>
      </c>
      <c r="BD185" t="s" s="0">
        <v>81</v>
      </c>
      <c r="BE185" t="s" s="0">
        <v>81</v>
      </c>
      <c r="BF185" t="s" s="0">
        <v>81</v>
      </c>
      <c r="BG185" t="s" s="0">
        <v>81</v>
      </c>
      <c r="BH185" t="s" s="0">
        <v>81</v>
      </c>
      <c r="BI185" t="s" s="0">
        <v>116</v>
      </c>
      <c r="BJ185" t="s" s="0">
        <v>4696</v>
      </c>
      <c r="BK185" t="s" s="365">
        <f>HYPERLINK("http://dx.doi.org/10.1007/s10994-024-06709-6","http://dx.doi.org/10.1007/s10994-024-06709-6")</f>
        <v>4697</v>
      </c>
      <c r="BL185" t="s" s="0">
        <v>81</v>
      </c>
      <c r="BM185" t="s" s="0">
        <v>81</v>
      </c>
      <c r="BN185" t="s" s="0">
        <v>626</v>
      </c>
      <c r="BO185" t="s" s="0">
        <v>834</v>
      </c>
      <c r="BP185" t="s" s="0">
        <v>835</v>
      </c>
      <c r="BQ185" t="s" s="0">
        <v>4698</v>
      </c>
      <c r="BR185" t="s" s="0">
        <v>81</v>
      </c>
      <c r="BS185" t="s" s="0">
        <v>4699</v>
      </c>
      <c r="BT185" t="s" s="366">
        <f>HYPERLINK("https://www.webofscience.com/wos/woscc/full-record/WOS:001395642200002","View Record in Web of Science")</f>
        <v>113</v>
      </c>
      <c r="BU185" t="s" s="0">
        <v>3275</v>
      </c>
      <c r="BV185" t="s" s="0">
        <v>81</v>
      </c>
      <c r="BW185" t="s" s="0">
        <v>81</v>
      </c>
      <c r="BX185" t="s" s="0">
        <v>115</v>
      </c>
    </row>
    <row r="186">
      <c r="A186" t="s" s="0">
        <v>77</v>
      </c>
      <c r="B186" t="s" s="0">
        <v>77</v>
      </c>
      <c r="C186" t="s" s="0">
        <v>77</v>
      </c>
      <c r="D186" t="s" s="0">
        <v>77</v>
      </c>
      <c r="E186" t="s" s="0">
        <v>4700</v>
      </c>
      <c r="F186" t="s" s="0">
        <v>4701</v>
      </c>
      <c r="G186" t="s" s="0">
        <v>4702</v>
      </c>
      <c r="H186" t="s" s="0">
        <v>81</v>
      </c>
      <c r="I186" t="s" s="0">
        <v>2558</v>
      </c>
      <c r="J186" t="s" s="0">
        <v>4703</v>
      </c>
      <c r="K186" t="s" s="0">
        <v>4704</v>
      </c>
      <c r="L186" t="s" s="0">
        <v>4705</v>
      </c>
      <c r="M186" t="s" s="0">
        <v>4706</v>
      </c>
      <c r="N186" t="s" s="0">
        <v>4707</v>
      </c>
      <c r="O186" t="s" s="0">
        <v>4708</v>
      </c>
      <c r="P186" t="s" s="0">
        <v>4709</v>
      </c>
      <c r="Q186" t="s" s="0">
        <v>87</v>
      </c>
      <c r="R186" t="s" s="0">
        <v>81</v>
      </c>
      <c r="S186" t="s" s="0">
        <v>81</v>
      </c>
      <c r="T186" t="s" s="0">
        <v>81</v>
      </c>
      <c r="U186" t="s" s="0">
        <v>81</v>
      </c>
      <c r="V186" t="s" s="0">
        <v>4710</v>
      </c>
      <c r="W186" t="s" s="0">
        <v>4711</v>
      </c>
      <c r="X186" t="s" s="0">
        <v>81</v>
      </c>
      <c r="Y186" t="s" s="0">
        <v>81</v>
      </c>
      <c r="Z186" t="s" s="0">
        <v>90</v>
      </c>
      <c r="AA186" t="s" s="0">
        <v>91</v>
      </c>
      <c r="AB186" t="s" s="0">
        <v>81</v>
      </c>
      <c r="AC186" t="s" s="0">
        <v>81</v>
      </c>
      <c r="AD186" t="s" s="0">
        <v>81</v>
      </c>
      <c r="AE186" t="s" s="0">
        <v>81</v>
      </c>
      <c r="AF186" t="s" s="0">
        <v>81</v>
      </c>
      <c r="AG186" t="s" s="0">
        <v>4712</v>
      </c>
      <c r="AH186" t="s" s="0">
        <v>81</v>
      </c>
      <c r="AI186" t="s" s="0">
        <v>4713</v>
      </c>
      <c r="AJ186" t="s" s="0">
        <v>81</v>
      </c>
      <c r="AK186" t="s" s="0">
        <v>81</v>
      </c>
      <c r="AL186" t="s" s="0">
        <v>911</v>
      </c>
      <c r="AM186" t="s" s="0">
        <v>144</v>
      </c>
      <c r="AN186" t="s" s="0">
        <v>144</v>
      </c>
      <c r="AO186" t="s" s="0">
        <v>652</v>
      </c>
      <c r="AP186" t="s" s="0">
        <v>652</v>
      </c>
      <c r="AQ186" t="s" s="0">
        <v>174</v>
      </c>
      <c r="AR186" t="s" s="0">
        <v>175</v>
      </c>
      <c r="AS186" t="s" s="0">
        <v>176</v>
      </c>
      <c r="AT186" t="s" s="0">
        <v>4714</v>
      </c>
      <c r="AU186" t="s" s="0">
        <v>4715</v>
      </c>
      <c r="AV186" t="s" s="0">
        <v>81</v>
      </c>
      <c r="AW186" t="s" s="0">
        <v>4716</v>
      </c>
      <c r="AX186" t="s" s="0">
        <v>4717</v>
      </c>
      <c r="AY186" t="s" s="0">
        <v>4718</v>
      </c>
      <c r="AZ186" t="s" s="0">
        <v>101</v>
      </c>
      <c r="BA186" t="s" s="0">
        <v>831</v>
      </c>
      <c r="BB186" t="s" s="0">
        <v>81</v>
      </c>
      <c r="BC186" t="s" s="0">
        <v>81</v>
      </c>
      <c r="BD186" t="s" s="0">
        <v>81</v>
      </c>
      <c r="BE186" t="s" s="0">
        <v>81</v>
      </c>
      <c r="BF186" t="s" s="0">
        <v>81</v>
      </c>
      <c r="BG186" t="s" s="0">
        <v>81</v>
      </c>
      <c r="BH186" t="s" s="0">
        <v>81</v>
      </c>
      <c r="BI186" t="s" s="0">
        <v>4719</v>
      </c>
      <c r="BJ186" t="s" s="0">
        <v>4720</v>
      </c>
      <c r="BK186" t="s" s="367">
        <f>HYPERLINK("http://dx.doi.org/10.1016/j.tourman.2026.105450","http://dx.doi.org/10.1016/j.tourman.2026.105450")</f>
        <v>4721</v>
      </c>
      <c r="BL186" t="s" s="0">
        <v>81</v>
      </c>
      <c r="BM186" t="s" s="0">
        <v>622</v>
      </c>
      <c r="BN186" t="s" s="0">
        <v>1253</v>
      </c>
      <c r="BO186" t="s" s="0">
        <v>4722</v>
      </c>
      <c r="BP186" t="s" s="0">
        <v>4723</v>
      </c>
      <c r="BQ186" t="s" s="0">
        <v>4724</v>
      </c>
      <c r="BR186" t="s" s="0">
        <v>81</v>
      </c>
      <c r="BS186" t="s" s="0">
        <v>4725</v>
      </c>
      <c r="BT186" t="s" s="368">
        <f>HYPERLINK("https://www.webofscience.com/wos/woscc/full-record/WOS:001763135000001","View Record in Web of Science")</f>
        <v>113</v>
      </c>
      <c r="BU186" t="s" s="0">
        <v>81</v>
      </c>
      <c r="BV186" t="s" s="0">
        <v>81</v>
      </c>
      <c r="BW186" t="s" s="0">
        <v>81</v>
      </c>
      <c r="BX186" t="s" s="0">
        <v>115</v>
      </c>
    </row>
    <row r="187">
      <c r="A187" t="s" s="0">
        <v>77</v>
      </c>
      <c r="B187" t="s" s="0">
        <v>77</v>
      </c>
      <c r="C187" t="s" s="0">
        <v>77</v>
      </c>
      <c r="D187" t="s" s="0">
        <v>77</v>
      </c>
      <c r="E187" t="s" s="0">
        <v>4726</v>
      </c>
      <c r="F187" t="s" s="0">
        <v>4727</v>
      </c>
      <c r="G187" t="s" s="0">
        <v>4728</v>
      </c>
      <c r="H187" t="s" s="0">
        <v>81</v>
      </c>
      <c r="I187" t="s" s="0">
        <v>82</v>
      </c>
      <c r="J187" t="s" s="0">
        <v>4729</v>
      </c>
      <c r="K187" t="s" s="0">
        <v>4730</v>
      </c>
      <c r="L187" t="s" s="0">
        <v>4731</v>
      </c>
      <c r="M187" t="s" s="0">
        <v>4732</v>
      </c>
      <c r="N187" t="s" s="0">
        <v>4733</v>
      </c>
      <c r="O187" t="s" s="0">
        <v>4734</v>
      </c>
      <c r="P187" t="s" s="0">
        <v>4735</v>
      </c>
      <c r="Q187" t="s" s="0">
        <v>87</v>
      </c>
      <c r="R187" t="s" s="0">
        <v>81</v>
      </c>
      <c r="S187" t="s" s="0">
        <v>81</v>
      </c>
      <c r="T187" t="s" s="0">
        <v>81</v>
      </c>
      <c r="U187" t="s" s="0">
        <v>81</v>
      </c>
      <c r="V187" t="s" s="0">
        <v>4736</v>
      </c>
      <c r="W187" t="s" s="0">
        <v>4737</v>
      </c>
      <c r="X187" t="s" s="0">
        <v>81</v>
      </c>
      <c r="Y187" t="s" s="0">
        <v>81</v>
      </c>
      <c r="Z187" t="s" s="0">
        <v>90</v>
      </c>
      <c r="AA187" t="s" s="0">
        <v>91</v>
      </c>
      <c r="AB187" t="s" s="0">
        <v>81</v>
      </c>
      <c r="AC187" t="s" s="0">
        <v>81</v>
      </c>
      <c r="AD187" t="s" s="0">
        <v>81</v>
      </c>
      <c r="AE187" t="s" s="0">
        <v>81</v>
      </c>
      <c r="AF187" t="s" s="0">
        <v>81</v>
      </c>
      <c r="AG187" t="s" s="0">
        <v>81</v>
      </c>
      <c r="AH187" t="s" s="0">
        <v>4738</v>
      </c>
      <c r="AI187" t="s" s="0">
        <v>4739</v>
      </c>
      <c r="AJ187" t="s" s="0">
        <v>4740</v>
      </c>
      <c r="AK187" t="s" s="0">
        <v>81</v>
      </c>
      <c r="AL187" t="s" s="0">
        <v>132</v>
      </c>
      <c r="AM187" t="s" s="0">
        <v>77</v>
      </c>
      <c r="AN187" t="s" s="0">
        <v>77</v>
      </c>
      <c r="AO187" t="s" s="0">
        <v>77</v>
      </c>
      <c r="AP187" t="s" s="0">
        <v>77</v>
      </c>
      <c r="AQ187" t="s" s="0">
        <v>4741</v>
      </c>
      <c r="AR187" t="s" s="0">
        <v>4742</v>
      </c>
      <c r="AS187" t="s" s="0">
        <v>4743</v>
      </c>
      <c r="AT187" t="s" s="0">
        <v>81</v>
      </c>
      <c r="AU187" t="s" s="0">
        <v>4744</v>
      </c>
      <c r="AV187" t="s" s="0">
        <v>81</v>
      </c>
      <c r="AW187" t="s" s="0">
        <v>4737</v>
      </c>
      <c r="AX187" t="s" s="0">
        <v>4745</v>
      </c>
      <c r="AY187" t="s" s="0">
        <v>4746</v>
      </c>
      <c r="AZ187" t="s" s="0">
        <v>101</v>
      </c>
      <c r="BA187" t="s" s="0">
        <v>1001</v>
      </c>
      <c r="BB187" t="s" s="0">
        <v>103</v>
      </c>
      <c r="BC187" t="s" s="0">
        <v>81</v>
      </c>
      <c r="BD187" t="s" s="0">
        <v>81</v>
      </c>
      <c r="BE187" t="s" s="0">
        <v>81</v>
      </c>
      <c r="BF187" t="s" s="0">
        <v>81</v>
      </c>
      <c r="BG187" t="s" s="0">
        <v>81</v>
      </c>
      <c r="BH187" t="s" s="0">
        <v>81</v>
      </c>
      <c r="BI187" t="s" s="0">
        <v>4747</v>
      </c>
      <c r="BJ187" t="s" s="0">
        <v>4748</v>
      </c>
      <c r="BK187" t="s" s="369">
        <f>HYPERLINK("http://dx.doi.org/10.1371/journal.pone.0351405","http://dx.doi.org/10.1371/journal.pone.0351405")</f>
        <v>4749</v>
      </c>
      <c r="BL187" t="s" s="0">
        <v>81</v>
      </c>
      <c r="BM187" t="s" s="0">
        <v>100</v>
      </c>
      <c r="BN187" t="s" s="0">
        <v>626</v>
      </c>
      <c r="BO187" t="s" s="0">
        <v>148</v>
      </c>
      <c r="BP187" t="s" s="0">
        <v>149</v>
      </c>
      <c r="BQ187" t="s" s="0">
        <v>4750</v>
      </c>
      <c r="BR187" t="s" s="0">
        <v>4751</v>
      </c>
      <c r="BS187" t="s" s="0">
        <v>4752</v>
      </c>
      <c r="BT187" t="s" s="370">
        <f>HYPERLINK("https://www.webofscience.com/wos/woscc/full-record/WOS:001792566300026","View Record in Web of Science")</f>
        <v>113</v>
      </c>
      <c r="BU187" t="s" s="0">
        <v>153</v>
      </c>
      <c r="BV187" t="s" s="0">
        <v>81</v>
      </c>
      <c r="BW187" t="s" s="0">
        <v>81</v>
      </c>
      <c r="BX187" t="s" s="0">
        <v>115</v>
      </c>
    </row>
    <row r="188">
      <c r="A188" t="s" s="0">
        <v>77</v>
      </c>
      <c r="B188" t="s" s="0">
        <v>77</v>
      </c>
      <c r="C188" t="s" s="0">
        <v>77</v>
      </c>
      <c r="D188" t="s" s="0">
        <v>77</v>
      </c>
      <c r="E188" t="s" s="0">
        <v>4753</v>
      </c>
      <c r="F188" t="s" s="0">
        <v>4754</v>
      </c>
      <c r="G188" t="s" s="0">
        <v>4755</v>
      </c>
      <c r="H188" t="s" s="0">
        <v>81</v>
      </c>
      <c r="I188" t="s" s="0">
        <v>543</v>
      </c>
      <c r="J188" t="s" s="0">
        <v>4756</v>
      </c>
      <c r="K188" t="s" s="0">
        <v>4757</v>
      </c>
      <c r="L188" t="s" s="0">
        <v>4758</v>
      </c>
      <c r="M188" t="s" s="0">
        <v>4759</v>
      </c>
      <c r="N188" t="s" s="0">
        <v>4760</v>
      </c>
      <c r="O188" t="s" s="0">
        <v>4761</v>
      </c>
      <c r="P188" t="s" s="0">
        <v>4762</v>
      </c>
      <c r="Q188" t="s" s="0">
        <v>87</v>
      </c>
      <c r="R188" t="s" s="0">
        <v>81</v>
      </c>
      <c r="S188" t="s" s="0">
        <v>81</v>
      </c>
      <c r="T188" t="s" s="0">
        <v>81</v>
      </c>
      <c r="U188" t="s" s="0">
        <v>81</v>
      </c>
      <c r="V188" t="s" s="0">
        <v>4763</v>
      </c>
      <c r="W188" t="s" s="0">
        <v>4764</v>
      </c>
      <c r="X188" t="s" s="0">
        <v>81</v>
      </c>
      <c r="Y188" t="s" s="0">
        <v>81</v>
      </c>
      <c r="Z188" t="s" s="0">
        <v>90</v>
      </c>
      <c r="AA188" t="s" s="0">
        <v>91</v>
      </c>
      <c r="AB188" t="s" s="0">
        <v>81</v>
      </c>
      <c r="AC188" t="s" s="0">
        <v>81</v>
      </c>
      <c r="AD188" t="s" s="0">
        <v>81</v>
      </c>
      <c r="AE188" t="s" s="0">
        <v>81</v>
      </c>
      <c r="AF188" t="s" s="0">
        <v>81</v>
      </c>
      <c r="AG188" t="s" s="0">
        <v>4765</v>
      </c>
      <c r="AH188" t="s" s="0">
        <v>81</v>
      </c>
      <c r="AI188" t="s" s="0">
        <v>4766</v>
      </c>
      <c r="AJ188" t="s" s="0">
        <v>4767</v>
      </c>
      <c r="AK188" t="s" s="0">
        <v>81</v>
      </c>
      <c r="AL188" t="s" s="0">
        <v>911</v>
      </c>
      <c r="AM188" t="s" s="0">
        <v>103</v>
      </c>
      <c r="AN188" t="s" s="0">
        <v>103</v>
      </c>
      <c r="AO188" t="s" s="0">
        <v>77</v>
      </c>
      <c r="AP188" t="s" s="0">
        <v>77</v>
      </c>
      <c r="AQ188" t="s" s="0">
        <v>314</v>
      </c>
      <c r="AR188" t="s" s="0">
        <v>315</v>
      </c>
      <c r="AS188" t="s" s="0">
        <v>316</v>
      </c>
      <c r="AT188" t="s" s="0">
        <v>81</v>
      </c>
      <c r="AU188" t="s" s="0">
        <v>4768</v>
      </c>
      <c r="AV188" t="s" s="0">
        <v>81</v>
      </c>
      <c r="AW188" t="s" s="0">
        <v>4769</v>
      </c>
      <c r="AX188" t="s" s="0">
        <v>4770</v>
      </c>
      <c r="AY188" t="s" s="0">
        <v>4771</v>
      </c>
      <c r="AZ188" t="s" s="0">
        <v>142</v>
      </c>
      <c r="BA188" t="s" s="0">
        <v>219</v>
      </c>
      <c r="BB188" t="s" s="0">
        <v>144</v>
      </c>
      <c r="BC188" t="s" s="0">
        <v>81</v>
      </c>
      <c r="BD188" t="s" s="0">
        <v>81</v>
      </c>
      <c r="BE188" t="s" s="0">
        <v>81</v>
      </c>
      <c r="BF188" t="s" s="0">
        <v>81</v>
      </c>
      <c r="BG188" t="s" s="0">
        <v>81</v>
      </c>
      <c r="BH188" t="s" s="0">
        <v>81</v>
      </c>
      <c r="BI188" t="s" s="0">
        <v>211</v>
      </c>
      <c r="BJ188" t="s" s="0">
        <v>4772</v>
      </c>
      <c r="BK188" t="s" s="371">
        <f>HYPERLINK("http://dx.doi.org/10.3390/make7010023","http://dx.doi.org/10.3390/make7010023")</f>
        <v>4773</v>
      </c>
      <c r="BL188" t="s" s="0">
        <v>81</v>
      </c>
      <c r="BM188" t="s" s="0">
        <v>81</v>
      </c>
      <c r="BN188" t="s" s="0">
        <v>93</v>
      </c>
      <c r="BO188" t="s" s="0">
        <v>4774</v>
      </c>
      <c r="BP188" t="s" s="0">
        <v>628</v>
      </c>
      <c r="BQ188" t="s" s="0">
        <v>4775</v>
      </c>
      <c r="BR188" t="s" s="0">
        <v>81</v>
      </c>
      <c r="BS188" t="s" s="0">
        <v>4776</v>
      </c>
      <c r="BT188" t="s" s="372">
        <f>HYPERLINK("https://www.webofscience.com/wos/woscc/full-record/WOS:001452766400001","View Record in Web of Science")</f>
        <v>113</v>
      </c>
      <c r="BU188" t="s" s="0">
        <v>1317</v>
      </c>
      <c r="BV188" t="s" s="0">
        <v>81</v>
      </c>
      <c r="BW188" t="s" s="0">
        <v>81</v>
      </c>
      <c r="BX188" t="s" s="0">
        <v>115</v>
      </c>
    </row>
    <row r="189">
      <c r="A189" t="s" s="0">
        <v>77</v>
      </c>
      <c r="B189" t="s" s="0">
        <v>77</v>
      </c>
      <c r="C189" t="s" s="0">
        <v>77</v>
      </c>
      <c r="D189" t="s" s="0">
        <v>77</v>
      </c>
      <c r="E189" t="s" s="0">
        <v>4777</v>
      </c>
      <c r="F189" t="s" s="0">
        <v>4778</v>
      </c>
      <c r="G189" t="s" s="0">
        <v>4779</v>
      </c>
      <c r="H189" t="s" s="0">
        <v>81</v>
      </c>
      <c r="I189" t="s" s="0">
        <v>82</v>
      </c>
      <c r="J189" t="s" s="0">
        <v>4780</v>
      </c>
      <c r="K189" t="s" s="0">
        <v>4781</v>
      </c>
      <c r="L189" t="s" s="0">
        <v>4782</v>
      </c>
      <c r="M189" t="s" s="0">
        <v>4783</v>
      </c>
      <c r="N189" t="s" s="0">
        <v>4784</v>
      </c>
      <c r="O189" t="s" s="0">
        <v>4785</v>
      </c>
      <c r="P189" t="s" s="0">
        <v>4786</v>
      </c>
      <c r="Q189" t="s" s="0">
        <v>87</v>
      </c>
      <c r="R189" t="s" s="0">
        <v>81</v>
      </c>
      <c r="S189" t="s" s="0">
        <v>81</v>
      </c>
      <c r="T189" t="s" s="0">
        <v>81</v>
      </c>
      <c r="U189" t="s" s="0">
        <v>81</v>
      </c>
      <c r="V189" t="s" s="0">
        <v>4787</v>
      </c>
      <c r="W189" t="s" s="0">
        <v>4788</v>
      </c>
      <c r="X189" t="s" s="0">
        <v>81</v>
      </c>
      <c r="Y189" t="s" s="0">
        <v>81</v>
      </c>
      <c r="Z189" t="s" s="0">
        <v>90</v>
      </c>
      <c r="AA189" t="s" s="0">
        <v>91</v>
      </c>
      <c r="AB189" t="s" s="0">
        <v>81</v>
      </c>
      <c r="AC189" t="s" s="0">
        <v>81</v>
      </c>
      <c r="AD189" t="s" s="0">
        <v>81</v>
      </c>
      <c r="AE189" t="s" s="0">
        <v>81</v>
      </c>
      <c r="AF189" t="s" s="0">
        <v>81</v>
      </c>
      <c r="AG189" t="s" s="0">
        <v>4789</v>
      </c>
      <c r="AH189" t="s" s="0">
        <v>81</v>
      </c>
      <c r="AI189" t="s" s="0">
        <v>81</v>
      </c>
      <c r="AJ189" t="s" s="0">
        <v>81</v>
      </c>
      <c r="AK189" t="s" s="0">
        <v>81</v>
      </c>
      <c r="AL189" t="s" s="0">
        <v>323</v>
      </c>
      <c r="AM189" t="s" s="0">
        <v>77</v>
      </c>
      <c r="AN189" t="s" s="0">
        <v>77</v>
      </c>
      <c r="AO189" t="s" s="0">
        <v>77</v>
      </c>
      <c r="AP189" t="s" s="0">
        <v>77</v>
      </c>
      <c r="AQ189" t="s" s="0">
        <v>557</v>
      </c>
      <c r="AR189" t="s" s="0">
        <v>558</v>
      </c>
      <c r="AS189" t="s" s="0">
        <v>559</v>
      </c>
      <c r="AT189" t="s" s="0">
        <v>4790</v>
      </c>
      <c r="AU189" t="s" s="0">
        <v>4791</v>
      </c>
      <c r="AV189" t="s" s="0">
        <v>81</v>
      </c>
      <c r="AW189" t="s" s="0">
        <v>4792</v>
      </c>
      <c r="AX189" t="s" s="0">
        <v>4793</v>
      </c>
      <c r="AY189" t="s" s="0">
        <v>2838</v>
      </c>
      <c r="AZ189" t="s" s="0">
        <v>101</v>
      </c>
      <c r="BA189" t="s" s="0">
        <v>468</v>
      </c>
      <c r="BB189" t="s" s="0">
        <v>172</v>
      </c>
      <c r="BC189" t="s" s="0">
        <v>81</v>
      </c>
      <c r="BD189" t="s" s="0">
        <v>81</v>
      </c>
      <c r="BE189" t="s" s="0">
        <v>81</v>
      </c>
      <c r="BF189" t="s" s="0">
        <v>81</v>
      </c>
      <c r="BG189" t="s" s="0">
        <v>4794</v>
      </c>
      <c r="BH189" t="s" s="0">
        <v>4795</v>
      </c>
      <c r="BI189" t="s" s="0">
        <v>81</v>
      </c>
      <c r="BJ189" t="s" s="0">
        <v>4796</v>
      </c>
      <c r="BK189" t="s" s="373">
        <f>HYPERLINK("http://dx.doi.org/10.1111/os.70335","http://dx.doi.org/10.1111/os.70335")</f>
        <v>4797</v>
      </c>
      <c r="BL189" t="s" s="0">
        <v>81</v>
      </c>
      <c r="BM189" t="s" s="0">
        <v>100</v>
      </c>
      <c r="BN189" t="s" s="0">
        <v>219</v>
      </c>
      <c r="BO189" t="s" s="0">
        <v>4032</v>
      </c>
      <c r="BP189" t="s" s="0">
        <v>4032</v>
      </c>
      <c r="BQ189" t="s" s="0">
        <v>4798</v>
      </c>
      <c r="BR189" t="s" s="0">
        <v>4799</v>
      </c>
      <c r="BS189" t="s" s="0">
        <v>4800</v>
      </c>
      <c r="BT189" t="s" s="374">
        <f>HYPERLINK("https://www.webofscience.com/wos/woscc/full-record/WOS:001795371300001","View Record in Web of Science")</f>
        <v>113</v>
      </c>
      <c r="BU189" t="s" s="0">
        <v>153</v>
      </c>
      <c r="BV189" t="s" s="0">
        <v>81</v>
      </c>
      <c r="BW189" t="s" s="0">
        <v>81</v>
      </c>
      <c r="BX189" t="s" s="0">
        <v>115</v>
      </c>
    </row>
    <row r="190">
      <c r="A190" t="s" s="0">
        <v>77</v>
      </c>
      <c r="B190" t="s" s="0">
        <v>77</v>
      </c>
      <c r="C190" t="s" s="0">
        <v>77</v>
      </c>
      <c r="D190" t="s" s="0">
        <v>77</v>
      </c>
      <c r="E190" t="s" s="0">
        <v>4801</v>
      </c>
      <c r="F190" t="s" s="0">
        <v>4802</v>
      </c>
      <c r="G190" t="s" s="0">
        <v>4803</v>
      </c>
      <c r="H190" t="s" s="0">
        <v>81</v>
      </c>
      <c r="I190" t="s" s="0">
        <v>82</v>
      </c>
      <c r="J190" t="s" s="0">
        <v>4804</v>
      </c>
      <c r="K190" t="s" s="0">
        <v>4805</v>
      </c>
      <c r="L190" t="s" s="0">
        <v>4806</v>
      </c>
      <c r="M190" t="s" s="0">
        <v>4807</v>
      </c>
      <c r="N190" t="s" s="0">
        <v>4808</v>
      </c>
      <c r="O190" t="s" s="0">
        <v>4809</v>
      </c>
      <c r="P190" t="s" s="0">
        <v>4810</v>
      </c>
      <c r="Q190" t="s" s="0">
        <v>87</v>
      </c>
      <c r="R190" t="s" s="0">
        <v>81</v>
      </c>
      <c r="S190" t="s" s="0">
        <v>81</v>
      </c>
      <c r="T190" t="s" s="0">
        <v>81</v>
      </c>
      <c r="U190" t="s" s="0">
        <v>81</v>
      </c>
      <c r="V190" t="s" s="0">
        <v>4811</v>
      </c>
      <c r="W190" t="s" s="0">
        <v>4812</v>
      </c>
      <c r="X190" t="s" s="0">
        <v>81</v>
      </c>
      <c r="Y190" t="s" s="0">
        <v>81</v>
      </c>
      <c r="Z190" t="s" s="0">
        <v>90</v>
      </c>
      <c r="AA190" t="s" s="0">
        <v>91</v>
      </c>
      <c r="AB190" t="s" s="0">
        <v>81</v>
      </c>
      <c r="AC190" t="s" s="0">
        <v>81</v>
      </c>
      <c r="AD190" t="s" s="0">
        <v>81</v>
      </c>
      <c r="AE190" t="s" s="0">
        <v>81</v>
      </c>
      <c r="AF190" t="s" s="0">
        <v>81</v>
      </c>
      <c r="AG190" t="s" s="0">
        <v>4813</v>
      </c>
      <c r="AH190" t="s" s="0">
        <v>4814</v>
      </c>
      <c r="AI190" t="s" s="0">
        <v>4815</v>
      </c>
      <c r="AJ190" t="s" s="0">
        <v>81</v>
      </c>
      <c r="AK190" t="s" s="0">
        <v>81</v>
      </c>
      <c r="AL190" t="s" s="0">
        <v>743</v>
      </c>
      <c r="AM190" t="s" s="0">
        <v>77</v>
      </c>
      <c r="AN190" t="s" s="0">
        <v>77</v>
      </c>
      <c r="AO190" t="s" s="0">
        <v>313</v>
      </c>
      <c r="AP190" t="s" s="0">
        <v>313</v>
      </c>
      <c r="AQ190" t="s" s="0">
        <v>402</v>
      </c>
      <c r="AR190" t="s" s="0">
        <v>403</v>
      </c>
      <c r="AS190" t="s" s="0">
        <v>404</v>
      </c>
      <c r="AT190" t="s" s="0">
        <v>81</v>
      </c>
      <c r="AU190" t="s" s="0">
        <v>4816</v>
      </c>
      <c r="AV190" t="s" s="0">
        <v>81</v>
      </c>
      <c r="AW190" t="s" s="0">
        <v>4817</v>
      </c>
      <c r="AX190" t="s" s="0">
        <v>4818</v>
      </c>
      <c r="AY190" t="s" s="0">
        <v>4819</v>
      </c>
      <c r="AZ190" t="s" s="0">
        <v>101</v>
      </c>
      <c r="BA190" t="s" s="0">
        <v>684</v>
      </c>
      <c r="BB190" t="s" s="0">
        <v>81</v>
      </c>
      <c r="BC190" t="s" s="0">
        <v>81</v>
      </c>
      <c r="BD190" t="s" s="0">
        <v>81</v>
      </c>
      <c r="BE190" t="s" s="0">
        <v>81</v>
      </c>
      <c r="BF190" t="s" s="0">
        <v>81</v>
      </c>
      <c r="BG190" t="s" s="0">
        <v>81</v>
      </c>
      <c r="BH190" t="s" s="0">
        <v>81</v>
      </c>
      <c r="BI190" t="s" s="0">
        <v>4820</v>
      </c>
      <c r="BJ190" t="s" s="0">
        <v>4821</v>
      </c>
      <c r="BK190" t="s" s="375">
        <f>HYPERLINK("http://dx.doi.org/10.3389/fnins.2026.1803154","http://dx.doi.org/10.3389/fnins.2026.1803154")</f>
        <v>4822</v>
      </c>
      <c r="BL190" t="s" s="0">
        <v>81</v>
      </c>
      <c r="BM190" t="s" s="0">
        <v>438</v>
      </c>
      <c r="BN190" t="s" s="0">
        <v>134</v>
      </c>
      <c r="BO190" t="s" s="0">
        <v>748</v>
      </c>
      <c r="BP190" t="s" s="0">
        <v>749</v>
      </c>
      <c r="BQ190" t="s" s="0">
        <v>4823</v>
      </c>
      <c r="BR190" t="s" s="0">
        <v>4824</v>
      </c>
      <c r="BS190" t="s" s="0">
        <v>4825</v>
      </c>
      <c r="BT190" t="s" s="376">
        <f>HYPERLINK("https://www.webofscience.com/wos/woscc/full-record/WOS:001748905100001","View Record in Web of Science")</f>
        <v>113</v>
      </c>
      <c r="BU190" t="s" s="0">
        <v>153</v>
      </c>
      <c r="BV190" t="s" s="0">
        <v>81</v>
      </c>
      <c r="BW190" t="s" s="0">
        <v>81</v>
      </c>
      <c r="BX190" t="s" s="0">
        <v>115</v>
      </c>
    </row>
    <row r="191">
      <c r="A191" t="s" s="0">
        <v>77</v>
      </c>
      <c r="B191" t="s" s="0">
        <v>77</v>
      </c>
      <c r="C191" t="s" s="0">
        <v>77</v>
      </c>
      <c r="D191" t="s" s="0">
        <v>77</v>
      </c>
      <c r="E191" t="s" s="0">
        <v>4826</v>
      </c>
      <c r="F191" t="s" s="0">
        <v>4827</v>
      </c>
      <c r="G191" t="s" s="0">
        <v>4828</v>
      </c>
      <c r="H191" t="s" s="0">
        <v>81</v>
      </c>
      <c r="I191" t="s" s="0">
        <v>82</v>
      </c>
      <c r="J191" t="s" s="0">
        <v>4829</v>
      </c>
      <c r="K191" t="s" s="0">
        <v>4830</v>
      </c>
      <c r="L191" t="s" s="0">
        <v>4831</v>
      </c>
      <c r="M191" t="s" s="0">
        <v>267</v>
      </c>
      <c r="N191" t="s" s="0">
        <v>4832</v>
      </c>
      <c r="O191" t="s" s="0">
        <v>4833</v>
      </c>
      <c r="P191" t="s" s="0">
        <v>4834</v>
      </c>
      <c r="Q191" t="s" s="0">
        <v>87</v>
      </c>
      <c r="R191" t="s" s="0">
        <v>81</v>
      </c>
      <c r="S191" t="s" s="0">
        <v>81</v>
      </c>
      <c r="T191" t="s" s="0">
        <v>81</v>
      </c>
      <c r="U191" t="s" s="0">
        <v>81</v>
      </c>
      <c r="V191" t="s" s="0">
        <v>4835</v>
      </c>
      <c r="W191" t="s" s="0">
        <v>4836</v>
      </c>
      <c r="X191" t="s" s="0">
        <v>81</v>
      </c>
      <c r="Y191" t="s" s="0">
        <v>81</v>
      </c>
      <c r="Z191" t="s" s="0">
        <v>90</v>
      </c>
      <c r="AA191" t="s" s="0">
        <v>91</v>
      </c>
      <c r="AB191" t="s" s="0">
        <v>81</v>
      </c>
      <c r="AC191" t="s" s="0">
        <v>81</v>
      </c>
      <c r="AD191" t="s" s="0">
        <v>81</v>
      </c>
      <c r="AE191" t="s" s="0">
        <v>81</v>
      </c>
      <c r="AF191" t="s" s="0">
        <v>81</v>
      </c>
      <c r="AG191" t="s" s="0">
        <v>4837</v>
      </c>
      <c r="AH191" t="s" s="0">
        <v>81</v>
      </c>
      <c r="AI191" t="s" s="0">
        <v>4838</v>
      </c>
      <c r="AJ191" t="s" s="0">
        <v>81</v>
      </c>
      <c r="AK191" t="s" s="0">
        <v>81</v>
      </c>
      <c r="AL191" t="s" s="0">
        <v>1493</v>
      </c>
      <c r="AM191" t="s" s="0">
        <v>77</v>
      </c>
      <c r="AN191" t="s" s="0">
        <v>77</v>
      </c>
      <c r="AO191" t="s" s="0">
        <v>313</v>
      </c>
      <c r="AP191" t="s" s="0">
        <v>313</v>
      </c>
      <c r="AQ191" t="s" s="0">
        <v>645</v>
      </c>
      <c r="AR191" t="s" s="0">
        <v>646</v>
      </c>
      <c r="AS191" t="s" s="0">
        <v>647</v>
      </c>
      <c r="AT191" t="s" s="0">
        <v>81</v>
      </c>
      <c r="AU191" t="s" s="0">
        <v>4839</v>
      </c>
      <c r="AV191" t="s" s="0">
        <v>81</v>
      </c>
      <c r="AW191" t="s" s="0">
        <v>4836</v>
      </c>
      <c r="AX191" t="s" s="0">
        <v>4840</v>
      </c>
      <c r="AY191" t="s" s="0">
        <v>4841</v>
      </c>
      <c r="AZ191" t="s" s="0">
        <v>101</v>
      </c>
      <c r="BA191" t="s" s="0">
        <v>1253</v>
      </c>
      <c r="BB191" t="s" s="0">
        <v>144</v>
      </c>
      <c r="BC191" t="s" s="0">
        <v>81</v>
      </c>
      <c r="BD191" t="s" s="0">
        <v>81</v>
      </c>
      <c r="BE191" t="s" s="0">
        <v>81</v>
      </c>
      <c r="BF191" t="s" s="0">
        <v>81</v>
      </c>
      <c r="BG191" t="s" s="0">
        <v>81</v>
      </c>
      <c r="BH191" t="s" s="0">
        <v>81</v>
      </c>
      <c r="BI191" t="s" s="0">
        <v>4842</v>
      </c>
      <c r="BJ191" t="s" s="0">
        <v>4843</v>
      </c>
      <c r="BK191" t="s" s="377">
        <f>HYPERLINK("http://dx.doi.org/10.1186/s12885-026-16116-w","http://dx.doi.org/10.1186/s12885-026-16116-w")</f>
        <v>4844</v>
      </c>
      <c r="BL191" t="s" s="0">
        <v>81</v>
      </c>
      <c r="BM191" t="s" s="0">
        <v>622</v>
      </c>
      <c r="BN191" t="s" s="0">
        <v>323</v>
      </c>
      <c r="BO191" t="s" s="0">
        <v>412</v>
      </c>
      <c r="BP191" t="s" s="0">
        <v>412</v>
      </c>
      <c r="BQ191" t="s" s="0">
        <v>4845</v>
      </c>
      <c r="BR191" t="s" s="0">
        <v>4846</v>
      </c>
      <c r="BS191" t="s" s="0">
        <v>4847</v>
      </c>
      <c r="BT191" t="s" s="378">
        <f>HYPERLINK("https://www.webofscience.com/wos/woscc/full-record/WOS:001810951600001","View Record in Web of Science")</f>
        <v>113</v>
      </c>
      <c r="BU191" t="s" s="0">
        <v>153</v>
      </c>
      <c r="BV191" t="s" s="0">
        <v>81</v>
      </c>
      <c r="BW191" t="s" s="0">
        <v>81</v>
      </c>
      <c r="BX191" t="s" s="0">
        <v>115</v>
      </c>
    </row>
    <row r="192">
      <c r="A192" t="s" s="0">
        <v>77</v>
      </c>
      <c r="B192" t="s" s="0">
        <v>77</v>
      </c>
      <c r="C192" t="s" s="0">
        <v>77</v>
      </c>
      <c r="D192" t="s" s="0">
        <v>77</v>
      </c>
      <c r="E192" t="s" s="0">
        <v>4848</v>
      </c>
      <c r="F192" t="s" s="0">
        <v>4849</v>
      </c>
      <c r="G192" t="s" s="0">
        <v>4850</v>
      </c>
      <c r="H192" t="s" s="0">
        <v>81</v>
      </c>
      <c r="I192" t="s" s="0">
        <v>82</v>
      </c>
      <c r="J192" t="s" s="0">
        <v>4851</v>
      </c>
      <c r="K192" t="s" s="0">
        <v>4852</v>
      </c>
      <c r="L192" t="s" s="0">
        <v>4853</v>
      </c>
      <c r="M192" t="s" s="0">
        <v>4854</v>
      </c>
      <c r="N192" t="s" s="0">
        <v>4855</v>
      </c>
      <c r="O192" t="s" s="0">
        <v>4856</v>
      </c>
      <c r="P192" t="s" s="0">
        <v>4857</v>
      </c>
      <c r="Q192" t="s" s="0">
        <v>87</v>
      </c>
      <c r="R192" t="s" s="0">
        <v>81</v>
      </c>
      <c r="S192" t="s" s="0">
        <v>81</v>
      </c>
      <c r="T192" t="s" s="0">
        <v>81</v>
      </c>
      <c r="U192" t="s" s="0">
        <v>81</v>
      </c>
      <c r="V192" t="s" s="0">
        <v>4858</v>
      </c>
      <c r="W192" t="s" s="0">
        <v>1567</v>
      </c>
      <c r="X192" t="s" s="0">
        <v>81</v>
      </c>
      <c r="Y192" t="s" s="0">
        <v>81</v>
      </c>
      <c r="Z192" t="s" s="0">
        <v>90</v>
      </c>
      <c r="AA192" t="s" s="0">
        <v>91</v>
      </c>
      <c r="AB192" t="s" s="0">
        <v>81</v>
      </c>
      <c r="AC192" t="s" s="0">
        <v>81</v>
      </c>
      <c r="AD192" t="s" s="0">
        <v>81</v>
      </c>
      <c r="AE192" t="s" s="0">
        <v>81</v>
      </c>
      <c r="AF192" t="s" s="0">
        <v>81</v>
      </c>
      <c r="AG192" t="s" s="0">
        <v>81</v>
      </c>
      <c r="AH192" t="s" s="0">
        <v>4859</v>
      </c>
      <c r="AI192" t="s" s="0">
        <v>4860</v>
      </c>
      <c r="AJ192" t="s" s="0">
        <v>4861</v>
      </c>
      <c r="AK192" t="s" s="0">
        <v>81</v>
      </c>
      <c r="AL192" t="s" s="0">
        <v>428</v>
      </c>
      <c r="AM192" t="s" s="0">
        <v>77</v>
      </c>
      <c r="AN192" t="s" s="0">
        <v>77</v>
      </c>
      <c r="AO192" t="s" s="0">
        <v>143</v>
      </c>
      <c r="AP192" t="s" s="0">
        <v>143</v>
      </c>
      <c r="AQ192" t="s" s="0">
        <v>135</v>
      </c>
      <c r="AR192" t="s" s="0">
        <v>136</v>
      </c>
      <c r="AS192" t="s" s="0">
        <v>137</v>
      </c>
      <c r="AT192" t="s" s="0">
        <v>1569</v>
      </c>
      <c r="AU192" t="s" s="0">
        <v>81</v>
      </c>
      <c r="AV192" t="s" s="0">
        <v>81</v>
      </c>
      <c r="AW192" t="s" s="0">
        <v>1570</v>
      </c>
      <c r="AX192" t="s" s="0">
        <v>1571</v>
      </c>
      <c r="AY192" t="s" s="0">
        <v>2738</v>
      </c>
      <c r="AZ192" t="s" s="0">
        <v>101</v>
      </c>
      <c r="BA192" t="s" s="0">
        <v>133</v>
      </c>
      <c r="BB192" t="s" s="0">
        <v>144</v>
      </c>
      <c r="BC192" t="s" s="0">
        <v>81</v>
      </c>
      <c r="BD192" t="s" s="0">
        <v>81</v>
      </c>
      <c r="BE192" t="s" s="0">
        <v>81</v>
      </c>
      <c r="BF192" t="s" s="0">
        <v>81</v>
      </c>
      <c r="BG192" t="s" s="0">
        <v>81</v>
      </c>
      <c r="BH192" t="s" s="0">
        <v>81</v>
      </c>
      <c r="BI192" t="s" s="0">
        <v>4862</v>
      </c>
      <c r="BJ192" t="s" s="0">
        <v>4863</v>
      </c>
      <c r="BK192" t="s" s="379">
        <f>HYPERLINK("http://dx.doi.org/10.1038/s41746-026-02378-y","http://dx.doi.org/10.1038/s41746-026-02378-y")</f>
        <v>4864</v>
      </c>
      <c r="BL192" t="s" s="0">
        <v>81</v>
      </c>
      <c r="BM192" t="s" s="0">
        <v>81</v>
      </c>
      <c r="BN192" t="s" s="0">
        <v>133</v>
      </c>
      <c r="BO192" t="s" s="0">
        <v>1576</v>
      </c>
      <c r="BP192" t="s" s="0">
        <v>1576</v>
      </c>
      <c r="BQ192" t="s" s="0">
        <v>4865</v>
      </c>
      <c r="BR192" t="s" s="0">
        <v>4866</v>
      </c>
      <c r="BS192" t="s" s="0">
        <v>4867</v>
      </c>
      <c r="BT192" t="s" s="380">
        <f>HYPERLINK("https://www.webofscience.com/wos/woscc/full-record/WOS:001698260500001","View Record in Web of Science")</f>
        <v>113</v>
      </c>
      <c r="BU192" t="s" s="0">
        <v>153</v>
      </c>
      <c r="BV192" t="s" s="0">
        <v>81</v>
      </c>
      <c r="BW192" t="s" s="0">
        <v>81</v>
      </c>
      <c r="BX192" t="s" s="0">
        <v>115</v>
      </c>
    </row>
    <row r="193">
      <c r="A193" t="s" s="0">
        <v>77</v>
      </c>
      <c r="B193" t="s" s="0">
        <v>77</v>
      </c>
      <c r="C193" t="s" s="0">
        <v>77</v>
      </c>
      <c r="D193" t="s" s="0">
        <v>77</v>
      </c>
      <c r="E193" t="s" s="0">
        <v>4868</v>
      </c>
      <c r="F193" t="s" s="0">
        <v>4869</v>
      </c>
      <c r="G193" t="s" s="0">
        <v>4870</v>
      </c>
      <c r="H193" t="s" s="0">
        <v>81</v>
      </c>
      <c r="I193" t="s" s="0">
        <v>82</v>
      </c>
      <c r="J193" t="s" s="0">
        <v>4871</v>
      </c>
      <c r="K193" t="s" s="0">
        <v>4872</v>
      </c>
      <c r="L193" t="s" s="0">
        <v>4873</v>
      </c>
      <c r="M193" t="s" s="0">
        <v>4874</v>
      </c>
      <c r="N193" t="s" s="0">
        <v>4875</v>
      </c>
      <c r="O193" t="s" s="0">
        <v>4876</v>
      </c>
      <c r="P193" t="s" s="0">
        <v>4877</v>
      </c>
      <c r="Q193" t="s" s="0">
        <v>87</v>
      </c>
      <c r="R193" t="s" s="0">
        <v>81</v>
      </c>
      <c r="S193" t="s" s="0">
        <v>81</v>
      </c>
      <c r="T193" t="s" s="0">
        <v>81</v>
      </c>
      <c r="U193" t="s" s="0">
        <v>81</v>
      </c>
      <c r="V193" t="s" s="0">
        <v>4878</v>
      </c>
      <c r="W193" t="s" s="0">
        <v>1658</v>
      </c>
      <c r="X193" t="s" s="0">
        <v>81</v>
      </c>
      <c r="Y193" t="s" s="0">
        <v>81</v>
      </c>
      <c r="Z193" t="s" s="0">
        <v>90</v>
      </c>
      <c r="AA193" t="s" s="0">
        <v>91</v>
      </c>
      <c r="AB193" t="s" s="0">
        <v>81</v>
      </c>
      <c r="AC193" t="s" s="0">
        <v>81</v>
      </c>
      <c r="AD193" t="s" s="0">
        <v>81</v>
      </c>
      <c r="AE193" t="s" s="0">
        <v>81</v>
      </c>
      <c r="AF193" t="s" s="0">
        <v>81</v>
      </c>
      <c r="AG193" t="s" s="0">
        <v>4879</v>
      </c>
      <c r="AH193" t="s" s="0">
        <v>81</v>
      </c>
      <c r="AI193" t="s" s="0">
        <v>4880</v>
      </c>
      <c r="AJ193" t="s" s="0">
        <v>81</v>
      </c>
      <c r="AK193" t="s" s="0">
        <v>81</v>
      </c>
      <c r="AL193" t="s" s="0">
        <v>2106</v>
      </c>
      <c r="AM193" t="s" s="0">
        <v>77</v>
      </c>
      <c r="AN193" t="s" s="0">
        <v>77</v>
      </c>
      <c r="AO193" t="s" s="0">
        <v>116</v>
      </c>
      <c r="AP193" t="s" s="0">
        <v>116</v>
      </c>
      <c r="AQ193" t="s" s="0">
        <v>973</v>
      </c>
      <c r="AR193" t="s" s="0">
        <v>974</v>
      </c>
      <c r="AS193" t="s" s="0">
        <v>975</v>
      </c>
      <c r="AT193" t="s" s="0">
        <v>1664</v>
      </c>
      <c r="AU193" t="s" s="0">
        <v>1665</v>
      </c>
      <c r="AV193" t="s" s="0">
        <v>81</v>
      </c>
      <c r="AW193" t="s" s="0">
        <v>1666</v>
      </c>
      <c r="AX193" t="s" s="0">
        <v>1667</v>
      </c>
      <c r="AY193" t="s" s="0">
        <v>622</v>
      </c>
      <c r="AZ193" t="s" s="0">
        <v>101</v>
      </c>
      <c r="BA193" t="s" s="0">
        <v>4881</v>
      </c>
      <c r="BB193" t="s" s="0">
        <v>81</v>
      </c>
      <c r="BC193" t="s" s="0">
        <v>81</v>
      </c>
      <c r="BD193" t="s" s="0">
        <v>81</v>
      </c>
      <c r="BE193" t="s" s="0">
        <v>81</v>
      </c>
      <c r="BF193" t="s" s="0">
        <v>81</v>
      </c>
      <c r="BG193" t="s" s="0">
        <v>81</v>
      </c>
      <c r="BH193" t="s" s="0">
        <v>81</v>
      </c>
      <c r="BI193" t="s" s="0">
        <v>4882</v>
      </c>
      <c r="BJ193" t="s" s="0">
        <v>4883</v>
      </c>
      <c r="BK193" t="s" s="381">
        <f>HYPERLINK("http://dx.doi.org/10.1016/j.jbi.2026.105001","http://dx.doi.org/10.1016/j.jbi.2026.105001")</f>
        <v>4884</v>
      </c>
      <c r="BL193" t="s" s="0">
        <v>81</v>
      </c>
      <c r="BM193" t="s" s="0">
        <v>81</v>
      </c>
      <c r="BN193" t="s" s="0">
        <v>173</v>
      </c>
      <c r="BO193" t="s" s="0">
        <v>1672</v>
      </c>
      <c r="BP193" t="s" s="0">
        <v>1673</v>
      </c>
      <c r="BQ193" t="s" s="0">
        <v>4885</v>
      </c>
      <c r="BR193" t="s" s="0">
        <v>4886</v>
      </c>
      <c r="BS193" t="s" s="0">
        <v>4887</v>
      </c>
      <c r="BT193" t="s" s="382">
        <f>HYPERLINK("https://www.webofscience.com/wos/woscc/full-record/WOS:001707715400001","View Record in Web of Science")</f>
        <v>113</v>
      </c>
      <c r="BU193" t="s" s="0">
        <v>296</v>
      </c>
      <c r="BV193" t="s" s="0">
        <v>81</v>
      </c>
      <c r="BW193" t="s" s="0">
        <v>81</v>
      </c>
      <c r="BX193" t="s" s="0">
        <v>115</v>
      </c>
    </row>
    <row r="194">
      <c r="A194" t="s" s="0">
        <v>77</v>
      </c>
      <c r="B194" t="s" s="0">
        <v>77</v>
      </c>
      <c r="C194" t="s" s="0">
        <v>103</v>
      </c>
      <c r="D194" t="s" s="0">
        <v>77</v>
      </c>
      <c r="E194" t="s" s="0">
        <v>4888</v>
      </c>
      <c r="F194" t="s" s="0">
        <v>4889</v>
      </c>
      <c r="G194" t="s" s="0">
        <v>4890</v>
      </c>
      <c r="H194" t="s" s="0">
        <v>81</v>
      </c>
      <c r="I194" t="s" s="0">
        <v>543</v>
      </c>
      <c r="J194" t="s" s="0">
        <v>4891</v>
      </c>
      <c r="K194" t="s" s="0">
        <v>4892</v>
      </c>
      <c r="L194" t="s" s="0">
        <v>4893</v>
      </c>
      <c r="M194" t="s" s="0">
        <v>4893</v>
      </c>
      <c r="N194" t="s" s="0">
        <v>4893</v>
      </c>
      <c r="O194" t="s" s="0">
        <v>4894</v>
      </c>
      <c r="P194" t="s" s="0">
        <v>4895</v>
      </c>
      <c r="Q194" t="s" s="0">
        <v>87</v>
      </c>
      <c r="R194" t="s" s="0">
        <v>81</v>
      </c>
      <c r="S194" t="s" s="0">
        <v>81</v>
      </c>
      <c r="T194" t="s" s="0">
        <v>81</v>
      </c>
      <c r="U194" t="s" s="0">
        <v>81</v>
      </c>
      <c r="V194" t="s" s="0">
        <v>4896</v>
      </c>
      <c r="W194" t="s" s="0">
        <v>4897</v>
      </c>
      <c r="X194" t="s" s="0">
        <v>81</v>
      </c>
      <c r="Y194" t="s" s="0">
        <v>81</v>
      </c>
      <c r="Z194" t="s" s="0">
        <v>90</v>
      </c>
      <c r="AA194" t="s" s="0">
        <v>91</v>
      </c>
      <c r="AB194" t="s" s="0">
        <v>81</v>
      </c>
      <c r="AC194" t="s" s="0">
        <v>81</v>
      </c>
      <c r="AD194" t="s" s="0">
        <v>81</v>
      </c>
      <c r="AE194" t="s" s="0">
        <v>81</v>
      </c>
      <c r="AF194" t="s" s="0">
        <v>81</v>
      </c>
      <c r="AG194" t="s" s="0">
        <v>4898</v>
      </c>
      <c r="AH194" t="s" s="0">
        <v>4899</v>
      </c>
      <c r="AI194" t="s" s="0">
        <v>4900</v>
      </c>
      <c r="AJ194" t="s" s="0">
        <v>81</v>
      </c>
      <c r="AK194" t="s" s="0">
        <v>81</v>
      </c>
      <c r="AL194" t="s" s="0">
        <v>4901</v>
      </c>
      <c r="AM194" t="s" s="0">
        <v>107</v>
      </c>
      <c r="AN194" t="s" s="0">
        <v>187</v>
      </c>
      <c r="AO194" t="s" s="0">
        <v>144</v>
      </c>
      <c r="AP194" t="s" s="0">
        <v>107</v>
      </c>
      <c r="AQ194" t="s" s="0">
        <v>402</v>
      </c>
      <c r="AR194" t="s" s="0">
        <v>403</v>
      </c>
      <c r="AS194" t="s" s="0">
        <v>404</v>
      </c>
      <c r="AT194" t="s" s="0">
        <v>81</v>
      </c>
      <c r="AU194" t="s" s="0">
        <v>4902</v>
      </c>
      <c r="AV194" t="s" s="0">
        <v>81</v>
      </c>
      <c r="AW194" t="s" s="0">
        <v>4903</v>
      </c>
      <c r="AX194" t="s" s="0">
        <v>4904</v>
      </c>
      <c r="AY194" t="s" s="0">
        <v>4905</v>
      </c>
      <c r="AZ194" t="s" s="0">
        <v>742</v>
      </c>
      <c r="BA194" t="s" s="0">
        <v>116</v>
      </c>
      <c r="BB194" t="s" s="0">
        <v>81</v>
      </c>
      <c r="BC194" t="s" s="0">
        <v>81</v>
      </c>
      <c r="BD194" t="s" s="0">
        <v>81</v>
      </c>
      <c r="BE194" t="s" s="0">
        <v>81</v>
      </c>
      <c r="BF194" t="s" s="0">
        <v>81</v>
      </c>
      <c r="BG194" t="s" s="0">
        <v>81</v>
      </c>
      <c r="BH194" t="s" s="0">
        <v>81</v>
      </c>
      <c r="BI194" t="s" s="0">
        <v>4906</v>
      </c>
      <c r="BJ194" t="s" s="0">
        <v>4907</v>
      </c>
      <c r="BK194" t="s" s="383">
        <f>HYPERLINK("http://dx.doi.org/10.3389/fbinf.2023.1131021","http://dx.doi.org/10.3389/fbinf.2023.1131021")</f>
        <v>4908</v>
      </c>
      <c r="BL194" t="s" s="0">
        <v>81</v>
      </c>
      <c r="BM194" t="s" s="0">
        <v>81</v>
      </c>
      <c r="BN194" t="s" s="0">
        <v>143</v>
      </c>
      <c r="BO194" t="s" s="0">
        <v>4909</v>
      </c>
      <c r="BP194" t="s" s="0">
        <v>4909</v>
      </c>
      <c r="BQ194" t="s" s="0">
        <v>4910</v>
      </c>
      <c r="BR194" t="s" s="0">
        <v>4911</v>
      </c>
      <c r="BS194" t="s" s="0">
        <v>4912</v>
      </c>
      <c r="BT194" t="s" s="384">
        <f>HYPERLINK("https://www.webofscience.com/wos/woscc/full-record/WOS:001086914600001","View Record in Web of Science")</f>
        <v>113</v>
      </c>
      <c r="BU194" t="s" s="0">
        <v>153</v>
      </c>
      <c r="BV194" t="s" s="0">
        <v>81</v>
      </c>
      <c r="BW194" t="s" s="0">
        <v>81</v>
      </c>
      <c r="BX194" t="s" s="0">
        <v>115</v>
      </c>
    </row>
    <row r="195">
      <c r="A195" t="s" s="0">
        <v>77</v>
      </c>
      <c r="B195" t="s" s="0">
        <v>77</v>
      </c>
      <c r="C195" t="s" s="0">
        <v>77</v>
      </c>
      <c r="D195" t="s" s="0">
        <v>77</v>
      </c>
      <c r="E195" t="s" s="0">
        <v>4913</v>
      </c>
      <c r="F195" t="s" s="0">
        <v>4914</v>
      </c>
      <c r="G195" t="s" s="0">
        <v>4915</v>
      </c>
      <c r="H195" t="s" s="0">
        <v>81</v>
      </c>
      <c r="I195" t="s" s="0">
        <v>543</v>
      </c>
      <c r="J195" t="s" s="0">
        <v>4916</v>
      </c>
      <c r="K195" t="s" s="0">
        <v>4917</v>
      </c>
      <c r="L195" t="s" s="0">
        <v>4918</v>
      </c>
      <c r="M195" t="s" s="0">
        <v>4919</v>
      </c>
      <c r="N195" t="s" s="0">
        <v>4920</v>
      </c>
      <c r="O195" t="s" s="0">
        <v>4921</v>
      </c>
      <c r="P195" t="s" s="0">
        <v>4922</v>
      </c>
      <c r="Q195" t="s" s="0">
        <v>87</v>
      </c>
      <c r="R195" t="s" s="0">
        <v>81</v>
      </c>
      <c r="S195" t="s" s="0">
        <v>81</v>
      </c>
      <c r="T195" t="s" s="0">
        <v>81</v>
      </c>
      <c r="U195" t="s" s="0">
        <v>81</v>
      </c>
      <c r="V195" t="s" s="0">
        <v>4923</v>
      </c>
      <c r="W195" t="s" s="0">
        <v>1130</v>
      </c>
      <c r="X195" t="s" s="0">
        <v>81</v>
      </c>
      <c r="Y195" t="s" s="0">
        <v>81</v>
      </c>
      <c r="Z195" t="s" s="0">
        <v>90</v>
      </c>
      <c r="AA195" t="s" s="0">
        <v>91</v>
      </c>
      <c r="AB195" t="s" s="0">
        <v>81</v>
      </c>
      <c r="AC195" t="s" s="0">
        <v>81</v>
      </c>
      <c r="AD195" t="s" s="0">
        <v>81</v>
      </c>
      <c r="AE195" t="s" s="0">
        <v>81</v>
      </c>
      <c r="AF195" t="s" s="0">
        <v>81</v>
      </c>
      <c r="AG195" t="s" s="0">
        <v>4924</v>
      </c>
      <c r="AH195" t="s" s="0">
        <v>4925</v>
      </c>
      <c r="AI195" t="s" s="0">
        <v>4926</v>
      </c>
      <c r="AJ195" t="s" s="0">
        <v>81</v>
      </c>
      <c r="AK195" t="s" s="0">
        <v>81</v>
      </c>
      <c r="AL195" t="s" s="0">
        <v>1963</v>
      </c>
      <c r="AM195" t="s" s="0">
        <v>77</v>
      </c>
      <c r="AN195" t="s" s="0">
        <v>77</v>
      </c>
      <c r="AO195" t="s" s="0">
        <v>77</v>
      </c>
      <c r="AP195" t="s" s="0">
        <v>77</v>
      </c>
      <c r="AQ195" t="s" s="0">
        <v>615</v>
      </c>
      <c r="AR195" t="s" s="0">
        <v>616</v>
      </c>
      <c r="AS195" t="s" s="0">
        <v>617</v>
      </c>
      <c r="AT195" t="s" s="0">
        <v>1134</v>
      </c>
      <c r="AU195" t="s" s="0">
        <v>81</v>
      </c>
      <c r="AV195" t="s" s="0">
        <v>81</v>
      </c>
      <c r="AW195" t="s" s="0">
        <v>1135</v>
      </c>
      <c r="AX195" t="s" s="0">
        <v>1136</v>
      </c>
      <c r="AY195" t="s" s="0">
        <v>2241</v>
      </c>
      <c r="AZ195" t="s" s="0">
        <v>101</v>
      </c>
      <c r="BA195" t="s" s="0">
        <v>103</v>
      </c>
      <c r="BB195" t="s" s="0">
        <v>219</v>
      </c>
      <c r="BC195" t="s" s="0">
        <v>81</v>
      </c>
      <c r="BD195" t="s" s="0">
        <v>81</v>
      </c>
      <c r="BE195" t="s" s="0">
        <v>81</v>
      </c>
      <c r="BF195" t="s" s="0">
        <v>81</v>
      </c>
      <c r="BG195" t="s" s="0">
        <v>81</v>
      </c>
      <c r="BH195" t="s" s="0">
        <v>81</v>
      </c>
      <c r="BI195" t="s" s="0">
        <v>4927</v>
      </c>
      <c r="BJ195" t="s" s="0">
        <v>4928</v>
      </c>
      <c r="BK195" t="s" s="385">
        <f>HYPERLINK("http://dx.doi.org/10.1016/j.xops.2026.101208","http://dx.doi.org/10.1016/j.xops.2026.101208")</f>
        <v>4929</v>
      </c>
      <c r="BL195" t="s" s="0">
        <v>81</v>
      </c>
      <c r="BM195" t="s" s="0">
        <v>622</v>
      </c>
      <c r="BN195" t="s" s="0">
        <v>187</v>
      </c>
      <c r="BO195" t="s" s="0">
        <v>1084</v>
      </c>
      <c r="BP195" t="s" s="0">
        <v>1084</v>
      </c>
      <c r="BQ195" t="s" s="0">
        <v>4930</v>
      </c>
      <c r="BR195" t="s" s="0">
        <v>4931</v>
      </c>
      <c r="BS195" t="s" s="0">
        <v>4932</v>
      </c>
      <c r="BT195" t="s" s="386">
        <f>HYPERLINK("https://www.webofscience.com/wos/woscc/full-record/WOS:001784072300001","View Record in Web of Science")</f>
        <v>113</v>
      </c>
      <c r="BU195" t="s" s="0">
        <v>153</v>
      </c>
      <c r="BV195" t="s" s="0">
        <v>81</v>
      </c>
      <c r="BW195" t="s" s="0">
        <v>81</v>
      </c>
      <c r="BX195" t="s" s="0">
        <v>115</v>
      </c>
    </row>
    <row r="196">
      <c r="A196" t="s" s="0">
        <v>77</v>
      </c>
      <c r="B196" t="s" s="0">
        <v>77</v>
      </c>
      <c r="C196" t="s" s="0">
        <v>77</v>
      </c>
      <c r="D196" t="s" s="0">
        <v>77</v>
      </c>
      <c r="E196" t="s" s="0">
        <v>4933</v>
      </c>
      <c r="F196" t="s" s="0">
        <v>4934</v>
      </c>
      <c r="G196" t="s" s="0">
        <v>4935</v>
      </c>
      <c r="H196" t="s" s="0">
        <v>81</v>
      </c>
      <c r="I196" t="s" s="0">
        <v>543</v>
      </c>
      <c r="J196" t="s" s="0">
        <v>4936</v>
      </c>
      <c r="K196" t="s" s="0">
        <v>4937</v>
      </c>
      <c r="L196" t="s" s="0">
        <v>4938</v>
      </c>
      <c r="M196" t="s" s="0">
        <v>4938</v>
      </c>
      <c r="N196" t="s" s="0">
        <v>4939</v>
      </c>
      <c r="O196" t="s" s="0">
        <v>4940</v>
      </c>
      <c r="P196" t="s" s="0">
        <v>4941</v>
      </c>
      <c r="Q196" t="s" s="0">
        <v>87</v>
      </c>
      <c r="R196" t="s" s="0">
        <v>81</v>
      </c>
      <c r="S196" t="s" s="0">
        <v>81</v>
      </c>
      <c r="T196" t="s" s="0">
        <v>81</v>
      </c>
      <c r="U196" t="s" s="0">
        <v>81</v>
      </c>
      <c r="V196" t="s" s="0">
        <v>4942</v>
      </c>
      <c r="W196" t="s" s="0">
        <v>4943</v>
      </c>
      <c r="X196" t="s" s="0">
        <v>81</v>
      </c>
      <c r="Y196" t="s" s="0">
        <v>81</v>
      </c>
      <c r="Z196" t="s" s="0">
        <v>90</v>
      </c>
      <c r="AA196" t="s" s="0">
        <v>91</v>
      </c>
      <c r="AB196" t="s" s="0">
        <v>81</v>
      </c>
      <c r="AC196" t="s" s="0">
        <v>81</v>
      </c>
      <c r="AD196" t="s" s="0">
        <v>81</v>
      </c>
      <c r="AE196" t="s" s="0">
        <v>81</v>
      </c>
      <c r="AF196" t="s" s="0">
        <v>81</v>
      </c>
      <c r="AG196" t="s" s="0">
        <v>4944</v>
      </c>
      <c r="AH196" t="s" s="0">
        <v>81</v>
      </c>
      <c r="AI196" t="s" s="0">
        <v>4945</v>
      </c>
      <c r="AJ196" t="s" s="0">
        <v>4946</v>
      </c>
      <c r="AK196" t="s" s="0">
        <v>81</v>
      </c>
      <c r="AL196" t="s" s="0">
        <v>3086</v>
      </c>
      <c r="AM196" t="s" s="0">
        <v>144</v>
      </c>
      <c r="AN196" t="s" s="0">
        <v>144</v>
      </c>
      <c r="AO196" t="s" s="0">
        <v>144</v>
      </c>
      <c r="AP196" t="s" s="0">
        <v>116</v>
      </c>
      <c r="AQ196" t="s" s="0">
        <v>4947</v>
      </c>
      <c r="AR196" t="s" s="0">
        <v>4948</v>
      </c>
      <c r="AS196" t="s" s="0">
        <v>4949</v>
      </c>
      <c r="AT196" t="s" s="0">
        <v>4950</v>
      </c>
      <c r="AU196" t="s" s="0">
        <v>81</v>
      </c>
      <c r="AV196" t="s" s="0">
        <v>81</v>
      </c>
      <c r="AW196" t="s" s="0">
        <v>4951</v>
      </c>
      <c r="AX196" t="s" s="0">
        <v>4952</v>
      </c>
      <c r="AY196" t="s" s="0">
        <v>142</v>
      </c>
      <c r="AZ196" t="s" s="0">
        <v>142</v>
      </c>
      <c r="BA196" t="s" s="0">
        <v>323</v>
      </c>
      <c r="BB196" t="s" s="0">
        <v>107</v>
      </c>
      <c r="BC196" t="s" s="0">
        <v>81</v>
      </c>
      <c r="BD196" t="s" s="0">
        <v>81</v>
      </c>
      <c r="BE196" t="s" s="0">
        <v>81</v>
      </c>
      <c r="BF196" t="s" s="0">
        <v>81</v>
      </c>
      <c r="BG196" t="s" s="0">
        <v>4953</v>
      </c>
      <c r="BH196" t="s" s="0">
        <v>4954</v>
      </c>
      <c r="BI196" t="s" s="0">
        <v>81</v>
      </c>
      <c r="BJ196" t="s" s="0">
        <v>4955</v>
      </c>
      <c r="BK196" t="s" s="387">
        <f>HYPERLINK("http://dx.doi.org/10.12720/jait.16.10.1459-1469","http://dx.doi.org/10.12720/jait.16.10.1459-1469")</f>
        <v>4956</v>
      </c>
      <c r="BL196" t="s" s="0">
        <v>81</v>
      </c>
      <c r="BM196" t="s" s="0">
        <v>81</v>
      </c>
      <c r="BN196" t="s" s="0">
        <v>173</v>
      </c>
      <c r="BO196" t="s" s="0">
        <v>4957</v>
      </c>
      <c r="BP196" t="s" s="0">
        <v>835</v>
      </c>
      <c r="BQ196" t="s" s="0">
        <v>4958</v>
      </c>
      <c r="BR196" t="s" s="0">
        <v>81</v>
      </c>
      <c r="BS196" t="s" s="0">
        <v>4959</v>
      </c>
      <c r="BT196" t="s" s="388">
        <f>HYPERLINK("https://www.webofscience.com/wos/woscc/full-record/WOS:001603269600010","View Record in Web of Science")</f>
        <v>113</v>
      </c>
      <c r="BU196" t="s" s="0">
        <v>1317</v>
      </c>
      <c r="BV196" t="s" s="0">
        <v>81</v>
      </c>
      <c r="BW196" t="s" s="0">
        <v>81</v>
      </c>
      <c r="BX196" t="s" s="0">
        <v>115</v>
      </c>
    </row>
    <row r="197">
      <c r="A197" t="s" s="0">
        <v>77</v>
      </c>
      <c r="B197" t="s" s="0">
        <v>77</v>
      </c>
      <c r="C197" t="s" s="0">
        <v>77</v>
      </c>
      <c r="D197" t="s" s="0">
        <v>77</v>
      </c>
      <c r="E197" t="s" s="0">
        <v>4960</v>
      </c>
      <c r="F197" t="s" s="0">
        <v>4961</v>
      </c>
      <c r="G197" t="s" s="0">
        <v>4962</v>
      </c>
      <c r="H197" t="s" s="0">
        <v>81</v>
      </c>
      <c r="I197" t="s" s="0">
        <v>82</v>
      </c>
      <c r="J197" t="s" s="0">
        <v>4963</v>
      </c>
      <c r="K197" t="s" s="0">
        <v>4964</v>
      </c>
      <c r="L197" t="s" s="0">
        <v>4965</v>
      </c>
      <c r="M197" t="s" s="0">
        <v>4966</v>
      </c>
      <c r="N197" t="s" s="0">
        <v>4967</v>
      </c>
      <c r="O197" t="s" s="0">
        <v>4968</v>
      </c>
      <c r="P197" t="s" s="0">
        <v>4969</v>
      </c>
      <c r="Q197" t="s" s="0">
        <v>87</v>
      </c>
      <c r="R197" t="s" s="0">
        <v>81</v>
      </c>
      <c r="S197" t="s" s="0">
        <v>81</v>
      </c>
      <c r="T197" t="s" s="0">
        <v>81</v>
      </c>
      <c r="U197" t="s" s="0">
        <v>81</v>
      </c>
      <c r="V197" t="s" s="0">
        <v>4970</v>
      </c>
      <c r="W197" t="s" s="0">
        <v>849</v>
      </c>
      <c r="X197" t="s" s="0">
        <v>81</v>
      </c>
      <c r="Y197" t="s" s="0">
        <v>81</v>
      </c>
      <c r="Z197" t="s" s="0">
        <v>90</v>
      </c>
      <c r="AA197" t="s" s="0">
        <v>91</v>
      </c>
      <c r="AB197" t="s" s="0">
        <v>81</v>
      </c>
      <c r="AC197" t="s" s="0">
        <v>81</v>
      </c>
      <c r="AD197" t="s" s="0">
        <v>81</v>
      </c>
      <c r="AE197" t="s" s="0">
        <v>81</v>
      </c>
      <c r="AF197" t="s" s="0">
        <v>81</v>
      </c>
      <c r="AG197" t="s" s="0">
        <v>4971</v>
      </c>
      <c r="AH197" t="s" s="0">
        <v>4972</v>
      </c>
      <c r="AI197" t="s" s="0">
        <v>4973</v>
      </c>
      <c r="AJ197" t="s" s="0">
        <v>81</v>
      </c>
      <c r="AK197" t="s" s="0">
        <v>81</v>
      </c>
      <c r="AL197" t="s" s="0">
        <v>1663</v>
      </c>
      <c r="AM197" t="s" s="0">
        <v>77</v>
      </c>
      <c r="AN197" t="s" s="0">
        <v>77</v>
      </c>
      <c r="AO197" t="s" s="0">
        <v>219</v>
      </c>
      <c r="AP197" t="s" s="0">
        <v>219</v>
      </c>
      <c r="AQ197" t="s" s="0">
        <v>174</v>
      </c>
      <c r="AR197" t="s" s="0">
        <v>175</v>
      </c>
      <c r="AS197" t="s" s="0">
        <v>176</v>
      </c>
      <c r="AT197" t="s" s="0">
        <v>855</v>
      </c>
      <c r="AU197" t="s" s="0">
        <v>856</v>
      </c>
      <c r="AV197" t="s" s="0">
        <v>81</v>
      </c>
      <c r="AW197" t="s" s="0">
        <v>857</v>
      </c>
      <c r="AX197" t="s" s="0">
        <v>858</v>
      </c>
      <c r="AY197" t="s" s="0">
        <v>2003</v>
      </c>
      <c r="AZ197" t="s" s="0">
        <v>101</v>
      </c>
      <c r="BA197" t="s" s="0">
        <v>2308</v>
      </c>
      <c r="BB197" t="s" s="0">
        <v>81</v>
      </c>
      <c r="BC197" t="s" s="0">
        <v>81</v>
      </c>
      <c r="BD197" t="s" s="0">
        <v>2033</v>
      </c>
      <c r="BE197" t="s" s="0">
        <v>81</v>
      </c>
      <c r="BF197" t="s" s="0">
        <v>81</v>
      </c>
      <c r="BG197" t="s" s="0">
        <v>81</v>
      </c>
      <c r="BH197" t="s" s="0">
        <v>81</v>
      </c>
      <c r="BI197" t="s" s="0">
        <v>4974</v>
      </c>
      <c r="BJ197" t="s" s="0">
        <v>4975</v>
      </c>
      <c r="BK197" t="s" s="389">
        <f>HYPERLINK("http://dx.doi.org/10.1016/j.bspc.2026.109885","http://dx.doi.org/10.1016/j.bspc.2026.109885")</f>
        <v>4976</v>
      </c>
      <c r="BL197" t="s" s="0">
        <v>81</v>
      </c>
      <c r="BM197" t="s" s="0">
        <v>566</v>
      </c>
      <c r="BN197" t="s" s="0">
        <v>143</v>
      </c>
      <c r="BO197" t="s" s="0">
        <v>864</v>
      </c>
      <c r="BP197" t="s" s="0">
        <v>865</v>
      </c>
      <c r="BQ197" t="s" s="0">
        <v>4977</v>
      </c>
      <c r="BR197" t="s" s="0">
        <v>81</v>
      </c>
      <c r="BS197" t="s" s="0">
        <v>4978</v>
      </c>
      <c r="BT197" t="s" s="390">
        <f>HYPERLINK("https://www.webofscience.com/wos/woscc/full-record/WOS:001698147000001","View Record in Web of Science")</f>
        <v>113</v>
      </c>
      <c r="BU197" t="s" s="0">
        <v>81</v>
      </c>
      <c r="BV197" t="s" s="0">
        <v>81</v>
      </c>
      <c r="BW197" t="s" s="0">
        <v>81</v>
      </c>
      <c r="BX197" t="s" s="0">
        <v>115</v>
      </c>
    </row>
    <row r="198">
      <c r="A198" t="s" s="0">
        <v>77</v>
      </c>
      <c r="B198" t="s" s="0">
        <v>77</v>
      </c>
      <c r="C198" t="s" s="0">
        <v>77</v>
      </c>
      <c r="D198" t="s" s="0">
        <v>77</v>
      </c>
      <c r="E198" t="s" s="0">
        <v>4979</v>
      </c>
      <c r="F198" t="s" s="0">
        <v>4980</v>
      </c>
      <c r="G198" t="s" s="0">
        <v>4981</v>
      </c>
      <c r="H198" t="s" s="0">
        <v>81</v>
      </c>
      <c r="I198" t="s" s="0">
        <v>82</v>
      </c>
      <c r="J198" t="s" s="0">
        <v>4982</v>
      </c>
      <c r="K198" t="s" s="0">
        <v>4983</v>
      </c>
      <c r="L198" t="s" s="0">
        <v>81</v>
      </c>
      <c r="M198" t="s" s="0">
        <v>81</v>
      </c>
      <c r="N198" t="s" s="0">
        <v>81</v>
      </c>
      <c r="O198" t="s" s="0">
        <v>4984</v>
      </c>
      <c r="P198" t="s" s="0">
        <v>4985</v>
      </c>
      <c r="Q198" t="s" s="0">
        <v>87</v>
      </c>
      <c r="R198" t="s" s="0">
        <v>81</v>
      </c>
      <c r="S198" t="s" s="0">
        <v>81</v>
      </c>
      <c r="T198" t="s" s="0">
        <v>81</v>
      </c>
      <c r="U198" t="s" s="0">
        <v>81</v>
      </c>
      <c r="V198" t="s" s="0">
        <v>4986</v>
      </c>
      <c r="W198" t="s" s="0">
        <v>4987</v>
      </c>
      <c r="X198" t="s" s="0">
        <v>81</v>
      </c>
      <c r="Y198" t="s" s="0">
        <v>81</v>
      </c>
      <c r="Z198" t="s" s="0">
        <v>90</v>
      </c>
      <c r="AA198" t="s" s="0">
        <v>91</v>
      </c>
      <c r="AB198" t="s" s="0">
        <v>81</v>
      </c>
      <c r="AC198" t="s" s="0">
        <v>81</v>
      </c>
      <c r="AD198" t="s" s="0">
        <v>81</v>
      </c>
      <c r="AE198" t="s" s="0">
        <v>81</v>
      </c>
      <c r="AF198" t="s" s="0">
        <v>81</v>
      </c>
      <c r="AG198" t="s" s="0">
        <v>4988</v>
      </c>
      <c r="AH198" t="s" s="0">
        <v>81</v>
      </c>
      <c r="AI198" t="s" s="0">
        <v>81</v>
      </c>
      <c r="AJ198" t="s" s="0">
        <v>81</v>
      </c>
      <c r="AK198" t="s" s="0">
        <v>81</v>
      </c>
      <c r="AL198" t="s" s="0">
        <v>1389</v>
      </c>
      <c r="AM198" t="s" s="0">
        <v>77</v>
      </c>
      <c r="AN198" t="s" s="0">
        <v>144</v>
      </c>
      <c r="AO198" t="s" s="0">
        <v>372</v>
      </c>
      <c r="AP198" t="s" s="0">
        <v>133</v>
      </c>
      <c r="AQ198" t="s" s="0">
        <v>615</v>
      </c>
      <c r="AR198" t="s" s="0">
        <v>616</v>
      </c>
      <c r="AS198" t="s" s="0">
        <v>617</v>
      </c>
      <c r="AT198" t="s" s="0">
        <v>4989</v>
      </c>
      <c r="AU198" t="s" s="0">
        <v>81</v>
      </c>
      <c r="AV198" t="s" s="0">
        <v>81</v>
      </c>
      <c r="AW198" t="s" s="0">
        <v>4990</v>
      </c>
      <c r="AX198" t="s" s="0">
        <v>4991</v>
      </c>
      <c r="AY198" t="s" s="0">
        <v>1140</v>
      </c>
      <c r="AZ198" t="s" s="0">
        <v>142</v>
      </c>
      <c r="BA198" t="s" s="0">
        <v>468</v>
      </c>
      <c r="BB198" t="s" s="0">
        <v>210</v>
      </c>
      <c r="BC198" t="s" s="0">
        <v>81</v>
      </c>
      <c r="BD198" t="s" s="0">
        <v>81</v>
      </c>
      <c r="BE198" t="s" s="0">
        <v>81</v>
      </c>
      <c r="BF198" t="s" s="0">
        <v>81</v>
      </c>
      <c r="BG198" t="s" s="0">
        <v>81</v>
      </c>
      <c r="BH198" t="s" s="0">
        <v>81</v>
      </c>
      <c r="BI198" t="s" s="0">
        <v>4992</v>
      </c>
      <c r="BJ198" t="s" s="0">
        <v>4993</v>
      </c>
      <c r="BK198" t="s" s="391">
        <f>HYPERLINK("http://dx.doi.org/10.1016/j.jrras.2025.101943","http://dx.doi.org/10.1016/j.jrras.2025.101943")</f>
        <v>4994</v>
      </c>
      <c r="BL198" t="s" s="0">
        <v>81</v>
      </c>
      <c r="BM198" t="s" s="0">
        <v>181</v>
      </c>
      <c r="BN198" t="s" s="0">
        <v>626</v>
      </c>
      <c r="BO198" t="s" s="0">
        <v>4995</v>
      </c>
      <c r="BP198" t="s" s="0">
        <v>4996</v>
      </c>
      <c r="BQ198" t="s" s="0">
        <v>4997</v>
      </c>
      <c r="BR198" t="s" s="0">
        <v>81</v>
      </c>
      <c r="BS198" t="s" s="0">
        <v>4998</v>
      </c>
      <c r="BT198" t="s" s="392">
        <f>HYPERLINK("https://www.webofscience.com/wos/woscc/full-record/WOS:001578971500001","View Record in Web of Science")</f>
        <v>113</v>
      </c>
      <c r="BU198" t="s" s="0">
        <v>1317</v>
      </c>
      <c r="BV198" t="s" s="0">
        <v>81</v>
      </c>
      <c r="BW198" t="s" s="0">
        <v>81</v>
      </c>
      <c r="BX198" t="s" s="0">
        <v>115</v>
      </c>
    </row>
    <row r="199">
      <c r="A199" t="s" s="0">
        <v>77</v>
      </c>
      <c r="B199" t="s" s="0">
        <v>77</v>
      </c>
      <c r="C199" t="s" s="0">
        <v>210</v>
      </c>
      <c r="D199" t="s" s="0">
        <v>77</v>
      </c>
      <c r="E199" t="s" s="0">
        <v>4999</v>
      </c>
      <c r="F199" t="s" s="0">
        <v>5000</v>
      </c>
      <c r="G199" t="s" s="0">
        <v>5001</v>
      </c>
      <c r="H199" t="s" s="0">
        <v>81</v>
      </c>
      <c r="I199" t="s" s="0">
        <v>82</v>
      </c>
      <c r="J199" t="s" s="0">
        <v>5002</v>
      </c>
      <c r="K199" t="s" s="0">
        <v>5003</v>
      </c>
      <c r="L199" t="s" s="0">
        <v>81</v>
      </c>
      <c r="M199" t="s" s="0">
        <v>81</v>
      </c>
      <c r="N199" t="s" s="0">
        <v>81</v>
      </c>
      <c r="O199" t="s" s="0">
        <v>5004</v>
      </c>
      <c r="P199" t="s" s="0">
        <v>5005</v>
      </c>
      <c r="Q199" t="s" s="0">
        <v>87</v>
      </c>
      <c r="R199" t="s" s="0">
        <v>81</v>
      </c>
      <c r="S199" t="s" s="0">
        <v>81</v>
      </c>
      <c r="T199" t="s" s="0">
        <v>81</v>
      </c>
      <c r="U199" t="s" s="0">
        <v>81</v>
      </c>
      <c r="V199" t="s" s="0">
        <v>5006</v>
      </c>
      <c r="W199" t="s" s="0">
        <v>5007</v>
      </c>
      <c r="X199" t="s" s="0">
        <v>81</v>
      </c>
      <c r="Y199" t="s" s="0">
        <v>81</v>
      </c>
      <c r="Z199" t="s" s="0">
        <v>90</v>
      </c>
      <c r="AA199" t="s" s="0">
        <v>91</v>
      </c>
      <c r="AB199" t="s" s="0">
        <v>81</v>
      </c>
      <c r="AC199" t="s" s="0">
        <v>81</v>
      </c>
      <c r="AD199" t="s" s="0">
        <v>81</v>
      </c>
      <c r="AE199" t="s" s="0">
        <v>81</v>
      </c>
      <c r="AF199" t="s" s="0">
        <v>81</v>
      </c>
      <c r="AG199" t="s" s="0">
        <v>5008</v>
      </c>
      <c r="AH199" t="s" s="0">
        <v>5009</v>
      </c>
      <c r="AI199" t="s" s="0">
        <v>5010</v>
      </c>
      <c r="AJ199" t="s" s="0">
        <v>81</v>
      </c>
      <c r="AK199" t="s" s="0">
        <v>81</v>
      </c>
      <c r="AL199" t="s" s="0">
        <v>1363</v>
      </c>
      <c r="AM199" t="s" s="0">
        <v>245</v>
      </c>
      <c r="AN199" t="s" s="0">
        <v>468</v>
      </c>
      <c r="AO199" t="s" s="0">
        <v>103</v>
      </c>
      <c r="AP199" t="s" s="0">
        <v>211</v>
      </c>
      <c r="AQ199" t="s" s="0">
        <v>615</v>
      </c>
      <c r="AR199" t="s" s="0">
        <v>616</v>
      </c>
      <c r="AS199" t="s" s="0">
        <v>617</v>
      </c>
      <c r="AT199" t="s" s="0">
        <v>5011</v>
      </c>
      <c r="AU199" t="s" s="0">
        <v>5012</v>
      </c>
      <c r="AV199" t="s" s="0">
        <v>81</v>
      </c>
      <c r="AW199" t="s" s="0">
        <v>5013</v>
      </c>
      <c r="AX199" t="s" s="0">
        <v>5014</v>
      </c>
      <c r="AY199" t="s" s="0">
        <v>713</v>
      </c>
      <c r="AZ199" t="s" s="0">
        <v>142</v>
      </c>
      <c r="BA199" t="s" s="0">
        <v>5015</v>
      </c>
      <c r="BB199" t="s" s="0">
        <v>81</v>
      </c>
      <c r="BC199" t="s" s="0">
        <v>81</v>
      </c>
      <c r="BD199" t="s" s="0">
        <v>81</v>
      </c>
      <c r="BE199" t="s" s="0">
        <v>81</v>
      </c>
      <c r="BF199" t="s" s="0">
        <v>81</v>
      </c>
      <c r="BG199" t="s" s="0">
        <v>81</v>
      </c>
      <c r="BH199" t="s" s="0">
        <v>81</v>
      </c>
      <c r="BI199" t="s" s="0">
        <v>5016</v>
      </c>
      <c r="BJ199" t="s" s="0">
        <v>5017</v>
      </c>
      <c r="BK199" t="s" s="393">
        <f>HYPERLINK("http://dx.doi.org/10.1016/j.jneumeth.2025.110363","http://dx.doi.org/10.1016/j.jneumeth.2025.110363")</f>
        <v>5018</v>
      </c>
      <c r="BL199" t="s" s="0">
        <v>81</v>
      </c>
      <c r="BM199" t="s" s="0">
        <v>467</v>
      </c>
      <c r="BN199" t="s" s="0">
        <v>143</v>
      </c>
      <c r="BO199" t="s" s="0">
        <v>5019</v>
      </c>
      <c r="BP199" t="s" s="0">
        <v>5020</v>
      </c>
      <c r="BQ199" t="s" s="0">
        <v>5021</v>
      </c>
      <c r="BR199" t="s" s="0">
        <v>5022</v>
      </c>
      <c r="BS199" t="s" s="0">
        <v>5023</v>
      </c>
      <c r="BT199" t="s" s="394">
        <f>HYPERLINK("https://www.webofscience.com/wos/woscc/full-record/WOS:001407301100001","View Record in Web of Science")</f>
        <v>113</v>
      </c>
      <c r="BU199" t="s" s="0">
        <v>81</v>
      </c>
      <c r="BV199" t="s" s="0">
        <v>81</v>
      </c>
      <c r="BW199" t="s" s="0">
        <v>81</v>
      </c>
      <c r="BX199" t="s" s="0">
        <v>115</v>
      </c>
    </row>
    <row r="200">
      <c r="A200" t="s" s="0">
        <v>77</v>
      </c>
      <c r="B200" t="s" s="0">
        <v>77</v>
      </c>
      <c r="C200" t="s" s="0">
        <v>77</v>
      </c>
      <c r="D200" t="s" s="0">
        <v>77</v>
      </c>
      <c r="E200" t="s" s="0">
        <v>5024</v>
      </c>
      <c r="F200" t="s" s="0">
        <v>5025</v>
      </c>
      <c r="G200" t="s" s="0">
        <v>5026</v>
      </c>
      <c r="H200" t="s" s="0">
        <v>81</v>
      </c>
      <c r="I200" t="s" s="0">
        <v>82</v>
      </c>
      <c r="J200" t="s" s="0">
        <v>5027</v>
      </c>
      <c r="K200" t="s" s="0">
        <v>5028</v>
      </c>
      <c r="L200" t="s" s="0">
        <v>5029</v>
      </c>
      <c r="M200" t="s" s="0">
        <v>5029</v>
      </c>
      <c r="N200" t="s" s="0">
        <v>5030</v>
      </c>
      <c r="O200" t="s" s="0">
        <v>5031</v>
      </c>
      <c r="P200" t="s" s="0">
        <v>5032</v>
      </c>
      <c r="Q200" t="s" s="0">
        <v>87</v>
      </c>
      <c r="R200" t="s" s="0">
        <v>81</v>
      </c>
      <c r="S200" t="s" s="0">
        <v>81</v>
      </c>
      <c r="T200" t="s" s="0">
        <v>81</v>
      </c>
      <c r="U200" t="s" s="0">
        <v>81</v>
      </c>
      <c r="V200" t="s" s="0">
        <v>5033</v>
      </c>
      <c r="W200" t="s" s="0">
        <v>1658</v>
      </c>
      <c r="X200" t="s" s="0">
        <v>81</v>
      </c>
      <c r="Y200" t="s" s="0">
        <v>81</v>
      </c>
      <c r="Z200" t="s" s="0">
        <v>90</v>
      </c>
      <c r="AA200" t="s" s="0">
        <v>91</v>
      </c>
      <c r="AB200" t="s" s="0">
        <v>81</v>
      </c>
      <c r="AC200" t="s" s="0">
        <v>81</v>
      </c>
      <c r="AD200" t="s" s="0">
        <v>81</v>
      </c>
      <c r="AE200" t="s" s="0">
        <v>81</v>
      </c>
      <c r="AF200" t="s" s="0">
        <v>81</v>
      </c>
      <c r="AG200" t="s" s="0">
        <v>5034</v>
      </c>
      <c r="AH200" t="s" s="0">
        <v>5035</v>
      </c>
      <c r="AI200" t="s" s="0">
        <v>5036</v>
      </c>
      <c r="AJ200" t="s" s="0">
        <v>81</v>
      </c>
      <c r="AK200" t="s" s="0">
        <v>81</v>
      </c>
      <c r="AL200" t="s" s="0">
        <v>171</v>
      </c>
      <c r="AM200" t="s" s="0">
        <v>77</v>
      </c>
      <c r="AN200" t="s" s="0">
        <v>77</v>
      </c>
      <c r="AO200" t="s" s="0">
        <v>77</v>
      </c>
      <c r="AP200" t="s" s="0">
        <v>77</v>
      </c>
      <c r="AQ200" t="s" s="0">
        <v>973</v>
      </c>
      <c r="AR200" t="s" s="0">
        <v>974</v>
      </c>
      <c r="AS200" t="s" s="0">
        <v>975</v>
      </c>
      <c r="AT200" t="s" s="0">
        <v>1664</v>
      </c>
      <c r="AU200" t="s" s="0">
        <v>1665</v>
      </c>
      <c r="AV200" t="s" s="0">
        <v>81</v>
      </c>
      <c r="AW200" t="s" s="0">
        <v>1666</v>
      </c>
      <c r="AX200" t="s" s="0">
        <v>1667</v>
      </c>
      <c r="AY200" t="s" s="0">
        <v>2838</v>
      </c>
      <c r="AZ200" t="s" s="0">
        <v>101</v>
      </c>
      <c r="BA200" t="s" s="0">
        <v>5037</v>
      </c>
      <c r="BB200" t="s" s="0">
        <v>81</v>
      </c>
      <c r="BC200" t="s" s="0">
        <v>81</v>
      </c>
      <c r="BD200" t="s" s="0">
        <v>81</v>
      </c>
      <c r="BE200" t="s" s="0">
        <v>81</v>
      </c>
      <c r="BF200" t="s" s="0">
        <v>81</v>
      </c>
      <c r="BG200" t="s" s="0">
        <v>81</v>
      </c>
      <c r="BH200" t="s" s="0">
        <v>81</v>
      </c>
      <c r="BI200" t="s" s="0">
        <v>5038</v>
      </c>
      <c r="BJ200" t="s" s="0">
        <v>5039</v>
      </c>
      <c r="BK200" t="s" s="395">
        <f>HYPERLINK("http://dx.doi.org/10.1016/j.jbi.2026.105055","http://dx.doi.org/10.1016/j.jbi.2026.105055")</f>
        <v>5040</v>
      </c>
      <c r="BL200" t="s" s="0">
        <v>81</v>
      </c>
      <c r="BM200" t="s" s="0">
        <v>81</v>
      </c>
      <c r="BN200" t="s" s="0">
        <v>187</v>
      </c>
      <c r="BO200" t="s" s="0">
        <v>1672</v>
      </c>
      <c r="BP200" t="s" s="0">
        <v>1673</v>
      </c>
      <c r="BQ200" t="s" s="0">
        <v>5041</v>
      </c>
      <c r="BR200" t="s" s="0">
        <v>5042</v>
      </c>
      <c r="BS200" t="s" s="0">
        <v>5043</v>
      </c>
      <c r="BT200" t="s" s="396">
        <f>HYPERLINK("https://www.webofscience.com/wos/woscc/full-record/WOS:001779576900001","View Record in Web of Science")</f>
        <v>113</v>
      </c>
      <c r="BU200" t="s" s="0">
        <v>719</v>
      </c>
      <c r="BV200" t="s" s="0">
        <v>81</v>
      </c>
      <c r="BW200" t="s" s="0">
        <v>81</v>
      </c>
      <c r="BX200" t="s" s="0">
        <v>115</v>
      </c>
    </row>
    <row r="201">
      <c r="A201" t="s" s="0">
        <v>77</v>
      </c>
      <c r="B201" t="s" s="0">
        <v>77</v>
      </c>
      <c r="C201" t="s" s="0">
        <v>77</v>
      </c>
      <c r="D201" t="s" s="0">
        <v>77</v>
      </c>
      <c r="E201" t="s" s="0">
        <v>5044</v>
      </c>
      <c r="F201" t="s" s="0">
        <v>5045</v>
      </c>
      <c r="G201" t="s" s="0">
        <v>5046</v>
      </c>
      <c r="H201" t="s" s="0">
        <v>81</v>
      </c>
      <c r="I201" t="s" s="0">
        <v>82</v>
      </c>
      <c r="J201" t="s" s="0">
        <v>5047</v>
      </c>
      <c r="K201" t="s" s="0">
        <v>5048</v>
      </c>
      <c r="L201" t="s" s="0">
        <v>81</v>
      </c>
      <c r="M201" t="s" s="0">
        <v>81</v>
      </c>
      <c r="N201" t="s" s="0">
        <v>81</v>
      </c>
      <c r="O201" t="s" s="0">
        <v>5049</v>
      </c>
      <c r="P201" t="s" s="0">
        <v>81</v>
      </c>
      <c r="Q201" t="s" s="0">
        <v>87</v>
      </c>
      <c r="R201" t="s" s="0">
        <v>81</v>
      </c>
      <c r="S201" t="s" s="0">
        <v>81</v>
      </c>
      <c r="T201" t="s" s="0">
        <v>81</v>
      </c>
      <c r="U201" t="s" s="0">
        <v>81</v>
      </c>
      <c r="V201" t="s" s="0">
        <v>5050</v>
      </c>
      <c r="W201" t="s" s="0">
        <v>5051</v>
      </c>
      <c r="X201" t="s" s="0">
        <v>81</v>
      </c>
      <c r="Y201" t="s" s="0">
        <v>81</v>
      </c>
      <c r="Z201" t="s" s="0">
        <v>90</v>
      </c>
      <c r="AA201" t="s" s="0">
        <v>91</v>
      </c>
      <c r="AB201" t="s" s="0">
        <v>81</v>
      </c>
      <c r="AC201" t="s" s="0">
        <v>81</v>
      </c>
      <c r="AD201" t="s" s="0">
        <v>81</v>
      </c>
      <c r="AE201" t="s" s="0">
        <v>81</v>
      </c>
      <c r="AF201" t="s" s="0">
        <v>81</v>
      </c>
      <c r="AG201" t="s" s="0">
        <v>5052</v>
      </c>
      <c r="AH201" t="s" s="0">
        <v>5053</v>
      </c>
      <c r="AI201" t="s" s="0">
        <v>81</v>
      </c>
      <c r="AJ201" t="s" s="0">
        <v>81</v>
      </c>
      <c r="AK201" t="s" s="0">
        <v>81</v>
      </c>
      <c r="AL201" t="s" s="0">
        <v>93</v>
      </c>
      <c r="AM201" t="s" s="0">
        <v>77</v>
      </c>
      <c r="AN201" t="s" s="0">
        <v>77</v>
      </c>
      <c r="AO201" t="s" s="0">
        <v>77</v>
      </c>
      <c r="AP201" t="s" s="0">
        <v>77</v>
      </c>
      <c r="AQ201" t="s" s="0">
        <v>5054</v>
      </c>
      <c r="AR201" t="s" s="0">
        <v>5055</v>
      </c>
      <c r="AS201" t="s" s="0">
        <v>5056</v>
      </c>
      <c r="AT201" t="s" s="0">
        <v>5057</v>
      </c>
      <c r="AU201" t="s" s="0">
        <v>5058</v>
      </c>
      <c r="AV201" t="s" s="0">
        <v>81</v>
      </c>
      <c r="AW201" t="s" s="0">
        <v>5059</v>
      </c>
      <c r="AX201" t="s" s="0">
        <v>5060</v>
      </c>
      <c r="AY201" t="s" s="0">
        <v>2459</v>
      </c>
      <c r="AZ201" t="s" s="0">
        <v>101</v>
      </c>
      <c r="BA201" t="s" s="0">
        <v>2404</v>
      </c>
      <c r="BB201" t="s" s="0">
        <v>133</v>
      </c>
      <c r="BC201" t="s" s="0">
        <v>81</v>
      </c>
      <c r="BD201" t="s" s="0">
        <v>81</v>
      </c>
      <c r="BE201" t="s" s="0">
        <v>81</v>
      </c>
      <c r="BF201" t="s" s="0">
        <v>81</v>
      </c>
      <c r="BG201" t="s" s="0">
        <v>5061</v>
      </c>
      <c r="BH201" t="s" s="0">
        <v>5062</v>
      </c>
      <c r="BI201" t="s" s="0">
        <v>81</v>
      </c>
      <c r="BJ201" t="s" s="0">
        <v>5063</v>
      </c>
      <c r="BK201" t="s" s="397">
        <f>HYPERLINK("http://dx.doi.org/10.3349/ymj.2025.0370","http://dx.doi.org/10.3349/ymj.2025.0370")</f>
        <v>5064</v>
      </c>
      <c r="BL201" t="s" s="0">
        <v>81</v>
      </c>
      <c r="BM201" t="s" s="0">
        <v>81</v>
      </c>
      <c r="BN201" t="s" s="0">
        <v>187</v>
      </c>
      <c r="BO201" t="s" s="0">
        <v>324</v>
      </c>
      <c r="BP201" t="s" s="0">
        <v>325</v>
      </c>
      <c r="BQ201" t="s" s="0">
        <v>5065</v>
      </c>
      <c r="BR201" t="s" s="0">
        <v>81</v>
      </c>
      <c r="BS201" t="s" s="0">
        <v>5066</v>
      </c>
      <c r="BT201" t="s" s="398">
        <f>HYPERLINK("https://www.webofscience.com/wos/woscc/full-record/WOS:001852291100005","View Record in Web of Science")</f>
        <v>113</v>
      </c>
      <c r="BU201" t="s" s="0">
        <v>1317</v>
      </c>
      <c r="BV201" t="s" s="0">
        <v>81</v>
      </c>
      <c r="BW201" t="s" s="0">
        <v>81</v>
      </c>
      <c r="BX201" t="s" s="0">
        <v>115</v>
      </c>
    </row>
    <row r="202">
      <c r="A202" t="s" s="0">
        <v>77</v>
      </c>
      <c r="B202" t="s" s="0">
        <v>77</v>
      </c>
      <c r="C202" t="s" s="0">
        <v>77</v>
      </c>
      <c r="D202" t="s" s="0">
        <v>77</v>
      </c>
      <c r="E202" t="s" s="0">
        <v>5067</v>
      </c>
      <c r="F202" t="s" s="0">
        <v>5068</v>
      </c>
      <c r="G202" t="s" s="0">
        <v>5069</v>
      </c>
      <c r="H202" t="s" s="0">
        <v>81</v>
      </c>
      <c r="I202" t="s" s="0">
        <v>543</v>
      </c>
      <c r="J202" t="s" s="0">
        <v>5070</v>
      </c>
      <c r="K202" t="s" s="0">
        <v>5071</v>
      </c>
      <c r="L202" t="s" s="0">
        <v>81</v>
      </c>
      <c r="M202" t="s" s="0">
        <v>81</v>
      </c>
      <c r="N202" t="s" s="0">
        <v>81</v>
      </c>
      <c r="O202" t="s" s="0">
        <v>5072</v>
      </c>
      <c r="P202" t="s" s="0">
        <v>5073</v>
      </c>
      <c r="Q202" t="s" s="0">
        <v>87</v>
      </c>
      <c r="R202" t="s" s="0">
        <v>81</v>
      </c>
      <c r="S202" t="s" s="0">
        <v>81</v>
      </c>
      <c r="T202" t="s" s="0">
        <v>81</v>
      </c>
      <c r="U202" t="s" s="0">
        <v>81</v>
      </c>
      <c r="V202" t="s" s="0">
        <v>5074</v>
      </c>
      <c r="W202" t="s" s="0">
        <v>5075</v>
      </c>
      <c r="X202" t="s" s="0">
        <v>81</v>
      </c>
      <c r="Y202" t="s" s="0">
        <v>81</v>
      </c>
      <c r="Z202" t="s" s="0">
        <v>90</v>
      </c>
      <c r="AA202" t="s" s="0">
        <v>91</v>
      </c>
      <c r="AB202" t="s" s="0">
        <v>81</v>
      </c>
      <c r="AC202" t="s" s="0">
        <v>81</v>
      </c>
      <c r="AD202" t="s" s="0">
        <v>81</v>
      </c>
      <c r="AE202" t="s" s="0">
        <v>81</v>
      </c>
      <c r="AF202" t="s" s="0">
        <v>81</v>
      </c>
      <c r="AG202" t="s" s="0">
        <v>5076</v>
      </c>
      <c r="AH202" t="s" s="0">
        <v>5077</v>
      </c>
      <c r="AI202" t="s" s="0">
        <v>81</v>
      </c>
      <c r="AJ202" t="s" s="0">
        <v>81</v>
      </c>
      <c r="AK202" t="s" s="0">
        <v>81</v>
      </c>
      <c r="AL202" t="s" s="0">
        <v>276</v>
      </c>
      <c r="AM202" t="s" s="0">
        <v>77</v>
      </c>
      <c r="AN202" t="s" s="0">
        <v>77</v>
      </c>
      <c r="AO202" t="s" s="0">
        <v>77</v>
      </c>
      <c r="AP202" t="s" s="0">
        <v>77</v>
      </c>
      <c r="AQ202" t="s" s="0">
        <v>615</v>
      </c>
      <c r="AR202" t="s" s="0">
        <v>616</v>
      </c>
      <c r="AS202" t="s" s="0">
        <v>617</v>
      </c>
      <c r="AT202" t="s" s="0">
        <v>81</v>
      </c>
      <c r="AU202" t="s" s="0">
        <v>5078</v>
      </c>
      <c r="AV202" t="s" s="0">
        <v>81</v>
      </c>
      <c r="AW202" t="s" s="0">
        <v>5079</v>
      </c>
      <c r="AX202" t="s" s="0">
        <v>5080</v>
      </c>
      <c r="AY202" t="s" s="0">
        <v>2241</v>
      </c>
      <c r="AZ202" t="s" s="0">
        <v>101</v>
      </c>
      <c r="BA202" t="s" s="0">
        <v>132</v>
      </c>
      <c r="BB202" t="s" s="0">
        <v>81</v>
      </c>
      <c r="BC202" t="s" s="0">
        <v>81</v>
      </c>
      <c r="BD202" t="s" s="0">
        <v>81</v>
      </c>
      <c r="BE202" t="s" s="0">
        <v>81</v>
      </c>
      <c r="BF202" t="s" s="0">
        <v>81</v>
      </c>
      <c r="BG202" t="s" s="0">
        <v>81</v>
      </c>
      <c r="BH202" t="s" s="0">
        <v>81</v>
      </c>
      <c r="BI202" t="s" s="0">
        <v>5081</v>
      </c>
      <c r="BJ202" t="s" s="0">
        <v>5082</v>
      </c>
      <c r="BK202" t="s" s="399">
        <f>HYPERLINK("http://dx.doi.org/10.1016/j.wnsx.2026.100616","http://dx.doi.org/10.1016/j.wnsx.2026.100616")</f>
        <v>5083</v>
      </c>
      <c r="BL202" t="s" s="0">
        <v>81</v>
      </c>
      <c r="BM202" t="s" s="0">
        <v>2241</v>
      </c>
      <c r="BN202" t="s" s="0">
        <v>172</v>
      </c>
      <c r="BO202" t="s" s="0">
        <v>5084</v>
      </c>
      <c r="BP202" t="s" s="0">
        <v>5085</v>
      </c>
      <c r="BQ202" t="s" s="0">
        <v>5086</v>
      </c>
      <c r="BR202" t="s" s="0">
        <v>81</v>
      </c>
      <c r="BS202" t="s" s="0">
        <v>5087</v>
      </c>
      <c r="BT202" t="s" s="400">
        <f>HYPERLINK("https://www.webofscience.com/wos/woscc/full-record/WOS:001815604400001","View Record in Web of Science")</f>
        <v>113</v>
      </c>
      <c r="BU202" t="s" s="0">
        <v>1317</v>
      </c>
      <c r="BV202" t="s" s="0">
        <v>81</v>
      </c>
      <c r="BW202" t="s" s="0">
        <v>81</v>
      </c>
      <c r="BX202" t="s" s="0">
        <v>115</v>
      </c>
    </row>
    <row r="203">
      <c r="A203" t="s" s="0">
        <v>77</v>
      </c>
      <c r="B203" t="s" s="0">
        <v>77</v>
      </c>
      <c r="C203" t="s" s="0">
        <v>144</v>
      </c>
      <c r="D203" t="s" s="0">
        <v>77</v>
      </c>
      <c r="E203" t="s" s="0">
        <v>5088</v>
      </c>
      <c r="F203" t="s" s="0">
        <v>5089</v>
      </c>
      <c r="G203" t="s" s="0">
        <v>5090</v>
      </c>
      <c r="H203" t="s" s="0">
        <v>81</v>
      </c>
      <c r="I203" t="s" s="0">
        <v>82</v>
      </c>
      <c r="J203" t="s" s="0">
        <v>5091</v>
      </c>
      <c r="K203" t="s" s="0">
        <v>5092</v>
      </c>
      <c r="L203" t="s" s="0">
        <v>5093</v>
      </c>
      <c r="M203" t="s" s="0">
        <v>5094</v>
      </c>
      <c r="N203" t="s" s="0">
        <v>5095</v>
      </c>
      <c r="O203" t="s" s="0">
        <v>5096</v>
      </c>
      <c r="P203" t="s" s="0">
        <v>5097</v>
      </c>
      <c r="Q203" t="s" s="0">
        <v>87</v>
      </c>
      <c r="R203" t="s" s="0">
        <v>81</v>
      </c>
      <c r="S203" t="s" s="0">
        <v>81</v>
      </c>
      <c r="T203" t="s" s="0">
        <v>81</v>
      </c>
      <c r="U203" t="s" s="0">
        <v>81</v>
      </c>
      <c r="V203" t="s" s="0">
        <v>5098</v>
      </c>
      <c r="W203" t="s" s="0">
        <v>1567</v>
      </c>
      <c r="X203" t="s" s="0">
        <v>81</v>
      </c>
      <c r="Y203" t="s" s="0">
        <v>81</v>
      </c>
      <c r="Z203" t="s" s="0">
        <v>90</v>
      </c>
      <c r="AA203" t="s" s="0">
        <v>91</v>
      </c>
      <c r="AB203" t="s" s="0">
        <v>81</v>
      </c>
      <c r="AC203" t="s" s="0">
        <v>81</v>
      </c>
      <c r="AD203" t="s" s="0">
        <v>81</v>
      </c>
      <c r="AE203" t="s" s="0">
        <v>81</v>
      </c>
      <c r="AF203" t="s" s="0">
        <v>81</v>
      </c>
      <c r="AG203" t="s" s="0">
        <v>81</v>
      </c>
      <c r="AH203" t="s" s="0">
        <v>5099</v>
      </c>
      <c r="AI203" t="s" s="0">
        <v>5100</v>
      </c>
      <c r="AJ203" t="s" s="0">
        <v>5101</v>
      </c>
      <c r="AK203" t="s" s="0">
        <v>81</v>
      </c>
      <c r="AL203" t="s" s="0">
        <v>144</v>
      </c>
      <c r="AM203" t="s" s="0">
        <v>210</v>
      </c>
      <c r="AN203" t="s" s="0">
        <v>372</v>
      </c>
      <c r="AO203" t="s" s="0">
        <v>172</v>
      </c>
      <c r="AP203" t="s" s="0">
        <v>245</v>
      </c>
      <c r="AQ203" t="s" s="0">
        <v>135</v>
      </c>
      <c r="AR203" t="s" s="0">
        <v>136</v>
      </c>
      <c r="AS203" t="s" s="0">
        <v>137</v>
      </c>
      <c r="AT203" t="s" s="0">
        <v>1569</v>
      </c>
      <c r="AU203" t="s" s="0">
        <v>81</v>
      </c>
      <c r="AV203" t="s" s="0">
        <v>81</v>
      </c>
      <c r="AW203" t="s" s="0">
        <v>1570</v>
      </c>
      <c r="AX203" t="s" s="0">
        <v>1571</v>
      </c>
      <c r="AY203" t="s" s="0">
        <v>5102</v>
      </c>
      <c r="AZ203" t="s" s="0">
        <v>142</v>
      </c>
      <c r="BA203" t="s" s="0">
        <v>172</v>
      </c>
      <c r="BB203" t="s" s="0">
        <v>144</v>
      </c>
      <c r="BC203" t="s" s="0">
        <v>81</v>
      </c>
      <c r="BD203" t="s" s="0">
        <v>81</v>
      </c>
      <c r="BE203" t="s" s="0">
        <v>81</v>
      </c>
      <c r="BF203" t="s" s="0">
        <v>81</v>
      </c>
      <c r="BG203" t="s" s="0">
        <v>81</v>
      </c>
      <c r="BH203" t="s" s="0">
        <v>81</v>
      </c>
      <c r="BI203" t="s" s="0">
        <v>5103</v>
      </c>
      <c r="BJ203" t="s" s="0">
        <v>5104</v>
      </c>
      <c r="BK203" t="s" s="401">
        <f>HYPERLINK("http://dx.doi.org/10.1038/s41746-025-02034-x","http://dx.doi.org/10.1038/s41746-025-02034-x")</f>
        <v>5105</v>
      </c>
      <c r="BL203" t="s" s="0">
        <v>81</v>
      </c>
      <c r="BM203" t="s" s="0">
        <v>81</v>
      </c>
      <c r="BN203" t="s" s="0">
        <v>245</v>
      </c>
      <c r="BO203" t="s" s="0">
        <v>1576</v>
      </c>
      <c r="BP203" t="s" s="0">
        <v>1576</v>
      </c>
      <c r="BQ203" t="s" s="0">
        <v>5106</v>
      </c>
      <c r="BR203" t="s" s="0">
        <v>5107</v>
      </c>
      <c r="BS203" t="s" s="0">
        <v>5108</v>
      </c>
      <c r="BT203" t="s" s="402">
        <f>HYPERLINK("https://www.webofscience.com/wos/woscc/full-record/WOS:001618214900001","View Record in Web of Science")</f>
        <v>113</v>
      </c>
      <c r="BU203" t="s" s="0">
        <v>153</v>
      </c>
      <c r="BV203" t="s" s="0">
        <v>81</v>
      </c>
      <c r="BW203" t="s" s="0">
        <v>81</v>
      </c>
      <c r="BX203" t="s" s="0">
        <v>115</v>
      </c>
    </row>
    <row r="204">
      <c r="A204" t="s" s="0">
        <v>77</v>
      </c>
      <c r="B204" t="s" s="0">
        <v>77</v>
      </c>
      <c r="C204" t="s" s="0">
        <v>77</v>
      </c>
      <c r="D204" t="s" s="0">
        <v>77</v>
      </c>
      <c r="E204" t="s" s="0">
        <v>5109</v>
      </c>
      <c r="F204" t="s" s="0">
        <v>5110</v>
      </c>
      <c r="G204" t="s" s="0">
        <v>5111</v>
      </c>
      <c r="H204" t="s" s="0">
        <v>81</v>
      </c>
      <c r="I204" t="s" s="0">
        <v>82</v>
      </c>
      <c r="J204" t="s" s="0">
        <v>5112</v>
      </c>
      <c r="K204" t="s" s="0">
        <v>5113</v>
      </c>
      <c r="L204" t="s" s="0">
        <v>5114</v>
      </c>
      <c r="M204" t="s" s="0">
        <v>5115</v>
      </c>
      <c r="N204" t="s" s="0">
        <v>5116</v>
      </c>
      <c r="O204" t="s" s="0">
        <v>5117</v>
      </c>
      <c r="P204" t="s" s="0">
        <v>5118</v>
      </c>
      <c r="Q204" t="s" s="0">
        <v>87</v>
      </c>
      <c r="R204" t="s" s="0">
        <v>81</v>
      </c>
      <c r="S204" t="s" s="0">
        <v>81</v>
      </c>
      <c r="T204" t="s" s="0">
        <v>81</v>
      </c>
      <c r="U204" t="s" s="0">
        <v>81</v>
      </c>
      <c r="V204" t="s" s="0">
        <v>5119</v>
      </c>
      <c r="W204" t="s" s="0">
        <v>940</v>
      </c>
      <c r="X204" t="s" s="0">
        <v>81</v>
      </c>
      <c r="Y204" t="s" s="0">
        <v>81</v>
      </c>
      <c r="Z204" t="s" s="0">
        <v>90</v>
      </c>
      <c r="AA204" t="s" s="0">
        <v>91</v>
      </c>
      <c r="AB204" t="s" s="0">
        <v>81</v>
      </c>
      <c r="AC204" t="s" s="0">
        <v>81</v>
      </c>
      <c r="AD204" t="s" s="0">
        <v>81</v>
      </c>
      <c r="AE204" t="s" s="0">
        <v>81</v>
      </c>
      <c r="AF204" t="s" s="0">
        <v>81</v>
      </c>
      <c r="AG204" t="s" s="0">
        <v>5120</v>
      </c>
      <c r="AH204" t="s" s="0">
        <v>5121</v>
      </c>
      <c r="AI204" t="s" s="0">
        <v>5122</v>
      </c>
      <c r="AJ204" t="s" s="0">
        <v>5123</v>
      </c>
      <c r="AK204" t="s" s="0">
        <v>81</v>
      </c>
      <c r="AL204" t="s" s="0">
        <v>1887</v>
      </c>
      <c r="AM204" t="s" s="0">
        <v>372</v>
      </c>
      <c r="AN204" t="s" s="0">
        <v>372</v>
      </c>
      <c r="AO204" t="s" s="0">
        <v>313</v>
      </c>
      <c r="AP204" t="s" s="0">
        <v>173</v>
      </c>
      <c r="AQ204" t="s" s="0">
        <v>278</v>
      </c>
      <c r="AR204" t="s" s="0">
        <v>247</v>
      </c>
      <c r="AS204" t="s" s="0">
        <v>279</v>
      </c>
      <c r="AT204" t="s" s="0">
        <v>943</v>
      </c>
      <c r="AU204" t="s" s="0">
        <v>944</v>
      </c>
      <c r="AV204" t="s" s="0">
        <v>81</v>
      </c>
      <c r="AW204" t="s" s="0">
        <v>945</v>
      </c>
      <c r="AX204" t="s" s="0">
        <v>946</v>
      </c>
      <c r="AY204" t="s" s="0">
        <v>1140</v>
      </c>
      <c r="AZ204" t="s" s="0">
        <v>142</v>
      </c>
      <c r="BA204" t="s" s="0">
        <v>428</v>
      </c>
      <c r="BB204" t="s" s="0">
        <v>187</v>
      </c>
      <c r="BC204" t="s" s="0">
        <v>81</v>
      </c>
      <c r="BD204" t="s" s="0">
        <v>81</v>
      </c>
      <c r="BE204" t="s" s="0">
        <v>81</v>
      </c>
      <c r="BF204" t="s" s="0">
        <v>81</v>
      </c>
      <c r="BG204" t="s" s="0">
        <v>5124</v>
      </c>
      <c r="BH204" t="s" s="0">
        <v>5125</v>
      </c>
      <c r="BI204" t="s" s="0">
        <v>81</v>
      </c>
      <c r="BJ204" t="s" s="0">
        <v>5126</v>
      </c>
      <c r="BK204" t="s" s="403">
        <f>HYPERLINK("http://dx.doi.org/10.1007/s00330-025-11694-y","http://dx.doi.org/10.1007/s00330-025-11694-y")</f>
        <v>5127</v>
      </c>
      <c r="BL204" t="s" s="0">
        <v>81</v>
      </c>
      <c r="BM204" t="s" s="0">
        <v>499</v>
      </c>
      <c r="BN204" t="s" s="0">
        <v>187</v>
      </c>
      <c r="BO204" t="s" s="0">
        <v>292</v>
      </c>
      <c r="BP204" t="s" s="0">
        <v>292</v>
      </c>
      <c r="BQ204" t="s" s="0">
        <v>5128</v>
      </c>
      <c r="BR204" t="s" s="0">
        <v>5129</v>
      </c>
      <c r="BS204" t="s" s="0">
        <v>5130</v>
      </c>
      <c r="BT204" t="s" s="404">
        <f>HYPERLINK("https://www.webofscience.com/wos/woscc/full-record/WOS:001494290500001","View Record in Web of Science")</f>
        <v>113</v>
      </c>
      <c r="BU204" t="s" s="0">
        <v>5131</v>
      </c>
      <c r="BV204" t="s" s="0">
        <v>81</v>
      </c>
      <c r="BW204" t="s" s="0">
        <v>81</v>
      </c>
      <c r="BX204" t="s" s="0">
        <v>115</v>
      </c>
    </row>
    <row r="205">
      <c r="A205" t="s" s="0">
        <v>77</v>
      </c>
      <c r="B205" t="s" s="0">
        <v>77</v>
      </c>
      <c r="C205" t="s" s="0">
        <v>77</v>
      </c>
      <c r="D205" t="s" s="0">
        <v>77</v>
      </c>
      <c r="E205" t="s" s="0">
        <v>5132</v>
      </c>
      <c r="F205" t="s" s="0">
        <v>5133</v>
      </c>
      <c r="G205" t="s" s="0">
        <v>5134</v>
      </c>
      <c r="H205" t="s" s="0">
        <v>81</v>
      </c>
      <c r="I205" t="s" s="0">
        <v>82</v>
      </c>
      <c r="J205" t="s" s="0">
        <v>5135</v>
      </c>
      <c r="K205" t="s" s="0">
        <v>5136</v>
      </c>
      <c r="L205" t="s" s="0">
        <v>5137</v>
      </c>
      <c r="M205" t="s" s="0">
        <v>5138</v>
      </c>
      <c r="N205" t="s" s="0">
        <v>5139</v>
      </c>
      <c r="O205" t="s" s="0">
        <v>5140</v>
      </c>
      <c r="P205" t="s" s="0">
        <v>5141</v>
      </c>
      <c r="Q205" t="s" s="0">
        <v>87</v>
      </c>
      <c r="R205" t="s" s="0">
        <v>81</v>
      </c>
      <c r="S205" t="s" s="0">
        <v>81</v>
      </c>
      <c r="T205" t="s" s="0">
        <v>81</v>
      </c>
      <c r="U205" t="s" s="0">
        <v>81</v>
      </c>
      <c r="V205" t="s" s="0">
        <v>5142</v>
      </c>
      <c r="W205" t="s" s="0">
        <v>5143</v>
      </c>
      <c r="X205" t="s" s="0">
        <v>81</v>
      </c>
      <c r="Y205" t="s" s="0">
        <v>81</v>
      </c>
      <c r="Z205" t="s" s="0">
        <v>90</v>
      </c>
      <c r="AA205" t="s" s="0">
        <v>2522</v>
      </c>
      <c r="AB205" t="s" s="0">
        <v>81</v>
      </c>
      <c r="AC205" t="s" s="0">
        <v>81</v>
      </c>
      <c r="AD205" t="s" s="0">
        <v>81</v>
      </c>
      <c r="AE205" t="s" s="0">
        <v>81</v>
      </c>
      <c r="AF205" t="s" s="0">
        <v>81</v>
      </c>
      <c r="AG205" t="s" s="0">
        <v>5144</v>
      </c>
      <c r="AH205" t="s" s="0">
        <v>5145</v>
      </c>
      <c r="AI205" t="s" s="0">
        <v>5146</v>
      </c>
      <c r="AJ205" t="s" s="0">
        <v>81</v>
      </c>
      <c r="AK205" t="s" s="0">
        <v>81</v>
      </c>
      <c r="AL205" t="s" s="0">
        <v>709</v>
      </c>
      <c r="AM205" t="s" s="0">
        <v>77</v>
      </c>
      <c r="AN205" t="s" s="0">
        <v>77</v>
      </c>
      <c r="AO205" t="s" s="0">
        <v>77</v>
      </c>
      <c r="AP205" t="s" s="0">
        <v>77</v>
      </c>
      <c r="AQ205" t="s" s="0">
        <v>557</v>
      </c>
      <c r="AR205" t="s" s="0">
        <v>558</v>
      </c>
      <c r="AS205" t="s" s="0">
        <v>559</v>
      </c>
      <c r="AT205" t="s" s="0">
        <v>5147</v>
      </c>
      <c r="AU205" t="s" s="0">
        <v>5148</v>
      </c>
      <c r="AV205" t="s" s="0">
        <v>81</v>
      </c>
      <c r="AW205" t="s" s="0">
        <v>5149</v>
      </c>
      <c r="AX205" t="s" s="0">
        <v>5150</v>
      </c>
      <c r="AY205" t="s" s="0">
        <v>81</v>
      </c>
      <c r="AZ205" t="s" s="0">
        <v>101</v>
      </c>
      <c r="BA205" t="s" s="0">
        <v>81</v>
      </c>
      <c r="BB205" t="s" s="0">
        <v>81</v>
      </c>
      <c r="BC205" t="s" s="0">
        <v>81</v>
      </c>
      <c r="BD205" t="s" s="0">
        <v>81</v>
      </c>
      <c r="BE205" t="s" s="0">
        <v>81</v>
      </c>
      <c r="BF205" t="s" s="0">
        <v>81</v>
      </c>
      <c r="BG205" t="s" s="0">
        <v>81</v>
      </c>
      <c r="BH205" t="s" s="0">
        <v>81</v>
      </c>
      <c r="BI205" t="s" s="0">
        <v>81</v>
      </c>
      <c r="BJ205" t="s" s="0">
        <v>5151</v>
      </c>
      <c r="BK205" t="s" s="405">
        <f>HYPERLINK("http://dx.doi.org/10.1111/jsr.70413","http://dx.doi.org/10.1111/jsr.70413")</f>
        <v>5152</v>
      </c>
      <c r="BL205" t="s" s="0">
        <v>81</v>
      </c>
      <c r="BM205" t="s" s="0">
        <v>2241</v>
      </c>
      <c r="BN205" t="s" s="0">
        <v>107</v>
      </c>
      <c r="BO205" t="s" s="0">
        <v>1937</v>
      </c>
      <c r="BP205" t="s" s="0">
        <v>749</v>
      </c>
      <c r="BQ205" t="s" s="0">
        <v>5153</v>
      </c>
      <c r="BR205" t="s" s="0">
        <v>5154</v>
      </c>
      <c r="BS205" t="s" s="0">
        <v>5155</v>
      </c>
      <c r="BT205" t="s" s="406">
        <f>HYPERLINK("https://www.webofscience.com/wos/woscc/full-record/WOS:001833324600001","View Record in Web of Science")</f>
        <v>113</v>
      </c>
      <c r="BU205" t="s" s="0">
        <v>193</v>
      </c>
      <c r="BV205" t="s" s="0">
        <v>81</v>
      </c>
      <c r="BW205" t="s" s="0">
        <v>81</v>
      </c>
      <c r="BX205" t="s" s="0">
        <v>115</v>
      </c>
    </row>
    <row r="206">
      <c r="A206" t="s" s="0">
        <v>77</v>
      </c>
      <c r="B206" t="s" s="0">
        <v>77</v>
      </c>
      <c r="C206" t="s" s="0">
        <v>77</v>
      </c>
      <c r="D206" t="s" s="0">
        <v>77</v>
      </c>
      <c r="E206" t="s" s="0">
        <v>5156</v>
      </c>
      <c r="F206" t="s" s="0">
        <v>5157</v>
      </c>
      <c r="G206" t="s" s="0">
        <v>5158</v>
      </c>
      <c r="H206" t="s" s="0">
        <v>81</v>
      </c>
      <c r="I206" t="s" s="0">
        <v>543</v>
      </c>
      <c r="J206" t="s" s="0">
        <v>5159</v>
      </c>
      <c r="K206" t="s" s="0">
        <v>5160</v>
      </c>
      <c r="L206" t="s" s="0">
        <v>5161</v>
      </c>
      <c r="M206" t="s" s="0">
        <v>5162</v>
      </c>
      <c r="N206" t="s" s="0">
        <v>5163</v>
      </c>
      <c r="O206" t="s" s="0">
        <v>5164</v>
      </c>
      <c r="P206" t="s" s="0">
        <v>5165</v>
      </c>
      <c r="Q206" t="s" s="0">
        <v>87</v>
      </c>
      <c r="R206" t="s" s="0">
        <v>81</v>
      </c>
      <c r="S206" t="s" s="0">
        <v>81</v>
      </c>
      <c r="T206" t="s" s="0">
        <v>81</v>
      </c>
      <c r="U206" t="s" s="0">
        <v>81</v>
      </c>
      <c r="V206" t="s" s="0">
        <v>5166</v>
      </c>
      <c r="W206" t="s" s="0">
        <v>1305</v>
      </c>
      <c r="X206" t="s" s="0">
        <v>81</v>
      </c>
      <c r="Y206" t="s" s="0">
        <v>81</v>
      </c>
      <c r="Z206" t="s" s="0">
        <v>90</v>
      </c>
      <c r="AA206" t="s" s="0">
        <v>91</v>
      </c>
      <c r="AB206" t="s" s="0">
        <v>81</v>
      </c>
      <c r="AC206" t="s" s="0">
        <v>81</v>
      </c>
      <c r="AD206" t="s" s="0">
        <v>81</v>
      </c>
      <c r="AE206" t="s" s="0">
        <v>81</v>
      </c>
      <c r="AF206" t="s" s="0">
        <v>81</v>
      </c>
      <c r="AG206" t="s" s="0">
        <v>5167</v>
      </c>
      <c r="AH206" t="s" s="0">
        <v>81</v>
      </c>
      <c r="AI206" t="s" s="0">
        <v>5168</v>
      </c>
      <c r="AJ206" t="s" s="0">
        <v>81</v>
      </c>
      <c r="AK206" t="s" s="0">
        <v>81</v>
      </c>
      <c r="AL206" t="s" s="0">
        <v>1223</v>
      </c>
      <c r="AM206" t="s" s="0">
        <v>77</v>
      </c>
      <c r="AN206" t="s" s="0">
        <v>77</v>
      </c>
      <c r="AO206" t="s" s="0">
        <v>77</v>
      </c>
      <c r="AP206" t="s" s="0">
        <v>77</v>
      </c>
      <c r="AQ206" t="s" s="0">
        <v>314</v>
      </c>
      <c r="AR206" t="s" s="0">
        <v>315</v>
      </c>
      <c r="AS206" t="s" s="0">
        <v>316</v>
      </c>
      <c r="AT206" t="s" s="0">
        <v>81</v>
      </c>
      <c r="AU206" t="s" s="0">
        <v>1308</v>
      </c>
      <c r="AV206" t="s" s="0">
        <v>81</v>
      </c>
      <c r="AW206" t="s" s="0">
        <v>1305</v>
      </c>
      <c r="AX206" t="s" s="0">
        <v>1309</v>
      </c>
      <c r="AY206" t="s" s="0">
        <v>5169</v>
      </c>
      <c r="AZ206" t="s" s="0">
        <v>101</v>
      </c>
      <c r="BA206" t="s" s="0">
        <v>245</v>
      </c>
      <c r="BB206" t="s" s="0">
        <v>372</v>
      </c>
      <c r="BC206" t="s" s="0">
        <v>81</v>
      </c>
      <c r="BD206" t="s" s="0">
        <v>81</v>
      </c>
      <c r="BE206" t="s" s="0">
        <v>81</v>
      </c>
      <c r="BF206" t="s" s="0">
        <v>81</v>
      </c>
      <c r="BG206" t="s" s="0">
        <v>81</v>
      </c>
      <c r="BH206" t="s" s="0">
        <v>81</v>
      </c>
      <c r="BI206" t="s" s="0">
        <v>744</v>
      </c>
      <c r="BJ206" t="s" s="0">
        <v>5170</v>
      </c>
      <c r="BK206" t="s" s="407">
        <f>HYPERLINK("http://dx.doi.org/10.3390/technologies14050277","http://dx.doi.org/10.3390/technologies14050277")</f>
        <v>5171</v>
      </c>
      <c r="BL206" t="s" s="0">
        <v>81</v>
      </c>
      <c r="BM206" t="s" s="0">
        <v>622</v>
      </c>
      <c r="BN206" t="s" s="0">
        <v>468</v>
      </c>
      <c r="BO206" t="s" s="0">
        <v>1314</v>
      </c>
      <c r="BP206" t="s" s="0">
        <v>865</v>
      </c>
      <c r="BQ206" t="s" s="0">
        <v>5172</v>
      </c>
      <c r="BR206" t="s" s="0">
        <v>81</v>
      </c>
      <c r="BS206" t="s" s="0">
        <v>5173</v>
      </c>
      <c r="BT206" t="s" s="408">
        <f>HYPERLINK("https://www.webofscience.com/wos/woscc/full-record/WOS:001774323600001","View Record in Web of Science")</f>
        <v>113</v>
      </c>
      <c r="BU206" t="s" s="0">
        <v>153</v>
      </c>
      <c r="BV206" t="s" s="0">
        <v>81</v>
      </c>
      <c r="BW206" t="s" s="0">
        <v>81</v>
      </c>
      <c r="BX206" t="s" s="0">
        <v>115</v>
      </c>
    </row>
    <row r="207">
      <c r="A207" t="s" s="0">
        <v>77</v>
      </c>
      <c r="B207" t="s" s="0">
        <v>77</v>
      </c>
      <c r="C207" t="s" s="0">
        <v>77</v>
      </c>
      <c r="D207" t="s" s="0">
        <v>77</v>
      </c>
      <c r="E207" t="s" s="0">
        <v>5174</v>
      </c>
      <c r="F207" t="s" s="0">
        <v>5175</v>
      </c>
      <c r="G207" t="s" s="0">
        <v>5176</v>
      </c>
      <c r="H207" t="s" s="0">
        <v>81</v>
      </c>
      <c r="I207" t="s" s="0">
        <v>82</v>
      </c>
      <c r="J207" t="s" s="0">
        <v>5177</v>
      </c>
      <c r="K207" t="s" s="0">
        <v>5178</v>
      </c>
      <c r="L207" t="s" s="0">
        <v>5179</v>
      </c>
      <c r="M207" t="s" s="0">
        <v>5180</v>
      </c>
      <c r="N207" t="s" s="0">
        <v>5181</v>
      </c>
      <c r="O207" t="s" s="0">
        <v>5182</v>
      </c>
      <c r="P207" t="s" s="0">
        <v>5183</v>
      </c>
      <c r="Q207" t="s" s="0">
        <v>87</v>
      </c>
      <c r="R207" t="s" s="0">
        <v>81</v>
      </c>
      <c r="S207" t="s" s="0">
        <v>81</v>
      </c>
      <c r="T207" t="s" s="0">
        <v>81</v>
      </c>
      <c r="U207" t="s" s="0">
        <v>81</v>
      </c>
      <c r="V207" t="s" s="0">
        <v>5184</v>
      </c>
      <c r="W207" t="s" s="0">
        <v>5185</v>
      </c>
      <c r="X207" t="s" s="0">
        <v>81</v>
      </c>
      <c r="Y207" t="s" s="0">
        <v>81</v>
      </c>
      <c r="Z207" t="s" s="0">
        <v>90</v>
      </c>
      <c r="AA207" t="s" s="0">
        <v>91</v>
      </c>
      <c r="AB207" t="s" s="0">
        <v>81</v>
      </c>
      <c r="AC207" t="s" s="0">
        <v>81</v>
      </c>
      <c r="AD207" t="s" s="0">
        <v>81</v>
      </c>
      <c r="AE207" t="s" s="0">
        <v>81</v>
      </c>
      <c r="AF207" t="s" s="0">
        <v>81</v>
      </c>
      <c r="AG207" t="s" s="0">
        <v>5186</v>
      </c>
      <c r="AH207" t="s" s="0">
        <v>81</v>
      </c>
      <c r="AI207" t="s" s="0">
        <v>5187</v>
      </c>
      <c r="AJ207" t="s" s="0">
        <v>5188</v>
      </c>
      <c r="AK207" t="s" s="0">
        <v>81</v>
      </c>
      <c r="AL207" t="s" s="0">
        <v>428</v>
      </c>
      <c r="AM207" t="s" s="0">
        <v>77</v>
      </c>
      <c r="AN207" t="s" s="0">
        <v>77</v>
      </c>
      <c r="AO207" t="s" s="0">
        <v>77</v>
      </c>
      <c r="AP207" t="s" s="0">
        <v>77</v>
      </c>
      <c r="AQ207" t="s" s="0">
        <v>314</v>
      </c>
      <c r="AR207" t="s" s="0">
        <v>315</v>
      </c>
      <c r="AS207" t="s" s="0">
        <v>316</v>
      </c>
      <c r="AT207" t="s" s="0">
        <v>81</v>
      </c>
      <c r="AU207" t="s" s="0">
        <v>5189</v>
      </c>
      <c r="AV207" t="s" s="0">
        <v>81</v>
      </c>
      <c r="AW207" t="s" s="0">
        <v>5185</v>
      </c>
      <c r="AX207" t="s" s="0">
        <v>5190</v>
      </c>
      <c r="AY207" t="s" s="0">
        <v>5191</v>
      </c>
      <c r="AZ207" t="s" s="0">
        <v>101</v>
      </c>
      <c r="BA207" t="s" s="0">
        <v>468</v>
      </c>
      <c r="BB207" t="s" s="0">
        <v>172</v>
      </c>
      <c r="BC207" t="s" s="0">
        <v>81</v>
      </c>
      <c r="BD207" t="s" s="0">
        <v>81</v>
      </c>
      <c r="BE207" t="s" s="0">
        <v>81</v>
      </c>
      <c r="BF207" t="s" s="0">
        <v>81</v>
      </c>
      <c r="BG207" t="s" s="0">
        <v>81</v>
      </c>
      <c r="BH207" t="s" s="0">
        <v>81</v>
      </c>
      <c r="BI207" t="s" s="0">
        <v>5192</v>
      </c>
      <c r="BJ207" t="s" s="0">
        <v>5193</v>
      </c>
      <c r="BK207" t="s" s="409">
        <f>HYPERLINK("http://dx.doi.org/10.3390/cancers18081194","http://dx.doi.org/10.3390/cancers18081194")</f>
        <v>5194</v>
      </c>
      <c r="BL207" t="s" s="0">
        <v>81</v>
      </c>
      <c r="BM207" t="s" s="0">
        <v>438</v>
      </c>
      <c r="BN207" t="s" s="0">
        <v>626</v>
      </c>
      <c r="BO207" t="s" s="0">
        <v>412</v>
      </c>
      <c r="BP207" t="s" s="0">
        <v>412</v>
      </c>
      <c r="BQ207" t="s" s="0">
        <v>5195</v>
      </c>
      <c r="BR207" t="s" s="0">
        <v>5196</v>
      </c>
      <c r="BS207" t="s" s="0">
        <v>5197</v>
      </c>
      <c r="BT207" t="s" s="410">
        <f>HYPERLINK("https://www.webofscience.com/wos/woscc/full-record/WOS:001750885400001","View Record in Web of Science")</f>
        <v>113</v>
      </c>
      <c r="BU207" t="s" s="0">
        <v>153</v>
      </c>
      <c r="BV207" t="s" s="0">
        <v>81</v>
      </c>
      <c r="BW207" t="s" s="0">
        <v>81</v>
      </c>
      <c r="BX207" t="s" s="0">
        <v>115</v>
      </c>
    </row>
    <row r="208">
      <c r="A208" t="s" s="0">
        <v>77</v>
      </c>
      <c r="B208" t="s" s="0">
        <v>77</v>
      </c>
      <c r="C208" t="s" s="0">
        <v>77</v>
      </c>
      <c r="D208" t="s" s="0">
        <v>77</v>
      </c>
      <c r="E208" t="s" s="0">
        <v>5198</v>
      </c>
      <c r="F208" t="s" s="0">
        <v>5199</v>
      </c>
      <c r="G208" t="s" s="0">
        <v>5200</v>
      </c>
      <c r="H208" t="s" s="0">
        <v>81</v>
      </c>
      <c r="I208" t="s" s="0">
        <v>82</v>
      </c>
      <c r="J208" t="s" s="0">
        <v>5201</v>
      </c>
      <c r="K208" t="s" s="0">
        <v>5202</v>
      </c>
      <c r="L208" t="s" s="0">
        <v>81</v>
      </c>
      <c r="M208" t="s" s="0">
        <v>81</v>
      </c>
      <c r="N208" t="s" s="0">
        <v>81</v>
      </c>
      <c r="O208" t="s" s="0">
        <v>5203</v>
      </c>
      <c r="P208" t="s" s="0">
        <v>5204</v>
      </c>
      <c r="Q208" t="s" s="0">
        <v>87</v>
      </c>
      <c r="R208" t="s" s="0">
        <v>81</v>
      </c>
      <c r="S208" t="s" s="0">
        <v>81</v>
      </c>
      <c r="T208" t="s" s="0">
        <v>81</v>
      </c>
      <c r="U208" t="s" s="0">
        <v>81</v>
      </c>
      <c r="V208" t="s" s="0">
        <v>5205</v>
      </c>
      <c r="W208" t="s" s="0">
        <v>1189</v>
      </c>
      <c r="X208" t="s" s="0">
        <v>81</v>
      </c>
      <c r="Y208" t="s" s="0">
        <v>81</v>
      </c>
      <c r="Z208" t="s" s="0">
        <v>90</v>
      </c>
      <c r="AA208" t="s" s="0">
        <v>91</v>
      </c>
      <c r="AB208" t="s" s="0">
        <v>81</v>
      </c>
      <c r="AC208" t="s" s="0">
        <v>81</v>
      </c>
      <c r="AD208" t="s" s="0">
        <v>81</v>
      </c>
      <c r="AE208" t="s" s="0">
        <v>81</v>
      </c>
      <c r="AF208" t="s" s="0">
        <v>81</v>
      </c>
      <c r="AG208" t="s" s="0">
        <v>5206</v>
      </c>
      <c r="AH208" t="s" s="0">
        <v>81</v>
      </c>
      <c r="AI208" t="s" s="0">
        <v>5207</v>
      </c>
      <c r="AJ208" t="s" s="0">
        <v>5208</v>
      </c>
      <c r="AK208" t="s" s="0">
        <v>81</v>
      </c>
      <c r="AL208" t="s" s="0">
        <v>276</v>
      </c>
      <c r="AM208" t="s" s="0">
        <v>313</v>
      </c>
      <c r="AN208" t="s" s="0">
        <v>210</v>
      </c>
      <c r="AO208" t="s" s="0">
        <v>313</v>
      </c>
      <c r="AP208" t="s" s="0">
        <v>173</v>
      </c>
      <c r="AQ208" t="s" s="0">
        <v>1195</v>
      </c>
      <c r="AR208" t="s" s="0">
        <v>1196</v>
      </c>
      <c r="AS208" t="s" s="0">
        <v>1197</v>
      </c>
      <c r="AT208" t="s" s="0">
        <v>1198</v>
      </c>
      <c r="AU208" t="s" s="0">
        <v>81</v>
      </c>
      <c r="AV208" t="s" s="0">
        <v>81</v>
      </c>
      <c r="AW208" t="s" s="0">
        <v>1189</v>
      </c>
      <c r="AX208" t="s" s="0">
        <v>1199</v>
      </c>
      <c r="AY208" t="s" s="0">
        <v>142</v>
      </c>
      <c r="AZ208" t="s" s="0">
        <v>142</v>
      </c>
      <c r="BA208" t="s" s="0">
        <v>134</v>
      </c>
      <c r="BB208" t="s" s="0">
        <v>81</v>
      </c>
      <c r="BC208" t="s" s="0">
        <v>81</v>
      </c>
      <c r="BD208" t="s" s="0">
        <v>81</v>
      </c>
      <c r="BE208" t="s" s="0">
        <v>81</v>
      </c>
      <c r="BF208" t="s" s="0">
        <v>81</v>
      </c>
      <c r="BG208" t="s" s="0">
        <v>5209</v>
      </c>
      <c r="BH208" t="s" s="0">
        <v>5210</v>
      </c>
      <c r="BI208" t="s" s="0">
        <v>81</v>
      </c>
      <c r="BJ208" t="s" s="0">
        <v>5211</v>
      </c>
      <c r="BK208" t="s" s="411">
        <f>HYPERLINK("http://dx.doi.org/10.1109/ACCESS.2025.3557533","http://dx.doi.org/10.1109/ACCESS.2025.3557533")</f>
        <v>5212</v>
      </c>
      <c r="BL208" t="s" s="0">
        <v>81</v>
      </c>
      <c r="BM208" t="s" s="0">
        <v>81</v>
      </c>
      <c r="BN208" t="s" s="0">
        <v>134</v>
      </c>
      <c r="BO208" t="s" s="0">
        <v>1204</v>
      </c>
      <c r="BP208" t="s" s="0">
        <v>1205</v>
      </c>
      <c r="BQ208" t="s" s="0">
        <v>5213</v>
      </c>
      <c r="BR208" t="s" s="0">
        <v>81</v>
      </c>
      <c r="BS208" t="s" s="0">
        <v>5214</v>
      </c>
      <c r="BT208" t="s" s="412">
        <f>HYPERLINK("https://www.webofscience.com/wos/woscc/full-record/WOS:001469012900016","View Record in Web of Science")</f>
        <v>113</v>
      </c>
      <c r="BU208" t="s" s="0">
        <v>153</v>
      </c>
      <c r="BV208" t="s" s="0">
        <v>81</v>
      </c>
      <c r="BW208" t="s" s="0">
        <v>81</v>
      </c>
      <c r="BX208" t="s" s="0">
        <v>115</v>
      </c>
    </row>
    <row r="209">
      <c r="A209" t="s" s="0">
        <v>77</v>
      </c>
      <c r="B209" t="s" s="0">
        <v>77</v>
      </c>
      <c r="C209" t="s" s="0">
        <v>77</v>
      </c>
      <c r="D209" t="s" s="0">
        <v>77</v>
      </c>
      <c r="E209" t="s" s="0">
        <v>5215</v>
      </c>
      <c r="F209" t="s" s="0">
        <v>5216</v>
      </c>
      <c r="G209" t="s" s="0">
        <v>5217</v>
      </c>
      <c r="H209" t="s" s="0">
        <v>81</v>
      </c>
      <c r="I209" t="s" s="0">
        <v>82</v>
      </c>
      <c r="J209" t="s" s="0">
        <v>5218</v>
      </c>
      <c r="K209" t="s" s="0">
        <v>5219</v>
      </c>
      <c r="L209" t="s" s="0">
        <v>5220</v>
      </c>
      <c r="M209" t="s" s="0">
        <v>5221</v>
      </c>
      <c r="N209" t="s" s="0">
        <v>5222</v>
      </c>
      <c r="O209" t="s" s="0">
        <v>5223</v>
      </c>
      <c r="P209" t="s" s="0">
        <v>5224</v>
      </c>
      <c r="Q209" t="s" s="0">
        <v>87</v>
      </c>
      <c r="R209" t="s" s="0">
        <v>81</v>
      </c>
      <c r="S209" t="s" s="0">
        <v>81</v>
      </c>
      <c r="T209" t="s" s="0">
        <v>81</v>
      </c>
      <c r="U209" t="s" s="0">
        <v>81</v>
      </c>
      <c r="V209" t="s" s="0">
        <v>5225</v>
      </c>
      <c r="W209" t="s" s="0">
        <v>128</v>
      </c>
      <c r="X209" t="s" s="0">
        <v>81</v>
      </c>
      <c r="Y209" t="s" s="0">
        <v>81</v>
      </c>
      <c r="Z209" t="s" s="0">
        <v>90</v>
      </c>
      <c r="AA209" t="s" s="0">
        <v>91</v>
      </c>
      <c r="AB209" t="s" s="0">
        <v>81</v>
      </c>
      <c r="AC209" t="s" s="0">
        <v>81</v>
      </c>
      <c r="AD209" t="s" s="0">
        <v>81</v>
      </c>
      <c r="AE209" t="s" s="0">
        <v>81</v>
      </c>
      <c r="AF209" t="s" s="0">
        <v>81</v>
      </c>
      <c r="AG209" t="s" s="0">
        <v>5226</v>
      </c>
      <c r="AH209" t="s" s="0">
        <v>5227</v>
      </c>
      <c r="AI209" t="s" s="0">
        <v>81</v>
      </c>
      <c r="AJ209" t="s" s="0">
        <v>5228</v>
      </c>
      <c r="AK209" t="s" s="0">
        <v>81</v>
      </c>
      <c r="AL209" t="s" s="0">
        <v>1493</v>
      </c>
      <c r="AM209" t="s" s="0">
        <v>144</v>
      </c>
      <c r="AN209" t="s" s="0">
        <v>313</v>
      </c>
      <c r="AO209" t="s" s="0">
        <v>77</v>
      </c>
      <c r="AP209" t="s" s="0">
        <v>77</v>
      </c>
      <c r="AQ209" t="s" s="0">
        <v>135</v>
      </c>
      <c r="AR209" t="s" s="0">
        <v>136</v>
      </c>
      <c r="AS209" t="s" s="0">
        <v>137</v>
      </c>
      <c r="AT209" t="s" s="0">
        <v>138</v>
      </c>
      <c r="AU209" t="s" s="0">
        <v>81</v>
      </c>
      <c r="AV209" t="s" s="0">
        <v>81</v>
      </c>
      <c r="AW209" t="s" s="0">
        <v>139</v>
      </c>
      <c r="AX209" t="s" s="0">
        <v>140</v>
      </c>
      <c r="AY209" t="s" s="0">
        <v>5229</v>
      </c>
      <c r="AZ209" t="s" s="0">
        <v>142</v>
      </c>
      <c r="BA209" t="s" s="0">
        <v>143</v>
      </c>
      <c r="BB209" t="s" s="0">
        <v>144</v>
      </c>
      <c r="BC209" t="s" s="0">
        <v>81</v>
      </c>
      <c r="BD209" t="s" s="0">
        <v>81</v>
      </c>
      <c r="BE209" t="s" s="0">
        <v>81</v>
      </c>
      <c r="BF209" t="s" s="0">
        <v>81</v>
      </c>
      <c r="BG209" t="s" s="0">
        <v>81</v>
      </c>
      <c r="BH209" t="s" s="0">
        <v>81</v>
      </c>
      <c r="BI209" t="s" s="0">
        <v>5230</v>
      </c>
      <c r="BJ209" t="s" s="0">
        <v>5231</v>
      </c>
      <c r="BK209" t="s" s="413">
        <f>HYPERLINK("http://dx.doi.org/10.1038/s41598-025-33536-z","http://dx.doi.org/10.1038/s41598-025-33536-z")</f>
        <v>5232</v>
      </c>
      <c r="BL209" t="s" s="0">
        <v>81</v>
      </c>
      <c r="BM209" t="s" s="0">
        <v>1140</v>
      </c>
      <c r="BN209" t="s" s="0">
        <v>173</v>
      </c>
      <c r="BO209" t="s" s="0">
        <v>148</v>
      </c>
      <c r="BP209" t="s" s="0">
        <v>149</v>
      </c>
      <c r="BQ209" t="s" s="0">
        <v>5233</v>
      </c>
      <c r="BR209" t="s" s="0">
        <v>5234</v>
      </c>
      <c r="BS209" t="s" s="0">
        <v>5235</v>
      </c>
      <c r="BT209" t="s" s="414">
        <f>HYPERLINK("https://www.webofscience.com/wos/woscc/full-record/WOS:001651220100001","View Record in Web of Science")</f>
        <v>113</v>
      </c>
      <c r="BU209" t="s" s="0">
        <v>153</v>
      </c>
      <c r="BV209" t="s" s="0">
        <v>81</v>
      </c>
      <c r="BW209" t="s" s="0">
        <v>81</v>
      </c>
      <c r="BX209" t="s" s="0">
        <v>115</v>
      </c>
    </row>
    <row r="210">
      <c r="A210" t="s" s="0">
        <v>77</v>
      </c>
      <c r="B210" t="s" s="0">
        <v>77</v>
      </c>
      <c r="C210" t="s" s="0">
        <v>77</v>
      </c>
      <c r="D210" t="s" s="0">
        <v>77</v>
      </c>
      <c r="E210" t="s" s="0">
        <v>5236</v>
      </c>
      <c r="F210" t="s" s="0">
        <v>5237</v>
      </c>
      <c r="G210" t="s" s="0">
        <v>5238</v>
      </c>
      <c r="H210" t="s" s="0">
        <v>81</v>
      </c>
      <c r="I210" t="s" s="0">
        <v>82</v>
      </c>
      <c r="J210" t="s" s="0">
        <v>5239</v>
      </c>
      <c r="K210" t="s" s="0">
        <v>5240</v>
      </c>
      <c r="L210" t="s" s="0">
        <v>5241</v>
      </c>
      <c r="M210" t="s" s="0">
        <v>5242</v>
      </c>
      <c r="N210" t="s" s="0">
        <v>5243</v>
      </c>
      <c r="O210" t="s" s="0">
        <v>5244</v>
      </c>
      <c r="P210" t="s" s="0">
        <v>5245</v>
      </c>
      <c r="Q210" t="s" s="0">
        <v>87</v>
      </c>
      <c r="R210" t="s" s="0">
        <v>81</v>
      </c>
      <c r="S210" t="s" s="0">
        <v>81</v>
      </c>
      <c r="T210" t="s" s="0">
        <v>81</v>
      </c>
      <c r="U210" t="s" s="0">
        <v>81</v>
      </c>
      <c r="V210" t="s" s="0">
        <v>5246</v>
      </c>
      <c r="W210" t="s" s="0">
        <v>5247</v>
      </c>
      <c r="X210" t="s" s="0">
        <v>81</v>
      </c>
      <c r="Y210" t="s" s="0">
        <v>81</v>
      </c>
      <c r="Z210" t="s" s="0">
        <v>90</v>
      </c>
      <c r="AA210" t="s" s="0">
        <v>91</v>
      </c>
      <c r="AB210" t="s" s="0">
        <v>81</v>
      </c>
      <c r="AC210" t="s" s="0">
        <v>81</v>
      </c>
      <c r="AD210" t="s" s="0">
        <v>81</v>
      </c>
      <c r="AE210" t="s" s="0">
        <v>81</v>
      </c>
      <c r="AF210" t="s" s="0">
        <v>81</v>
      </c>
      <c r="AG210" t="s" s="0">
        <v>5248</v>
      </c>
      <c r="AH210" t="s" s="0">
        <v>81</v>
      </c>
      <c r="AI210" t="s" s="0">
        <v>81</v>
      </c>
      <c r="AJ210" t="s" s="0">
        <v>81</v>
      </c>
      <c r="AK210" t="s" s="0">
        <v>81</v>
      </c>
      <c r="AL210" t="s" s="0">
        <v>2106</v>
      </c>
      <c r="AM210" t="s" s="0">
        <v>77</v>
      </c>
      <c r="AN210" t="s" s="0">
        <v>77</v>
      </c>
      <c r="AO210" t="s" s="0">
        <v>372</v>
      </c>
      <c r="AP210" t="s" s="0">
        <v>372</v>
      </c>
      <c r="AQ210" t="s" s="0">
        <v>373</v>
      </c>
      <c r="AR210" t="s" s="0">
        <v>374</v>
      </c>
      <c r="AS210" t="s" s="0">
        <v>375</v>
      </c>
      <c r="AT210" t="s" s="0">
        <v>5249</v>
      </c>
      <c r="AU210" t="s" s="0">
        <v>5250</v>
      </c>
      <c r="AV210" t="s" s="0">
        <v>81</v>
      </c>
      <c r="AW210" t="s" s="0">
        <v>5251</v>
      </c>
      <c r="AX210" t="s" s="0">
        <v>5252</v>
      </c>
      <c r="AY210" t="s" s="0">
        <v>218</v>
      </c>
      <c r="AZ210" t="s" s="0">
        <v>142</v>
      </c>
      <c r="BA210" t="s" s="0">
        <v>143</v>
      </c>
      <c r="BB210" t="s" s="0">
        <v>107</v>
      </c>
      <c r="BC210" t="s" s="0">
        <v>81</v>
      </c>
      <c r="BD210" t="s" s="0">
        <v>81</v>
      </c>
      <c r="BE210" t="s" s="0">
        <v>81</v>
      </c>
      <c r="BF210" t="s" s="0">
        <v>81</v>
      </c>
      <c r="BG210" t="s" s="0">
        <v>5253</v>
      </c>
      <c r="BH210" t="s" s="0">
        <v>5254</v>
      </c>
      <c r="BI210" t="s" s="0">
        <v>81</v>
      </c>
      <c r="BJ210" t="s" s="0">
        <v>5255</v>
      </c>
      <c r="BK210" t="s" s="415">
        <f>HYPERLINK("http://dx.doi.org/10.21037/qims-2025-635","http://dx.doi.org/10.21037/qims-2025-635")</f>
        <v>5256</v>
      </c>
      <c r="BL210" t="s" s="0">
        <v>81</v>
      </c>
      <c r="BM210" t="s" s="0">
        <v>81</v>
      </c>
      <c r="BN210" t="s" s="0">
        <v>626</v>
      </c>
      <c r="BO210" t="s" s="0">
        <v>292</v>
      </c>
      <c r="BP210" t="s" s="0">
        <v>292</v>
      </c>
      <c r="BQ210" t="s" s="0">
        <v>5257</v>
      </c>
      <c r="BR210" t="s" s="0">
        <v>5258</v>
      </c>
      <c r="BS210" t="s" s="0">
        <v>5259</v>
      </c>
      <c r="BT210" t="s" s="416">
        <f>HYPERLINK("https://www.webofscience.com/wos/woscc/full-record/WOS:001593086700009","View Record in Web of Science")</f>
        <v>113</v>
      </c>
      <c r="BU210" t="s" s="0">
        <v>153</v>
      </c>
      <c r="BV210" t="s" s="0">
        <v>81</v>
      </c>
      <c r="BW210" t="s" s="0">
        <v>81</v>
      </c>
      <c r="BX210" t="s" s="0">
        <v>115</v>
      </c>
    </row>
    <row r="211">
      <c r="A211" t="s" s="0">
        <v>77</v>
      </c>
      <c r="B211" t="s" s="0">
        <v>77</v>
      </c>
      <c r="C211" t="s" s="0">
        <v>77</v>
      </c>
      <c r="D211" t="s" s="0">
        <v>77</v>
      </c>
      <c r="E211" t="s" s="0">
        <v>5260</v>
      </c>
      <c r="F211" t="s" s="0">
        <v>5261</v>
      </c>
      <c r="G211" t="s" s="0">
        <v>5262</v>
      </c>
      <c r="H211" t="s" s="0">
        <v>81</v>
      </c>
      <c r="I211" t="s" s="0">
        <v>82</v>
      </c>
      <c r="J211" t="s" s="0">
        <v>5263</v>
      </c>
      <c r="K211" t="s" s="0">
        <v>5264</v>
      </c>
      <c r="L211" t="s" s="0">
        <v>81</v>
      </c>
      <c r="M211" t="s" s="0">
        <v>81</v>
      </c>
      <c r="N211" t="s" s="0">
        <v>81</v>
      </c>
      <c r="O211" t="s" s="0">
        <v>5265</v>
      </c>
      <c r="P211" t="s" s="0">
        <v>5266</v>
      </c>
      <c r="Q211" t="s" s="0">
        <v>87</v>
      </c>
      <c r="R211" t="s" s="0">
        <v>81</v>
      </c>
      <c r="S211" t="s" s="0">
        <v>81</v>
      </c>
      <c r="T211" t="s" s="0">
        <v>81</v>
      </c>
      <c r="U211" t="s" s="0">
        <v>81</v>
      </c>
      <c r="V211" t="s" s="0">
        <v>5267</v>
      </c>
      <c r="W211" t="s" s="0">
        <v>5268</v>
      </c>
      <c r="X211" t="s" s="0">
        <v>81</v>
      </c>
      <c r="Y211" t="s" s="0">
        <v>81</v>
      </c>
      <c r="Z211" t="s" s="0">
        <v>90</v>
      </c>
      <c r="AA211" t="s" s="0">
        <v>91</v>
      </c>
      <c r="AB211" t="s" s="0">
        <v>81</v>
      </c>
      <c r="AC211" t="s" s="0">
        <v>81</v>
      </c>
      <c r="AD211" t="s" s="0">
        <v>81</v>
      </c>
      <c r="AE211" t="s" s="0">
        <v>81</v>
      </c>
      <c r="AF211" t="s" s="0">
        <v>81</v>
      </c>
      <c r="AG211" t="s" s="0">
        <v>5269</v>
      </c>
      <c r="AH211" t="s" s="0">
        <v>81</v>
      </c>
      <c r="AI211" t="s" s="0">
        <v>5270</v>
      </c>
      <c r="AJ211" t="s" s="0">
        <v>81</v>
      </c>
      <c r="AK211" t="s" s="0">
        <v>81</v>
      </c>
      <c r="AL211" t="s" s="0">
        <v>276</v>
      </c>
      <c r="AM211" t="s" s="0">
        <v>77</v>
      </c>
      <c r="AN211" t="s" s="0">
        <v>77</v>
      </c>
      <c r="AO211" t="s" s="0">
        <v>144</v>
      </c>
      <c r="AP211" t="s" s="0">
        <v>144</v>
      </c>
      <c r="AQ211" t="s" s="0">
        <v>1877</v>
      </c>
      <c r="AR211" t="s" s="0">
        <v>1878</v>
      </c>
      <c r="AS211" t="s" s="0">
        <v>1879</v>
      </c>
      <c r="AT211" t="s" s="0">
        <v>5271</v>
      </c>
      <c r="AU211" t="s" s="0">
        <v>5272</v>
      </c>
      <c r="AV211" t="s" s="0">
        <v>81</v>
      </c>
      <c r="AW211" t="s" s="0">
        <v>5273</v>
      </c>
      <c r="AX211" t="s" s="0">
        <v>5274</v>
      </c>
      <c r="AY211" t="s" s="0">
        <v>5275</v>
      </c>
      <c r="AZ211" t="s" s="0">
        <v>101</v>
      </c>
      <c r="BA211" t="s" s="0">
        <v>5276</v>
      </c>
      <c r="BB211" t="s" s="0">
        <v>116</v>
      </c>
      <c r="BC211" t="s" s="0">
        <v>81</v>
      </c>
      <c r="BD211" t="s" s="0">
        <v>81</v>
      </c>
      <c r="BE211" t="s" s="0">
        <v>81</v>
      </c>
      <c r="BF211" t="s" s="0">
        <v>81</v>
      </c>
      <c r="BG211" t="s" s="0">
        <v>81</v>
      </c>
      <c r="BH211" t="s" s="0">
        <v>81</v>
      </c>
      <c r="BI211" t="s" s="0">
        <v>5277</v>
      </c>
      <c r="BJ211" t="s" s="0">
        <v>5278</v>
      </c>
      <c r="BK211" t="s" s="417">
        <f>HYPERLINK("http://dx.doi.org/10.1088/1873-4030/ae449b","http://dx.doi.org/10.1088/1873-4030/ae449b")</f>
        <v>5279</v>
      </c>
      <c r="BL211" t="s" s="0">
        <v>81</v>
      </c>
      <c r="BM211" t="s" s="0">
        <v>81</v>
      </c>
      <c r="BN211" t="s" s="0">
        <v>684</v>
      </c>
      <c r="BO211" t="s" s="0">
        <v>864</v>
      </c>
      <c r="BP211" t="s" s="0">
        <v>865</v>
      </c>
      <c r="BQ211" t="s" s="0">
        <v>5280</v>
      </c>
      <c r="BR211" t="s" s="0">
        <v>5281</v>
      </c>
      <c r="BS211" t="s" s="0">
        <v>5282</v>
      </c>
      <c r="BT211" t="s" s="418">
        <f>HYPERLINK("https://www.webofscience.com/wos/woscc/full-record/WOS:001751399300001","View Record in Web of Science")</f>
        <v>113</v>
      </c>
      <c r="BU211" t="s" s="0">
        <v>81</v>
      </c>
      <c r="BV211" t="s" s="0">
        <v>81</v>
      </c>
      <c r="BW211" t="s" s="0">
        <v>81</v>
      </c>
      <c r="BX211" t="s" s="0">
        <v>115</v>
      </c>
    </row>
    <row r="212">
      <c r="A212" t="s" s="0">
        <v>313</v>
      </c>
      <c r="B212" t="s" s="0">
        <v>77</v>
      </c>
      <c r="C212" t="s" s="0">
        <v>77</v>
      </c>
      <c r="D212" t="s" s="0">
        <v>77</v>
      </c>
      <c r="E212" t="s" s="0">
        <v>5283</v>
      </c>
      <c r="F212" t="s" s="0">
        <v>5284</v>
      </c>
      <c r="G212" t="s" s="0">
        <v>5285</v>
      </c>
      <c r="H212" t="s" s="0">
        <v>81</v>
      </c>
      <c r="I212" t="s" s="0">
        <v>82</v>
      </c>
      <c r="J212" t="s" s="0">
        <v>5286</v>
      </c>
      <c r="K212" t="s" s="0">
        <v>5287</v>
      </c>
      <c r="L212" t="s" s="0">
        <v>2680</v>
      </c>
      <c r="M212" t="s" s="0">
        <v>5288</v>
      </c>
      <c r="N212" t="s" s="0">
        <v>5289</v>
      </c>
      <c r="O212" t="s" s="0">
        <v>5290</v>
      </c>
      <c r="P212" t="s" s="0">
        <v>5291</v>
      </c>
      <c r="Q212" t="s" s="0">
        <v>87</v>
      </c>
      <c r="R212" t="s" s="0">
        <v>81</v>
      </c>
      <c r="S212" t="s" s="0">
        <v>81</v>
      </c>
      <c r="T212" t="s" s="0">
        <v>81</v>
      </c>
      <c r="U212" t="s" s="0">
        <v>81</v>
      </c>
      <c r="V212" t="s" s="0">
        <v>5292</v>
      </c>
      <c r="W212" t="s" s="0">
        <v>128</v>
      </c>
      <c r="X212" t="s" s="0">
        <v>81</v>
      </c>
      <c r="Y212" t="s" s="0">
        <v>81</v>
      </c>
      <c r="Z212" t="s" s="0">
        <v>90</v>
      </c>
      <c r="AA212" t="s" s="0">
        <v>91</v>
      </c>
      <c r="AB212" t="s" s="0">
        <v>81</v>
      </c>
      <c r="AC212" t="s" s="0">
        <v>81</v>
      </c>
      <c r="AD212" t="s" s="0">
        <v>81</v>
      </c>
      <c r="AE212" t="s" s="0">
        <v>81</v>
      </c>
      <c r="AF212" t="s" s="0">
        <v>81</v>
      </c>
      <c r="AG212" t="s" s="0">
        <v>81</v>
      </c>
      <c r="AH212" t="s" s="0">
        <v>5293</v>
      </c>
      <c r="AI212" t="s" s="0">
        <v>81</v>
      </c>
      <c r="AJ212" t="s" s="0">
        <v>81</v>
      </c>
      <c r="AK212" t="s" s="0">
        <v>81</v>
      </c>
      <c r="AL212" t="s" s="0">
        <v>521</v>
      </c>
      <c r="AM212" t="s" s="0">
        <v>116</v>
      </c>
      <c r="AN212" t="s" s="0">
        <v>372</v>
      </c>
      <c r="AO212" t="s" s="0">
        <v>144</v>
      </c>
      <c r="AP212" t="s" s="0">
        <v>116</v>
      </c>
      <c r="AQ212" t="s" s="0">
        <v>135</v>
      </c>
      <c r="AR212" t="s" s="0">
        <v>136</v>
      </c>
      <c r="AS212" t="s" s="0">
        <v>137</v>
      </c>
      <c r="AT212" t="s" s="0">
        <v>138</v>
      </c>
      <c r="AU212" t="s" s="0">
        <v>81</v>
      </c>
      <c r="AV212" t="s" s="0">
        <v>81</v>
      </c>
      <c r="AW212" t="s" s="0">
        <v>139</v>
      </c>
      <c r="AX212" t="s" s="0">
        <v>140</v>
      </c>
      <c r="AY212" t="s" s="0">
        <v>5294</v>
      </c>
      <c r="AZ212" t="s" s="0">
        <v>142</v>
      </c>
      <c r="BA212" t="s" s="0">
        <v>143</v>
      </c>
      <c r="BB212" t="s" s="0">
        <v>144</v>
      </c>
      <c r="BC212" t="s" s="0">
        <v>81</v>
      </c>
      <c r="BD212" t="s" s="0">
        <v>81</v>
      </c>
      <c r="BE212" t="s" s="0">
        <v>81</v>
      </c>
      <c r="BF212" t="s" s="0">
        <v>81</v>
      </c>
      <c r="BG212" t="s" s="0">
        <v>81</v>
      </c>
      <c r="BH212" t="s" s="0">
        <v>81</v>
      </c>
      <c r="BI212" t="s" s="0">
        <v>5295</v>
      </c>
      <c r="BJ212" t="s" s="0">
        <v>5296</v>
      </c>
      <c r="BK212" t="s" s="419">
        <f>HYPERLINK("http://dx.doi.org/10.1038/s41598-025-12633-z","http://dx.doi.org/10.1038/s41598-025-12633-z")</f>
        <v>5297</v>
      </c>
      <c r="BL212" t="s" s="0">
        <v>81</v>
      </c>
      <c r="BM212" t="s" s="0">
        <v>81</v>
      </c>
      <c r="BN212" t="s" s="0">
        <v>173</v>
      </c>
      <c r="BO212" t="s" s="0">
        <v>148</v>
      </c>
      <c r="BP212" t="s" s="0">
        <v>149</v>
      </c>
      <c r="BQ212" t="s" s="0">
        <v>5298</v>
      </c>
      <c r="BR212" t="s" s="0">
        <v>5299</v>
      </c>
      <c r="BS212" t="s" s="0">
        <v>5300</v>
      </c>
      <c r="BT212" t="s" s="420">
        <f>HYPERLINK("https://www.webofscience.com/wos/woscc/full-record/WOS:001537442500012","View Record in Web of Science")</f>
        <v>113</v>
      </c>
      <c r="BU212" t="s" s="0">
        <v>153</v>
      </c>
      <c r="BV212" t="s" s="0">
        <v>81</v>
      </c>
      <c r="BW212" t="s" s="0">
        <v>81</v>
      </c>
      <c r="BX212" t="s" s="0">
        <v>115</v>
      </c>
    </row>
    <row r="213">
      <c r="A213" t="s" s="0">
        <v>77</v>
      </c>
      <c r="B213" t="s" s="0">
        <v>77</v>
      </c>
      <c r="C213" t="s" s="0">
        <v>77</v>
      </c>
      <c r="D213" t="s" s="0">
        <v>77</v>
      </c>
      <c r="E213" t="s" s="0">
        <v>5301</v>
      </c>
      <c r="F213" t="s" s="0">
        <v>5302</v>
      </c>
      <c r="G213" t="s" s="0">
        <v>5303</v>
      </c>
      <c r="H213" t="s" s="0">
        <v>81</v>
      </c>
      <c r="I213" t="s" s="0">
        <v>82</v>
      </c>
      <c r="J213" t="s" s="0">
        <v>5304</v>
      </c>
      <c r="K213" t="s" s="0">
        <v>5305</v>
      </c>
      <c r="L213" t="s" s="0">
        <v>5306</v>
      </c>
      <c r="M213" t="s" s="0">
        <v>5306</v>
      </c>
      <c r="N213" t="s" s="0">
        <v>5307</v>
      </c>
      <c r="O213" t="s" s="0">
        <v>5308</v>
      </c>
      <c r="P213" t="s" s="0">
        <v>5309</v>
      </c>
      <c r="Q213" t="s" s="0">
        <v>87</v>
      </c>
      <c r="R213" t="s" s="0">
        <v>81</v>
      </c>
      <c r="S213" t="s" s="0">
        <v>81</v>
      </c>
      <c r="T213" t="s" s="0">
        <v>81</v>
      </c>
      <c r="U213" t="s" s="0">
        <v>81</v>
      </c>
      <c r="V213" t="s" s="0">
        <v>5310</v>
      </c>
      <c r="W213" t="s" s="0">
        <v>997</v>
      </c>
      <c r="X213" t="s" s="0">
        <v>81</v>
      </c>
      <c r="Y213" t="s" s="0">
        <v>81</v>
      </c>
      <c r="Z213" t="s" s="0">
        <v>90</v>
      </c>
      <c r="AA213" t="s" s="0">
        <v>91</v>
      </c>
      <c r="AB213" t="s" s="0">
        <v>81</v>
      </c>
      <c r="AC213" t="s" s="0">
        <v>81</v>
      </c>
      <c r="AD213" t="s" s="0">
        <v>81</v>
      </c>
      <c r="AE213" t="s" s="0">
        <v>81</v>
      </c>
      <c r="AF213" t="s" s="0">
        <v>81</v>
      </c>
      <c r="AG213" t="s" s="0">
        <v>5311</v>
      </c>
      <c r="AH213" t="s" s="0">
        <v>5312</v>
      </c>
      <c r="AI213" t="s" s="0">
        <v>5313</v>
      </c>
      <c r="AJ213" t="s" s="0">
        <v>5314</v>
      </c>
      <c r="AK213" t="s" s="0">
        <v>81</v>
      </c>
      <c r="AL213" t="s" s="0">
        <v>822</v>
      </c>
      <c r="AM213" t="s" s="0">
        <v>210</v>
      </c>
      <c r="AN213" t="s" s="0">
        <v>210</v>
      </c>
      <c r="AO213" t="s" s="0">
        <v>210</v>
      </c>
      <c r="AP213" t="s" s="0">
        <v>133</v>
      </c>
      <c r="AQ213" t="s" s="0">
        <v>314</v>
      </c>
      <c r="AR213" t="s" s="0">
        <v>315</v>
      </c>
      <c r="AS213" t="s" s="0">
        <v>316</v>
      </c>
      <c r="AT213" t="s" s="0">
        <v>1003</v>
      </c>
      <c r="AU213" t="s" s="0">
        <v>81</v>
      </c>
      <c r="AV213" t="s" s="0">
        <v>81</v>
      </c>
      <c r="AW213" t="s" s="0">
        <v>1004</v>
      </c>
      <c r="AX213" t="s" s="0">
        <v>1005</v>
      </c>
      <c r="AY213" t="s" s="0">
        <v>5315</v>
      </c>
      <c r="AZ213" t="s" s="0">
        <v>142</v>
      </c>
      <c r="BA213" t="s" s="0">
        <v>245</v>
      </c>
      <c r="BB213" t="s" s="0">
        <v>143</v>
      </c>
      <c r="BC213" t="s" s="0">
        <v>81</v>
      </c>
      <c r="BD213" t="s" s="0">
        <v>81</v>
      </c>
      <c r="BE213" t="s" s="0">
        <v>81</v>
      </c>
      <c r="BF213" t="s" s="0">
        <v>81</v>
      </c>
      <c r="BG213" t="s" s="0">
        <v>81</v>
      </c>
      <c r="BH213" t="s" s="0">
        <v>81</v>
      </c>
      <c r="BI213" t="s" s="0">
        <v>5316</v>
      </c>
      <c r="BJ213" t="s" s="0">
        <v>5317</v>
      </c>
      <c r="BK213" t="s" s="421">
        <f>HYPERLINK("http://dx.doi.org/10.3390/electronics14153089","http://dx.doi.org/10.3390/electronics14153089")</f>
        <v>5318</v>
      </c>
      <c r="BL213" t="s" s="0">
        <v>81</v>
      </c>
      <c r="BM213" t="s" s="0">
        <v>81</v>
      </c>
      <c r="BN213" t="s" s="0">
        <v>468</v>
      </c>
      <c r="BO213" t="s" s="0">
        <v>1010</v>
      </c>
      <c r="BP213" t="s" s="0">
        <v>1011</v>
      </c>
      <c r="BQ213" t="s" s="0">
        <v>5319</v>
      </c>
      <c r="BR213" t="s" s="0">
        <v>81</v>
      </c>
      <c r="BS213" t="s" s="0">
        <v>5320</v>
      </c>
      <c r="BT213" t="s" s="422">
        <f>HYPERLINK("https://www.webofscience.com/wos/woscc/full-record/WOS:001548704200001","View Record in Web of Science")</f>
        <v>113</v>
      </c>
      <c r="BU213" t="s" s="0">
        <v>1317</v>
      </c>
      <c r="BV213" t="s" s="0">
        <v>81</v>
      </c>
      <c r="BW213" t="s" s="0">
        <v>81</v>
      </c>
      <c r="BX213" t="s" s="0">
        <v>115</v>
      </c>
    </row>
    <row r="214">
      <c r="A214" t="s" s="0">
        <v>313</v>
      </c>
      <c r="B214" t="s" s="0">
        <v>77</v>
      </c>
      <c r="C214" t="s" s="0">
        <v>172</v>
      </c>
      <c r="D214" t="s" s="0">
        <v>77</v>
      </c>
      <c r="E214" t="s" s="0">
        <v>5321</v>
      </c>
      <c r="F214" t="s" s="0">
        <v>5322</v>
      </c>
      <c r="G214" t="s" s="0">
        <v>5323</v>
      </c>
      <c r="H214" t="s" s="0">
        <v>81</v>
      </c>
      <c r="I214" t="s" s="0">
        <v>82</v>
      </c>
      <c r="J214" t="s" s="0">
        <v>5324</v>
      </c>
      <c r="K214" t="s" s="0">
        <v>5325</v>
      </c>
      <c r="L214" t="s" s="0">
        <v>81</v>
      </c>
      <c r="M214" t="s" s="0">
        <v>81</v>
      </c>
      <c r="N214" t="s" s="0">
        <v>81</v>
      </c>
      <c r="O214" t="s" s="0">
        <v>5326</v>
      </c>
      <c r="P214" t="s" s="0">
        <v>5327</v>
      </c>
      <c r="Q214" t="s" s="0">
        <v>87</v>
      </c>
      <c r="R214" t="s" s="0">
        <v>81</v>
      </c>
      <c r="S214" t="s" s="0">
        <v>81</v>
      </c>
      <c r="T214" t="s" s="0">
        <v>81</v>
      </c>
      <c r="U214" t="s" s="0">
        <v>81</v>
      </c>
      <c r="V214" t="s" s="0">
        <v>5328</v>
      </c>
      <c r="W214" t="s" s="0">
        <v>5329</v>
      </c>
      <c r="X214" t="s" s="0">
        <v>81</v>
      </c>
      <c r="Y214" t="s" s="0">
        <v>81</v>
      </c>
      <c r="Z214" t="s" s="0">
        <v>90</v>
      </c>
      <c r="AA214" t="s" s="0">
        <v>91</v>
      </c>
      <c r="AB214" t="s" s="0">
        <v>81</v>
      </c>
      <c r="AC214" t="s" s="0">
        <v>81</v>
      </c>
      <c r="AD214" t="s" s="0">
        <v>81</v>
      </c>
      <c r="AE214" t="s" s="0">
        <v>81</v>
      </c>
      <c r="AF214" t="s" s="0">
        <v>81</v>
      </c>
      <c r="AG214" t="s" s="0">
        <v>5330</v>
      </c>
      <c r="AH214" t="s" s="0">
        <v>5331</v>
      </c>
      <c r="AI214" t="s" s="0">
        <v>5332</v>
      </c>
      <c r="AJ214" t="s" s="0">
        <v>5333</v>
      </c>
      <c r="AK214" t="s" s="0">
        <v>81</v>
      </c>
      <c r="AL214" t="s" s="0">
        <v>709</v>
      </c>
      <c r="AM214" t="s" s="0">
        <v>1887</v>
      </c>
      <c r="AN214" t="s" s="0">
        <v>520</v>
      </c>
      <c r="AO214" t="s" s="0">
        <v>77</v>
      </c>
      <c r="AP214" t="s" s="0">
        <v>277</v>
      </c>
      <c r="AQ214" t="s" s="0">
        <v>1254</v>
      </c>
      <c r="AR214" t="s" s="0">
        <v>1255</v>
      </c>
      <c r="AS214" t="s" s="0">
        <v>1256</v>
      </c>
      <c r="AT214" t="s" s="0">
        <v>5334</v>
      </c>
      <c r="AU214" t="s" s="0">
        <v>5335</v>
      </c>
      <c r="AV214" t="s" s="0">
        <v>81</v>
      </c>
      <c r="AW214" t="s" s="0">
        <v>5336</v>
      </c>
      <c r="AX214" t="s" s="0">
        <v>5337</v>
      </c>
      <c r="AY214" t="s" s="0">
        <v>5338</v>
      </c>
      <c r="AZ214" t="s" s="0">
        <v>285</v>
      </c>
      <c r="BA214" t="s" s="0">
        <v>3114</v>
      </c>
      <c r="BB214" t="s" s="0">
        <v>187</v>
      </c>
      <c r="BC214" t="s" s="0">
        <v>81</v>
      </c>
      <c r="BD214" t="s" s="0">
        <v>81</v>
      </c>
      <c r="BE214" t="s" s="0">
        <v>81</v>
      </c>
      <c r="BF214" t="s" s="0">
        <v>81</v>
      </c>
      <c r="BG214" t="s" s="0">
        <v>5339</v>
      </c>
      <c r="BH214" t="s" s="0">
        <v>5340</v>
      </c>
      <c r="BI214" t="s" s="0">
        <v>81</v>
      </c>
      <c r="BJ214" t="s" s="0">
        <v>5341</v>
      </c>
      <c r="BK214" t="s" s="423">
        <f>HYPERLINK("http://dx.doi.org/10.1097/RLI.0000000000001102","http://dx.doi.org/10.1097/RLI.0000000000001102")</f>
        <v>5342</v>
      </c>
      <c r="BL214" t="s" s="0">
        <v>81</v>
      </c>
      <c r="BM214" t="s" s="0">
        <v>81</v>
      </c>
      <c r="BN214" t="s" s="0">
        <v>219</v>
      </c>
      <c r="BO214" t="s" s="0">
        <v>292</v>
      </c>
      <c r="BP214" t="s" s="0">
        <v>292</v>
      </c>
      <c r="BQ214" t="s" s="0">
        <v>5343</v>
      </c>
      <c r="BR214" t="s" s="0">
        <v>5344</v>
      </c>
      <c r="BS214" t="s" s="0">
        <v>5345</v>
      </c>
      <c r="BT214" t="s" s="424">
        <f>HYPERLINK("https://www.webofscience.com/wos/woscc/full-record/WOS:001350965200001","View Record in Web of Science")</f>
        <v>113</v>
      </c>
      <c r="BU214" t="s" s="0">
        <v>719</v>
      </c>
      <c r="BV214" t="s" s="0">
        <v>81</v>
      </c>
      <c r="BW214" t="s" s="0">
        <v>81</v>
      </c>
      <c r="BX214" t="s" s="0">
        <v>115</v>
      </c>
    </row>
    <row r="215">
      <c r="A215" t="s" s="0">
        <v>77</v>
      </c>
      <c r="B215" t="s" s="0">
        <v>77</v>
      </c>
      <c r="C215" t="s" s="0">
        <v>133</v>
      </c>
      <c r="D215" t="s" s="0">
        <v>77</v>
      </c>
      <c r="E215" t="s" s="0">
        <v>5346</v>
      </c>
      <c r="F215" t="s" s="0">
        <v>5347</v>
      </c>
      <c r="G215" t="s" s="0">
        <v>5348</v>
      </c>
      <c r="H215" t="s" s="0">
        <v>81</v>
      </c>
      <c r="I215" t="s" s="0">
        <v>82</v>
      </c>
      <c r="J215" t="s" s="0">
        <v>5349</v>
      </c>
      <c r="K215" t="s" s="0">
        <v>5350</v>
      </c>
      <c r="L215" t="s" s="0">
        <v>5351</v>
      </c>
      <c r="M215" t="s" s="0">
        <v>5352</v>
      </c>
      <c r="N215" t="s" s="0">
        <v>5353</v>
      </c>
      <c r="O215" t="s" s="0">
        <v>5354</v>
      </c>
      <c r="P215" t="s" s="0">
        <v>5355</v>
      </c>
      <c r="Q215" t="s" s="0">
        <v>87</v>
      </c>
      <c r="R215" t="s" s="0">
        <v>81</v>
      </c>
      <c r="S215" t="s" s="0">
        <v>81</v>
      </c>
      <c r="T215" t="s" s="0">
        <v>81</v>
      </c>
      <c r="U215" t="s" s="0">
        <v>81</v>
      </c>
      <c r="V215" t="s" s="0">
        <v>5356</v>
      </c>
      <c r="W215" t="s" s="0">
        <v>5357</v>
      </c>
      <c r="X215" t="s" s="0">
        <v>81</v>
      </c>
      <c r="Y215" t="s" s="0">
        <v>81</v>
      </c>
      <c r="Z215" t="s" s="0">
        <v>90</v>
      </c>
      <c r="AA215" t="s" s="0">
        <v>91</v>
      </c>
      <c r="AB215" t="s" s="0">
        <v>81</v>
      </c>
      <c r="AC215" t="s" s="0">
        <v>81</v>
      </c>
      <c r="AD215" t="s" s="0">
        <v>81</v>
      </c>
      <c r="AE215" t="s" s="0">
        <v>81</v>
      </c>
      <c r="AF215" t="s" s="0">
        <v>81</v>
      </c>
      <c r="AG215" t="s" s="0">
        <v>81</v>
      </c>
      <c r="AH215" t="s" s="0">
        <v>81</v>
      </c>
      <c r="AI215" t="s" s="0">
        <v>5358</v>
      </c>
      <c r="AJ215" t="s" s="0">
        <v>5359</v>
      </c>
      <c r="AK215" t="s" s="0">
        <v>81</v>
      </c>
      <c r="AL215" t="s" s="0">
        <v>211</v>
      </c>
      <c r="AM215" t="s" s="0">
        <v>796</v>
      </c>
      <c r="AN215" t="s" s="0">
        <v>211</v>
      </c>
      <c r="AO215" t="s" s="0">
        <v>172</v>
      </c>
      <c r="AP215" t="s" s="0">
        <v>2930</v>
      </c>
      <c r="AQ215" t="s" s="0">
        <v>1355</v>
      </c>
      <c r="AR215" t="s" s="0">
        <v>1356</v>
      </c>
      <c r="AS215" t="s" s="0">
        <v>1357</v>
      </c>
      <c r="AT215" t="s" s="0">
        <v>5360</v>
      </c>
      <c r="AU215" t="s" s="0">
        <v>5361</v>
      </c>
      <c r="AV215" t="s" s="0">
        <v>81</v>
      </c>
      <c r="AW215" t="s" s="0">
        <v>5362</v>
      </c>
      <c r="AX215" t="s" s="0">
        <v>5363</v>
      </c>
      <c r="AY215" t="s" s="0">
        <v>5364</v>
      </c>
      <c r="AZ215" t="s" s="0">
        <v>285</v>
      </c>
      <c r="BA215" t="s" s="0">
        <v>743</v>
      </c>
      <c r="BB215" t="s" s="0">
        <v>652</v>
      </c>
      <c r="BC215" t="s" s="0">
        <v>81</v>
      </c>
      <c r="BD215" t="s" s="0">
        <v>81</v>
      </c>
      <c r="BE215" t="s" s="0">
        <v>81</v>
      </c>
      <c r="BF215" t="s" s="0">
        <v>81</v>
      </c>
      <c r="BG215" t="s" s="0">
        <v>5365</v>
      </c>
      <c r="BH215" t="s" s="0">
        <v>5366</v>
      </c>
      <c r="BI215" t="s" s="0">
        <v>81</v>
      </c>
      <c r="BJ215" t="s" s="0">
        <v>5367</v>
      </c>
      <c r="BK215" t="s" s="425">
        <f>HYPERLINK("http://dx.doi.org/10.1021/acs.analchem.4c01749","http://dx.doi.org/10.1021/acs.analchem.4c01749")</f>
        <v>5368</v>
      </c>
      <c r="BL215" t="s" s="0">
        <v>81</v>
      </c>
      <c r="BM215" t="s" s="0">
        <v>1261</v>
      </c>
      <c r="BN215" t="s" s="0">
        <v>107</v>
      </c>
      <c r="BO215" t="s" s="0">
        <v>5369</v>
      </c>
      <c r="BP215" t="s" s="0">
        <v>5370</v>
      </c>
      <c r="BQ215" t="s" s="0">
        <v>5371</v>
      </c>
      <c r="BR215" t="s" s="0">
        <v>5372</v>
      </c>
      <c r="BS215" t="s" s="0">
        <v>5373</v>
      </c>
      <c r="BT215" t="s" s="426">
        <f>HYPERLINK("https://www.webofscience.com/wos/woscc/full-record/WOS:001242672800001","View Record in Web of Science")</f>
        <v>113</v>
      </c>
      <c r="BU215" t="s" s="0">
        <v>81</v>
      </c>
      <c r="BV215" t="s" s="0">
        <v>81</v>
      </c>
      <c r="BW215" t="s" s="0">
        <v>81</v>
      </c>
      <c r="BX215" t="s" s="0">
        <v>115</v>
      </c>
    </row>
    <row r="216">
      <c r="A216" t="s" s="0">
        <v>144</v>
      </c>
      <c r="B216" t="s" s="0">
        <v>77</v>
      </c>
      <c r="C216" t="s" s="0">
        <v>372</v>
      </c>
      <c r="D216" t="s" s="0">
        <v>77</v>
      </c>
      <c r="E216" t="s" s="0">
        <v>5374</v>
      </c>
      <c r="F216" t="s" s="0">
        <v>5375</v>
      </c>
      <c r="G216" t="s" s="0">
        <v>5376</v>
      </c>
      <c r="H216" t="s" s="0">
        <v>81</v>
      </c>
      <c r="I216" t="s" s="0">
        <v>82</v>
      </c>
      <c r="J216" t="s" s="0">
        <v>5377</v>
      </c>
      <c r="K216" t="s" s="0">
        <v>5378</v>
      </c>
      <c r="L216" t="s" s="0">
        <v>266</v>
      </c>
      <c r="M216" t="s" s="0">
        <v>267</v>
      </c>
      <c r="N216" t="s" s="0">
        <v>5379</v>
      </c>
      <c r="O216" t="s" s="0">
        <v>5380</v>
      </c>
      <c r="P216" t="s" s="0">
        <v>5381</v>
      </c>
      <c r="Q216" t="s" s="0">
        <v>87</v>
      </c>
      <c r="R216" t="s" s="0">
        <v>81</v>
      </c>
      <c r="S216" t="s" s="0">
        <v>81</v>
      </c>
      <c r="T216" t="s" s="0">
        <v>81</v>
      </c>
      <c r="U216" t="s" s="0">
        <v>81</v>
      </c>
      <c r="V216" t="s" s="0">
        <v>5382</v>
      </c>
      <c r="W216" t="s" s="0">
        <v>3919</v>
      </c>
      <c r="X216" t="s" s="0">
        <v>81</v>
      </c>
      <c r="Y216" t="s" s="0">
        <v>81</v>
      </c>
      <c r="Z216" t="s" s="0">
        <v>90</v>
      </c>
      <c r="AA216" t="s" s="0">
        <v>91</v>
      </c>
      <c r="AB216" t="s" s="0">
        <v>81</v>
      </c>
      <c r="AC216" t="s" s="0">
        <v>81</v>
      </c>
      <c r="AD216" t="s" s="0">
        <v>81</v>
      </c>
      <c r="AE216" t="s" s="0">
        <v>81</v>
      </c>
      <c r="AF216" t="s" s="0">
        <v>81</v>
      </c>
      <c r="AG216" t="s" s="0">
        <v>5383</v>
      </c>
      <c r="AH216" t="s" s="0">
        <v>5384</v>
      </c>
      <c r="AI216" t="s" s="0">
        <v>5385</v>
      </c>
      <c r="AJ216" t="s" s="0">
        <v>81</v>
      </c>
      <c r="AK216" t="s" s="0">
        <v>81</v>
      </c>
      <c r="AL216" t="s" s="0">
        <v>1223</v>
      </c>
      <c r="AM216" t="s" s="0">
        <v>219</v>
      </c>
      <c r="AN216" t="s" s="0">
        <v>107</v>
      </c>
      <c r="AO216" t="s" s="0">
        <v>313</v>
      </c>
      <c r="AP216" t="s" s="0">
        <v>2159</v>
      </c>
      <c r="AQ216" t="s" s="0">
        <v>402</v>
      </c>
      <c r="AR216" t="s" s="0">
        <v>403</v>
      </c>
      <c r="AS216" t="s" s="0">
        <v>404</v>
      </c>
      <c r="AT216" t="s" s="0">
        <v>81</v>
      </c>
      <c r="AU216" t="s" s="0">
        <v>3922</v>
      </c>
      <c r="AV216" t="s" s="0">
        <v>81</v>
      </c>
      <c r="AW216" t="s" s="0">
        <v>3923</v>
      </c>
      <c r="AX216" t="s" s="0">
        <v>3924</v>
      </c>
      <c r="AY216" t="s" s="0">
        <v>5386</v>
      </c>
      <c r="AZ216" t="s" s="0">
        <v>920</v>
      </c>
      <c r="BA216" t="s" s="0">
        <v>134</v>
      </c>
      <c r="BB216" t="s" s="0">
        <v>81</v>
      </c>
      <c r="BC216" t="s" s="0">
        <v>81</v>
      </c>
      <c r="BD216" t="s" s="0">
        <v>81</v>
      </c>
      <c r="BE216" t="s" s="0">
        <v>81</v>
      </c>
      <c r="BF216" t="s" s="0">
        <v>81</v>
      </c>
      <c r="BG216" t="s" s="0">
        <v>81</v>
      </c>
      <c r="BH216" t="s" s="0">
        <v>81</v>
      </c>
      <c r="BI216" t="s" s="0">
        <v>5387</v>
      </c>
      <c r="BJ216" t="s" s="0">
        <v>5388</v>
      </c>
      <c r="BK216" t="s" s="427">
        <f>HYPERLINK("http://dx.doi.org/10.3389/fphys.2022.1021400","http://dx.doi.org/10.3389/fphys.2022.1021400")</f>
        <v>5389</v>
      </c>
      <c r="BL216" t="s" s="0">
        <v>81</v>
      </c>
      <c r="BM216" t="s" s="0">
        <v>81</v>
      </c>
      <c r="BN216" t="s" s="0">
        <v>245</v>
      </c>
      <c r="BO216" t="s" s="0">
        <v>3929</v>
      </c>
      <c r="BP216" t="s" s="0">
        <v>3929</v>
      </c>
      <c r="BQ216" t="s" s="0">
        <v>5390</v>
      </c>
      <c r="BR216" t="s" s="0">
        <v>5391</v>
      </c>
      <c r="BS216" t="s" s="0">
        <v>5392</v>
      </c>
      <c r="BT216" t="s" s="428">
        <f>HYPERLINK("https://www.webofscience.com/wos/woscc/full-record/WOS:000889291400001","View Record in Web of Science")</f>
        <v>113</v>
      </c>
      <c r="BU216" t="s" s="0">
        <v>153</v>
      </c>
      <c r="BV216" t="s" s="0">
        <v>81</v>
      </c>
      <c r="BW216" t="s" s="0">
        <v>81</v>
      </c>
      <c r="BX216" t="s" s="0">
        <v>115</v>
      </c>
    </row>
    <row r="217">
      <c r="A217" t="s" s="0">
        <v>77</v>
      </c>
      <c r="B217" t="s" s="0">
        <v>77</v>
      </c>
      <c r="C217" t="s" s="0">
        <v>77</v>
      </c>
      <c r="D217" t="s" s="0">
        <v>77</v>
      </c>
      <c r="E217" t="s" s="0">
        <v>5393</v>
      </c>
      <c r="F217" t="s" s="0">
        <v>5394</v>
      </c>
      <c r="G217" t="s" s="0">
        <v>5395</v>
      </c>
      <c r="H217" t="s" s="0">
        <v>81</v>
      </c>
      <c r="I217" t="s" s="0">
        <v>157</v>
      </c>
      <c r="J217" t="s" s="0">
        <v>5396</v>
      </c>
      <c r="K217" t="s" s="0">
        <v>5397</v>
      </c>
      <c r="L217" t="s" s="0">
        <v>81</v>
      </c>
      <c r="M217" t="s" s="0">
        <v>81</v>
      </c>
      <c r="N217" t="s" s="0">
        <v>81</v>
      </c>
      <c r="O217" t="s" s="0">
        <v>5398</v>
      </c>
      <c r="P217" t="s" s="0">
        <v>5399</v>
      </c>
      <c r="Q217" t="s" s="0">
        <v>87</v>
      </c>
      <c r="R217" t="s" s="0">
        <v>81</v>
      </c>
      <c r="S217" t="s" s="0">
        <v>81</v>
      </c>
      <c r="T217" t="s" s="0">
        <v>81</v>
      </c>
      <c r="U217" t="s" s="0">
        <v>81</v>
      </c>
      <c r="V217" t="s" s="0">
        <v>5400</v>
      </c>
      <c r="W217" t="s" s="0">
        <v>1105</v>
      </c>
      <c r="X217" t="s" s="0">
        <v>81</v>
      </c>
      <c r="Y217" t="s" s="0">
        <v>81</v>
      </c>
      <c r="Z217" t="s" s="0">
        <v>90</v>
      </c>
      <c r="AA217" t="s" s="0">
        <v>91</v>
      </c>
      <c r="AB217" t="s" s="0">
        <v>81</v>
      </c>
      <c r="AC217" t="s" s="0">
        <v>81</v>
      </c>
      <c r="AD217" t="s" s="0">
        <v>81</v>
      </c>
      <c r="AE217" t="s" s="0">
        <v>81</v>
      </c>
      <c r="AF217" t="s" s="0">
        <v>81</v>
      </c>
      <c r="AG217" t="s" s="0">
        <v>5401</v>
      </c>
      <c r="AH217" t="s" s="0">
        <v>5402</v>
      </c>
      <c r="AI217" t="s" s="0">
        <v>81</v>
      </c>
      <c r="AJ217" t="s" s="0">
        <v>81</v>
      </c>
      <c r="AK217" t="s" s="0">
        <v>81</v>
      </c>
      <c r="AL217" t="s" s="0">
        <v>1663</v>
      </c>
      <c r="AM217" t="s" s="0">
        <v>144</v>
      </c>
      <c r="AN217" t="s" s="0">
        <v>313</v>
      </c>
      <c r="AO217" t="s" s="0">
        <v>144</v>
      </c>
      <c r="AP217" t="s" s="0">
        <v>103</v>
      </c>
      <c r="AQ217" t="s" s="0">
        <v>402</v>
      </c>
      <c r="AR217" t="s" s="0">
        <v>403</v>
      </c>
      <c r="AS217" t="s" s="0">
        <v>404</v>
      </c>
      <c r="AT217" t="s" s="0">
        <v>81</v>
      </c>
      <c r="AU217" t="s" s="0">
        <v>1108</v>
      </c>
      <c r="AV217" t="s" s="0">
        <v>81</v>
      </c>
      <c r="AW217" t="s" s="0">
        <v>1109</v>
      </c>
      <c r="AX217" t="s" s="0">
        <v>1110</v>
      </c>
      <c r="AY217" t="s" s="0">
        <v>5403</v>
      </c>
      <c r="AZ217" t="s" s="0">
        <v>142</v>
      </c>
      <c r="BA217" t="s" s="0">
        <v>187</v>
      </c>
      <c r="BB217" t="s" s="0">
        <v>81</v>
      </c>
      <c r="BC217" t="s" s="0">
        <v>81</v>
      </c>
      <c r="BD217" t="s" s="0">
        <v>81</v>
      </c>
      <c r="BE217" t="s" s="0">
        <v>81</v>
      </c>
      <c r="BF217" t="s" s="0">
        <v>81</v>
      </c>
      <c r="BG217" t="s" s="0">
        <v>81</v>
      </c>
      <c r="BH217" t="s" s="0">
        <v>81</v>
      </c>
      <c r="BI217" t="s" s="0">
        <v>5404</v>
      </c>
      <c r="BJ217" t="s" s="0">
        <v>5405</v>
      </c>
      <c r="BK217" t="s" s="429">
        <f>HYPERLINK("http://dx.doi.org/10.3389/fpubh.2024.1369041","http://dx.doi.org/10.3389/fpubh.2024.1369041")</f>
        <v>5406</v>
      </c>
      <c r="BL217" t="s" s="0">
        <v>81</v>
      </c>
      <c r="BM217" t="s" s="0">
        <v>81</v>
      </c>
      <c r="BN217" t="s" s="0">
        <v>323</v>
      </c>
      <c r="BO217" t="s" s="0">
        <v>1115</v>
      </c>
      <c r="BP217" t="s" s="0">
        <v>1115</v>
      </c>
      <c r="BQ217" t="s" s="0">
        <v>5407</v>
      </c>
      <c r="BR217" t="s" s="0">
        <v>5408</v>
      </c>
      <c r="BS217" t="s" s="0">
        <v>5409</v>
      </c>
      <c r="BT217" t="s" s="430">
        <f>HYPERLINK("https://www.webofscience.com/wos/woscc/full-record/WOS:001400536200001","View Record in Web of Science")</f>
        <v>113</v>
      </c>
      <c r="BU217" t="s" s="0">
        <v>153</v>
      </c>
      <c r="BV217" t="s" s="0">
        <v>81</v>
      </c>
      <c r="BW217" t="s" s="0">
        <v>81</v>
      </c>
      <c r="BX217" t="s" s="0">
        <v>115</v>
      </c>
    </row>
    <row r="218">
      <c r="A218" t="s" s="0">
        <v>77</v>
      </c>
      <c r="B218" t="s" s="0">
        <v>77</v>
      </c>
      <c r="C218" t="s" s="0">
        <v>77</v>
      </c>
      <c r="D218" t="s" s="0">
        <v>77</v>
      </c>
      <c r="E218" t="s" s="0">
        <v>5410</v>
      </c>
      <c r="F218" t="s" s="0">
        <v>5411</v>
      </c>
      <c r="G218" t="s" s="0">
        <v>5412</v>
      </c>
      <c r="H218" t="s" s="0">
        <v>81</v>
      </c>
      <c r="I218" t="s" s="0">
        <v>82</v>
      </c>
      <c r="J218" t="s" s="0">
        <v>5413</v>
      </c>
      <c r="K218" t="s" s="0">
        <v>5414</v>
      </c>
      <c r="L218" t="s" s="0">
        <v>5415</v>
      </c>
      <c r="M218" t="s" s="0">
        <v>5416</v>
      </c>
      <c r="N218" t="s" s="0">
        <v>5417</v>
      </c>
      <c r="O218" t="s" s="0">
        <v>5418</v>
      </c>
      <c r="P218" t="s" s="0">
        <v>5419</v>
      </c>
      <c r="Q218" t="s" s="0">
        <v>87</v>
      </c>
      <c r="R218" t="s" s="0">
        <v>81</v>
      </c>
      <c r="S218" t="s" s="0">
        <v>81</v>
      </c>
      <c r="T218" t="s" s="0">
        <v>81</v>
      </c>
      <c r="U218" t="s" s="0">
        <v>81</v>
      </c>
      <c r="V218" t="s" s="0">
        <v>5420</v>
      </c>
      <c r="W218" t="s" s="0">
        <v>272</v>
      </c>
      <c r="X218" t="s" s="0">
        <v>81</v>
      </c>
      <c r="Y218" t="s" s="0">
        <v>81</v>
      </c>
      <c r="Z218" t="s" s="0">
        <v>90</v>
      </c>
      <c r="AA218" t="s" s="0">
        <v>2522</v>
      </c>
      <c r="AB218" t="s" s="0">
        <v>81</v>
      </c>
      <c r="AC218" t="s" s="0">
        <v>81</v>
      </c>
      <c r="AD218" t="s" s="0">
        <v>81</v>
      </c>
      <c r="AE218" t="s" s="0">
        <v>81</v>
      </c>
      <c r="AF218" t="s" s="0">
        <v>81</v>
      </c>
      <c r="AG218" t="s" s="0">
        <v>5421</v>
      </c>
      <c r="AH218" t="s" s="0">
        <v>5422</v>
      </c>
      <c r="AI218" t="s" s="0">
        <v>81</v>
      </c>
      <c r="AJ218" t="s" s="0">
        <v>81</v>
      </c>
      <c r="AK218" t="s" s="0">
        <v>81</v>
      </c>
      <c r="AL218" t="s" s="0">
        <v>209</v>
      </c>
      <c r="AM218" t="s" s="0">
        <v>313</v>
      </c>
      <c r="AN218" t="s" s="0">
        <v>313</v>
      </c>
      <c r="AO218" t="s" s="0">
        <v>77</v>
      </c>
      <c r="AP218" t="s" s="0">
        <v>77</v>
      </c>
      <c r="AQ218" t="s" s="0">
        <v>278</v>
      </c>
      <c r="AR218" t="s" s="0">
        <v>247</v>
      </c>
      <c r="AS218" t="s" s="0">
        <v>279</v>
      </c>
      <c r="AT218" t="s" s="0">
        <v>280</v>
      </c>
      <c r="AU218" t="s" s="0">
        <v>281</v>
      </c>
      <c r="AV218" t="s" s="0">
        <v>81</v>
      </c>
      <c r="AW218" t="s" s="0">
        <v>282</v>
      </c>
      <c r="AX218" t="s" s="0">
        <v>283</v>
      </c>
      <c r="AY218" t="s" s="0">
        <v>81</v>
      </c>
      <c r="AZ218" t="s" s="0">
        <v>101</v>
      </c>
      <c r="BA218" t="s" s="0">
        <v>81</v>
      </c>
      <c r="BB218" t="s" s="0">
        <v>81</v>
      </c>
      <c r="BC218" t="s" s="0">
        <v>81</v>
      </c>
      <c r="BD218" t="s" s="0">
        <v>81</v>
      </c>
      <c r="BE218" t="s" s="0">
        <v>81</v>
      </c>
      <c r="BF218" t="s" s="0">
        <v>81</v>
      </c>
      <c r="BG218" t="s" s="0">
        <v>81</v>
      </c>
      <c r="BH218" t="s" s="0">
        <v>81</v>
      </c>
      <c r="BI218" t="s" s="0">
        <v>81</v>
      </c>
      <c r="BJ218" t="s" s="0">
        <v>5423</v>
      </c>
      <c r="BK218" t="s" s="431">
        <f>HYPERLINK("http://dx.doi.org/10.1007/s10278-026-01980-6","http://dx.doi.org/10.1007/s10278-026-01980-6")</f>
        <v>5424</v>
      </c>
      <c r="BL218" t="s" s="0">
        <v>81</v>
      </c>
      <c r="BM218" t="s" s="0">
        <v>438</v>
      </c>
      <c r="BN218" t="s" s="0">
        <v>173</v>
      </c>
      <c r="BO218" t="s" s="0">
        <v>292</v>
      </c>
      <c r="BP218" t="s" s="0">
        <v>292</v>
      </c>
      <c r="BQ218" t="s" s="0">
        <v>5425</v>
      </c>
      <c r="BR218" t="s" s="0">
        <v>5426</v>
      </c>
      <c r="BS218" t="s" s="0">
        <v>5427</v>
      </c>
      <c r="BT218" t="s" s="432">
        <f>HYPERLINK("https://www.webofscience.com/wos/woscc/full-record/WOS:001752952700001","View Record in Web of Science")</f>
        <v>113</v>
      </c>
      <c r="BU218" t="s" s="0">
        <v>5428</v>
      </c>
      <c r="BV218" t="s" s="0">
        <v>81</v>
      </c>
      <c r="BW218" t="s" s="0">
        <v>81</v>
      </c>
      <c r="BX218" t="s" s="0">
        <v>115</v>
      </c>
    </row>
    <row r="219">
      <c r="A219" t="s" s="0">
        <v>77</v>
      </c>
      <c r="B219" t="s" s="0">
        <v>77</v>
      </c>
      <c r="C219" t="s" s="0">
        <v>77</v>
      </c>
      <c r="D219" t="s" s="0">
        <v>77</v>
      </c>
      <c r="E219" t="s" s="0">
        <v>5429</v>
      </c>
      <c r="F219" t="s" s="0">
        <v>5430</v>
      </c>
      <c r="G219" t="s" s="0">
        <v>5431</v>
      </c>
      <c r="H219" t="s" s="0">
        <v>81</v>
      </c>
      <c r="I219" t="s" s="0">
        <v>82</v>
      </c>
      <c r="J219" t="s" s="0">
        <v>5432</v>
      </c>
      <c r="K219" t="s" s="0">
        <v>5433</v>
      </c>
      <c r="L219" t="s" s="0">
        <v>5434</v>
      </c>
      <c r="M219" t="s" s="0">
        <v>5435</v>
      </c>
      <c r="N219" t="s" s="0">
        <v>5436</v>
      </c>
      <c r="O219" t="s" s="0">
        <v>5437</v>
      </c>
      <c r="P219" t="s" s="0">
        <v>5438</v>
      </c>
      <c r="Q219" t="s" s="0">
        <v>87</v>
      </c>
      <c r="R219" t="s" s="0">
        <v>81</v>
      </c>
      <c r="S219" t="s" s="0">
        <v>81</v>
      </c>
      <c r="T219" t="s" s="0">
        <v>81</v>
      </c>
      <c r="U219" t="s" s="0">
        <v>81</v>
      </c>
      <c r="V219" t="s" s="0">
        <v>5439</v>
      </c>
      <c r="W219" t="s" s="0">
        <v>5440</v>
      </c>
      <c r="X219" t="s" s="0">
        <v>81</v>
      </c>
      <c r="Y219" t="s" s="0">
        <v>81</v>
      </c>
      <c r="Z219" t="s" s="0">
        <v>90</v>
      </c>
      <c r="AA219" t="s" s="0">
        <v>91</v>
      </c>
      <c r="AB219" t="s" s="0">
        <v>81</v>
      </c>
      <c r="AC219" t="s" s="0">
        <v>81</v>
      </c>
      <c r="AD219" t="s" s="0">
        <v>81</v>
      </c>
      <c r="AE219" t="s" s="0">
        <v>81</v>
      </c>
      <c r="AF219" t="s" s="0">
        <v>81</v>
      </c>
      <c r="AG219" t="s" s="0">
        <v>81</v>
      </c>
      <c r="AH219" t="s" s="0">
        <v>5441</v>
      </c>
      <c r="AI219" t="s" s="0">
        <v>5442</v>
      </c>
      <c r="AJ219" t="s" s="0">
        <v>5443</v>
      </c>
      <c r="AK219" t="s" s="0">
        <v>81</v>
      </c>
      <c r="AL219" t="s" s="0">
        <v>2159</v>
      </c>
      <c r="AM219" t="s" s="0">
        <v>210</v>
      </c>
      <c r="AN219" t="s" s="0">
        <v>210</v>
      </c>
      <c r="AO219" t="s" s="0">
        <v>116</v>
      </c>
      <c r="AP219" t="s" s="0">
        <v>103</v>
      </c>
      <c r="AQ219" t="s" s="0">
        <v>1543</v>
      </c>
      <c r="AR219" t="s" s="0">
        <v>1544</v>
      </c>
      <c r="AS219" t="s" s="0">
        <v>1545</v>
      </c>
      <c r="AT219" t="s" s="0">
        <v>5444</v>
      </c>
      <c r="AU219" t="s" s="0">
        <v>5445</v>
      </c>
      <c r="AV219" t="s" s="0">
        <v>81</v>
      </c>
      <c r="AW219" t="s" s="0">
        <v>5446</v>
      </c>
      <c r="AX219" t="s" s="0">
        <v>5447</v>
      </c>
      <c r="AY219" t="s" s="0">
        <v>5448</v>
      </c>
      <c r="AZ219" t="s" s="0">
        <v>142</v>
      </c>
      <c r="BA219" t="s" s="0">
        <v>859</v>
      </c>
      <c r="BB219" t="s" s="0">
        <v>219</v>
      </c>
      <c r="BC219" t="s" s="0">
        <v>81</v>
      </c>
      <c r="BD219" t="s" s="0">
        <v>81</v>
      </c>
      <c r="BE219" t="s" s="0">
        <v>81</v>
      </c>
      <c r="BF219" t="s" s="0">
        <v>81</v>
      </c>
      <c r="BG219" t="s" s="0">
        <v>5449</v>
      </c>
      <c r="BH219" t="s" s="0">
        <v>5450</v>
      </c>
      <c r="BI219" t="s" s="0">
        <v>81</v>
      </c>
      <c r="BJ219" t="s" s="0">
        <v>5451</v>
      </c>
      <c r="BK219" t="s" s="433">
        <f>HYPERLINK("http://dx.doi.org/10.1016/j.ajhg.2025.05.015","http://dx.doi.org/10.1016/j.ajhg.2025.05.015")</f>
        <v>5452</v>
      </c>
      <c r="BL219" t="s" s="0">
        <v>81</v>
      </c>
      <c r="BM219" t="s" s="0">
        <v>3455</v>
      </c>
      <c r="BN219" t="s" s="0">
        <v>468</v>
      </c>
      <c r="BO219" t="s" s="0">
        <v>5453</v>
      </c>
      <c r="BP219" t="s" s="0">
        <v>5453</v>
      </c>
      <c r="BQ219" t="s" s="0">
        <v>5454</v>
      </c>
      <c r="BR219" t="s" s="0">
        <v>5455</v>
      </c>
      <c r="BS219" t="s" s="0">
        <v>5456</v>
      </c>
      <c r="BT219" t="s" s="434">
        <f>HYPERLINK("https://www.webofscience.com/wos/woscc/full-record/WOS:001538733500006","View Record in Web of Science")</f>
        <v>113</v>
      </c>
      <c r="BU219" t="s" s="0">
        <v>5131</v>
      </c>
      <c r="BV219" t="s" s="0">
        <v>81</v>
      </c>
      <c r="BW219" t="s" s="0">
        <v>81</v>
      </c>
      <c r="BX219" t="s" s="0">
        <v>115</v>
      </c>
    </row>
    <row r="220">
      <c r="A220" t="s" s="0">
        <v>77</v>
      </c>
      <c r="B220" t="s" s="0">
        <v>77</v>
      </c>
      <c r="C220" t="s" s="0">
        <v>77</v>
      </c>
      <c r="D220" t="s" s="0">
        <v>77</v>
      </c>
      <c r="E220" t="s" s="0">
        <v>5457</v>
      </c>
      <c r="F220" t="s" s="0">
        <v>5458</v>
      </c>
      <c r="G220" t="s" s="0">
        <v>5459</v>
      </c>
      <c r="H220" t="s" s="0">
        <v>81</v>
      </c>
      <c r="I220" t="s" s="0">
        <v>543</v>
      </c>
      <c r="J220" t="s" s="0">
        <v>5460</v>
      </c>
      <c r="K220" t="s" s="0">
        <v>5461</v>
      </c>
      <c r="L220" t="s" s="0">
        <v>5462</v>
      </c>
      <c r="M220" t="s" s="0">
        <v>5463</v>
      </c>
      <c r="N220" t="s" s="0">
        <v>5464</v>
      </c>
      <c r="O220" t="s" s="0">
        <v>5465</v>
      </c>
      <c r="P220" t="s" s="0">
        <v>5466</v>
      </c>
      <c r="Q220" t="s" s="0">
        <v>87</v>
      </c>
      <c r="R220" t="s" s="0">
        <v>81</v>
      </c>
      <c r="S220" t="s" s="0">
        <v>81</v>
      </c>
      <c r="T220" t="s" s="0">
        <v>81</v>
      </c>
      <c r="U220" t="s" s="0">
        <v>81</v>
      </c>
      <c r="V220" t="s" s="0">
        <v>5467</v>
      </c>
      <c r="W220" t="s" s="0">
        <v>5468</v>
      </c>
      <c r="X220" t="s" s="0">
        <v>81</v>
      </c>
      <c r="Y220" t="s" s="0">
        <v>81</v>
      </c>
      <c r="Z220" t="s" s="0">
        <v>90</v>
      </c>
      <c r="AA220" t="s" s="0">
        <v>91</v>
      </c>
      <c r="AB220" t="s" s="0">
        <v>81</v>
      </c>
      <c r="AC220" t="s" s="0">
        <v>81</v>
      </c>
      <c r="AD220" t="s" s="0">
        <v>81</v>
      </c>
      <c r="AE220" t="s" s="0">
        <v>81</v>
      </c>
      <c r="AF220" t="s" s="0">
        <v>81</v>
      </c>
      <c r="AG220" t="s" s="0">
        <v>5469</v>
      </c>
      <c r="AH220" t="s" s="0">
        <v>81</v>
      </c>
      <c r="AI220" t="s" s="0">
        <v>81</v>
      </c>
      <c r="AJ220" t="s" s="0">
        <v>81</v>
      </c>
      <c r="AK220" t="s" s="0">
        <v>81</v>
      </c>
      <c r="AL220" t="s" s="0">
        <v>1887</v>
      </c>
      <c r="AM220" t="s" s="0">
        <v>77</v>
      </c>
      <c r="AN220" t="s" s="0">
        <v>77</v>
      </c>
      <c r="AO220" t="s" s="0">
        <v>77</v>
      </c>
      <c r="AP220" t="s" s="0">
        <v>77</v>
      </c>
      <c r="AQ220" t="s" s="0">
        <v>615</v>
      </c>
      <c r="AR220" t="s" s="0">
        <v>616</v>
      </c>
      <c r="AS220" t="s" s="0">
        <v>617</v>
      </c>
      <c r="AT220" t="s" s="0">
        <v>81</v>
      </c>
      <c r="AU220" t="s" s="0">
        <v>5470</v>
      </c>
      <c r="AV220" t="s" s="0">
        <v>81</v>
      </c>
      <c r="AW220" t="s" s="0">
        <v>5471</v>
      </c>
      <c r="AX220" t="s" s="0">
        <v>5472</v>
      </c>
      <c r="AY220" t="s" s="0">
        <v>4718</v>
      </c>
      <c r="AZ220" t="s" s="0">
        <v>101</v>
      </c>
      <c r="BA220" t="s" s="0">
        <v>133</v>
      </c>
      <c r="BB220" t="s" s="0">
        <v>81</v>
      </c>
      <c r="BC220" t="s" s="0">
        <v>81</v>
      </c>
      <c r="BD220" t="s" s="0">
        <v>81</v>
      </c>
      <c r="BE220" t="s" s="0">
        <v>81</v>
      </c>
      <c r="BF220" t="s" s="0">
        <v>81</v>
      </c>
      <c r="BG220" t="s" s="0">
        <v>81</v>
      </c>
      <c r="BH220" t="s" s="0">
        <v>81</v>
      </c>
      <c r="BI220" t="s" s="0">
        <v>5473</v>
      </c>
      <c r="BJ220" t="s" s="0">
        <v>5474</v>
      </c>
      <c r="BK220" t="s" s="435">
        <f>HYPERLINK("http://dx.doi.org/10.1016/j.sasc.2026.200583","http://dx.doi.org/10.1016/j.sasc.2026.200583")</f>
        <v>5475</v>
      </c>
      <c r="BL220" t="s" s="0">
        <v>81</v>
      </c>
      <c r="BM220" t="s" s="0">
        <v>81</v>
      </c>
      <c r="BN220" t="s" s="0">
        <v>277</v>
      </c>
      <c r="BO220" t="s" s="0">
        <v>5476</v>
      </c>
      <c r="BP220" t="s" s="0">
        <v>835</v>
      </c>
      <c r="BQ220" t="s" s="0">
        <v>5477</v>
      </c>
      <c r="BR220" t="s" s="0">
        <v>81</v>
      </c>
      <c r="BS220" t="s" s="0">
        <v>5478</v>
      </c>
      <c r="BT220" t="s" s="436">
        <f>HYPERLINK("https://www.webofscience.com/wos/woscc/full-record/WOS:001845870300001","View Record in Web of Science")</f>
        <v>113</v>
      </c>
      <c r="BU220" t="s" s="0">
        <v>1317</v>
      </c>
      <c r="BV220" t="s" s="0">
        <v>81</v>
      </c>
      <c r="BW220" t="s" s="0">
        <v>81</v>
      </c>
      <c r="BX220" t="s" s="0">
        <v>115</v>
      </c>
    </row>
    <row r="221">
      <c r="A221" t="s" s="0">
        <v>77</v>
      </c>
      <c r="B221" t="s" s="0">
        <v>77</v>
      </c>
      <c r="C221" t="s" s="0">
        <v>313</v>
      </c>
      <c r="D221" t="s" s="0">
        <v>77</v>
      </c>
      <c r="E221" t="s" s="0">
        <v>5479</v>
      </c>
      <c r="F221" t="s" s="0">
        <v>5480</v>
      </c>
      <c r="G221" t="s" s="0">
        <v>5481</v>
      </c>
      <c r="H221" t="s" s="0">
        <v>81</v>
      </c>
      <c r="I221" t="s" s="0">
        <v>82</v>
      </c>
      <c r="J221" t="s" s="0">
        <v>5482</v>
      </c>
      <c r="K221" t="s" s="0">
        <v>5483</v>
      </c>
      <c r="L221" t="s" s="0">
        <v>5484</v>
      </c>
      <c r="M221" t="s" s="0">
        <v>5485</v>
      </c>
      <c r="N221" t="s" s="0">
        <v>5486</v>
      </c>
      <c r="O221" t="s" s="0">
        <v>5487</v>
      </c>
      <c r="P221" t="s" s="0">
        <v>5488</v>
      </c>
      <c r="Q221" t="s" s="0">
        <v>87</v>
      </c>
      <c r="R221" t="s" s="0">
        <v>81</v>
      </c>
      <c r="S221" t="s" s="0">
        <v>81</v>
      </c>
      <c r="T221" t="s" s="0">
        <v>81</v>
      </c>
      <c r="U221" t="s" s="0">
        <v>81</v>
      </c>
      <c r="V221" t="s" s="0">
        <v>5489</v>
      </c>
      <c r="W221" t="s" s="0">
        <v>3360</v>
      </c>
      <c r="X221" t="s" s="0">
        <v>81</v>
      </c>
      <c r="Y221" t="s" s="0">
        <v>81</v>
      </c>
      <c r="Z221" t="s" s="0">
        <v>90</v>
      </c>
      <c r="AA221" t="s" s="0">
        <v>91</v>
      </c>
      <c r="AB221" t="s" s="0">
        <v>81</v>
      </c>
      <c r="AC221" t="s" s="0">
        <v>81</v>
      </c>
      <c r="AD221" t="s" s="0">
        <v>81</v>
      </c>
      <c r="AE221" t="s" s="0">
        <v>81</v>
      </c>
      <c r="AF221" t="s" s="0">
        <v>81</v>
      </c>
      <c r="AG221" t="s" s="0">
        <v>5490</v>
      </c>
      <c r="AH221" t="s" s="0">
        <v>81</v>
      </c>
      <c r="AI221" t="s" s="0">
        <v>5491</v>
      </c>
      <c r="AJ221" t="s" s="0">
        <v>5492</v>
      </c>
      <c r="AK221" t="s" s="0">
        <v>81</v>
      </c>
      <c r="AL221" t="s" s="0">
        <v>276</v>
      </c>
      <c r="AM221" t="s" s="0">
        <v>107</v>
      </c>
      <c r="AN221" t="s" s="0">
        <v>187</v>
      </c>
      <c r="AO221" t="s" s="0">
        <v>144</v>
      </c>
      <c r="AP221" t="s" s="0">
        <v>103</v>
      </c>
      <c r="AQ221" t="s" s="0">
        <v>3362</v>
      </c>
      <c r="AR221" t="s" s="0">
        <v>3363</v>
      </c>
      <c r="AS221" t="s" s="0">
        <v>3364</v>
      </c>
      <c r="AT221" t="s" s="0">
        <v>81</v>
      </c>
      <c r="AU221" t="s" s="0">
        <v>3365</v>
      </c>
      <c r="AV221" t="s" s="0">
        <v>81</v>
      </c>
      <c r="AW221" t="s" s="0">
        <v>3366</v>
      </c>
      <c r="AX221" t="s" s="0">
        <v>3367</v>
      </c>
      <c r="AY221" t="s" s="0">
        <v>142</v>
      </c>
      <c r="AZ221" t="s" s="0">
        <v>142</v>
      </c>
      <c r="BA221" t="s" s="0">
        <v>134</v>
      </c>
      <c r="BB221" t="s" s="0">
        <v>81</v>
      </c>
      <c r="BC221" t="s" s="0">
        <v>81</v>
      </c>
      <c r="BD221" t="s" s="0">
        <v>81</v>
      </c>
      <c r="BE221" t="s" s="0">
        <v>81</v>
      </c>
      <c r="BF221" t="s" s="0">
        <v>81</v>
      </c>
      <c r="BG221" t="s" s="0">
        <v>81</v>
      </c>
      <c r="BH221" t="s" s="0">
        <v>81</v>
      </c>
      <c r="BI221" t="s" s="0">
        <v>5493</v>
      </c>
      <c r="BJ221" t="s" s="0">
        <v>5494</v>
      </c>
      <c r="BK221" t="s" s="437">
        <f>HYPERLINK("http://dx.doi.org/10.2196/70738","http://dx.doi.org/10.2196/70738")</f>
        <v>5495</v>
      </c>
      <c r="BL221" t="s" s="0">
        <v>81</v>
      </c>
      <c r="BM221" t="s" s="0">
        <v>81</v>
      </c>
      <c r="BN221" t="s" s="0">
        <v>143</v>
      </c>
      <c r="BO221" t="s" s="0">
        <v>352</v>
      </c>
      <c r="BP221" t="s" s="0">
        <v>352</v>
      </c>
      <c r="BQ221" t="s" s="0">
        <v>5496</v>
      </c>
      <c r="BR221" t="s" s="0">
        <v>5497</v>
      </c>
      <c r="BS221" t="s" s="0">
        <v>5498</v>
      </c>
      <c r="BT221" t="s" s="438">
        <f>HYPERLINK("https://www.webofscience.com/wos/woscc/full-record/WOS:001578958700001","View Record in Web of Science")</f>
        <v>113</v>
      </c>
      <c r="BU221" t="s" s="0">
        <v>153</v>
      </c>
      <c r="BV221" t="s" s="0">
        <v>81</v>
      </c>
      <c r="BW221" t="s" s="0">
        <v>81</v>
      </c>
      <c r="BX221" t="s" s="0">
        <v>115</v>
      </c>
    </row>
    <row r="222">
      <c r="A222" t="s" s="0">
        <v>77</v>
      </c>
      <c r="B222" t="s" s="0">
        <v>77</v>
      </c>
      <c r="C222" t="s" s="0">
        <v>77</v>
      </c>
      <c r="D222" t="s" s="0">
        <v>77</v>
      </c>
      <c r="E222" t="s" s="0">
        <v>5499</v>
      </c>
      <c r="F222" t="s" s="0">
        <v>5500</v>
      </c>
      <c r="G222" t="s" s="0">
        <v>5501</v>
      </c>
      <c r="H222" t="s" s="0">
        <v>81</v>
      </c>
      <c r="I222" t="s" s="0">
        <v>157</v>
      </c>
      <c r="J222" t="s" s="0">
        <v>5502</v>
      </c>
      <c r="K222" t="s" s="0">
        <v>5503</v>
      </c>
      <c r="L222" t="s" s="0">
        <v>5504</v>
      </c>
      <c r="M222" t="s" s="0">
        <v>4854</v>
      </c>
      <c r="N222" t="s" s="0">
        <v>5505</v>
      </c>
      <c r="O222" t="s" s="0">
        <v>5506</v>
      </c>
      <c r="P222" t="s" s="0">
        <v>5507</v>
      </c>
      <c r="Q222" t="s" s="0">
        <v>87</v>
      </c>
      <c r="R222" t="s" s="0">
        <v>81</v>
      </c>
      <c r="S222" t="s" s="0">
        <v>81</v>
      </c>
      <c r="T222" t="s" s="0">
        <v>81</v>
      </c>
      <c r="U222" t="s" s="0">
        <v>81</v>
      </c>
      <c r="V222" t="s" s="0">
        <v>5508</v>
      </c>
      <c r="W222" t="s" s="0">
        <v>3284</v>
      </c>
      <c r="X222" t="s" s="0">
        <v>81</v>
      </c>
      <c r="Y222" t="s" s="0">
        <v>81</v>
      </c>
      <c r="Z222" t="s" s="0">
        <v>90</v>
      </c>
      <c r="AA222" t="s" s="0">
        <v>91</v>
      </c>
      <c r="AB222" t="s" s="0">
        <v>81</v>
      </c>
      <c r="AC222" t="s" s="0">
        <v>81</v>
      </c>
      <c r="AD222" t="s" s="0">
        <v>81</v>
      </c>
      <c r="AE222" t="s" s="0">
        <v>81</v>
      </c>
      <c r="AF222" t="s" s="0">
        <v>81</v>
      </c>
      <c r="AG222" t="s" s="0">
        <v>5509</v>
      </c>
      <c r="AH222" t="s" s="0">
        <v>5510</v>
      </c>
      <c r="AI222" t="s" s="0">
        <v>81</v>
      </c>
      <c r="AJ222" t="s" s="0">
        <v>5511</v>
      </c>
      <c r="AK222" t="s" s="0">
        <v>81</v>
      </c>
      <c r="AL222" t="s" s="0">
        <v>909</v>
      </c>
      <c r="AM222" t="s" s="0">
        <v>144</v>
      </c>
      <c r="AN222" t="s" s="0">
        <v>144</v>
      </c>
      <c r="AO222" t="s" s="0">
        <v>210</v>
      </c>
      <c r="AP222" t="s" s="0">
        <v>219</v>
      </c>
      <c r="AQ222" t="s" s="0">
        <v>402</v>
      </c>
      <c r="AR222" t="s" s="0">
        <v>403</v>
      </c>
      <c r="AS222" t="s" s="0">
        <v>404</v>
      </c>
      <c r="AT222" t="s" s="0">
        <v>3286</v>
      </c>
      <c r="AU222" t="s" s="0">
        <v>81</v>
      </c>
      <c r="AV222" t="s" s="0">
        <v>81</v>
      </c>
      <c r="AW222" t="s" s="0">
        <v>3287</v>
      </c>
      <c r="AX222" t="s" s="0">
        <v>3288</v>
      </c>
      <c r="AY222" t="s" s="0">
        <v>5512</v>
      </c>
      <c r="AZ222" t="s" s="0">
        <v>142</v>
      </c>
      <c r="BA222" t="s" s="0">
        <v>323</v>
      </c>
      <c r="BB222" t="s" s="0">
        <v>81</v>
      </c>
      <c r="BC222" t="s" s="0">
        <v>81</v>
      </c>
      <c r="BD222" t="s" s="0">
        <v>81</v>
      </c>
      <c r="BE222" t="s" s="0">
        <v>81</v>
      </c>
      <c r="BF222" t="s" s="0">
        <v>81</v>
      </c>
      <c r="BG222" t="s" s="0">
        <v>81</v>
      </c>
      <c r="BH222" t="s" s="0">
        <v>81</v>
      </c>
      <c r="BI222" t="s" s="0">
        <v>5513</v>
      </c>
      <c r="BJ222" t="s" s="0">
        <v>5514</v>
      </c>
      <c r="BK222" t="s" s="439">
        <f>HYPERLINK("http://dx.doi.org/10.3389/fpsyt.2025.1643552","http://dx.doi.org/10.3389/fpsyt.2025.1643552")</f>
        <v>5515</v>
      </c>
      <c r="BL222" t="s" s="0">
        <v>81</v>
      </c>
      <c r="BM222" t="s" s="0">
        <v>81</v>
      </c>
      <c r="BN222" t="s" s="0">
        <v>468</v>
      </c>
      <c r="BO222" t="s" s="0">
        <v>3293</v>
      </c>
      <c r="BP222" t="s" s="0">
        <v>3293</v>
      </c>
      <c r="BQ222" t="s" s="0">
        <v>5516</v>
      </c>
      <c r="BR222" t="s" s="0">
        <v>5517</v>
      </c>
      <c r="BS222" t="s" s="0">
        <v>5518</v>
      </c>
      <c r="BT222" t="s" s="440">
        <f>HYPERLINK("https://www.webofscience.com/wos/woscc/full-record/WOS:001616818500001","View Record in Web of Science")</f>
        <v>113</v>
      </c>
      <c r="BU222" t="s" s="0">
        <v>153</v>
      </c>
      <c r="BV222" t="s" s="0">
        <v>81</v>
      </c>
      <c r="BW222" t="s" s="0">
        <v>81</v>
      </c>
      <c r="BX222" t="s" s="0">
        <v>115</v>
      </c>
    </row>
    <row r="223">
      <c r="A223" t="s" s="0">
        <v>77</v>
      </c>
      <c r="B223" t="s" s="0">
        <v>77</v>
      </c>
      <c r="C223" t="s" s="0">
        <v>77</v>
      </c>
      <c r="D223" t="s" s="0">
        <v>77</v>
      </c>
      <c r="E223" t="s" s="0">
        <v>5519</v>
      </c>
      <c r="F223" t="s" s="0">
        <v>5520</v>
      </c>
      <c r="G223" t="s" s="0">
        <v>5521</v>
      </c>
      <c r="H223" t="s" s="0">
        <v>81</v>
      </c>
      <c r="I223" t="s" s="0">
        <v>82</v>
      </c>
      <c r="J223" t="s" s="0">
        <v>5522</v>
      </c>
      <c r="K223" t="s" s="0">
        <v>5523</v>
      </c>
      <c r="L223" t="s" s="0">
        <v>5524</v>
      </c>
      <c r="M223" t="s" s="0">
        <v>5525</v>
      </c>
      <c r="N223" t="s" s="0">
        <v>5526</v>
      </c>
      <c r="O223" t="s" s="0">
        <v>5527</v>
      </c>
      <c r="P223" t="s" s="0">
        <v>5528</v>
      </c>
      <c r="Q223" t="s" s="0">
        <v>87</v>
      </c>
      <c r="R223" t="s" s="0">
        <v>81</v>
      </c>
      <c r="S223" t="s" s="0">
        <v>81</v>
      </c>
      <c r="T223" t="s" s="0">
        <v>81</v>
      </c>
      <c r="U223" t="s" s="0">
        <v>81</v>
      </c>
      <c r="V223" t="s" s="0">
        <v>5529</v>
      </c>
      <c r="W223" t="s" s="0">
        <v>128</v>
      </c>
      <c r="X223" t="s" s="0">
        <v>81</v>
      </c>
      <c r="Y223" t="s" s="0">
        <v>81</v>
      </c>
      <c r="Z223" t="s" s="0">
        <v>90</v>
      </c>
      <c r="AA223" t="s" s="0">
        <v>91</v>
      </c>
      <c r="AB223" t="s" s="0">
        <v>81</v>
      </c>
      <c r="AC223" t="s" s="0">
        <v>81</v>
      </c>
      <c r="AD223" t="s" s="0">
        <v>81</v>
      </c>
      <c r="AE223" t="s" s="0">
        <v>81</v>
      </c>
      <c r="AF223" t="s" s="0">
        <v>81</v>
      </c>
      <c r="AG223" t="s" s="0">
        <v>5530</v>
      </c>
      <c r="AH223" t="s" s="0">
        <v>81</v>
      </c>
      <c r="AI223" t="s" s="0">
        <v>5531</v>
      </c>
      <c r="AJ223" t="s" s="0">
        <v>5532</v>
      </c>
      <c r="AK223" t="s" s="0">
        <v>81</v>
      </c>
      <c r="AL223" t="s" s="0">
        <v>401</v>
      </c>
      <c r="AM223" t="s" s="0">
        <v>103</v>
      </c>
      <c r="AN223" t="s" s="0">
        <v>219</v>
      </c>
      <c r="AO223" t="s" s="0">
        <v>313</v>
      </c>
      <c r="AP223" t="s" s="0">
        <v>103</v>
      </c>
      <c r="AQ223" t="s" s="0">
        <v>135</v>
      </c>
      <c r="AR223" t="s" s="0">
        <v>136</v>
      </c>
      <c r="AS223" t="s" s="0">
        <v>137</v>
      </c>
      <c r="AT223" t="s" s="0">
        <v>138</v>
      </c>
      <c r="AU223" t="s" s="0">
        <v>81</v>
      </c>
      <c r="AV223" t="s" s="0">
        <v>81</v>
      </c>
      <c r="AW223" t="s" s="0">
        <v>139</v>
      </c>
      <c r="AX223" t="s" s="0">
        <v>140</v>
      </c>
      <c r="AY223" t="s" s="0">
        <v>5533</v>
      </c>
      <c r="AZ223" t="s" s="0">
        <v>142</v>
      </c>
      <c r="BA223" t="s" s="0">
        <v>143</v>
      </c>
      <c r="BB223" t="s" s="0">
        <v>144</v>
      </c>
      <c r="BC223" t="s" s="0">
        <v>81</v>
      </c>
      <c r="BD223" t="s" s="0">
        <v>81</v>
      </c>
      <c r="BE223" t="s" s="0">
        <v>81</v>
      </c>
      <c r="BF223" t="s" s="0">
        <v>81</v>
      </c>
      <c r="BG223" t="s" s="0">
        <v>81</v>
      </c>
      <c r="BH223" t="s" s="0">
        <v>81</v>
      </c>
      <c r="BI223" t="s" s="0">
        <v>5534</v>
      </c>
      <c r="BJ223" t="s" s="0">
        <v>5535</v>
      </c>
      <c r="BK223" t="s" s="441">
        <f>HYPERLINK("http://dx.doi.org/10.1038/s41598-025-07272-3","http://dx.doi.org/10.1038/s41598-025-07272-3")</f>
        <v>5536</v>
      </c>
      <c r="BL223" t="s" s="0">
        <v>81</v>
      </c>
      <c r="BM223" t="s" s="0">
        <v>81</v>
      </c>
      <c r="BN223" t="s" s="0">
        <v>323</v>
      </c>
      <c r="BO223" t="s" s="0">
        <v>148</v>
      </c>
      <c r="BP223" t="s" s="0">
        <v>149</v>
      </c>
      <c r="BQ223" t="s" s="0">
        <v>5537</v>
      </c>
      <c r="BR223" t="s" s="0">
        <v>5538</v>
      </c>
      <c r="BS223" t="s" s="0">
        <v>5539</v>
      </c>
      <c r="BT223" t="s" s="442">
        <f>HYPERLINK("https://www.webofscience.com/wos/woscc/full-record/WOS:001539934000016","View Record in Web of Science")</f>
        <v>113</v>
      </c>
      <c r="BU223" t="s" s="0">
        <v>153</v>
      </c>
      <c r="BV223" t="s" s="0">
        <v>81</v>
      </c>
      <c r="BW223" t="s" s="0">
        <v>81</v>
      </c>
      <c r="BX223" t="s" s="0">
        <v>115</v>
      </c>
    </row>
    <row r="224">
      <c r="A224" t="s" s="0">
        <v>77</v>
      </c>
      <c r="B224" t="s" s="0">
        <v>77</v>
      </c>
      <c r="C224" t="s" s="0">
        <v>77</v>
      </c>
      <c r="D224" t="s" s="0">
        <v>77</v>
      </c>
      <c r="E224" t="s" s="0">
        <v>5540</v>
      </c>
      <c r="F224" t="s" s="0">
        <v>5541</v>
      </c>
      <c r="G224" t="s" s="0">
        <v>5542</v>
      </c>
      <c r="H224" t="s" s="0">
        <v>81</v>
      </c>
      <c r="I224" t="s" s="0">
        <v>82</v>
      </c>
      <c r="J224" t="s" s="0">
        <v>5543</v>
      </c>
      <c r="K224" t="s" s="0">
        <v>5544</v>
      </c>
      <c r="L224" t="s" s="0">
        <v>5545</v>
      </c>
      <c r="M224" t="s" s="0">
        <v>5546</v>
      </c>
      <c r="N224" t="s" s="0">
        <v>5547</v>
      </c>
      <c r="O224" t="s" s="0">
        <v>5548</v>
      </c>
      <c r="P224" t="s" s="0">
        <v>5549</v>
      </c>
      <c r="Q224" t="s" s="0">
        <v>87</v>
      </c>
      <c r="R224" t="s" s="0">
        <v>81</v>
      </c>
      <c r="S224" t="s" s="0">
        <v>81</v>
      </c>
      <c r="T224" t="s" s="0">
        <v>81</v>
      </c>
      <c r="U224" t="s" s="0">
        <v>81</v>
      </c>
      <c r="V224" t="s" s="0">
        <v>5550</v>
      </c>
      <c r="W224" t="s" s="0">
        <v>5551</v>
      </c>
      <c r="X224" t="s" s="0">
        <v>81</v>
      </c>
      <c r="Y224" t="s" s="0">
        <v>81</v>
      </c>
      <c r="Z224" t="s" s="0">
        <v>90</v>
      </c>
      <c r="AA224" t="s" s="0">
        <v>91</v>
      </c>
      <c r="AB224" t="s" s="0">
        <v>81</v>
      </c>
      <c r="AC224" t="s" s="0">
        <v>81</v>
      </c>
      <c r="AD224" t="s" s="0">
        <v>81</v>
      </c>
      <c r="AE224" t="s" s="0">
        <v>81</v>
      </c>
      <c r="AF224" t="s" s="0">
        <v>81</v>
      </c>
      <c r="AG224" t="s" s="0">
        <v>5552</v>
      </c>
      <c r="AH224" t="s" s="0">
        <v>81</v>
      </c>
      <c r="AI224" t="s" s="0">
        <v>81</v>
      </c>
      <c r="AJ224" t="s" s="0">
        <v>81</v>
      </c>
      <c r="AK224" t="s" s="0">
        <v>81</v>
      </c>
      <c r="AL224" t="s" s="0">
        <v>102</v>
      </c>
      <c r="AM224" t="s" s="0">
        <v>77</v>
      </c>
      <c r="AN224" t="s" s="0">
        <v>77</v>
      </c>
      <c r="AO224" t="s" s="0">
        <v>210</v>
      </c>
      <c r="AP224" t="s" s="0">
        <v>210</v>
      </c>
      <c r="AQ224" t="s" s="0">
        <v>615</v>
      </c>
      <c r="AR224" t="s" s="0">
        <v>616</v>
      </c>
      <c r="AS224" t="s" s="0">
        <v>617</v>
      </c>
      <c r="AT224" t="s" s="0">
        <v>5553</v>
      </c>
      <c r="AU224" t="s" s="0">
        <v>5554</v>
      </c>
      <c r="AV224" t="s" s="0">
        <v>81</v>
      </c>
      <c r="AW224" t="s" s="0">
        <v>5555</v>
      </c>
      <c r="AX224" t="s" s="0">
        <v>5556</v>
      </c>
      <c r="AY224" t="s" s="0">
        <v>2529</v>
      </c>
      <c r="AZ224" t="s" s="0">
        <v>101</v>
      </c>
      <c r="BA224" t="s" s="0">
        <v>5557</v>
      </c>
      <c r="BB224" t="s" s="0">
        <v>81</v>
      </c>
      <c r="BC224" t="s" s="0">
        <v>81</v>
      </c>
      <c r="BD224" t="s" s="0">
        <v>81</v>
      </c>
      <c r="BE224" t="s" s="0">
        <v>81</v>
      </c>
      <c r="BF224" t="s" s="0">
        <v>81</v>
      </c>
      <c r="BG224" t="s" s="0">
        <v>854</v>
      </c>
      <c r="BH224" t="s" s="0">
        <v>2026</v>
      </c>
      <c r="BI224" t="s" s="0">
        <v>81</v>
      </c>
      <c r="BJ224" t="s" s="0">
        <v>5558</v>
      </c>
      <c r="BK224" t="s" s="443">
        <f>HYPERLINK("http://dx.doi.org/10.1016/j.aej.2026.01.050","http://dx.doi.org/10.1016/j.aej.2026.01.050")</f>
        <v>5559</v>
      </c>
      <c r="BL224" t="s" s="0">
        <v>81</v>
      </c>
      <c r="BM224" t="s" s="0">
        <v>566</v>
      </c>
      <c r="BN224" t="s" s="0">
        <v>107</v>
      </c>
      <c r="BO224" t="s" s="0">
        <v>1314</v>
      </c>
      <c r="BP224" t="s" s="0">
        <v>865</v>
      </c>
      <c r="BQ224" t="s" s="0">
        <v>5560</v>
      </c>
      <c r="BR224" t="s" s="0">
        <v>81</v>
      </c>
      <c r="BS224" t="s" s="0">
        <v>5561</v>
      </c>
      <c r="BT224" t="s" s="444">
        <f>HYPERLINK("https://www.webofscience.com/wos/woscc/full-record/WOS:001695454700001","View Record in Web of Science")</f>
        <v>113</v>
      </c>
      <c r="BU224" t="s" s="0">
        <v>1317</v>
      </c>
      <c r="BV224" t="s" s="0">
        <v>81</v>
      </c>
      <c r="BW224" t="s" s="0">
        <v>81</v>
      </c>
      <c r="BX224" t="s" s="0">
        <v>115</v>
      </c>
    </row>
    <row r="225">
      <c r="A225" t="s" s="0">
        <v>144</v>
      </c>
      <c r="B225" t="s" s="0">
        <v>77</v>
      </c>
      <c r="C225" t="s" s="0">
        <v>144</v>
      </c>
      <c r="D225" t="s" s="0">
        <v>77</v>
      </c>
      <c r="E225" t="s" s="0">
        <v>5562</v>
      </c>
      <c r="F225" t="s" s="0">
        <v>5563</v>
      </c>
      <c r="G225" t="s" s="0">
        <v>5564</v>
      </c>
      <c r="H225" t="s" s="0">
        <v>81</v>
      </c>
      <c r="I225" t="s" s="0">
        <v>82</v>
      </c>
      <c r="J225" t="s" s="0">
        <v>5565</v>
      </c>
      <c r="K225" t="s" s="0">
        <v>5566</v>
      </c>
      <c r="L225" t="s" s="0">
        <v>5567</v>
      </c>
      <c r="M225" t="s" s="0">
        <v>5568</v>
      </c>
      <c r="N225" t="s" s="0">
        <v>5569</v>
      </c>
      <c r="O225" t="s" s="0">
        <v>5570</v>
      </c>
      <c r="P225" t="s" s="0">
        <v>5571</v>
      </c>
      <c r="Q225" t="s" s="0">
        <v>87</v>
      </c>
      <c r="R225" t="s" s="0">
        <v>81</v>
      </c>
      <c r="S225" t="s" s="0">
        <v>81</v>
      </c>
      <c r="T225" t="s" s="0">
        <v>81</v>
      </c>
      <c r="U225" t="s" s="0">
        <v>81</v>
      </c>
      <c r="V225" t="s" s="0">
        <v>5572</v>
      </c>
      <c r="W225" t="s" s="0">
        <v>4430</v>
      </c>
      <c r="X225" t="s" s="0">
        <v>81</v>
      </c>
      <c r="Y225" t="s" s="0">
        <v>81</v>
      </c>
      <c r="Z225" t="s" s="0">
        <v>90</v>
      </c>
      <c r="AA225" t="s" s="0">
        <v>91</v>
      </c>
      <c r="AB225" t="s" s="0">
        <v>81</v>
      </c>
      <c r="AC225" t="s" s="0">
        <v>81</v>
      </c>
      <c r="AD225" t="s" s="0">
        <v>81</v>
      </c>
      <c r="AE225" t="s" s="0">
        <v>81</v>
      </c>
      <c r="AF225" t="s" s="0">
        <v>81</v>
      </c>
      <c r="AG225" t="s" s="0">
        <v>5573</v>
      </c>
      <c r="AH225" t="s" s="0">
        <v>81</v>
      </c>
      <c r="AI225" t="s" s="0">
        <v>5574</v>
      </c>
      <c r="AJ225" t="s" s="0">
        <v>5575</v>
      </c>
      <c r="AK225" t="s" s="0">
        <v>81</v>
      </c>
      <c r="AL225" t="s" s="0">
        <v>822</v>
      </c>
      <c r="AM225" t="s" s="0">
        <v>3567</v>
      </c>
      <c r="AN225" t="s" s="0">
        <v>458</v>
      </c>
      <c r="AO225" t="s" s="0">
        <v>1284</v>
      </c>
      <c r="AP225" t="s" s="0">
        <v>5576</v>
      </c>
      <c r="AQ225" t="s" s="0">
        <v>615</v>
      </c>
      <c r="AR225" t="s" s="0">
        <v>616</v>
      </c>
      <c r="AS225" t="s" s="0">
        <v>617</v>
      </c>
      <c r="AT225" t="s" s="0">
        <v>4436</v>
      </c>
      <c r="AU225" t="s" s="0">
        <v>4437</v>
      </c>
      <c r="AV225" t="s" s="0">
        <v>81</v>
      </c>
      <c r="AW225" t="s" s="0">
        <v>4438</v>
      </c>
      <c r="AX225" t="s" s="0">
        <v>4439</v>
      </c>
      <c r="AY225" t="s" s="0">
        <v>284</v>
      </c>
      <c r="AZ225" t="s" s="0">
        <v>285</v>
      </c>
      <c r="BA225" t="s" s="0">
        <v>5577</v>
      </c>
      <c r="BB225" t="s" s="0">
        <v>81</v>
      </c>
      <c r="BC225" t="s" s="0">
        <v>81</v>
      </c>
      <c r="BD225" t="s" s="0">
        <v>81</v>
      </c>
      <c r="BE225" t="s" s="0">
        <v>81</v>
      </c>
      <c r="BF225" t="s" s="0">
        <v>81</v>
      </c>
      <c r="BG225" t="s" s="0">
        <v>81</v>
      </c>
      <c r="BH225" t="s" s="0">
        <v>81</v>
      </c>
      <c r="BI225" t="s" s="0">
        <v>5578</v>
      </c>
      <c r="BJ225" t="s" s="0">
        <v>5579</v>
      </c>
      <c r="BK225" t="s" s="445">
        <f>HYPERLINK("http://dx.doi.org/10.1016/j.inffus.2024.102394","http://dx.doi.org/10.1016/j.inffus.2024.102394")</f>
        <v>5580</v>
      </c>
      <c r="BL225" t="s" s="0">
        <v>81</v>
      </c>
      <c r="BM225" t="s" s="0">
        <v>529</v>
      </c>
      <c r="BN225" t="s" s="0">
        <v>323</v>
      </c>
      <c r="BO225" t="s" s="0">
        <v>2413</v>
      </c>
      <c r="BP225" t="s" s="0">
        <v>835</v>
      </c>
      <c r="BQ225" t="s" s="0">
        <v>5581</v>
      </c>
      <c r="BR225" t="s" s="0">
        <v>81</v>
      </c>
      <c r="BS225" t="s" s="0">
        <v>5582</v>
      </c>
      <c r="BT225" t="s" s="446">
        <f>HYPERLINK("https://www.webofscience.com/wos/woscc/full-record/WOS:001224638200001","View Record in Web of Science")</f>
        <v>113</v>
      </c>
      <c r="BU225" t="s" s="0">
        <v>81</v>
      </c>
      <c r="BV225" t="s" s="0">
        <v>81</v>
      </c>
      <c r="BW225" t="s" s="0">
        <v>81</v>
      </c>
      <c r="BX225" t="s" s="0">
        <v>115</v>
      </c>
    </row>
    <row r="226">
      <c r="A226" t="s" s="0">
        <v>77</v>
      </c>
      <c r="B226" t="s" s="0">
        <v>77</v>
      </c>
      <c r="C226" t="s" s="0">
        <v>77</v>
      </c>
      <c r="D226" t="s" s="0">
        <v>77</v>
      </c>
      <c r="E226" t="s" s="0">
        <v>5583</v>
      </c>
      <c r="F226" t="s" s="0">
        <v>5584</v>
      </c>
      <c r="G226" t="s" s="0">
        <v>5585</v>
      </c>
      <c r="H226" t="s" s="0">
        <v>81</v>
      </c>
      <c r="I226" t="s" s="0">
        <v>82</v>
      </c>
      <c r="J226" t="s" s="0">
        <v>5586</v>
      </c>
      <c r="K226" t="s" s="0">
        <v>5587</v>
      </c>
      <c r="L226" t="s" s="0">
        <v>5588</v>
      </c>
      <c r="M226" t="s" s="0">
        <v>5588</v>
      </c>
      <c r="N226" t="s" s="0">
        <v>5589</v>
      </c>
      <c r="O226" t="s" s="0">
        <v>5590</v>
      </c>
      <c r="P226" t="s" s="0">
        <v>5591</v>
      </c>
      <c r="Q226" t="s" s="0">
        <v>87</v>
      </c>
      <c r="R226" t="s" s="0">
        <v>81</v>
      </c>
      <c r="S226" t="s" s="0">
        <v>81</v>
      </c>
      <c r="T226" t="s" s="0">
        <v>81</v>
      </c>
      <c r="U226" t="s" s="0">
        <v>81</v>
      </c>
      <c r="V226" t="s" s="0">
        <v>5592</v>
      </c>
      <c r="W226" t="s" s="0">
        <v>2880</v>
      </c>
      <c r="X226" t="s" s="0">
        <v>81</v>
      </c>
      <c r="Y226" t="s" s="0">
        <v>81</v>
      </c>
      <c r="Z226" t="s" s="0">
        <v>90</v>
      </c>
      <c r="AA226" t="s" s="0">
        <v>91</v>
      </c>
      <c r="AB226" t="s" s="0">
        <v>81</v>
      </c>
      <c r="AC226" t="s" s="0">
        <v>81</v>
      </c>
      <c r="AD226" t="s" s="0">
        <v>81</v>
      </c>
      <c r="AE226" t="s" s="0">
        <v>81</v>
      </c>
      <c r="AF226" t="s" s="0">
        <v>81</v>
      </c>
      <c r="AG226" t="s" s="0">
        <v>5593</v>
      </c>
      <c r="AH226" t="s" s="0">
        <v>5594</v>
      </c>
      <c r="AI226" t="s" s="0">
        <v>81</v>
      </c>
      <c r="AJ226" t="s" s="0">
        <v>81</v>
      </c>
      <c r="AK226" t="s" s="0">
        <v>81</v>
      </c>
      <c r="AL226" t="s" s="0">
        <v>1223</v>
      </c>
      <c r="AM226" t="s" s="0">
        <v>77</v>
      </c>
      <c r="AN226" t="s" s="0">
        <v>77</v>
      </c>
      <c r="AO226" t="s" s="0">
        <v>77</v>
      </c>
      <c r="AP226" t="s" s="0">
        <v>77</v>
      </c>
      <c r="AQ226" t="s" s="0">
        <v>402</v>
      </c>
      <c r="AR226" t="s" s="0">
        <v>403</v>
      </c>
      <c r="AS226" t="s" s="0">
        <v>404</v>
      </c>
      <c r="AT226" t="s" s="0">
        <v>2884</v>
      </c>
      <c r="AU226" t="s" s="0">
        <v>81</v>
      </c>
      <c r="AV226" t="s" s="0">
        <v>81</v>
      </c>
      <c r="AW226" t="s" s="0">
        <v>2885</v>
      </c>
      <c r="AX226" t="s" s="0">
        <v>2886</v>
      </c>
      <c r="AY226" t="s" s="0">
        <v>5595</v>
      </c>
      <c r="AZ226" t="s" s="0">
        <v>101</v>
      </c>
      <c r="BA226" t="s" s="0">
        <v>277</v>
      </c>
      <c r="BB226" t="s" s="0">
        <v>81</v>
      </c>
      <c r="BC226" t="s" s="0">
        <v>81</v>
      </c>
      <c r="BD226" t="s" s="0">
        <v>81</v>
      </c>
      <c r="BE226" t="s" s="0">
        <v>81</v>
      </c>
      <c r="BF226" t="s" s="0">
        <v>81</v>
      </c>
      <c r="BG226" t="s" s="0">
        <v>81</v>
      </c>
      <c r="BH226" t="s" s="0">
        <v>81</v>
      </c>
      <c r="BI226" t="s" s="0">
        <v>5596</v>
      </c>
      <c r="BJ226" t="s" s="0">
        <v>5597</v>
      </c>
      <c r="BK226" t="s" s="447">
        <f>HYPERLINK("http://dx.doi.org/10.3389/fneur.2026.1791696","http://dx.doi.org/10.3389/fneur.2026.1791696")</f>
        <v>5598</v>
      </c>
      <c r="BL226" t="s" s="0">
        <v>81</v>
      </c>
      <c r="BM226" t="s" s="0">
        <v>438</v>
      </c>
      <c r="BN226" t="s" s="0">
        <v>173</v>
      </c>
      <c r="BO226" t="s" s="0">
        <v>1937</v>
      </c>
      <c r="BP226" t="s" s="0">
        <v>749</v>
      </c>
      <c r="BQ226" t="s" s="0">
        <v>5599</v>
      </c>
      <c r="BR226" t="s" s="0">
        <v>5600</v>
      </c>
      <c r="BS226" t="s" s="0">
        <v>5601</v>
      </c>
      <c r="BT226" t="s" s="448">
        <f>HYPERLINK("https://www.webofscience.com/wos/woscc/full-record/WOS:001755531300001","View Record in Web of Science")</f>
        <v>113</v>
      </c>
      <c r="BU226" t="s" s="0">
        <v>153</v>
      </c>
      <c r="BV226" t="s" s="0">
        <v>81</v>
      </c>
      <c r="BW226" t="s" s="0">
        <v>81</v>
      </c>
      <c r="BX226" t="s" s="0">
        <v>115</v>
      </c>
    </row>
    <row r="227">
      <c r="A227" t="s" s="0">
        <v>77</v>
      </c>
      <c r="B227" t="s" s="0">
        <v>77</v>
      </c>
      <c r="C227" t="s" s="0">
        <v>77</v>
      </c>
      <c r="D227" t="s" s="0">
        <v>77</v>
      </c>
      <c r="E227" t="s" s="0">
        <v>5602</v>
      </c>
      <c r="F227" t="s" s="0">
        <v>5603</v>
      </c>
      <c r="G227" t="s" s="0">
        <v>5604</v>
      </c>
      <c r="H227" t="s" s="0">
        <v>81</v>
      </c>
      <c r="I227" t="s" s="0">
        <v>82</v>
      </c>
      <c r="J227" t="s" s="0">
        <v>5605</v>
      </c>
      <c r="K227" t="s" s="0">
        <v>5606</v>
      </c>
      <c r="L227" t="s" s="0">
        <v>5607</v>
      </c>
      <c r="M227" t="s" s="0">
        <v>5608</v>
      </c>
      <c r="N227" t="s" s="0">
        <v>5609</v>
      </c>
      <c r="O227" t="s" s="0">
        <v>5610</v>
      </c>
      <c r="P227" t="s" s="0">
        <v>5611</v>
      </c>
      <c r="Q227" t="s" s="0">
        <v>87</v>
      </c>
      <c r="R227" t="s" s="0">
        <v>81</v>
      </c>
      <c r="S227" t="s" s="0">
        <v>81</v>
      </c>
      <c r="T227" t="s" s="0">
        <v>81</v>
      </c>
      <c r="U227" t="s" s="0">
        <v>81</v>
      </c>
      <c r="V227" t="s" s="0">
        <v>5612</v>
      </c>
      <c r="W227" t="s" s="0">
        <v>5613</v>
      </c>
      <c r="X227" t="s" s="0">
        <v>81</v>
      </c>
      <c r="Y227" t="s" s="0">
        <v>81</v>
      </c>
      <c r="Z227" t="s" s="0">
        <v>90</v>
      </c>
      <c r="AA227" t="s" s="0">
        <v>91</v>
      </c>
      <c r="AB227" t="s" s="0">
        <v>81</v>
      </c>
      <c r="AC227" t="s" s="0">
        <v>81</v>
      </c>
      <c r="AD227" t="s" s="0">
        <v>81</v>
      </c>
      <c r="AE227" t="s" s="0">
        <v>81</v>
      </c>
      <c r="AF227" t="s" s="0">
        <v>81</v>
      </c>
      <c r="AG227" t="s" s="0">
        <v>5614</v>
      </c>
      <c r="AH227" t="s" s="0">
        <v>5615</v>
      </c>
      <c r="AI227" t="s" s="0">
        <v>5616</v>
      </c>
      <c r="AJ227" t="s" s="0">
        <v>81</v>
      </c>
      <c r="AK227" t="s" s="0">
        <v>81</v>
      </c>
      <c r="AL227" t="s" s="0">
        <v>2106</v>
      </c>
      <c r="AM227" t="s" s="0">
        <v>77</v>
      </c>
      <c r="AN227" t="s" s="0">
        <v>77</v>
      </c>
      <c r="AO227" t="s" s="0">
        <v>313</v>
      </c>
      <c r="AP227" t="s" s="0">
        <v>313</v>
      </c>
      <c r="AQ227" t="s" s="0">
        <v>94</v>
      </c>
      <c r="AR227" t="s" s="0">
        <v>95</v>
      </c>
      <c r="AS227" t="s" s="0">
        <v>96</v>
      </c>
      <c r="AT227" t="s" s="0">
        <v>5617</v>
      </c>
      <c r="AU227" t="s" s="0">
        <v>5618</v>
      </c>
      <c r="AV227" t="s" s="0">
        <v>81</v>
      </c>
      <c r="AW227" t="s" s="0">
        <v>5619</v>
      </c>
      <c r="AX227" t="s" s="0">
        <v>5620</v>
      </c>
      <c r="AY227" t="s" s="0">
        <v>101</v>
      </c>
      <c r="AZ227" t="s" s="0">
        <v>101</v>
      </c>
      <c r="BA227" t="s" s="0">
        <v>428</v>
      </c>
      <c r="BB227" t="s" s="0">
        <v>173</v>
      </c>
      <c r="BC227" t="s" s="0">
        <v>81</v>
      </c>
      <c r="BD227" t="s" s="0">
        <v>81</v>
      </c>
      <c r="BE227" t="s" s="0">
        <v>81</v>
      </c>
      <c r="BF227" t="s" s="0">
        <v>81</v>
      </c>
      <c r="BG227" t="s" s="0">
        <v>81</v>
      </c>
      <c r="BH227" t="s" s="0">
        <v>81</v>
      </c>
      <c r="BI227" t="s" s="0">
        <v>5621</v>
      </c>
      <c r="BJ227" t="s" s="0">
        <v>5622</v>
      </c>
      <c r="BK227" t="s" s="449">
        <f>HYPERLINK("http://dx.doi.org/10.1093/hmg/ddag040","http://dx.doi.org/10.1093/hmg/ddag040")</f>
        <v>5623</v>
      </c>
      <c r="BL227" t="s" s="0">
        <v>81</v>
      </c>
      <c r="BM227" t="s" s="0">
        <v>81</v>
      </c>
      <c r="BN227" t="s" s="0">
        <v>187</v>
      </c>
      <c r="BO227" t="s" s="0">
        <v>5624</v>
      </c>
      <c r="BP227" t="s" s="0">
        <v>5624</v>
      </c>
      <c r="BQ227" t="s" s="0">
        <v>5625</v>
      </c>
      <c r="BR227" t="s" s="0">
        <v>5626</v>
      </c>
      <c r="BS227" t="s" s="0">
        <v>5627</v>
      </c>
      <c r="BT227" t="s" s="450">
        <f>HYPERLINK("https://www.webofscience.com/wos/woscc/full-record/WOS:001787981200002","View Record in Web of Science")</f>
        <v>113</v>
      </c>
      <c r="BU227" t="s" s="0">
        <v>81</v>
      </c>
      <c r="BV227" t="s" s="0">
        <v>81</v>
      </c>
      <c r="BW227" t="s" s="0">
        <v>81</v>
      </c>
      <c r="BX227" t="s" s="0">
        <v>115</v>
      </c>
    </row>
    <row r="228">
      <c r="A228" t="s" s="0">
        <v>313</v>
      </c>
      <c r="B228" t="s" s="0">
        <v>77</v>
      </c>
      <c r="C228" t="s" s="0">
        <v>133</v>
      </c>
      <c r="D228" t="s" s="0">
        <v>77</v>
      </c>
      <c r="E228" t="s" s="0">
        <v>5628</v>
      </c>
      <c r="F228" t="s" s="0">
        <v>5629</v>
      </c>
      <c r="G228" t="s" s="0">
        <v>5630</v>
      </c>
      <c r="H228" t="s" s="0">
        <v>81</v>
      </c>
      <c r="I228" t="s" s="0">
        <v>82</v>
      </c>
      <c r="J228" t="s" s="0">
        <v>5631</v>
      </c>
      <c r="K228" t="s" s="0">
        <v>5632</v>
      </c>
      <c r="L228" t="s" s="0">
        <v>5633</v>
      </c>
      <c r="M228" t="s" s="0">
        <v>5634</v>
      </c>
      <c r="N228" t="s" s="0">
        <v>5635</v>
      </c>
      <c r="O228" t="s" s="0">
        <v>5636</v>
      </c>
      <c r="P228" t="s" s="0">
        <v>5637</v>
      </c>
      <c r="Q228" t="s" s="0">
        <v>87</v>
      </c>
      <c r="R228" t="s" s="0">
        <v>81</v>
      </c>
      <c r="S228" t="s" s="0">
        <v>81</v>
      </c>
      <c r="T228" t="s" s="0">
        <v>81</v>
      </c>
      <c r="U228" t="s" s="0">
        <v>81</v>
      </c>
      <c r="V228" t="s" s="0">
        <v>5638</v>
      </c>
      <c r="W228" t="s" s="0">
        <v>1189</v>
      </c>
      <c r="X228" t="s" s="0">
        <v>81</v>
      </c>
      <c r="Y228" t="s" s="0">
        <v>81</v>
      </c>
      <c r="Z228" t="s" s="0">
        <v>90</v>
      </c>
      <c r="AA228" t="s" s="0">
        <v>91</v>
      </c>
      <c r="AB228" t="s" s="0">
        <v>81</v>
      </c>
      <c r="AC228" t="s" s="0">
        <v>81</v>
      </c>
      <c r="AD228" t="s" s="0">
        <v>81</v>
      </c>
      <c r="AE228" t="s" s="0">
        <v>81</v>
      </c>
      <c r="AF228" t="s" s="0">
        <v>81</v>
      </c>
      <c r="AG228" t="s" s="0">
        <v>5639</v>
      </c>
      <c r="AH228" t="s" s="0">
        <v>5640</v>
      </c>
      <c r="AI228" t="s" s="0">
        <v>5641</v>
      </c>
      <c r="AJ228" t="s" s="0">
        <v>5642</v>
      </c>
      <c r="AK228" t="s" s="0">
        <v>81</v>
      </c>
      <c r="AL228" t="s" s="0">
        <v>519</v>
      </c>
      <c r="AM228" t="s" s="0">
        <v>521</v>
      </c>
      <c r="AN228" t="s" s="0">
        <v>428</v>
      </c>
      <c r="AO228" t="s" s="0">
        <v>116</v>
      </c>
      <c r="AP228" t="s" s="0">
        <v>401</v>
      </c>
      <c r="AQ228" t="s" s="0">
        <v>1195</v>
      </c>
      <c r="AR228" t="s" s="0">
        <v>1196</v>
      </c>
      <c r="AS228" t="s" s="0">
        <v>1197</v>
      </c>
      <c r="AT228" t="s" s="0">
        <v>1198</v>
      </c>
      <c r="AU228" t="s" s="0">
        <v>81</v>
      </c>
      <c r="AV228" t="s" s="0">
        <v>81</v>
      </c>
      <c r="AW228" t="s" s="0">
        <v>1189</v>
      </c>
      <c r="AX228" t="s" s="0">
        <v>1199</v>
      </c>
      <c r="AY228" t="s" s="0">
        <v>742</v>
      </c>
      <c r="AZ228" t="s" s="0">
        <v>742</v>
      </c>
      <c r="BA228" t="s" s="0">
        <v>173</v>
      </c>
      <c r="BB228" t="s" s="0">
        <v>81</v>
      </c>
      <c r="BC228" t="s" s="0">
        <v>81</v>
      </c>
      <c r="BD228" t="s" s="0">
        <v>81</v>
      </c>
      <c r="BE228" t="s" s="0">
        <v>81</v>
      </c>
      <c r="BF228" t="s" s="0">
        <v>81</v>
      </c>
      <c r="BG228" t="s" s="0">
        <v>5643</v>
      </c>
      <c r="BH228" t="s" s="0">
        <v>5644</v>
      </c>
      <c r="BI228" t="s" s="0">
        <v>81</v>
      </c>
      <c r="BJ228" t="s" s="0">
        <v>5645</v>
      </c>
      <c r="BK228" t="s" s="451">
        <f>HYPERLINK("http://dx.doi.org/10.1109/ACCESS.2023.3275126","http://dx.doi.org/10.1109/ACCESS.2023.3275126")</f>
        <v>5646</v>
      </c>
      <c r="BL228" t="s" s="0">
        <v>81</v>
      </c>
      <c r="BM228" t="s" s="0">
        <v>81</v>
      </c>
      <c r="BN228" t="s" s="0">
        <v>323</v>
      </c>
      <c r="BO228" t="s" s="0">
        <v>1204</v>
      </c>
      <c r="BP228" t="s" s="0">
        <v>1205</v>
      </c>
      <c r="BQ228" t="s" s="0">
        <v>5647</v>
      </c>
      <c r="BR228" t="s" s="0">
        <v>81</v>
      </c>
      <c r="BS228" t="s" s="0">
        <v>5648</v>
      </c>
      <c r="BT228" t="s" s="452">
        <f>HYPERLINK("https://www.webofscience.com/wos/woscc/full-record/WOS:001010128600001","View Record in Web of Science")</f>
        <v>113</v>
      </c>
      <c r="BU228" t="s" s="0">
        <v>153</v>
      </c>
      <c r="BV228" t="s" s="0">
        <v>81</v>
      </c>
      <c r="BW228" t="s" s="0">
        <v>81</v>
      </c>
      <c r="BX228" t="s" s="0">
        <v>115</v>
      </c>
    </row>
    <row r="229">
      <c r="A229" t="s" s="0">
        <v>144</v>
      </c>
      <c r="B229" t="s" s="0">
        <v>77</v>
      </c>
      <c r="C229" t="s" s="0">
        <v>77</v>
      </c>
      <c r="D229" t="s" s="0">
        <v>77</v>
      </c>
      <c r="E229" t="s" s="0">
        <v>5649</v>
      </c>
      <c r="F229" t="s" s="0">
        <v>5650</v>
      </c>
      <c r="G229" t="s" s="0">
        <v>5651</v>
      </c>
      <c r="H229" t="s" s="0">
        <v>81</v>
      </c>
      <c r="I229" t="s" s="0">
        <v>82</v>
      </c>
      <c r="J229" t="s" s="0">
        <v>5652</v>
      </c>
      <c r="K229" t="s" s="0">
        <v>5653</v>
      </c>
      <c r="L229" t="s" s="0">
        <v>5654</v>
      </c>
      <c r="M229" t="s" s="0">
        <v>5655</v>
      </c>
      <c r="N229" t="s" s="0">
        <v>5656</v>
      </c>
      <c r="O229" t="s" s="0">
        <v>5657</v>
      </c>
      <c r="P229" t="s" s="0">
        <v>5658</v>
      </c>
      <c r="Q229" t="s" s="0">
        <v>87</v>
      </c>
      <c r="R229" t="s" s="0">
        <v>81</v>
      </c>
      <c r="S229" t="s" s="0">
        <v>81</v>
      </c>
      <c r="T229" t="s" s="0">
        <v>81</v>
      </c>
      <c r="U229" t="s" s="0">
        <v>81</v>
      </c>
      <c r="V229" t="s" s="0">
        <v>5659</v>
      </c>
      <c r="W229" t="s" s="0">
        <v>1189</v>
      </c>
      <c r="X229" t="s" s="0">
        <v>81</v>
      </c>
      <c r="Y229" t="s" s="0">
        <v>81</v>
      </c>
      <c r="Z229" t="s" s="0">
        <v>90</v>
      </c>
      <c r="AA229" t="s" s="0">
        <v>91</v>
      </c>
      <c r="AB229" t="s" s="0">
        <v>81</v>
      </c>
      <c r="AC229" t="s" s="0">
        <v>81</v>
      </c>
      <c r="AD229" t="s" s="0">
        <v>81</v>
      </c>
      <c r="AE229" t="s" s="0">
        <v>81</v>
      </c>
      <c r="AF229" t="s" s="0">
        <v>81</v>
      </c>
      <c r="AG229" t="s" s="0">
        <v>5660</v>
      </c>
      <c r="AH229" t="s" s="0">
        <v>81</v>
      </c>
      <c r="AI229" t="s" s="0">
        <v>81</v>
      </c>
      <c r="AJ229" t="s" s="0">
        <v>5661</v>
      </c>
      <c r="AK229" t="s" s="0">
        <v>81</v>
      </c>
      <c r="AL229" t="s" s="0">
        <v>2409</v>
      </c>
      <c r="AM229" t="s" s="0">
        <v>173</v>
      </c>
      <c r="AN229" t="s" s="0">
        <v>187</v>
      </c>
      <c r="AO229" t="s" s="0">
        <v>144</v>
      </c>
      <c r="AP229" t="s" s="0">
        <v>1573</v>
      </c>
      <c r="AQ229" t="s" s="0">
        <v>1195</v>
      </c>
      <c r="AR229" t="s" s="0">
        <v>1196</v>
      </c>
      <c r="AS229" t="s" s="0">
        <v>1197</v>
      </c>
      <c r="AT229" t="s" s="0">
        <v>1198</v>
      </c>
      <c r="AU229" t="s" s="0">
        <v>81</v>
      </c>
      <c r="AV229" t="s" s="0">
        <v>81</v>
      </c>
      <c r="AW229" t="s" s="0">
        <v>1189</v>
      </c>
      <c r="AX229" t="s" s="0">
        <v>1199</v>
      </c>
      <c r="AY229" t="s" s="0">
        <v>920</v>
      </c>
      <c r="AZ229" t="s" s="0">
        <v>920</v>
      </c>
      <c r="BA229" t="s" s="0">
        <v>107</v>
      </c>
      <c r="BB229" t="s" s="0">
        <v>81</v>
      </c>
      <c r="BC229" t="s" s="0">
        <v>81</v>
      </c>
      <c r="BD229" t="s" s="0">
        <v>81</v>
      </c>
      <c r="BE229" t="s" s="0">
        <v>81</v>
      </c>
      <c r="BF229" t="s" s="0">
        <v>81</v>
      </c>
      <c r="BG229" t="s" s="0">
        <v>5662</v>
      </c>
      <c r="BH229" t="s" s="0">
        <v>5663</v>
      </c>
      <c r="BI229" t="s" s="0">
        <v>81</v>
      </c>
      <c r="BJ229" t="s" s="0">
        <v>5664</v>
      </c>
      <c r="BK229" t="s" s="453">
        <f>HYPERLINK("http://dx.doi.org/10.1109/ACCESS.2022.3159346","http://dx.doi.org/10.1109/ACCESS.2022.3159346")</f>
        <v>5665</v>
      </c>
      <c r="BL229" t="s" s="0">
        <v>81</v>
      </c>
      <c r="BM229" t="s" s="0">
        <v>81</v>
      </c>
      <c r="BN229" t="s" s="0">
        <v>134</v>
      </c>
      <c r="BO229" t="s" s="0">
        <v>1204</v>
      </c>
      <c r="BP229" t="s" s="0">
        <v>1205</v>
      </c>
      <c r="BQ229" t="s" s="0">
        <v>5666</v>
      </c>
      <c r="BR229" t="s" s="0">
        <v>81</v>
      </c>
      <c r="BS229" t="s" s="0">
        <v>5667</v>
      </c>
      <c r="BT229" t="s" s="454">
        <f>HYPERLINK("https://www.webofscience.com/wos/woscc/full-record/WOS:000772389200001","View Record in Web of Science")</f>
        <v>113</v>
      </c>
      <c r="BU229" t="s" s="0">
        <v>1317</v>
      </c>
      <c r="BV229" t="s" s="0">
        <v>81</v>
      </c>
      <c r="BW229" t="s" s="0">
        <v>81</v>
      </c>
      <c r="BX229" t="s" s="0">
        <v>115</v>
      </c>
    </row>
    <row r="230">
      <c r="A230" t="s" s="0">
        <v>144</v>
      </c>
      <c r="B230" t="s" s="0">
        <v>77</v>
      </c>
      <c r="C230" t="s" s="0">
        <v>77</v>
      </c>
      <c r="D230" t="s" s="0">
        <v>77</v>
      </c>
      <c r="E230" t="s" s="0">
        <v>5668</v>
      </c>
      <c r="F230" t="s" s="0">
        <v>5669</v>
      </c>
      <c r="G230" t="s" s="0">
        <v>5670</v>
      </c>
      <c r="H230" t="s" s="0">
        <v>81</v>
      </c>
      <c r="I230" t="s" s="0">
        <v>82</v>
      </c>
      <c r="J230" t="s" s="0">
        <v>5671</v>
      </c>
      <c r="K230" t="s" s="0">
        <v>5672</v>
      </c>
      <c r="L230" t="s" s="0">
        <v>81</v>
      </c>
      <c r="M230" t="s" s="0">
        <v>81</v>
      </c>
      <c r="N230" t="s" s="0">
        <v>81</v>
      </c>
      <c r="O230" t="s" s="0">
        <v>5673</v>
      </c>
      <c r="P230" t="s" s="0">
        <v>5674</v>
      </c>
      <c r="Q230" t="s" s="0">
        <v>87</v>
      </c>
      <c r="R230" t="s" s="0">
        <v>81</v>
      </c>
      <c r="S230" t="s" s="0">
        <v>81</v>
      </c>
      <c r="T230" t="s" s="0">
        <v>81</v>
      </c>
      <c r="U230" t="s" s="0">
        <v>81</v>
      </c>
      <c r="V230" t="s" s="0">
        <v>5675</v>
      </c>
      <c r="W230" t="s" s="0">
        <v>5676</v>
      </c>
      <c r="X230" t="s" s="0">
        <v>81</v>
      </c>
      <c r="Y230" t="s" s="0">
        <v>81</v>
      </c>
      <c r="Z230" t="s" s="0">
        <v>90</v>
      </c>
      <c r="AA230" t="s" s="0">
        <v>91</v>
      </c>
      <c r="AB230" t="s" s="0">
        <v>81</v>
      </c>
      <c r="AC230" t="s" s="0">
        <v>81</v>
      </c>
      <c r="AD230" t="s" s="0">
        <v>81</v>
      </c>
      <c r="AE230" t="s" s="0">
        <v>81</v>
      </c>
      <c r="AF230" t="s" s="0">
        <v>81</v>
      </c>
      <c r="AG230" t="s" s="0">
        <v>5677</v>
      </c>
      <c r="AH230" t="s" s="0">
        <v>5678</v>
      </c>
      <c r="AI230" t="s" s="0">
        <v>5679</v>
      </c>
      <c r="AJ230" t="s" s="0">
        <v>5680</v>
      </c>
      <c r="AK230" t="s" s="0">
        <v>81</v>
      </c>
      <c r="AL230" t="s" s="0">
        <v>102</v>
      </c>
      <c r="AM230" t="s" s="0">
        <v>116</v>
      </c>
      <c r="AN230" t="s" s="0">
        <v>210</v>
      </c>
      <c r="AO230" t="s" s="0">
        <v>133</v>
      </c>
      <c r="AP230" t="s" s="0">
        <v>211</v>
      </c>
      <c r="AQ230" t="s" s="0">
        <v>278</v>
      </c>
      <c r="AR230" t="s" s="0">
        <v>247</v>
      </c>
      <c r="AS230" t="s" s="0">
        <v>279</v>
      </c>
      <c r="AT230" t="s" s="0">
        <v>5681</v>
      </c>
      <c r="AU230" t="s" s="0">
        <v>5682</v>
      </c>
      <c r="AV230" t="s" s="0">
        <v>81</v>
      </c>
      <c r="AW230" t="s" s="0">
        <v>5683</v>
      </c>
      <c r="AX230" t="s" s="0">
        <v>5684</v>
      </c>
      <c r="AY230" t="s" s="0">
        <v>5338</v>
      </c>
      <c r="AZ230" t="s" s="0">
        <v>285</v>
      </c>
      <c r="BA230" t="s" s="0">
        <v>709</v>
      </c>
      <c r="BB230" t="s" s="0">
        <v>210</v>
      </c>
      <c r="BC230" t="s" s="0">
        <v>81</v>
      </c>
      <c r="BD230" t="s" s="0">
        <v>81</v>
      </c>
      <c r="BE230" t="s" s="0">
        <v>81</v>
      </c>
      <c r="BF230" t="s" s="0">
        <v>81</v>
      </c>
      <c r="BG230" t="s" s="0">
        <v>81</v>
      </c>
      <c r="BH230" t="s" s="0">
        <v>81</v>
      </c>
      <c r="BI230" t="s" s="0">
        <v>5685</v>
      </c>
      <c r="BJ230" t="s" s="0">
        <v>5686</v>
      </c>
      <c r="BK230" t="s" s="455">
        <f>HYPERLINK("http://dx.doi.org/10.1007/s10044-024-01344-2","http://dx.doi.org/10.1007/s10044-024-01344-2")</f>
        <v>5687</v>
      </c>
      <c r="BL230" t="s" s="0">
        <v>81</v>
      </c>
      <c r="BM230" t="s" s="0">
        <v>81</v>
      </c>
      <c r="BN230" t="s" s="0">
        <v>323</v>
      </c>
      <c r="BO230" t="s" s="0">
        <v>834</v>
      </c>
      <c r="BP230" t="s" s="0">
        <v>835</v>
      </c>
      <c r="BQ230" t="s" s="0">
        <v>5688</v>
      </c>
      <c r="BR230" t="s" s="0">
        <v>81</v>
      </c>
      <c r="BS230" t="s" s="0">
        <v>5689</v>
      </c>
      <c r="BT230" t="s" s="456">
        <f>HYPERLINK("https://www.webofscience.com/wos/woscc/full-record/WOS:001319483900004","View Record in Web of Science")</f>
        <v>113</v>
      </c>
      <c r="BU230" t="s" s="0">
        <v>81</v>
      </c>
      <c r="BV230" t="s" s="0">
        <v>81</v>
      </c>
      <c r="BW230" t="s" s="0">
        <v>81</v>
      </c>
      <c r="BX230" t="s" s="0">
        <v>115</v>
      </c>
    </row>
    <row r="231">
      <c r="A231" t="s" s="0">
        <v>77</v>
      </c>
      <c r="B231" t="s" s="0">
        <v>77</v>
      </c>
      <c r="C231" t="s" s="0">
        <v>77</v>
      </c>
      <c r="D231" t="s" s="0">
        <v>77</v>
      </c>
      <c r="E231" t="s" s="0">
        <v>5690</v>
      </c>
      <c r="F231" t="s" s="0">
        <v>5691</v>
      </c>
      <c r="G231" t="s" s="0">
        <v>5692</v>
      </c>
      <c r="H231" t="s" s="0">
        <v>81</v>
      </c>
      <c r="I231" t="s" s="0">
        <v>82</v>
      </c>
      <c r="J231" t="s" s="0">
        <v>5693</v>
      </c>
      <c r="K231" t="s" s="0">
        <v>5694</v>
      </c>
      <c r="L231" t="s" s="0">
        <v>81</v>
      </c>
      <c r="M231" t="s" s="0">
        <v>81</v>
      </c>
      <c r="N231" t="s" s="0">
        <v>81</v>
      </c>
      <c r="O231" t="s" s="0">
        <v>5695</v>
      </c>
      <c r="P231" t="s" s="0">
        <v>5696</v>
      </c>
      <c r="Q231" t="s" s="0">
        <v>87</v>
      </c>
      <c r="R231" t="s" s="0">
        <v>81</v>
      </c>
      <c r="S231" t="s" s="0">
        <v>81</v>
      </c>
      <c r="T231" t="s" s="0">
        <v>81</v>
      </c>
      <c r="U231" t="s" s="0">
        <v>81</v>
      </c>
      <c r="V231" t="s" s="0">
        <v>5697</v>
      </c>
      <c r="W231" t="s" s="0">
        <v>5698</v>
      </c>
      <c r="X231" t="s" s="0">
        <v>81</v>
      </c>
      <c r="Y231" t="s" s="0">
        <v>81</v>
      </c>
      <c r="Z231" t="s" s="0">
        <v>90</v>
      </c>
      <c r="AA231" t="s" s="0">
        <v>91</v>
      </c>
      <c r="AB231" t="s" s="0">
        <v>81</v>
      </c>
      <c r="AC231" t="s" s="0">
        <v>81</v>
      </c>
      <c r="AD231" t="s" s="0">
        <v>81</v>
      </c>
      <c r="AE231" t="s" s="0">
        <v>81</v>
      </c>
      <c r="AF231" t="s" s="0">
        <v>81</v>
      </c>
      <c r="AG231" t="s" s="0">
        <v>5699</v>
      </c>
      <c r="AH231" t="s" s="0">
        <v>81</v>
      </c>
      <c r="AI231" t="s" s="0">
        <v>81</v>
      </c>
      <c r="AJ231" t="s" s="0">
        <v>81</v>
      </c>
      <c r="AK231" t="s" s="0">
        <v>81</v>
      </c>
      <c r="AL231" t="s" s="0">
        <v>1253</v>
      </c>
      <c r="AM231" t="s" s="0">
        <v>77</v>
      </c>
      <c r="AN231" t="s" s="0">
        <v>77</v>
      </c>
      <c r="AO231" t="s" s="0">
        <v>144</v>
      </c>
      <c r="AP231" t="s" s="0">
        <v>144</v>
      </c>
      <c r="AQ231" t="s" s="0">
        <v>1195</v>
      </c>
      <c r="AR231" t="s" s="0">
        <v>1196</v>
      </c>
      <c r="AS231" t="s" s="0">
        <v>1197</v>
      </c>
      <c r="AT231" t="s" s="0">
        <v>5700</v>
      </c>
      <c r="AU231" t="s" s="0">
        <v>5701</v>
      </c>
      <c r="AV231" t="s" s="0">
        <v>81</v>
      </c>
      <c r="AW231" t="s" s="0">
        <v>5702</v>
      </c>
      <c r="AX231" t="s" s="0">
        <v>5703</v>
      </c>
      <c r="AY231" t="s" s="0">
        <v>5704</v>
      </c>
      <c r="AZ231" t="s" s="0">
        <v>101</v>
      </c>
      <c r="BA231" t="s" s="0">
        <v>1253</v>
      </c>
      <c r="BB231" t="s" s="0">
        <v>116</v>
      </c>
      <c r="BC231" t="s" s="0">
        <v>81</v>
      </c>
      <c r="BD231" t="s" s="0">
        <v>81</v>
      </c>
      <c r="BE231" t="s" s="0">
        <v>81</v>
      </c>
      <c r="BF231" t="s" s="0">
        <v>81</v>
      </c>
      <c r="BG231" t="s" s="0">
        <v>3452</v>
      </c>
      <c r="BH231" t="s" s="0">
        <v>5705</v>
      </c>
      <c r="BI231" t="s" s="0">
        <v>81</v>
      </c>
      <c r="BJ231" t="s" s="0">
        <v>5706</v>
      </c>
      <c r="BK231" t="s" s="457">
        <f>HYPERLINK("http://dx.doi.org/10.1109/JSEN.2025.3641648","http://dx.doi.org/10.1109/JSEN.2025.3641648")</f>
        <v>5707</v>
      </c>
      <c r="BL231" t="s" s="0">
        <v>81</v>
      </c>
      <c r="BM231" t="s" s="0">
        <v>81</v>
      </c>
      <c r="BN231" t="s" s="0">
        <v>172</v>
      </c>
      <c r="BO231" t="s" s="0">
        <v>5708</v>
      </c>
      <c r="BP231" t="s" s="0">
        <v>5709</v>
      </c>
      <c r="BQ231" t="s" s="0">
        <v>5710</v>
      </c>
      <c r="BR231" t="s" s="0">
        <v>81</v>
      </c>
      <c r="BS231" t="s" s="0">
        <v>5711</v>
      </c>
      <c r="BT231" t="s" s="458">
        <f>HYPERLINK("https://www.webofscience.com/wos/woscc/full-record/WOS:001676278100007","View Record in Web of Science")</f>
        <v>113</v>
      </c>
      <c r="BU231" t="s" s="0">
        <v>81</v>
      </c>
      <c r="BV231" t="s" s="0">
        <v>81</v>
      </c>
      <c r="BW231" t="s" s="0">
        <v>81</v>
      </c>
      <c r="BX231" t="s" s="0">
        <v>115</v>
      </c>
    </row>
    <row r="232">
      <c r="A232" t="s" s="0">
        <v>77</v>
      </c>
      <c r="B232" t="s" s="0">
        <v>77</v>
      </c>
      <c r="C232" t="s" s="0">
        <v>77</v>
      </c>
      <c r="D232" t="s" s="0">
        <v>77</v>
      </c>
      <c r="E232" t="s" s="0">
        <v>5712</v>
      </c>
      <c r="F232" t="s" s="0">
        <v>5713</v>
      </c>
      <c r="G232" t="s" s="0">
        <v>5714</v>
      </c>
      <c r="H232" t="s" s="0">
        <v>81</v>
      </c>
      <c r="I232" t="s" s="0">
        <v>2558</v>
      </c>
      <c r="J232" t="s" s="0">
        <v>5715</v>
      </c>
      <c r="K232" t="s" s="0">
        <v>5716</v>
      </c>
      <c r="L232" t="s" s="0">
        <v>5717</v>
      </c>
      <c r="M232" t="s" s="0">
        <v>5718</v>
      </c>
      <c r="N232" t="s" s="0">
        <v>5719</v>
      </c>
      <c r="O232" t="s" s="0">
        <v>5720</v>
      </c>
      <c r="P232" t="s" s="0">
        <v>5721</v>
      </c>
      <c r="Q232" t="s" s="0">
        <v>87</v>
      </c>
      <c r="R232" t="s" s="0">
        <v>81</v>
      </c>
      <c r="S232" t="s" s="0">
        <v>81</v>
      </c>
      <c r="T232" t="s" s="0">
        <v>81</v>
      </c>
      <c r="U232" t="s" s="0">
        <v>81</v>
      </c>
      <c r="V232" t="s" s="0">
        <v>5722</v>
      </c>
      <c r="W232" t="s" s="0">
        <v>5723</v>
      </c>
      <c r="X232" t="s" s="0">
        <v>81</v>
      </c>
      <c r="Y232" t="s" s="0">
        <v>81</v>
      </c>
      <c r="Z232" t="s" s="0">
        <v>90</v>
      </c>
      <c r="AA232" t="s" s="0">
        <v>91</v>
      </c>
      <c r="AB232" t="s" s="0">
        <v>81</v>
      </c>
      <c r="AC232" t="s" s="0">
        <v>81</v>
      </c>
      <c r="AD232" t="s" s="0">
        <v>81</v>
      </c>
      <c r="AE232" t="s" s="0">
        <v>81</v>
      </c>
      <c r="AF232" t="s" s="0">
        <v>81</v>
      </c>
      <c r="AG232" t="s" s="0">
        <v>5724</v>
      </c>
      <c r="AH232" t="s" s="0">
        <v>81</v>
      </c>
      <c r="AI232" t="s" s="0">
        <v>5725</v>
      </c>
      <c r="AJ232" t="s" s="0">
        <v>5726</v>
      </c>
      <c r="AK232" t="s" s="0">
        <v>81</v>
      </c>
      <c r="AL232" t="s" s="0">
        <v>1663</v>
      </c>
      <c r="AM232" t="s" s="0">
        <v>77</v>
      </c>
      <c r="AN232" t="s" s="0">
        <v>77</v>
      </c>
      <c r="AO232" t="s" s="0">
        <v>313</v>
      </c>
      <c r="AP232" t="s" s="0">
        <v>313</v>
      </c>
      <c r="AQ232" t="s" s="0">
        <v>314</v>
      </c>
      <c r="AR232" t="s" s="0">
        <v>315</v>
      </c>
      <c r="AS232" t="s" s="0">
        <v>316</v>
      </c>
      <c r="AT232" t="s" s="0">
        <v>5727</v>
      </c>
      <c r="AU232" t="s" s="0">
        <v>81</v>
      </c>
      <c r="AV232" t="s" s="0">
        <v>81</v>
      </c>
      <c r="AW232" t="s" s="0">
        <v>5728</v>
      </c>
      <c r="AX232" t="s" s="0">
        <v>5729</v>
      </c>
      <c r="AY232" t="s" s="0">
        <v>5730</v>
      </c>
      <c r="AZ232" t="s" s="0">
        <v>142</v>
      </c>
      <c r="BA232" t="s" s="0">
        <v>684</v>
      </c>
      <c r="BB232" t="s" s="0">
        <v>210</v>
      </c>
      <c r="BC232" t="s" s="0">
        <v>81</v>
      </c>
      <c r="BD232" t="s" s="0">
        <v>81</v>
      </c>
      <c r="BE232" t="s" s="0">
        <v>81</v>
      </c>
      <c r="BF232" t="s" s="0">
        <v>81</v>
      </c>
      <c r="BG232" t="s" s="0">
        <v>81</v>
      </c>
      <c r="BH232" t="s" s="0">
        <v>81</v>
      </c>
      <c r="BI232" t="s" s="0">
        <v>3066</v>
      </c>
      <c r="BJ232" t="s" s="0">
        <v>5731</v>
      </c>
      <c r="BK232" t="s" s="459">
        <f>HYPERLINK("http://dx.doi.org/10.3390/jtaer20040343","http://dx.doi.org/10.3390/jtaer20040343")</f>
        <v>5732</v>
      </c>
      <c r="BL232" t="s" s="0">
        <v>81</v>
      </c>
      <c r="BM232" t="s" s="0">
        <v>81</v>
      </c>
      <c r="BN232" t="s" s="0">
        <v>921</v>
      </c>
      <c r="BO232" t="s" s="0">
        <v>2576</v>
      </c>
      <c r="BP232" t="s" s="0">
        <v>2577</v>
      </c>
      <c r="BQ232" t="s" s="0">
        <v>5733</v>
      </c>
      <c r="BR232" t="s" s="0">
        <v>81</v>
      </c>
      <c r="BS232" t="s" s="0">
        <v>5734</v>
      </c>
      <c r="BT232" t="s" s="460">
        <f>HYPERLINK("https://www.webofscience.com/wos/woscc/full-record/WOS:001646834100001","View Record in Web of Science")</f>
        <v>113</v>
      </c>
      <c r="BU232" t="s" s="0">
        <v>153</v>
      </c>
      <c r="BV232" t="s" s="0">
        <v>81</v>
      </c>
      <c r="BW232" t="s" s="0">
        <v>81</v>
      </c>
      <c r="BX232" t="s" s="0">
        <v>115</v>
      </c>
    </row>
    <row r="233">
      <c r="A233" t="s" s="0">
        <v>77</v>
      </c>
      <c r="B233" t="s" s="0">
        <v>77</v>
      </c>
      <c r="C233" t="s" s="0">
        <v>103</v>
      </c>
      <c r="D233" t="s" s="0">
        <v>77</v>
      </c>
      <c r="E233" t="s" s="0">
        <v>5735</v>
      </c>
      <c r="F233" t="s" s="0">
        <v>5736</v>
      </c>
      <c r="G233" t="s" s="0">
        <v>5737</v>
      </c>
      <c r="H233" t="s" s="0">
        <v>81</v>
      </c>
      <c r="I233" t="s" s="0">
        <v>82</v>
      </c>
      <c r="J233" t="s" s="0">
        <v>5738</v>
      </c>
      <c r="K233" t="s" s="0">
        <v>5739</v>
      </c>
      <c r="L233" t="s" s="0">
        <v>81</v>
      </c>
      <c r="M233" t="s" s="0">
        <v>81</v>
      </c>
      <c r="N233" t="s" s="0">
        <v>81</v>
      </c>
      <c r="O233" t="s" s="0">
        <v>5740</v>
      </c>
      <c r="P233" t="s" s="0">
        <v>5741</v>
      </c>
      <c r="Q233" t="s" s="0">
        <v>87</v>
      </c>
      <c r="R233" t="s" s="0">
        <v>81</v>
      </c>
      <c r="S233" t="s" s="0">
        <v>81</v>
      </c>
      <c r="T233" t="s" s="0">
        <v>81</v>
      </c>
      <c r="U233" t="s" s="0">
        <v>81</v>
      </c>
      <c r="V233" t="s" s="0">
        <v>5742</v>
      </c>
      <c r="W233" t="s" s="0">
        <v>5743</v>
      </c>
      <c r="X233" t="s" s="0">
        <v>81</v>
      </c>
      <c r="Y233" t="s" s="0">
        <v>81</v>
      </c>
      <c r="Z233" t="s" s="0">
        <v>90</v>
      </c>
      <c r="AA233" t="s" s="0">
        <v>91</v>
      </c>
      <c r="AB233" t="s" s="0">
        <v>81</v>
      </c>
      <c r="AC233" t="s" s="0">
        <v>81</v>
      </c>
      <c r="AD233" t="s" s="0">
        <v>81</v>
      </c>
      <c r="AE233" t="s" s="0">
        <v>81</v>
      </c>
      <c r="AF233" t="s" s="0">
        <v>81</v>
      </c>
      <c r="AG233" t="s" s="0">
        <v>5744</v>
      </c>
      <c r="AH233" t="s" s="0">
        <v>5745</v>
      </c>
      <c r="AI233" t="s" s="0">
        <v>5746</v>
      </c>
      <c r="AJ233" t="s" s="0">
        <v>81</v>
      </c>
      <c r="AK233" t="s" s="0">
        <v>81</v>
      </c>
      <c r="AL233" t="s" s="0">
        <v>910</v>
      </c>
      <c r="AM233" t="s" s="0">
        <v>428</v>
      </c>
      <c r="AN233" t="s" s="0">
        <v>401</v>
      </c>
      <c r="AO233" t="s" s="0">
        <v>313</v>
      </c>
      <c r="AP233" t="s" s="0">
        <v>209</v>
      </c>
      <c r="AQ233" t="s" s="0">
        <v>5747</v>
      </c>
      <c r="AR233" t="s" s="0">
        <v>247</v>
      </c>
      <c r="AS233" t="s" s="0">
        <v>5748</v>
      </c>
      <c r="AT233" t="s" s="0">
        <v>5749</v>
      </c>
      <c r="AU233" t="s" s="0">
        <v>5750</v>
      </c>
      <c r="AV233" t="s" s="0">
        <v>81</v>
      </c>
      <c r="AW233" t="s" s="0">
        <v>5751</v>
      </c>
      <c r="AX233" t="s" s="0">
        <v>5752</v>
      </c>
      <c r="AY233" t="s" s="0">
        <v>5753</v>
      </c>
      <c r="AZ233" t="s" s="0">
        <v>742</v>
      </c>
      <c r="BA233" t="s" s="0">
        <v>254</v>
      </c>
      <c r="BB233" t="s" s="0">
        <v>210</v>
      </c>
      <c r="BC233" t="s" s="0">
        <v>81</v>
      </c>
      <c r="BD233" t="s" s="0">
        <v>81</v>
      </c>
      <c r="BE233" t="s" s="0">
        <v>81</v>
      </c>
      <c r="BF233" t="s" s="0">
        <v>81</v>
      </c>
      <c r="BG233" t="s" s="0">
        <v>81</v>
      </c>
      <c r="BH233" t="s" s="0">
        <v>81</v>
      </c>
      <c r="BI233" t="s" s="0">
        <v>5754</v>
      </c>
      <c r="BJ233" t="s" s="0">
        <v>5755</v>
      </c>
      <c r="BK233" t="s" s="461">
        <f>HYPERLINK("http://dx.doi.org/10.1115/1.4056669","http://dx.doi.org/10.1115/1.4056669")</f>
        <v>5756</v>
      </c>
      <c r="BL233" t="s" s="0">
        <v>81</v>
      </c>
      <c r="BM233" t="s" s="0">
        <v>81</v>
      </c>
      <c r="BN233" t="s" s="0">
        <v>187</v>
      </c>
      <c r="BO233" t="s" s="0">
        <v>5757</v>
      </c>
      <c r="BP233" t="s" s="0">
        <v>865</v>
      </c>
      <c r="BQ233" t="s" s="0">
        <v>5758</v>
      </c>
      <c r="BR233" t="s" s="0">
        <v>81</v>
      </c>
      <c r="BS233" t="s" s="0">
        <v>5759</v>
      </c>
      <c r="BT233" t="s" s="462">
        <f>HYPERLINK("https://www.webofscience.com/wos/woscc/full-record/WOS:000949997800001","View Record in Web of Science")</f>
        <v>113</v>
      </c>
      <c r="BU233" t="s" s="0">
        <v>81</v>
      </c>
      <c r="BV233" t="s" s="0">
        <v>81</v>
      </c>
      <c r="BW233" t="s" s="0">
        <v>81</v>
      </c>
      <c r="BX233" t="s" s="0">
        <v>115</v>
      </c>
    </row>
    <row r="234">
      <c r="A234" t="s" s="0">
        <v>77</v>
      </c>
      <c r="B234" t="s" s="0">
        <v>77</v>
      </c>
      <c r="C234" t="s" s="0">
        <v>210</v>
      </c>
      <c r="D234" t="s" s="0">
        <v>77</v>
      </c>
      <c r="E234" t="s" s="0">
        <v>5760</v>
      </c>
      <c r="F234" t="s" s="0">
        <v>5761</v>
      </c>
      <c r="G234" t="s" s="0">
        <v>5762</v>
      </c>
      <c r="H234" t="s" s="0">
        <v>81</v>
      </c>
      <c r="I234" t="s" s="0">
        <v>82</v>
      </c>
      <c r="J234" t="s" s="0">
        <v>5763</v>
      </c>
      <c r="K234" t="s" s="0">
        <v>5764</v>
      </c>
      <c r="L234" t="s" s="0">
        <v>5765</v>
      </c>
      <c r="M234" t="s" s="0">
        <v>5766</v>
      </c>
      <c r="N234" t="s" s="0">
        <v>5767</v>
      </c>
      <c r="O234" t="s" s="0">
        <v>5768</v>
      </c>
      <c r="P234" t="s" s="0">
        <v>5769</v>
      </c>
      <c r="Q234" t="s" s="0">
        <v>87</v>
      </c>
      <c r="R234" t="s" s="0">
        <v>81</v>
      </c>
      <c r="S234" t="s" s="0">
        <v>81</v>
      </c>
      <c r="T234" t="s" s="0">
        <v>81</v>
      </c>
      <c r="U234" t="s" s="0">
        <v>81</v>
      </c>
      <c r="V234" t="s" s="0">
        <v>5770</v>
      </c>
      <c r="W234" t="s" s="0">
        <v>89</v>
      </c>
      <c r="X234" t="s" s="0">
        <v>81</v>
      </c>
      <c r="Y234" t="s" s="0">
        <v>81</v>
      </c>
      <c r="Z234" t="s" s="0">
        <v>90</v>
      </c>
      <c r="AA234" t="s" s="0">
        <v>91</v>
      </c>
      <c r="AB234" t="s" s="0">
        <v>81</v>
      </c>
      <c r="AC234" t="s" s="0">
        <v>81</v>
      </c>
      <c r="AD234" t="s" s="0">
        <v>81</v>
      </c>
      <c r="AE234" t="s" s="0">
        <v>81</v>
      </c>
      <c r="AF234" t="s" s="0">
        <v>81</v>
      </c>
      <c r="AG234" t="s" s="0">
        <v>81</v>
      </c>
      <c r="AH234" t="s" s="0">
        <v>5771</v>
      </c>
      <c r="AI234" t="s" s="0">
        <v>5772</v>
      </c>
      <c r="AJ234" t="s" s="0">
        <v>5773</v>
      </c>
      <c r="AK234" t="s" s="0">
        <v>81</v>
      </c>
      <c r="AL234" t="s" s="0">
        <v>767</v>
      </c>
      <c r="AM234" t="s" s="0">
        <v>172</v>
      </c>
      <c r="AN234" t="s" s="0">
        <v>133</v>
      </c>
      <c r="AO234" t="s" s="0">
        <v>210</v>
      </c>
      <c r="AP234" t="s" s="0">
        <v>626</v>
      </c>
      <c r="AQ234" t="s" s="0">
        <v>94</v>
      </c>
      <c r="AR234" t="s" s="0">
        <v>95</v>
      </c>
      <c r="AS234" t="s" s="0">
        <v>96</v>
      </c>
      <c r="AT234" t="s" s="0">
        <v>97</v>
      </c>
      <c r="AU234" t="s" s="0">
        <v>98</v>
      </c>
      <c r="AV234" t="s" s="0">
        <v>81</v>
      </c>
      <c r="AW234" t="s" s="0">
        <v>89</v>
      </c>
      <c r="AX234" t="s" s="0">
        <v>99</v>
      </c>
      <c r="AY234" t="s" s="0">
        <v>2202</v>
      </c>
      <c r="AZ234" t="s" s="0">
        <v>285</v>
      </c>
      <c r="BA234" t="s" s="0">
        <v>433</v>
      </c>
      <c r="BB234" t="s" s="0">
        <v>133</v>
      </c>
      <c r="BC234" t="s" s="0">
        <v>81</v>
      </c>
      <c r="BD234" t="s" s="0">
        <v>81</v>
      </c>
      <c r="BE234" t="s" s="0">
        <v>81</v>
      </c>
      <c r="BF234" t="s" s="0">
        <v>81</v>
      </c>
      <c r="BG234" t="s" s="0">
        <v>81</v>
      </c>
      <c r="BH234" t="s" s="0">
        <v>81</v>
      </c>
      <c r="BI234" t="s" s="0">
        <v>5774</v>
      </c>
      <c r="BJ234" t="s" s="0">
        <v>5775</v>
      </c>
      <c r="BK234" t="s" s="463">
        <f>HYPERLINK("http://dx.doi.org/10.1093/bioinformatics/btae528","http://dx.doi.org/10.1093/bioinformatics/btae528")</f>
        <v>5776</v>
      </c>
      <c r="BL234" t="s" s="0">
        <v>81</v>
      </c>
      <c r="BM234" t="s" s="0">
        <v>81</v>
      </c>
      <c r="BN234" t="s" s="0">
        <v>143</v>
      </c>
      <c r="BO234" t="s" s="0">
        <v>108</v>
      </c>
      <c r="BP234" t="s" s="0">
        <v>109</v>
      </c>
      <c r="BQ234" t="s" s="0">
        <v>5777</v>
      </c>
      <c r="BR234" t="s" s="0">
        <v>5778</v>
      </c>
      <c r="BS234" t="s" s="0">
        <v>5779</v>
      </c>
      <c r="BT234" t="s" s="464">
        <f>HYPERLINK("https://www.webofscience.com/wos/woscc/full-record/WOS:001308002400003","View Record in Web of Science")</f>
        <v>113</v>
      </c>
      <c r="BU234" t="s" s="0">
        <v>153</v>
      </c>
      <c r="BV234" t="s" s="0">
        <v>81</v>
      </c>
      <c r="BW234" t="s" s="0">
        <v>81</v>
      </c>
      <c r="BX234" t="s" s="0">
        <v>115</v>
      </c>
    </row>
    <row r="235">
      <c r="A235" t="s" s="0">
        <v>77</v>
      </c>
      <c r="B235" t="s" s="0">
        <v>77</v>
      </c>
      <c r="C235" t="s" s="0">
        <v>77</v>
      </c>
      <c r="D235" t="s" s="0">
        <v>77</v>
      </c>
      <c r="E235" t="s" s="0">
        <v>5780</v>
      </c>
      <c r="F235" t="s" s="0">
        <v>5781</v>
      </c>
      <c r="G235" t="s" s="0">
        <v>5782</v>
      </c>
      <c r="H235" t="s" s="0">
        <v>81</v>
      </c>
      <c r="I235" t="s" s="0">
        <v>82</v>
      </c>
      <c r="J235" t="s" s="0">
        <v>5783</v>
      </c>
      <c r="K235" t="s" s="0">
        <v>5784</v>
      </c>
      <c r="L235" t="s" s="0">
        <v>5785</v>
      </c>
      <c r="M235" t="s" s="0">
        <v>5786</v>
      </c>
      <c r="N235" t="s" s="0">
        <v>5787</v>
      </c>
      <c r="O235" t="s" s="0">
        <v>5788</v>
      </c>
      <c r="P235" t="s" s="0">
        <v>5789</v>
      </c>
      <c r="Q235" t="s" s="0">
        <v>87</v>
      </c>
      <c r="R235" t="s" s="0">
        <v>81</v>
      </c>
      <c r="S235" t="s" s="0">
        <v>81</v>
      </c>
      <c r="T235" t="s" s="0">
        <v>81</v>
      </c>
      <c r="U235" t="s" s="0">
        <v>81</v>
      </c>
      <c r="V235" t="s" s="0">
        <v>5790</v>
      </c>
      <c r="W235" t="s" s="0">
        <v>5791</v>
      </c>
      <c r="X235" t="s" s="0">
        <v>81</v>
      </c>
      <c r="Y235" t="s" s="0">
        <v>81</v>
      </c>
      <c r="Z235" t="s" s="0">
        <v>90</v>
      </c>
      <c r="AA235" t="s" s="0">
        <v>91</v>
      </c>
      <c r="AB235" t="s" s="0">
        <v>81</v>
      </c>
      <c r="AC235" t="s" s="0">
        <v>81</v>
      </c>
      <c r="AD235" t="s" s="0">
        <v>81</v>
      </c>
      <c r="AE235" t="s" s="0">
        <v>81</v>
      </c>
      <c r="AF235" t="s" s="0">
        <v>81</v>
      </c>
      <c r="AG235" t="s" s="0">
        <v>5792</v>
      </c>
      <c r="AH235" t="s" s="0">
        <v>81</v>
      </c>
      <c r="AI235" t="s" s="0">
        <v>5793</v>
      </c>
      <c r="AJ235" t="s" s="0">
        <v>5794</v>
      </c>
      <c r="AK235" t="s" s="0">
        <v>81</v>
      </c>
      <c r="AL235" t="s" s="0">
        <v>277</v>
      </c>
      <c r="AM235" t="s" s="0">
        <v>77</v>
      </c>
      <c r="AN235" t="s" s="0">
        <v>77</v>
      </c>
      <c r="AO235" t="s" s="0">
        <v>144</v>
      </c>
      <c r="AP235" t="s" s="0">
        <v>144</v>
      </c>
      <c r="AQ235" t="s" s="0">
        <v>3058</v>
      </c>
      <c r="AR235" t="s" s="0">
        <v>3059</v>
      </c>
      <c r="AS235" t="s" s="0">
        <v>3060</v>
      </c>
      <c r="AT235" t="s" s="0">
        <v>5795</v>
      </c>
      <c r="AU235" t="s" s="0">
        <v>5796</v>
      </c>
      <c r="AV235" t="s" s="0">
        <v>81</v>
      </c>
      <c r="AW235" t="s" s="0">
        <v>5797</v>
      </c>
      <c r="AX235" t="s" s="0">
        <v>5798</v>
      </c>
      <c r="AY235" t="s" s="0">
        <v>622</v>
      </c>
      <c r="AZ235" t="s" s="0">
        <v>101</v>
      </c>
      <c r="BA235" t="s" s="0">
        <v>5799</v>
      </c>
      <c r="BB235" t="s" s="0">
        <v>372</v>
      </c>
      <c r="BC235" t="s" s="0">
        <v>81</v>
      </c>
      <c r="BD235" t="s" s="0">
        <v>81</v>
      </c>
      <c r="BE235" t="s" s="0">
        <v>81</v>
      </c>
      <c r="BF235" t="s" s="0">
        <v>81</v>
      </c>
      <c r="BG235" t="s" s="0">
        <v>5800</v>
      </c>
      <c r="BH235" t="s" s="0">
        <v>5801</v>
      </c>
      <c r="BI235" t="s" s="0">
        <v>81</v>
      </c>
      <c r="BJ235" t="s" s="0">
        <v>5802</v>
      </c>
      <c r="BK235" t="s" s="465">
        <f>HYPERLINK("http://dx.doi.org/10.1007/s11517-026-03547-7","http://dx.doi.org/10.1007/s11517-026-03547-7")</f>
        <v>5803</v>
      </c>
      <c r="BL235" t="s" s="0">
        <v>81</v>
      </c>
      <c r="BM235" t="s" s="0">
        <v>2529</v>
      </c>
      <c r="BN235" t="s" s="0">
        <v>211</v>
      </c>
      <c r="BO235" t="s" s="0">
        <v>5804</v>
      </c>
      <c r="BP235" t="s" s="0">
        <v>5805</v>
      </c>
      <c r="BQ235" t="s" s="0">
        <v>5806</v>
      </c>
      <c r="BR235" t="s" s="0">
        <v>5807</v>
      </c>
      <c r="BS235" t="s" s="0">
        <v>5808</v>
      </c>
      <c r="BT235" t="s" s="466">
        <f>HYPERLINK("https://www.webofscience.com/wos/woscc/full-record/WOS:001714679600001","View Record in Web of Science")</f>
        <v>113</v>
      </c>
      <c r="BU235" t="s" s="0">
        <v>719</v>
      </c>
      <c r="BV235" t="s" s="0">
        <v>81</v>
      </c>
      <c r="BW235" t="s" s="0">
        <v>81</v>
      </c>
      <c r="BX235" t="s" s="0">
        <v>115</v>
      </c>
    </row>
    <row r="236">
      <c r="A236" t="s" s="0">
        <v>77</v>
      </c>
      <c r="B236" t="s" s="0">
        <v>77</v>
      </c>
      <c r="C236" t="s" s="0">
        <v>77</v>
      </c>
      <c r="D236" t="s" s="0">
        <v>77</v>
      </c>
      <c r="E236" t="s" s="0">
        <v>5809</v>
      </c>
      <c r="F236" t="s" s="0">
        <v>5810</v>
      </c>
      <c r="G236" t="s" s="0">
        <v>5811</v>
      </c>
      <c r="H236" t="s" s="0">
        <v>81</v>
      </c>
      <c r="I236" t="s" s="0">
        <v>543</v>
      </c>
      <c r="J236" t="s" s="0">
        <v>5812</v>
      </c>
      <c r="K236" t="s" s="0">
        <v>5813</v>
      </c>
      <c r="L236" t="s" s="0">
        <v>5814</v>
      </c>
      <c r="M236" t="s" s="0">
        <v>5815</v>
      </c>
      <c r="N236" t="s" s="0">
        <v>5816</v>
      </c>
      <c r="O236" t="s" s="0">
        <v>5817</v>
      </c>
      <c r="P236" t="s" s="0">
        <v>5818</v>
      </c>
      <c r="Q236" t="s" s="0">
        <v>87</v>
      </c>
      <c r="R236" t="s" s="0">
        <v>81</v>
      </c>
      <c r="S236" t="s" s="0">
        <v>81</v>
      </c>
      <c r="T236" t="s" s="0">
        <v>81</v>
      </c>
      <c r="U236" t="s" s="0">
        <v>81</v>
      </c>
      <c r="V236" t="s" s="0">
        <v>5819</v>
      </c>
      <c r="W236" t="s" s="0">
        <v>5820</v>
      </c>
      <c r="X236" t="s" s="0">
        <v>81</v>
      </c>
      <c r="Y236" t="s" s="0">
        <v>81</v>
      </c>
      <c r="Z236" t="s" s="0">
        <v>90</v>
      </c>
      <c r="AA236" t="s" s="0">
        <v>91</v>
      </c>
      <c r="AB236" t="s" s="0">
        <v>81</v>
      </c>
      <c r="AC236" t="s" s="0">
        <v>81</v>
      </c>
      <c r="AD236" t="s" s="0">
        <v>81</v>
      </c>
      <c r="AE236" t="s" s="0">
        <v>81</v>
      </c>
      <c r="AF236" t="s" s="0">
        <v>81</v>
      </c>
      <c r="AG236" t="s" s="0">
        <v>5821</v>
      </c>
      <c r="AH236" t="s" s="0">
        <v>81</v>
      </c>
      <c r="AI236" t="s" s="0">
        <v>5822</v>
      </c>
      <c r="AJ236" t="s" s="0">
        <v>81</v>
      </c>
      <c r="AK236" t="s" s="0">
        <v>81</v>
      </c>
      <c r="AL236" t="s" s="0">
        <v>134</v>
      </c>
      <c r="AM236" t="s" s="0">
        <v>77</v>
      </c>
      <c r="AN236" t="s" s="0">
        <v>77</v>
      </c>
      <c r="AO236" t="s" s="0">
        <v>77</v>
      </c>
      <c r="AP236" t="s" s="0">
        <v>77</v>
      </c>
      <c r="AQ236" t="s" s="0">
        <v>5823</v>
      </c>
      <c r="AR236" t="s" s="0">
        <v>5824</v>
      </c>
      <c r="AS236" t="s" s="0">
        <v>5825</v>
      </c>
      <c r="AT236" t="s" s="0">
        <v>5826</v>
      </c>
      <c r="AU236" t="s" s="0">
        <v>5827</v>
      </c>
      <c r="AV236" t="s" s="0">
        <v>81</v>
      </c>
      <c r="AW236" t="s" s="0">
        <v>5828</v>
      </c>
      <c r="AX236" t="s" s="0">
        <v>5829</v>
      </c>
      <c r="AY236" t="s" s="0">
        <v>100</v>
      </c>
      <c r="AZ236" t="s" s="0">
        <v>101</v>
      </c>
      <c r="BA236" t="s" s="0">
        <v>132</v>
      </c>
      <c r="BB236" t="s" s="0">
        <v>144</v>
      </c>
      <c r="BC236" t="s" s="0">
        <v>81</v>
      </c>
      <c r="BD236" t="s" s="0">
        <v>81</v>
      </c>
      <c r="BE236" t="s" s="0">
        <v>81</v>
      </c>
      <c r="BF236" t="s" s="0">
        <v>81</v>
      </c>
      <c r="BG236" t="s" s="0">
        <v>1739</v>
      </c>
      <c r="BH236" t="s" s="0">
        <v>1262</v>
      </c>
      <c r="BI236" t="s" s="0">
        <v>81</v>
      </c>
      <c r="BJ236" t="s" s="0">
        <v>5830</v>
      </c>
      <c r="BK236" t="s" s="467">
        <f>HYPERLINK("http://dx.doi.org/10.30924/mjcmi.31.1.6","http://dx.doi.org/10.30924/mjcmi.31.1.6")</f>
        <v>5831</v>
      </c>
      <c r="BL236" t="s" s="0">
        <v>81</v>
      </c>
      <c r="BM236" t="s" s="0">
        <v>81</v>
      </c>
      <c r="BN236" t="s" s="0">
        <v>187</v>
      </c>
      <c r="BO236" t="s" s="0">
        <v>5832</v>
      </c>
      <c r="BP236" t="s" s="0">
        <v>2577</v>
      </c>
      <c r="BQ236" t="s" s="0">
        <v>5833</v>
      </c>
      <c r="BR236" t="s" s="0">
        <v>81</v>
      </c>
      <c r="BS236" t="s" s="0">
        <v>5834</v>
      </c>
      <c r="BT236" t="s" s="468">
        <f>HYPERLINK("https://www.webofscience.com/wos/woscc/full-record/WOS:001822880600004","View Record in Web of Science")</f>
        <v>113</v>
      </c>
      <c r="BU236" t="s" s="0">
        <v>1317</v>
      </c>
      <c r="BV236" t="s" s="0">
        <v>81</v>
      </c>
      <c r="BW236" t="s" s="0">
        <v>81</v>
      </c>
      <c r="BX236" t="s" s="0">
        <v>115</v>
      </c>
    </row>
    <row r="237">
      <c r="A237" t="s" s="0">
        <v>77</v>
      </c>
      <c r="B237" t="s" s="0">
        <v>77</v>
      </c>
      <c r="C237" t="s" s="0">
        <v>144</v>
      </c>
      <c r="D237" t="s" s="0">
        <v>77</v>
      </c>
      <c r="E237" t="s" s="0">
        <v>5835</v>
      </c>
      <c r="F237" t="s" s="0">
        <v>5836</v>
      </c>
      <c r="G237" t="s" s="0">
        <v>5837</v>
      </c>
      <c r="H237" t="s" s="0">
        <v>81</v>
      </c>
      <c r="I237" t="s" s="0">
        <v>82</v>
      </c>
      <c r="J237" t="s" s="0">
        <v>5838</v>
      </c>
      <c r="K237" t="s" s="0">
        <v>5839</v>
      </c>
      <c r="L237" t="s" s="0">
        <v>81</v>
      </c>
      <c r="M237" t="s" s="0">
        <v>81</v>
      </c>
      <c r="N237" t="s" s="0">
        <v>81</v>
      </c>
      <c r="O237" t="s" s="0">
        <v>5840</v>
      </c>
      <c r="P237" t="s" s="0">
        <v>81</v>
      </c>
      <c r="Q237" t="s" s="0">
        <v>87</v>
      </c>
      <c r="R237" t="s" s="0">
        <v>81</v>
      </c>
      <c r="S237" t="s" s="0">
        <v>81</v>
      </c>
      <c r="T237" t="s" s="0">
        <v>81</v>
      </c>
      <c r="U237" t="s" s="0">
        <v>81</v>
      </c>
      <c r="V237" t="s" s="0">
        <v>5841</v>
      </c>
      <c r="W237" t="s" s="0">
        <v>3919</v>
      </c>
      <c r="X237" t="s" s="0">
        <v>81</v>
      </c>
      <c r="Y237" t="s" s="0">
        <v>81</v>
      </c>
      <c r="Z237" t="s" s="0">
        <v>90</v>
      </c>
      <c r="AA237" t="s" s="0">
        <v>91</v>
      </c>
      <c r="AB237" t="s" s="0">
        <v>81</v>
      </c>
      <c r="AC237" t="s" s="0">
        <v>81</v>
      </c>
      <c r="AD237" t="s" s="0">
        <v>81</v>
      </c>
      <c r="AE237" t="s" s="0">
        <v>81</v>
      </c>
      <c r="AF237" t="s" s="0">
        <v>81</v>
      </c>
      <c r="AG237" t="s" s="0">
        <v>5842</v>
      </c>
      <c r="AH237" t="s" s="0">
        <v>81</v>
      </c>
      <c r="AI237" t="s" s="0">
        <v>81</v>
      </c>
      <c r="AJ237" t="s" s="0">
        <v>81</v>
      </c>
      <c r="AK237" t="s" s="0">
        <v>81</v>
      </c>
      <c r="AL237" t="s" s="0">
        <v>1223</v>
      </c>
      <c r="AM237" t="s" s="0">
        <v>133</v>
      </c>
      <c r="AN237" t="s" s="0">
        <v>107</v>
      </c>
      <c r="AO237" t="s" s="0">
        <v>313</v>
      </c>
      <c r="AP237" t="s" s="0">
        <v>103</v>
      </c>
      <c r="AQ237" t="s" s="0">
        <v>402</v>
      </c>
      <c r="AR237" t="s" s="0">
        <v>403</v>
      </c>
      <c r="AS237" t="s" s="0">
        <v>404</v>
      </c>
      <c r="AT237" t="s" s="0">
        <v>81</v>
      </c>
      <c r="AU237" t="s" s="0">
        <v>3922</v>
      </c>
      <c r="AV237" t="s" s="0">
        <v>81</v>
      </c>
      <c r="AW237" t="s" s="0">
        <v>3923</v>
      </c>
      <c r="AX237" t="s" s="0">
        <v>3924</v>
      </c>
      <c r="AY237" t="s" s="0">
        <v>5843</v>
      </c>
      <c r="AZ237" t="s" s="0">
        <v>142</v>
      </c>
      <c r="BA237" t="s" s="0">
        <v>323</v>
      </c>
      <c r="BB237" t="s" s="0">
        <v>81</v>
      </c>
      <c r="BC237" t="s" s="0">
        <v>81</v>
      </c>
      <c r="BD237" t="s" s="0">
        <v>81</v>
      </c>
      <c r="BE237" t="s" s="0">
        <v>81</v>
      </c>
      <c r="BF237" t="s" s="0">
        <v>81</v>
      </c>
      <c r="BG237" t="s" s="0">
        <v>81</v>
      </c>
      <c r="BH237" t="s" s="0">
        <v>81</v>
      </c>
      <c r="BI237" t="s" s="0">
        <v>5844</v>
      </c>
      <c r="BJ237" t="s" s="0">
        <v>5845</v>
      </c>
      <c r="BK237" t="s" s="469">
        <f>HYPERLINK("http://dx.doi.org/10.3389/fphys.2025.1605406","http://dx.doi.org/10.3389/fphys.2025.1605406")</f>
        <v>5846</v>
      </c>
      <c r="BL237" t="s" s="0">
        <v>81</v>
      </c>
      <c r="BM237" t="s" s="0">
        <v>81</v>
      </c>
      <c r="BN237" t="s" s="0">
        <v>323</v>
      </c>
      <c r="BO237" t="s" s="0">
        <v>3929</v>
      </c>
      <c r="BP237" t="s" s="0">
        <v>3929</v>
      </c>
      <c r="BQ237" t="s" s="0">
        <v>5847</v>
      </c>
      <c r="BR237" t="s" s="0">
        <v>5848</v>
      </c>
      <c r="BS237" t="s" s="0">
        <v>5849</v>
      </c>
      <c r="BT237" t="s" s="470">
        <f>HYPERLINK("https://www.webofscience.com/wos/woscc/full-record/WOS:001584638200001","View Record in Web of Science")</f>
        <v>113</v>
      </c>
      <c r="BU237" t="s" s="0">
        <v>153</v>
      </c>
      <c r="BV237" t="s" s="0">
        <v>81</v>
      </c>
      <c r="BW237" t="s" s="0">
        <v>81</v>
      </c>
      <c r="BX237" t="s" s="0">
        <v>115</v>
      </c>
    </row>
    <row r="238">
      <c r="A238" t="s" s="0">
        <v>77</v>
      </c>
      <c r="B238" t="s" s="0">
        <v>77</v>
      </c>
      <c r="C238" t="s" s="0">
        <v>77</v>
      </c>
      <c r="D238" t="s" s="0">
        <v>77</v>
      </c>
      <c r="E238" t="s" s="0">
        <v>5850</v>
      </c>
      <c r="F238" t="s" s="0">
        <v>5851</v>
      </c>
      <c r="G238" t="s" s="0">
        <v>5852</v>
      </c>
      <c r="H238" t="s" s="0">
        <v>81</v>
      </c>
      <c r="I238" t="s" s="0">
        <v>82</v>
      </c>
      <c r="J238" t="s" s="0">
        <v>5853</v>
      </c>
      <c r="K238" t="s" s="0">
        <v>5854</v>
      </c>
      <c r="L238" t="s" s="0">
        <v>5855</v>
      </c>
      <c r="M238" t="s" s="0">
        <v>5856</v>
      </c>
      <c r="N238" t="s" s="0">
        <v>5857</v>
      </c>
      <c r="O238" t="s" s="0">
        <v>5858</v>
      </c>
      <c r="P238" t="s" s="0">
        <v>5859</v>
      </c>
      <c r="Q238" t="s" s="0">
        <v>87</v>
      </c>
      <c r="R238" t="s" s="0">
        <v>81</v>
      </c>
      <c r="S238" t="s" s="0">
        <v>81</v>
      </c>
      <c r="T238" t="s" s="0">
        <v>81</v>
      </c>
      <c r="U238" t="s" s="0">
        <v>81</v>
      </c>
      <c r="V238" t="s" s="0">
        <v>5860</v>
      </c>
      <c r="W238" t="s" s="0">
        <v>2656</v>
      </c>
      <c r="X238" t="s" s="0">
        <v>81</v>
      </c>
      <c r="Y238" t="s" s="0">
        <v>81</v>
      </c>
      <c r="Z238" t="s" s="0">
        <v>90</v>
      </c>
      <c r="AA238" t="s" s="0">
        <v>91</v>
      </c>
      <c r="AB238" t="s" s="0">
        <v>81</v>
      </c>
      <c r="AC238" t="s" s="0">
        <v>81</v>
      </c>
      <c r="AD238" t="s" s="0">
        <v>81</v>
      </c>
      <c r="AE238" t="s" s="0">
        <v>81</v>
      </c>
      <c r="AF238" t="s" s="0">
        <v>81</v>
      </c>
      <c r="AG238" t="s" s="0">
        <v>5861</v>
      </c>
      <c r="AH238" t="s" s="0">
        <v>5862</v>
      </c>
      <c r="AI238" t="s" s="0">
        <v>5863</v>
      </c>
      <c r="AJ238" t="s" s="0">
        <v>5864</v>
      </c>
      <c r="AK238" t="s" s="0">
        <v>81</v>
      </c>
      <c r="AL238" t="s" s="0">
        <v>1223</v>
      </c>
      <c r="AM238" t="s" s="0">
        <v>144</v>
      </c>
      <c r="AN238" t="s" s="0">
        <v>144</v>
      </c>
      <c r="AO238" t="s" s="0">
        <v>210</v>
      </c>
      <c r="AP238" t="s" s="0">
        <v>210</v>
      </c>
      <c r="AQ238" t="s" s="0">
        <v>1195</v>
      </c>
      <c r="AR238" t="s" s="0">
        <v>1196</v>
      </c>
      <c r="AS238" t="s" s="0">
        <v>1197</v>
      </c>
      <c r="AT238" t="s" s="0">
        <v>2662</v>
      </c>
      <c r="AU238" t="s" s="0">
        <v>2663</v>
      </c>
      <c r="AV238" t="s" s="0">
        <v>81</v>
      </c>
      <c r="AW238" t="s" s="0">
        <v>2664</v>
      </c>
      <c r="AX238" t="s" s="0">
        <v>2665</v>
      </c>
      <c r="AY238" t="s" s="0">
        <v>566</v>
      </c>
      <c r="AZ238" t="s" s="0">
        <v>101</v>
      </c>
      <c r="BA238" t="s" s="0">
        <v>1887</v>
      </c>
      <c r="BB238" t="s" s="0">
        <v>313</v>
      </c>
      <c r="BC238" t="s" s="0">
        <v>81</v>
      </c>
      <c r="BD238" t="s" s="0">
        <v>81</v>
      </c>
      <c r="BE238" t="s" s="0">
        <v>81</v>
      </c>
      <c r="BF238" t="s" s="0">
        <v>81</v>
      </c>
      <c r="BG238" t="s" s="0">
        <v>5865</v>
      </c>
      <c r="BH238" t="s" s="0">
        <v>5866</v>
      </c>
      <c r="BI238" t="s" s="0">
        <v>81</v>
      </c>
      <c r="BJ238" t="s" s="0">
        <v>5867</v>
      </c>
      <c r="BK238" t="s" s="471">
        <f>HYPERLINK("http://dx.doi.org/10.1109/JBHI.2025.3597054","http://dx.doi.org/10.1109/JBHI.2025.3597054")</f>
        <v>5868</v>
      </c>
      <c r="BL238" t="s" s="0">
        <v>81</v>
      </c>
      <c r="BM238" t="s" s="0">
        <v>81</v>
      </c>
      <c r="BN238" t="s" s="0">
        <v>187</v>
      </c>
      <c r="BO238" t="s" s="0">
        <v>2670</v>
      </c>
      <c r="BP238" t="s" s="0">
        <v>2671</v>
      </c>
      <c r="BQ238" t="s" s="0">
        <v>5869</v>
      </c>
      <c r="BR238" t="s" s="0">
        <v>5870</v>
      </c>
      <c r="BS238" t="s" s="0">
        <v>5871</v>
      </c>
      <c r="BT238" t="s" s="472">
        <f>HYPERLINK("https://www.webofscience.com/wos/woscc/full-record/WOS:001684934200003","View Record in Web of Science")</f>
        <v>113</v>
      </c>
      <c r="BU238" t="s" s="0">
        <v>719</v>
      </c>
      <c r="BV238" t="s" s="0">
        <v>81</v>
      </c>
      <c r="BW238" t="s" s="0">
        <v>81</v>
      </c>
      <c r="BX238" t="s" s="0">
        <v>115</v>
      </c>
    </row>
    <row r="239">
      <c r="A239" t="s" s="0">
        <v>77</v>
      </c>
      <c r="B239" t="s" s="0">
        <v>77</v>
      </c>
      <c r="C239" t="s" s="0">
        <v>77</v>
      </c>
      <c r="D239" t="s" s="0">
        <v>77</v>
      </c>
      <c r="E239" t="s" s="0">
        <v>5872</v>
      </c>
      <c r="F239" t="s" s="0">
        <v>5873</v>
      </c>
      <c r="G239" t="s" s="0">
        <v>5874</v>
      </c>
      <c r="H239" t="s" s="0">
        <v>81</v>
      </c>
      <c r="I239" t="s" s="0">
        <v>82</v>
      </c>
      <c r="J239" t="s" s="0">
        <v>5875</v>
      </c>
      <c r="K239" t="s" s="0">
        <v>5876</v>
      </c>
      <c r="L239" t="s" s="0">
        <v>5877</v>
      </c>
      <c r="M239" t="s" s="0">
        <v>5878</v>
      </c>
      <c r="N239" t="s" s="0">
        <v>5879</v>
      </c>
      <c r="O239" t="s" s="0">
        <v>5880</v>
      </c>
      <c r="P239" t="s" s="0">
        <v>5881</v>
      </c>
      <c r="Q239" t="s" s="0">
        <v>87</v>
      </c>
      <c r="R239" t="s" s="0">
        <v>81</v>
      </c>
      <c r="S239" t="s" s="0">
        <v>81</v>
      </c>
      <c r="T239" t="s" s="0">
        <v>81</v>
      </c>
      <c r="U239" t="s" s="0">
        <v>81</v>
      </c>
      <c r="V239" t="s" s="0">
        <v>5882</v>
      </c>
      <c r="W239" t="s" s="0">
        <v>1349</v>
      </c>
      <c r="X239" t="s" s="0">
        <v>81</v>
      </c>
      <c r="Y239" t="s" s="0">
        <v>81</v>
      </c>
      <c r="Z239" t="s" s="0">
        <v>90</v>
      </c>
      <c r="AA239" t="s" s="0">
        <v>91</v>
      </c>
      <c r="AB239" t="s" s="0">
        <v>81</v>
      </c>
      <c r="AC239" t="s" s="0">
        <v>81</v>
      </c>
      <c r="AD239" t="s" s="0">
        <v>81</v>
      </c>
      <c r="AE239" t="s" s="0">
        <v>81</v>
      </c>
      <c r="AF239" t="s" s="0">
        <v>81</v>
      </c>
      <c r="AG239" t="s" s="0">
        <v>5883</v>
      </c>
      <c r="AH239" t="s" s="0">
        <v>5884</v>
      </c>
      <c r="AI239" t="s" s="0">
        <v>5885</v>
      </c>
      <c r="AJ239" t="s" s="0">
        <v>5886</v>
      </c>
      <c r="AK239" t="s" s="0">
        <v>81</v>
      </c>
      <c r="AL239" t="s" s="0">
        <v>5887</v>
      </c>
      <c r="AM239" t="s" s="0">
        <v>77</v>
      </c>
      <c r="AN239" t="s" s="0">
        <v>77</v>
      </c>
      <c r="AO239" t="s" s="0">
        <v>245</v>
      </c>
      <c r="AP239" t="s" s="0">
        <v>245</v>
      </c>
      <c r="AQ239" t="s" s="0">
        <v>1355</v>
      </c>
      <c r="AR239" t="s" s="0">
        <v>1356</v>
      </c>
      <c r="AS239" t="s" s="0">
        <v>1357</v>
      </c>
      <c r="AT239" t="s" s="0">
        <v>1358</v>
      </c>
      <c r="AU239" t="s" s="0">
        <v>1359</v>
      </c>
      <c r="AV239" t="s" s="0">
        <v>81</v>
      </c>
      <c r="AW239" t="s" s="0">
        <v>1360</v>
      </c>
      <c r="AX239" t="s" s="0">
        <v>1361</v>
      </c>
      <c r="AY239" t="s" s="0">
        <v>5888</v>
      </c>
      <c r="AZ239" t="s" s="0">
        <v>101</v>
      </c>
      <c r="BA239" t="s" s="0">
        <v>2159</v>
      </c>
      <c r="BB239" t="s" s="0">
        <v>488</v>
      </c>
      <c r="BC239" t="s" s="0">
        <v>81</v>
      </c>
      <c r="BD239" t="s" s="0">
        <v>81</v>
      </c>
      <c r="BE239" t="s" s="0">
        <v>81</v>
      </c>
      <c r="BF239" t="s" s="0">
        <v>81</v>
      </c>
      <c r="BG239" t="s" s="0">
        <v>5889</v>
      </c>
      <c r="BH239" t="s" s="0">
        <v>5890</v>
      </c>
      <c r="BI239" t="s" s="0">
        <v>81</v>
      </c>
      <c r="BJ239" t="s" s="0">
        <v>5891</v>
      </c>
      <c r="BK239" t="s" s="473">
        <f>HYPERLINK("http://dx.doi.org/10.1021/acs.est.6c05993","http://dx.doi.org/10.1021/acs.est.6c05993")</f>
        <v>5892</v>
      </c>
      <c r="BL239" t="s" s="0">
        <v>81</v>
      </c>
      <c r="BM239" t="s" s="0">
        <v>100</v>
      </c>
      <c r="BN239" t="s" s="0">
        <v>245</v>
      </c>
      <c r="BO239" t="s" s="0">
        <v>1368</v>
      </c>
      <c r="BP239" t="s" s="0">
        <v>1369</v>
      </c>
      <c r="BQ239" t="s" s="0">
        <v>5893</v>
      </c>
      <c r="BR239" t="s" s="0">
        <v>5894</v>
      </c>
      <c r="BS239" t="s" s="0">
        <v>5895</v>
      </c>
      <c r="BT239" t="s" s="474">
        <f>HYPERLINK("https://www.webofscience.com/wos/woscc/full-record/WOS:001792676300001","View Record in Web of Science")</f>
        <v>113</v>
      </c>
      <c r="BU239" t="s" s="0">
        <v>81</v>
      </c>
      <c r="BV239" t="s" s="0">
        <v>81</v>
      </c>
      <c r="BW239" t="s" s="0">
        <v>81</v>
      </c>
      <c r="BX239" t="s" s="0">
        <v>115</v>
      </c>
    </row>
    <row r="240">
      <c r="A240" t="s" s="0">
        <v>77</v>
      </c>
      <c r="B240" t="s" s="0">
        <v>77</v>
      </c>
      <c r="C240" t="s" s="0">
        <v>77</v>
      </c>
      <c r="D240" t="s" s="0">
        <v>77</v>
      </c>
      <c r="E240" t="s" s="0">
        <v>5896</v>
      </c>
      <c r="F240" t="s" s="0">
        <v>5897</v>
      </c>
      <c r="G240" t="s" s="0">
        <v>5898</v>
      </c>
      <c r="H240" t="s" s="0">
        <v>81</v>
      </c>
      <c r="I240" t="s" s="0">
        <v>82</v>
      </c>
      <c r="J240" t="s" s="0">
        <v>5899</v>
      </c>
      <c r="K240" t="s" s="0">
        <v>5900</v>
      </c>
      <c r="L240" t="s" s="0">
        <v>5901</v>
      </c>
      <c r="M240" t="s" s="0">
        <v>5902</v>
      </c>
      <c r="N240" t="s" s="0">
        <v>5903</v>
      </c>
      <c r="O240" t="s" s="0">
        <v>5904</v>
      </c>
      <c r="P240" t="s" s="0">
        <v>5905</v>
      </c>
      <c r="Q240" t="s" s="0">
        <v>87</v>
      </c>
      <c r="R240" t="s" s="0">
        <v>81</v>
      </c>
      <c r="S240" t="s" s="0">
        <v>81</v>
      </c>
      <c r="T240" t="s" s="0">
        <v>81</v>
      </c>
      <c r="U240" t="s" s="0">
        <v>81</v>
      </c>
      <c r="V240" t="s" s="0">
        <v>5906</v>
      </c>
      <c r="W240" t="s" s="0">
        <v>5907</v>
      </c>
      <c r="X240" t="s" s="0">
        <v>81</v>
      </c>
      <c r="Y240" t="s" s="0">
        <v>81</v>
      </c>
      <c r="Z240" t="s" s="0">
        <v>90</v>
      </c>
      <c r="AA240" t="s" s="0">
        <v>91</v>
      </c>
      <c r="AB240" t="s" s="0">
        <v>81</v>
      </c>
      <c r="AC240" t="s" s="0">
        <v>81</v>
      </c>
      <c r="AD240" t="s" s="0">
        <v>81</v>
      </c>
      <c r="AE240" t="s" s="0">
        <v>81</v>
      </c>
      <c r="AF240" t="s" s="0">
        <v>81</v>
      </c>
      <c r="AG240" t="s" s="0">
        <v>5908</v>
      </c>
      <c r="AH240" t="s" s="0">
        <v>5909</v>
      </c>
      <c r="AI240" t="s" s="0">
        <v>5910</v>
      </c>
      <c r="AJ240" t="s" s="0">
        <v>5911</v>
      </c>
      <c r="AK240" t="s" s="0">
        <v>81</v>
      </c>
      <c r="AL240" t="s" s="0">
        <v>2054</v>
      </c>
      <c r="AM240" t="s" s="0">
        <v>372</v>
      </c>
      <c r="AN240" t="s" s="0">
        <v>372</v>
      </c>
      <c r="AO240" t="s" s="0">
        <v>134</v>
      </c>
      <c r="AP240" t="s" s="0">
        <v>468</v>
      </c>
      <c r="AQ240" t="s" s="0">
        <v>3087</v>
      </c>
      <c r="AR240" t="s" s="0">
        <v>403</v>
      </c>
      <c r="AS240" t="s" s="0">
        <v>3088</v>
      </c>
      <c r="AT240" t="s" s="0">
        <v>5912</v>
      </c>
      <c r="AU240" t="s" s="0">
        <v>5913</v>
      </c>
      <c r="AV240" t="s" s="0">
        <v>81</v>
      </c>
      <c r="AW240" t="s" s="0">
        <v>5914</v>
      </c>
      <c r="AX240" t="s" s="0">
        <v>5915</v>
      </c>
      <c r="AY240" t="s" s="0">
        <v>2331</v>
      </c>
      <c r="AZ240" t="s" s="0">
        <v>101</v>
      </c>
      <c r="BA240" t="s" s="0">
        <v>5916</v>
      </c>
      <c r="BB240" t="s" s="0">
        <v>81</v>
      </c>
      <c r="BC240" t="s" s="0">
        <v>81</v>
      </c>
      <c r="BD240" t="s" s="0">
        <v>81</v>
      </c>
      <c r="BE240" t="s" s="0">
        <v>81</v>
      </c>
      <c r="BF240" t="s" s="0">
        <v>81</v>
      </c>
      <c r="BG240" t="s" s="0">
        <v>81</v>
      </c>
      <c r="BH240" t="s" s="0">
        <v>81</v>
      </c>
      <c r="BI240" t="s" s="0">
        <v>5917</v>
      </c>
      <c r="BJ240" t="s" s="0">
        <v>5918</v>
      </c>
      <c r="BK240" t="s" s="475">
        <f>HYPERLINK("http://dx.doi.org/10.1016/j.msea.2025.149468","http://dx.doi.org/10.1016/j.msea.2025.149468")</f>
        <v>5919</v>
      </c>
      <c r="BL240" t="s" s="0">
        <v>81</v>
      </c>
      <c r="BM240" t="s" s="0">
        <v>467</v>
      </c>
      <c r="BN240" t="s" s="0">
        <v>626</v>
      </c>
      <c r="BO240" t="s" s="0">
        <v>5920</v>
      </c>
      <c r="BP240" t="s" s="0">
        <v>5921</v>
      </c>
      <c r="BQ240" t="s" s="0">
        <v>5922</v>
      </c>
      <c r="BR240" t="s" s="0">
        <v>81</v>
      </c>
      <c r="BS240" t="s" s="0">
        <v>5923</v>
      </c>
      <c r="BT240" t="s" s="476">
        <f>HYPERLINK("https://www.webofscience.com/wos/woscc/full-record/WOS:001630183200004","View Record in Web of Science")</f>
        <v>113</v>
      </c>
      <c r="BU240" t="s" s="0">
        <v>81</v>
      </c>
      <c r="BV240" t="s" s="0">
        <v>81</v>
      </c>
      <c r="BW240" t="s" s="0">
        <v>81</v>
      </c>
      <c r="BX240" t="s" s="0">
        <v>115</v>
      </c>
    </row>
    <row r="241">
      <c r="A241" t="s" s="0">
        <v>77</v>
      </c>
      <c r="B241" t="s" s="0">
        <v>77</v>
      </c>
      <c r="C241" t="s" s="0">
        <v>77</v>
      </c>
      <c r="D241" t="s" s="0">
        <v>77</v>
      </c>
      <c r="E241" t="s" s="0">
        <v>5924</v>
      </c>
      <c r="F241" t="s" s="0">
        <v>5925</v>
      </c>
      <c r="G241" t="s" s="0">
        <v>5926</v>
      </c>
      <c r="H241" t="s" s="0">
        <v>81</v>
      </c>
      <c r="I241" t="s" s="0">
        <v>82</v>
      </c>
      <c r="J241" t="s" s="0">
        <v>5927</v>
      </c>
      <c r="K241" t="s" s="0">
        <v>5928</v>
      </c>
      <c r="L241" t="s" s="0">
        <v>5929</v>
      </c>
      <c r="M241" t="s" s="0">
        <v>5930</v>
      </c>
      <c r="N241" t="s" s="0">
        <v>5931</v>
      </c>
      <c r="O241" t="s" s="0">
        <v>5932</v>
      </c>
      <c r="P241" t="s" s="0">
        <v>5933</v>
      </c>
      <c r="Q241" t="s" s="0">
        <v>87</v>
      </c>
      <c r="R241" t="s" s="0">
        <v>81</v>
      </c>
      <c r="S241" t="s" s="0">
        <v>81</v>
      </c>
      <c r="T241" t="s" s="0">
        <v>81</v>
      </c>
      <c r="U241" t="s" s="0">
        <v>81</v>
      </c>
      <c r="V241" t="s" s="0">
        <v>5934</v>
      </c>
      <c r="W241" t="s" s="0">
        <v>5935</v>
      </c>
      <c r="X241" t="s" s="0">
        <v>81</v>
      </c>
      <c r="Y241" t="s" s="0">
        <v>81</v>
      </c>
      <c r="Z241" t="s" s="0">
        <v>90</v>
      </c>
      <c r="AA241" t="s" s="0">
        <v>91</v>
      </c>
      <c r="AB241" t="s" s="0">
        <v>81</v>
      </c>
      <c r="AC241" t="s" s="0">
        <v>81</v>
      </c>
      <c r="AD241" t="s" s="0">
        <v>81</v>
      </c>
      <c r="AE241" t="s" s="0">
        <v>81</v>
      </c>
      <c r="AF241" t="s" s="0">
        <v>81</v>
      </c>
      <c r="AG241" t="s" s="0">
        <v>5936</v>
      </c>
      <c r="AH241" t="s" s="0">
        <v>5937</v>
      </c>
      <c r="AI241" t="s" s="0">
        <v>5938</v>
      </c>
      <c r="AJ241" t="s" s="0">
        <v>5939</v>
      </c>
      <c r="AK241" t="s" s="0">
        <v>81</v>
      </c>
      <c r="AL241" t="s" s="0">
        <v>102</v>
      </c>
      <c r="AM241" t="s" s="0">
        <v>372</v>
      </c>
      <c r="AN241" t="s" s="0">
        <v>103</v>
      </c>
      <c r="AO241" t="s" s="0">
        <v>313</v>
      </c>
      <c r="AP241" t="s" s="0">
        <v>133</v>
      </c>
      <c r="AQ241" t="s" s="0">
        <v>615</v>
      </c>
      <c r="AR241" t="s" s="0">
        <v>616</v>
      </c>
      <c r="AS241" t="s" s="0">
        <v>617</v>
      </c>
      <c r="AT241" t="s" s="0">
        <v>5940</v>
      </c>
      <c r="AU241" t="s" s="0">
        <v>5941</v>
      </c>
      <c r="AV241" t="s" s="0">
        <v>81</v>
      </c>
      <c r="AW241" t="s" s="0">
        <v>5942</v>
      </c>
      <c r="AX241" t="s" s="0">
        <v>5943</v>
      </c>
      <c r="AY241" t="s" s="0">
        <v>3455</v>
      </c>
      <c r="AZ241" t="s" s="0">
        <v>142</v>
      </c>
      <c r="BA241" t="s" s="0">
        <v>3615</v>
      </c>
      <c r="BB241" t="s" s="0">
        <v>81</v>
      </c>
      <c r="BC241" t="s" s="0">
        <v>81</v>
      </c>
      <c r="BD241" t="s" s="0">
        <v>81</v>
      </c>
      <c r="BE241" t="s" s="0">
        <v>81</v>
      </c>
      <c r="BF241" t="s" s="0">
        <v>81</v>
      </c>
      <c r="BG241" t="s" s="0">
        <v>2083</v>
      </c>
      <c r="BH241" t="s" s="0">
        <v>5944</v>
      </c>
      <c r="BI241" t="s" s="0">
        <v>81</v>
      </c>
      <c r="BJ241" t="s" s="0">
        <v>5945</v>
      </c>
      <c r="BK241" t="s" s="477">
        <f>HYPERLINK("http://dx.doi.org/10.1016/j.patrec.2025.04.001","http://dx.doi.org/10.1016/j.patrec.2025.04.001")</f>
        <v>5946</v>
      </c>
      <c r="BL241" t="s" s="0">
        <v>81</v>
      </c>
      <c r="BM241" t="s" s="0">
        <v>467</v>
      </c>
      <c r="BN241" t="s" s="0">
        <v>172</v>
      </c>
      <c r="BO241" t="s" s="0">
        <v>834</v>
      </c>
      <c r="BP241" t="s" s="0">
        <v>835</v>
      </c>
      <c r="BQ241" t="s" s="0">
        <v>5947</v>
      </c>
      <c r="BR241" t="s" s="0">
        <v>81</v>
      </c>
      <c r="BS241" t="s" s="0">
        <v>5948</v>
      </c>
      <c r="BT241" t="s" s="478">
        <f>HYPERLINK("https://www.webofscience.com/wos/woscc/full-record/WOS:001482467000001","View Record in Web of Science")</f>
        <v>113</v>
      </c>
      <c r="BU241" t="s" s="0">
        <v>81</v>
      </c>
      <c r="BV241" t="s" s="0">
        <v>81</v>
      </c>
      <c r="BW241" t="s" s="0">
        <v>81</v>
      </c>
      <c r="BX241" t="s" s="0">
        <v>115</v>
      </c>
    </row>
    <row r="242">
      <c r="A242" t="s" s="0">
        <v>77</v>
      </c>
      <c r="B242" t="s" s="0">
        <v>77</v>
      </c>
      <c r="C242" t="s" s="0">
        <v>77</v>
      </c>
      <c r="D242" t="s" s="0">
        <v>77</v>
      </c>
      <c r="E242" t="s" s="0">
        <v>5949</v>
      </c>
      <c r="F242" t="s" s="0">
        <v>5950</v>
      </c>
      <c r="G242" t="s" s="0">
        <v>5951</v>
      </c>
      <c r="H242" t="s" s="0">
        <v>81</v>
      </c>
      <c r="I242" t="s" s="0">
        <v>82</v>
      </c>
      <c r="J242" t="s" s="0">
        <v>5952</v>
      </c>
      <c r="K242" t="s" s="0">
        <v>5953</v>
      </c>
      <c r="L242" t="s" s="0">
        <v>5954</v>
      </c>
      <c r="M242" t="s" s="0">
        <v>5955</v>
      </c>
      <c r="N242" t="s" s="0">
        <v>5956</v>
      </c>
      <c r="O242" t="s" s="0">
        <v>5957</v>
      </c>
      <c r="P242" t="s" s="0">
        <v>5958</v>
      </c>
      <c r="Q242" t="s" s="0">
        <v>87</v>
      </c>
      <c r="R242" t="s" s="0">
        <v>81</v>
      </c>
      <c r="S242" t="s" s="0">
        <v>81</v>
      </c>
      <c r="T242" t="s" s="0">
        <v>81</v>
      </c>
      <c r="U242" t="s" s="0">
        <v>81</v>
      </c>
      <c r="V242" t="s" s="0">
        <v>5959</v>
      </c>
      <c r="W242" t="s" s="0">
        <v>1849</v>
      </c>
      <c r="X242" t="s" s="0">
        <v>81</v>
      </c>
      <c r="Y242" t="s" s="0">
        <v>81</v>
      </c>
      <c r="Z242" t="s" s="0">
        <v>90</v>
      </c>
      <c r="AA242" t="s" s="0">
        <v>91</v>
      </c>
      <c r="AB242" t="s" s="0">
        <v>81</v>
      </c>
      <c r="AC242" t="s" s="0">
        <v>81</v>
      </c>
      <c r="AD242" t="s" s="0">
        <v>81</v>
      </c>
      <c r="AE242" t="s" s="0">
        <v>81</v>
      </c>
      <c r="AF242" t="s" s="0">
        <v>81</v>
      </c>
      <c r="AG242" t="s" s="0">
        <v>5960</v>
      </c>
      <c r="AH242" t="s" s="0">
        <v>5961</v>
      </c>
      <c r="AI242" t="s" s="0">
        <v>5962</v>
      </c>
      <c r="AJ242" t="s" s="0">
        <v>5963</v>
      </c>
      <c r="AK242" t="s" s="0">
        <v>81</v>
      </c>
      <c r="AL242" t="s" s="0">
        <v>854</v>
      </c>
      <c r="AM242" t="s" s="0">
        <v>210</v>
      </c>
      <c r="AN242" t="s" s="0">
        <v>210</v>
      </c>
      <c r="AO242" t="s" s="0">
        <v>144</v>
      </c>
      <c r="AP242" t="s" s="0">
        <v>133</v>
      </c>
      <c r="AQ242" t="s" s="0">
        <v>402</v>
      </c>
      <c r="AR242" t="s" s="0">
        <v>403</v>
      </c>
      <c r="AS242" t="s" s="0">
        <v>404</v>
      </c>
      <c r="AT242" t="s" s="0">
        <v>81</v>
      </c>
      <c r="AU242" t="s" s="0">
        <v>1852</v>
      </c>
      <c r="AV242" t="s" s="0">
        <v>81</v>
      </c>
      <c r="AW242" t="s" s="0">
        <v>1853</v>
      </c>
      <c r="AX242" t="s" s="0">
        <v>1854</v>
      </c>
      <c r="AY242" t="s" s="0">
        <v>5964</v>
      </c>
      <c r="AZ242" t="s" s="0">
        <v>142</v>
      </c>
      <c r="BA242" t="s" s="0">
        <v>187</v>
      </c>
      <c r="BB242" t="s" s="0">
        <v>81</v>
      </c>
      <c r="BC242" t="s" s="0">
        <v>81</v>
      </c>
      <c r="BD242" t="s" s="0">
        <v>81</v>
      </c>
      <c r="BE242" t="s" s="0">
        <v>81</v>
      </c>
      <c r="BF242" t="s" s="0">
        <v>81</v>
      </c>
      <c r="BG242" t="s" s="0">
        <v>81</v>
      </c>
      <c r="BH242" t="s" s="0">
        <v>81</v>
      </c>
      <c r="BI242" t="s" s="0">
        <v>5965</v>
      </c>
      <c r="BJ242" t="s" s="0">
        <v>5966</v>
      </c>
      <c r="BK242" t="s" s="479">
        <f>HYPERLINK("http://dx.doi.org/10.3389/fmed.2025.1546452","http://dx.doi.org/10.3389/fmed.2025.1546452")</f>
        <v>5967</v>
      </c>
      <c r="BL242" t="s" s="0">
        <v>81</v>
      </c>
      <c r="BM242" t="s" s="0">
        <v>81</v>
      </c>
      <c r="BN242" t="s" s="0">
        <v>143</v>
      </c>
      <c r="BO242" t="s" s="0">
        <v>324</v>
      </c>
      <c r="BP242" t="s" s="0">
        <v>325</v>
      </c>
      <c r="BQ242" t="s" s="0">
        <v>5968</v>
      </c>
      <c r="BR242" t="s" s="0">
        <v>5969</v>
      </c>
      <c r="BS242" t="s" s="0">
        <v>5970</v>
      </c>
      <c r="BT242" t="s" s="480">
        <f>HYPERLINK("https://www.webofscience.com/wos/woscc/full-record/WOS:001441005100001","View Record in Web of Science")</f>
        <v>113</v>
      </c>
      <c r="BU242" t="s" s="0">
        <v>153</v>
      </c>
      <c r="BV242" t="s" s="0">
        <v>81</v>
      </c>
      <c r="BW242" t="s" s="0">
        <v>81</v>
      </c>
      <c r="BX242" t="s" s="0">
        <v>115</v>
      </c>
    </row>
    <row r="243">
      <c r="A243" t="s" s="0">
        <v>77</v>
      </c>
      <c r="B243" t="s" s="0">
        <v>77</v>
      </c>
      <c r="C243" t="s" s="0">
        <v>77</v>
      </c>
      <c r="D243" t="s" s="0">
        <v>77</v>
      </c>
      <c r="E243" t="s" s="0">
        <v>5971</v>
      </c>
      <c r="F243" t="s" s="0">
        <v>5972</v>
      </c>
      <c r="G243" t="s" s="0">
        <v>5973</v>
      </c>
      <c r="H243" t="s" s="0">
        <v>81</v>
      </c>
      <c r="I243" t="s" s="0">
        <v>82</v>
      </c>
      <c r="J243" t="s" s="0">
        <v>5974</v>
      </c>
      <c r="K243" t="s" s="0">
        <v>5975</v>
      </c>
      <c r="L243" t="s" s="0">
        <v>5976</v>
      </c>
      <c r="M243" t="s" s="0">
        <v>5977</v>
      </c>
      <c r="N243" t="s" s="0">
        <v>5978</v>
      </c>
      <c r="O243" t="s" s="0">
        <v>5979</v>
      </c>
      <c r="P243" t="s" s="0">
        <v>5980</v>
      </c>
      <c r="Q243" t="s" s="0">
        <v>87</v>
      </c>
      <c r="R243" t="s" s="0">
        <v>81</v>
      </c>
      <c r="S243" t="s" s="0">
        <v>81</v>
      </c>
      <c r="T243" t="s" s="0">
        <v>81</v>
      </c>
      <c r="U243" t="s" s="0">
        <v>81</v>
      </c>
      <c r="V243" t="s" s="0">
        <v>5981</v>
      </c>
      <c r="W243" t="s" s="0">
        <v>5982</v>
      </c>
      <c r="X243" t="s" s="0">
        <v>81</v>
      </c>
      <c r="Y243" t="s" s="0">
        <v>81</v>
      </c>
      <c r="Z243" t="s" s="0">
        <v>90</v>
      </c>
      <c r="AA243" t="s" s="0">
        <v>91</v>
      </c>
      <c r="AB243" t="s" s="0">
        <v>81</v>
      </c>
      <c r="AC243" t="s" s="0">
        <v>81</v>
      </c>
      <c r="AD243" t="s" s="0">
        <v>81</v>
      </c>
      <c r="AE243" t="s" s="0">
        <v>81</v>
      </c>
      <c r="AF243" t="s" s="0">
        <v>81</v>
      </c>
      <c r="AG243" t="s" s="0">
        <v>5983</v>
      </c>
      <c r="AH243" t="s" s="0">
        <v>5984</v>
      </c>
      <c r="AI243" t="s" s="0">
        <v>5985</v>
      </c>
      <c r="AJ243" t="s" s="0">
        <v>5986</v>
      </c>
      <c r="AK243" t="s" s="0">
        <v>81</v>
      </c>
      <c r="AL243" t="s" s="0">
        <v>276</v>
      </c>
      <c r="AM243" t="s" s="0">
        <v>144</v>
      </c>
      <c r="AN243" t="s" s="0">
        <v>144</v>
      </c>
      <c r="AO243" t="s" s="0">
        <v>116</v>
      </c>
      <c r="AP243" t="s" s="0">
        <v>107</v>
      </c>
      <c r="AQ243" t="s" s="0">
        <v>314</v>
      </c>
      <c r="AR243" t="s" s="0">
        <v>315</v>
      </c>
      <c r="AS243" t="s" s="0">
        <v>316</v>
      </c>
      <c r="AT243" t="s" s="0">
        <v>81</v>
      </c>
      <c r="AU243" t="s" s="0">
        <v>5987</v>
      </c>
      <c r="AV243" t="s" s="0">
        <v>81</v>
      </c>
      <c r="AW243" t="s" s="0">
        <v>5988</v>
      </c>
      <c r="AX243" t="s" s="0">
        <v>5989</v>
      </c>
      <c r="AY243" t="s" s="0">
        <v>5990</v>
      </c>
      <c r="AZ243" t="s" s="0">
        <v>142</v>
      </c>
      <c r="BA243" t="s" s="0">
        <v>107</v>
      </c>
      <c r="BB243" t="s" s="0">
        <v>116</v>
      </c>
      <c r="BC243" t="s" s="0">
        <v>81</v>
      </c>
      <c r="BD243" t="s" s="0">
        <v>81</v>
      </c>
      <c r="BE243" t="s" s="0">
        <v>81</v>
      </c>
      <c r="BF243" t="s" s="0">
        <v>81</v>
      </c>
      <c r="BG243" t="s" s="0">
        <v>81</v>
      </c>
      <c r="BH243" t="s" s="0">
        <v>81</v>
      </c>
      <c r="BI243" t="s" s="0">
        <v>254</v>
      </c>
      <c r="BJ243" t="s" s="0">
        <v>5991</v>
      </c>
      <c r="BK243" t="s" s="481">
        <f>HYPERLINK("http://dx.doi.org/10.3390/biomimetics10030145","http://dx.doi.org/10.3390/biomimetics10030145")</f>
        <v>5992</v>
      </c>
      <c r="BL243" t="s" s="0">
        <v>81</v>
      </c>
      <c r="BM243" t="s" s="0">
        <v>81</v>
      </c>
      <c r="BN243" t="s" s="0">
        <v>277</v>
      </c>
      <c r="BO243" t="s" s="0">
        <v>5993</v>
      </c>
      <c r="BP243" t="s" s="0">
        <v>3041</v>
      </c>
      <c r="BQ243" t="s" s="0">
        <v>5994</v>
      </c>
      <c r="BR243" t="s" s="0">
        <v>5995</v>
      </c>
      <c r="BS243" t="s" s="0">
        <v>5996</v>
      </c>
      <c r="BT243" t="s" s="482">
        <f>HYPERLINK("https://www.webofscience.com/wos/woscc/full-record/WOS:001453053100001","View Record in Web of Science")</f>
        <v>113</v>
      </c>
      <c r="BU243" t="s" s="0">
        <v>153</v>
      </c>
      <c r="BV243" t="s" s="0">
        <v>81</v>
      </c>
      <c r="BW243" t="s" s="0">
        <v>81</v>
      </c>
      <c r="BX243" t="s" s="0">
        <v>115</v>
      </c>
    </row>
    <row r="244">
      <c r="A244" t="s" s="0">
        <v>77</v>
      </c>
      <c r="B244" t="s" s="0">
        <v>77</v>
      </c>
      <c r="C244" t="s" s="0">
        <v>77</v>
      </c>
      <c r="D244" t="s" s="0">
        <v>77</v>
      </c>
      <c r="E244" t="s" s="0">
        <v>5997</v>
      </c>
      <c r="F244" t="s" s="0">
        <v>5998</v>
      </c>
      <c r="G244" t="s" s="0">
        <v>5999</v>
      </c>
      <c r="H244" t="s" s="0">
        <v>81</v>
      </c>
      <c r="I244" t="s" s="0">
        <v>82</v>
      </c>
      <c r="J244" t="s" s="0">
        <v>6000</v>
      </c>
      <c r="K244" t="s" s="0">
        <v>6001</v>
      </c>
      <c r="L244" t="s" s="0">
        <v>6002</v>
      </c>
      <c r="M244" t="s" s="0">
        <v>6003</v>
      </c>
      <c r="N244" t="s" s="0">
        <v>6004</v>
      </c>
      <c r="O244" t="s" s="0">
        <v>6005</v>
      </c>
      <c r="P244" t="s" s="0">
        <v>6006</v>
      </c>
      <c r="Q244" t="s" s="0">
        <v>87</v>
      </c>
      <c r="R244" t="s" s="0">
        <v>81</v>
      </c>
      <c r="S244" t="s" s="0">
        <v>81</v>
      </c>
      <c r="T244" t="s" s="0">
        <v>81</v>
      </c>
      <c r="U244" t="s" s="0">
        <v>81</v>
      </c>
      <c r="V244" t="s" s="0">
        <v>6007</v>
      </c>
      <c r="W244" t="s" s="0">
        <v>6008</v>
      </c>
      <c r="X244" t="s" s="0">
        <v>81</v>
      </c>
      <c r="Y244" t="s" s="0">
        <v>81</v>
      </c>
      <c r="Z244" t="s" s="0">
        <v>90</v>
      </c>
      <c r="AA244" t="s" s="0">
        <v>91</v>
      </c>
      <c r="AB244" t="s" s="0">
        <v>81</v>
      </c>
      <c r="AC244" t="s" s="0">
        <v>81</v>
      </c>
      <c r="AD244" t="s" s="0">
        <v>81</v>
      </c>
      <c r="AE244" t="s" s="0">
        <v>81</v>
      </c>
      <c r="AF244" t="s" s="0">
        <v>81</v>
      </c>
      <c r="AG244" t="s" s="0">
        <v>81</v>
      </c>
      <c r="AH244" t="s" s="0">
        <v>6009</v>
      </c>
      <c r="AI244" t="s" s="0">
        <v>6010</v>
      </c>
      <c r="AJ244" t="s" s="0">
        <v>81</v>
      </c>
      <c r="AK244" t="s" s="0">
        <v>81</v>
      </c>
      <c r="AL244" t="s" s="0">
        <v>1363</v>
      </c>
      <c r="AM244" t="s" s="0">
        <v>144</v>
      </c>
      <c r="AN244" t="s" s="0">
        <v>144</v>
      </c>
      <c r="AO244" t="s" s="0">
        <v>103</v>
      </c>
      <c r="AP244" t="s" s="0">
        <v>187</v>
      </c>
      <c r="AQ244" t="s" s="0">
        <v>6011</v>
      </c>
      <c r="AR244" t="s" s="0">
        <v>587</v>
      </c>
      <c r="AS244" t="s" s="0">
        <v>6012</v>
      </c>
      <c r="AT244" t="s" s="0">
        <v>6013</v>
      </c>
      <c r="AU244" t="s" s="0">
        <v>6014</v>
      </c>
      <c r="AV244" t="s" s="0">
        <v>81</v>
      </c>
      <c r="AW244" t="s" s="0">
        <v>6015</v>
      </c>
      <c r="AX244" t="s" s="0">
        <v>6016</v>
      </c>
      <c r="AY244" t="s" s="0">
        <v>218</v>
      </c>
      <c r="AZ244" t="s" s="0">
        <v>142</v>
      </c>
      <c r="BA244" t="s" s="0">
        <v>6017</v>
      </c>
      <c r="BB244" t="s" s="0">
        <v>372</v>
      </c>
      <c r="BC244" t="s" s="0">
        <v>81</v>
      </c>
      <c r="BD244" t="s" s="0">
        <v>81</v>
      </c>
      <c r="BE244" t="s" s="0">
        <v>81</v>
      </c>
      <c r="BF244" t="s" s="0">
        <v>81</v>
      </c>
      <c r="BG244" t="s" s="0">
        <v>6018</v>
      </c>
      <c r="BH244" t="s" s="0">
        <v>6019</v>
      </c>
      <c r="BI244" t="s" s="0">
        <v>81</v>
      </c>
      <c r="BJ244" t="s" s="0">
        <v>6020</v>
      </c>
      <c r="BK244" t="s" s="483">
        <f>HYPERLINK("http://dx.doi.org/10.1785/0120240255","http://dx.doi.org/10.1785/0120240255")</f>
        <v>6021</v>
      </c>
      <c r="BL244" t="s" s="0">
        <v>81</v>
      </c>
      <c r="BM244" t="s" s="0">
        <v>81</v>
      </c>
      <c r="BN244" t="s" s="0">
        <v>277</v>
      </c>
      <c r="BO244" t="s" s="0">
        <v>6022</v>
      </c>
      <c r="BP244" t="s" s="0">
        <v>6022</v>
      </c>
      <c r="BQ244" t="s" s="0">
        <v>6023</v>
      </c>
      <c r="BR244" t="s" s="0">
        <v>81</v>
      </c>
      <c r="BS244" t="s" s="0">
        <v>6024</v>
      </c>
      <c r="BT244" t="s" s="484">
        <f>HYPERLINK("https://www.webofscience.com/wos/woscc/full-record/WOS:001605755500001","View Record in Web of Science")</f>
        <v>113</v>
      </c>
      <c r="BU244" t="s" s="0">
        <v>81</v>
      </c>
      <c r="BV244" t="s" s="0">
        <v>81</v>
      </c>
      <c r="BW244" t="s" s="0">
        <v>81</v>
      </c>
      <c r="BX244" t="s" s="0">
        <v>115</v>
      </c>
    </row>
    <row r="245">
      <c r="A245" t="s" s="0">
        <v>77</v>
      </c>
      <c r="B245" t="s" s="0">
        <v>77</v>
      </c>
      <c r="C245" t="s" s="0">
        <v>77</v>
      </c>
      <c r="D245" t="s" s="0">
        <v>77</v>
      </c>
      <c r="E245" t="s" s="0">
        <v>6025</v>
      </c>
      <c r="F245" t="s" s="0">
        <v>6026</v>
      </c>
      <c r="G245" t="s" s="0">
        <v>6027</v>
      </c>
      <c r="H245" t="s" s="0">
        <v>81</v>
      </c>
      <c r="I245" t="s" s="0">
        <v>82</v>
      </c>
      <c r="J245" t="s" s="0">
        <v>6028</v>
      </c>
      <c r="K245" t="s" s="0">
        <v>6029</v>
      </c>
      <c r="L245" t="s" s="0">
        <v>6030</v>
      </c>
      <c r="M245" t="s" s="0">
        <v>6031</v>
      </c>
      <c r="N245" t="s" s="0">
        <v>6032</v>
      </c>
      <c r="O245" t="s" s="0">
        <v>6033</v>
      </c>
      <c r="P245" t="s" s="0">
        <v>6034</v>
      </c>
      <c r="Q245" t="s" s="0">
        <v>87</v>
      </c>
      <c r="R245" t="s" s="0">
        <v>81</v>
      </c>
      <c r="S245" t="s" s="0">
        <v>81</v>
      </c>
      <c r="T245" t="s" s="0">
        <v>81</v>
      </c>
      <c r="U245" t="s" s="0">
        <v>81</v>
      </c>
      <c r="V245" t="s" s="0">
        <v>6035</v>
      </c>
      <c r="W245" t="s" s="0">
        <v>1189</v>
      </c>
      <c r="X245" t="s" s="0">
        <v>81</v>
      </c>
      <c r="Y245" t="s" s="0">
        <v>81</v>
      </c>
      <c r="Z245" t="s" s="0">
        <v>90</v>
      </c>
      <c r="AA245" t="s" s="0">
        <v>91</v>
      </c>
      <c r="AB245" t="s" s="0">
        <v>81</v>
      </c>
      <c r="AC245" t="s" s="0">
        <v>81</v>
      </c>
      <c r="AD245" t="s" s="0">
        <v>81</v>
      </c>
      <c r="AE245" t="s" s="0">
        <v>81</v>
      </c>
      <c r="AF245" t="s" s="0">
        <v>81</v>
      </c>
      <c r="AG245" t="s" s="0">
        <v>6036</v>
      </c>
      <c r="AH245" t="s" s="0">
        <v>81</v>
      </c>
      <c r="AI245" t="s" s="0">
        <v>6037</v>
      </c>
      <c r="AJ245" t="s" s="0">
        <v>81</v>
      </c>
      <c r="AK245" t="s" s="0">
        <v>81</v>
      </c>
      <c r="AL245" t="s" s="0">
        <v>209</v>
      </c>
      <c r="AM245" t="s" s="0">
        <v>372</v>
      </c>
      <c r="AN245" t="s" s="0">
        <v>372</v>
      </c>
      <c r="AO245" t="s" s="0">
        <v>134</v>
      </c>
      <c r="AP245" t="s" s="0">
        <v>102</v>
      </c>
      <c r="AQ245" t="s" s="0">
        <v>1195</v>
      </c>
      <c r="AR245" t="s" s="0">
        <v>1196</v>
      </c>
      <c r="AS245" t="s" s="0">
        <v>1197</v>
      </c>
      <c r="AT245" t="s" s="0">
        <v>1198</v>
      </c>
      <c r="AU245" t="s" s="0">
        <v>81</v>
      </c>
      <c r="AV245" t="s" s="0">
        <v>81</v>
      </c>
      <c r="AW245" t="s" s="0">
        <v>1189</v>
      </c>
      <c r="AX245" t="s" s="0">
        <v>1199</v>
      </c>
      <c r="AY245" t="s" s="0">
        <v>142</v>
      </c>
      <c r="AZ245" t="s" s="0">
        <v>142</v>
      </c>
      <c r="BA245" t="s" s="0">
        <v>134</v>
      </c>
      <c r="BB245" t="s" s="0">
        <v>81</v>
      </c>
      <c r="BC245" t="s" s="0">
        <v>81</v>
      </c>
      <c r="BD245" t="s" s="0">
        <v>81</v>
      </c>
      <c r="BE245" t="s" s="0">
        <v>81</v>
      </c>
      <c r="BF245" t="s" s="0">
        <v>81</v>
      </c>
      <c r="BG245" t="s" s="0">
        <v>6038</v>
      </c>
      <c r="BH245" t="s" s="0">
        <v>6039</v>
      </c>
      <c r="BI245" t="s" s="0">
        <v>81</v>
      </c>
      <c r="BJ245" t="s" s="0">
        <v>6040</v>
      </c>
      <c r="BK245" t="s" s="485">
        <f>HYPERLINK("http://dx.doi.org/10.1109/ACCESS.2025.3533537","http://dx.doi.org/10.1109/ACCESS.2025.3533537")</f>
        <v>6041</v>
      </c>
      <c r="BL245" t="s" s="0">
        <v>81</v>
      </c>
      <c r="BM245" t="s" s="0">
        <v>81</v>
      </c>
      <c r="BN245" t="s" s="0">
        <v>143</v>
      </c>
      <c r="BO245" t="s" s="0">
        <v>1204</v>
      </c>
      <c r="BP245" t="s" s="0">
        <v>1205</v>
      </c>
      <c r="BQ245" t="s" s="0">
        <v>6042</v>
      </c>
      <c r="BR245" t="s" s="0">
        <v>81</v>
      </c>
      <c r="BS245" t="s" s="0">
        <v>6043</v>
      </c>
      <c r="BT245" t="s" s="486">
        <f>HYPERLINK("https://www.webofscience.com/wos/woscc/full-record/WOS:001411998400032","View Record in Web of Science")</f>
        <v>113</v>
      </c>
      <c r="BU245" t="s" s="0">
        <v>153</v>
      </c>
      <c r="BV245" t="s" s="0">
        <v>81</v>
      </c>
      <c r="BW245" t="s" s="0">
        <v>81</v>
      </c>
      <c r="BX245" t="s" s="0">
        <v>115</v>
      </c>
    </row>
    <row r="246">
      <c r="A246" t="s" s="0">
        <v>77</v>
      </c>
      <c r="B246" t="s" s="0">
        <v>77</v>
      </c>
      <c r="C246" t="s" s="0">
        <v>77</v>
      </c>
      <c r="D246" t="s" s="0">
        <v>77</v>
      </c>
      <c r="E246" t="s" s="0">
        <v>6044</v>
      </c>
      <c r="F246" t="s" s="0">
        <v>6045</v>
      </c>
      <c r="G246" t="s" s="0">
        <v>6046</v>
      </c>
      <c r="H246" t="s" s="0">
        <v>81</v>
      </c>
      <c r="I246" t="s" s="0">
        <v>82</v>
      </c>
      <c r="J246" t="s" s="0">
        <v>6047</v>
      </c>
      <c r="K246" t="s" s="0">
        <v>6048</v>
      </c>
      <c r="L246" t="s" s="0">
        <v>6049</v>
      </c>
      <c r="M246" t="s" s="0">
        <v>6050</v>
      </c>
      <c r="N246" t="s" s="0">
        <v>6051</v>
      </c>
      <c r="O246" t="s" s="0">
        <v>6052</v>
      </c>
      <c r="P246" t="s" s="0">
        <v>6053</v>
      </c>
      <c r="Q246" t="s" s="0">
        <v>87</v>
      </c>
      <c r="R246" t="s" s="0">
        <v>81</v>
      </c>
      <c r="S246" t="s" s="0">
        <v>81</v>
      </c>
      <c r="T246" t="s" s="0">
        <v>81</v>
      </c>
      <c r="U246" t="s" s="0">
        <v>81</v>
      </c>
      <c r="V246" t="s" s="0">
        <v>6054</v>
      </c>
      <c r="W246" t="s" s="0">
        <v>6055</v>
      </c>
      <c r="X246" t="s" s="0">
        <v>81</v>
      </c>
      <c r="Y246" t="s" s="0">
        <v>81</v>
      </c>
      <c r="Z246" t="s" s="0">
        <v>90</v>
      </c>
      <c r="AA246" t="s" s="0">
        <v>91</v>
      </c>
      <c r="AB246" t="s" s="0">
        <v>81</v>
      </c>
      <c r="AC246" t="s" s="0">
        <v>81</v>
      </c>
      <c r="AD246" t="s" s="0">
        <v>81</v>
      </c>
      <c r="AE246" t="s" s="0">
        <v>81</v>
      </c>
      <c r="AF246" t="s" s="0">
        <v>81</v>
      </c>
      <c r="AG246" t="s" s="0">
        <v>6056</v>
      </c>
      <c r="AH246" t="s" s="0">
        <v>1221</v>
      </c>
      <c r="AI246" t="s" s="0">
        <v>6057</v>
      </c>
      <c r="AJ246" t="s" s="0">
        <v>81</v>
      </c>
      <c r="AK246" t="s" s="0">
        <v>81</v>
      </c>
      <c r="AL246" t="s" s="0">
        <v>2382</v>
      </c>
      <c r="AM246" t="s" s="0">
        <v>77</v>
      </c>
      <c r="AN246" t="s" s="0">
        <v>77</v>
      </c>
      <c r="AO246" t="s" s="0">
        <v>116</v>
      </c>
      <c r="AP246" t="s" s="0">
        <v>116</v>
      </c>
      <c r="AQ246" t="s" s="0">
        <v>174</v>
      </c>
      <c r="AR246" t="s" s="0">
        <v>175</v>
      </c>
      <c r="AS246" t="s" s="0">
        <v>176</v>
      </c>
      <c r="AT246" t="s" s="0">
        <v>6058</v>
      </c>
      <c r="AU246" t="s" s="0">
        <v>6059</v>
      </c>
      <c r="AV246" t="s" s="0">
        <v>81</v>
      </c>
      <c r="AW246" t="s" s="0">
        <v>6060</v>
      </c>
      <c r="AX246" t="s" s="0">
        <v>6061</v>
      </c>
      <c r="AY246" t="s" s="0">
        <v>6062</v>
      </c>
      <c r="AZ246" t="s" s="0">
        <v>101</v>
      </c>
      <c r="BA246" t="s" s="0">
        <v>6063</v>
      </c>
      <c r="BB246" t="s" s="0">
        <v>81</v>
      </c>
      <c r="BC246" t="s" s="0">
        <v>81</v>
      </c>
      <c r="BD246" t="s" s="0">
        <v>81</v>
      </c>
      <c r="BE246" t="s" s="0">
        <v>81</v>
      </c>
      <c r="BF246" t="s" s="0">
        <v>81</v>
      </c>
      <c r="BG246" t="s" s="0">
        <v>81</v>
      </c>
      <c r="BH246" t="s" s="0">
        <v>81</v>
      </c>
      <c r="BI246" t="s" s="0">
        <v>6064</v>
      </c>
      <c r="BJ246" t="s" s="0">
        <v>6065</v>
      </c>
      <c r="BK246" t="s" s="487">
        <f>HYPERLINK("http://dx.doi.org/10.1016/j.aei.2026.104863","http://dx.doi.org/10.1016/j.aei.2026.104863")</f>
        <v>6066</v>
      </c>
      <c r="BL246" t="s" s="0">
        <v>81</v>
      </c>
      <c r="BM246" t="s" s="0">
        <v>622</v>
      </c>
      <c r="BN246" t="s" s="0">
        <v>277</v>
      </c>
      <c r="BO246" t="s" s="0">
        <v>6067</v>
      </c>
      <c r="BP246" t="s" s="0">
        <v>628</v>
      </c>
      <c r="BQ246" t="s" s="0">
        <v>6068</v>
      </c>
      <c r="BR246" t="s" s="0">
        <v>81</v>
      </c>
      <c r="BS246" t="s" s="0">
        <v>6069</v>
      </c>
      <c r="BT246" t="s" s="488">
        <f>HYPERLINK("https://www.webofscience.com/wos/woscc/full-record/WOS:001786021700001","View Record in Web of Science")</f>
        <v>113</v>
      </c>
      <c r="BU246" t="s" s="0">
        <v>193</v>
      </c>
      <c r="BV246" t="s" s="0">
        <v>81</v>
      </c>
      <c r="BW246" t="s" s="0">
        <v>81</v>
      </c>
      <c r="BX246" t="s" s="0">
        <v>115</v>
      </c>
    </row>
    <row r="247">
      <c r="A247" t="s" s="0">
        <v>77</v>
      </c>
      <c r="B247" t="s" s="0">
        <v>77</v>
      </c>
      <c r="C247" t="s" s="0">
        <v>77</v>
      </c>
      <c r="D247" t="s" s="0">
        <v>77</v>
      </c>
      <c r="E247" t="s" s="0">
        <v>6070</v>
      </c>
      <c r="F247" t="s" s="0">
        <v>6071</v>
      </c>
      <c r="G247" t="s" s="0">
        <v>6072</v>
      </c>
      <c r="H247" t="s" s="0">
        <v>81</v>
      </c>
      <c r="I247" t="s" s="0">
        <v>82</v>
      </c>
      <c r="J247" t="s" s="0">
        <v>6073</v>
      </c>
      <c r="K247" t="s" s="0">
        <v>6074</v>
      </c>
      <c r="L247" t="s" s="0">
        <v>6075</v>
      </c>
      <c r="M247" t="s" s="0">
        <v>6076</v>
      </c>
      <c r="N247" t="s" s="0">
        <v>6077</v>
      </c>
      <c r="O247" t="s" s="0">
        <v>6078</v>
      </c>
      <c r="P247" t="s" s="0">
        <v>6079</v>
      </c>
      <c r="Q247" t="s" s="0">
        <v>87</v>
      </c>
      <c r="R247" t="s" s="0">
        <v>81</v>
      </c>
      <c r="S247" t="s" s="0">
        <v>81</v>
      </c>
      <c r="T247" t="s" s="0">
        <v>81</v>
      </c>
      <c r="U247" t="s" s="0">
        <v>81</v>
      </c>
      <c r="V247" t="s" s="0">
        <v>6080</v>
      </c>
      <c r="W247" t="s" s="0">
        <v>1685</v>
      </c>
      <c r="X247" t="s" s="0">
        <v>81</v>
      </c>
      <c r="Y247" t="s" s="0">
        <v>81</v>
      </c>
      <c r="Z247" t="s" s="0">
        <v>90</v>
      </c>
      <c r="AA247" t="s" s="0">
        <v>91</v>
      </c>
      <c r="AB247" t="s" s="0">
        <v>81</v>
      </c>
      <c r="AC247" t="s" s="0">
        <v>81</v>
      </c>
      <c r="AD247" t="s" s="0">
        <v>81</v>
      </c>
      <c r="AE247" t="s" s="0">
        <v>81</v>
      </c>
      <c r="AF247" t="s" s="0">
        <v>81</v>
      </c>
      <c r="AG247" t="s" s="0">
        <v>81</v>
      </c>
      <c r="AH247" t="s" s="0">
        <v>6081</v>
      </c>
      <c r="AI247" t="s" s="0">
        <v>6082</v>
      </c>
      <c r="AJ247" t="s" s="0">
        <v>6083</v>
      </c>
      <c r="AK247" t="s" s="0">
        <v>81</v>
      </c>
      <c r="AL247" t="s" s="0">
        <v>1223</v>
      </c>
      <c r="AM247" t="s" s="0">
        <v>144</v>
      </c>
      <c r="AN247" t="s" s="0">
        <v>144</v>
      </c>
      <c r="AO247" t="s" s="0">
        <v>133</v>
      </c>
      <c r="AP247" t="s" s="0">
        <v>173</v>
      </c>
      <c r="AQ247" t="s" s="0">
        <v>1355</v>
      </c>
      <c r="AR247" t="s" s="0">
        <v>1356</v>
      </c>
      <c r="AS247" t="s" s="0">
        <v>1357</v>
      </c>
      <c r="AT247" t="s" s="0">
        <v>1688</v>
      </c>
      <c r="AU247" t="s" s="0">
        <v>1689</v>
      </c>
      <c r="AV247" t="s" s="0">
        <v>81</v>
      </c>
      <c r="AW247" t="s" s="0">
        <v>1690</v>
      </c>
      <c r="AX247" t="s" s="0">
        <v>1691</v>
      </c>
      <c r="AY247" t="s" s="0">
        <v>6084</v>
      </c>
      <c r="AZ247" t="s" s="0">
        <v>101</v>
      </c>
      <c r="BA247" t="s" s="0">
        <v>1542</v>
      </c>
      <c r="BB247" t="s" s="0">
        <v>144</v>
      </c>
      <c r="BC247" t="s" s="0">
        <v>81</v>
      </c>
      <c r="BD247" t="s" s="0">
        <v>81</v>
      </c>
      <c r="BE247" t="s" s="0">
        <v>81</v>
      </c>
      <c r="BF247" t="s" s="0">
        <v>81</v>
      </c>
      <c r="BG247" t="s" s="0">
        <v>2661</v>
      </c>
      <c r="BH247" t="s" s="0">
        <v>1224</v>
      </c>
      <c r="BI247" t="s" s="0">
        <v>81</v>
      </c>
      <c r="BJ247" t="s" s="0">
        <v>6085</v>
      </c>
      <c r="BK247" t="s" s="489">
        <f>HYPERLINK("http://dx.doi.org/10.1021/acs.jcim.5c01734","http://dx.doi.org/10.1021/acs.jcim.5c01734")</f>
        <v>6086</v>
      </c>
      <c r="BL247" t="s" s="0">
        <v>81</v>
      </c>
      <c r="BM247" t="s" s="0">
        <v>1140</v>
      </c>
      <c r="BN247" t="s" s="0">
        <v>245</v>
      </c>
      <c r="BO247" t="s" s="0">
        <v>1698</v>
      </c>
      <c r="BP247" t="s" s="0">
        <v>1699</v>
      </c>
      <c r="BQ247" t="s" s="0">
        <v>6087</v>
      </c>
      <c r="BR247" t="s" s="0">
        <v>6088</v>
      </c>
      <c r="BS247" t="s" s="0">
        <v>6089</v>
      </c>
      <c r="BT247" t="s" s="490">
        <f>HYPERLINK("https://www.webofscience.com/wos/woscc/full-record/WOS:001639254200001","View Record in Web of Science")</f>
        <v>113</v>
      </c>
      <c r="BU247" t="s" s="0">
        <v>81</v>
      </c>
      <c r="BV247" t="s" s="0">
        <v>81</v>
      </c>
      <c r="BW247" t="s" s="0">
        <v>81</v>
      </c>
      <c r="BX247" t="s" s="0">
        <v>115</v>
      </c>
    </row>
    <row r="248">
      <c r="A248" t="s" s="0">
        <v>77</v>
      </c>
      <c r="B248" t="s" s="0">
        <v>77</v>
      </c>
      <c r="C248" t="s" s="0">
        <v>77</v>
      </c>
      <c r="D248" t="s" s="0">
        <v>77</v>
      </c>
      <c r="E248" t="s" s="0">
        <v>6090</v>
      </c>
      <c r="F248" t="s" s="0">
        <v>6091</v>
      </c>
      <c r="G248" t="s" s="0">
        <v>6092</v>
      </c>
      <c r="H248" t="s" s="0">
        <v>81</v>
      </c>
      <c r="I248" t="s" s="0">
        <v>82</v>
      </c>
      <c r="J248" t="s" s="0">
        <v>6093</v>
      </c>
      <c r="K248" t="s" s="0">
        <v>6094</v>
      </c>
      <c r="L248" t="s" s="0">
        <v>6095</v>
      </c>
      <c r="M248" t="s" s="0">
        <v>6096</v>
      </c>
      <c r="N248" t="s" s="0">
        <v>6097</v>
      </c>
      <c r="O248" t="s" s="0">
        <v>6098</v>
      </c>
      <c r="P248" t="s" s="0">
        <v>6099</v>
      </c>
      <c r="Q248" t="s" s="0">
        <v>87</v>
      </c>
      <c r="R248" t="s" s="0">
        <v>81</v>
      </c>
      <c r="S248" t="s" s="0">
        <v>81</v>
      </c>
      <c r="T248" t="s" s="0">
        <v>81</v>
      </c>
      <c r="U248" t="s" s="0">
        <v>81</v>
      </c>
      <c r="V248" t="s" s="0">
        <v>6100</v>
      </c>
      <c r="W248" t="s" s="0">
        <v>6101</v>
      </c>
      <c r="X248" t="s" s="0">
        <v>81</v>
      </c>
      <c r="Y248" t="s" s="0">
        <v>81</v>
      </c>
      <c r="Z248" t="s" s="0">
        <v>90</v>
      </c>
      <c r="AA248" t="s" s="0">
        <v>91</v>
      </c>
      <c r="AB248" t="s" s="0">
        <v>81</v>
      </c>
      <c r="AC248" t="s" s="0">
        <v>81</v>
      </c>
      <c r="AD248" t="s" s="0">
        <v>81</v>
      </c>
      <c r="AE248" t="s" s="0">
        <v>81</v>
      </c>
      <c r="AF248" t="s" s="0">
        <v>81</v>
      </c>
      <c r="AG248" t="s" s="0">
        <v>6102</v>
      </c>
      <c r="AH248" t="s" s="0">
        <v>1221</v>
      </c>
      <c r="AI248" t="s" s="0">
        <v>6103</v>
      </c>
      <c r="AJ248" t="s" s="0">
        <v>6104</v>
      </c>
      <c r="AK248" t="s" s="0">
        <v>81</v>
      </c>
      <c r="AL248" t="s" s="0">
        <v>1161</v>
      </c>
      <c r="AM248" t="s" s="0">
        <v>313</v>
      </c>
      <c r="AN248" t="s" s="0">
        <v>116</v>
      </c>
      <c r="AO248" t="s" s="0">
        <v>313</v>
      </c>
      <c r="AP248" t="s" s="0">
        <v>1389</v>
      </c>
      <c r="AQ248" t="s" s="0">
        <v>6105</v>
      </c>
      <c r="AR248" t="s" s="0">
        <v>247</v>
      </c>
      <c r="AS248" t="s" s="0">
        <v>6106</v>
      </c>
      <c r="AT248" t="s" s="0">
        <v>6107</v>
      </c>
      <c r="AU248" t="s" s="0">
        <v>6108</v>
      </c>
      <c r="AV248" t="s" s="0">
        <v>81</v>
      </c>
      <c r="AW248" t="s" s="0">
        <v>6109</v>
      </c>
      <c r="AX248" t="s" s="0">
        <v>6110</v>
      </c>
      <c r="AY248" t="s" s="0">
        <v>1548</v>
      </c>
      <c r="AZ248" t="s" s="0">
        <v>742</v>
      </c>
      <c r="BA248" t="s" s="0">
        <v>626</v>
      </c>
      <c r="BB248" t="s" s="0">
        <v>116</v>
      </c>
      <c r="BC248" t="s" s="0">
        <v>81</v>
      </c>
      <c r="BD248" t="s" s="0">
        <v>81</v>
      </c>
      <c r="BE248" t="s" s="0">
        <v>6111</v>
      </c>
      <c r="BF248" t="s" s="0">
        <v>81</v>
      </c>
      <c r="BG248" t="s" s="0">
        <v>81</v>
      </c>
      <c r="BH248" t="s" s="0">
        <v>81</v>
      </c>
      <c r="BI248" t="s" s="0">
        <v>6112</v>
      </c>
      <c r="BJ248" t="s" s="0">
        <v>6113</v>
      </c>
      <c r="BK248" t="s" s="491">
        <f>HYPERLINK("http://dx.doi.org/10.1145/3572915","http://dx.doi.org/10.1145/3572915")</f>
        <v>6114</v>
      </c>
      <c r="BL248" t="s" s="0">
        <v>81</v>
      </c>
      <c r="BM248" t="s" s="0">
        <v>81</v>
      </c>
      <c r="BN248" t="s" s="0">
        <v>1001</v>
      </c>
      <c r="BO248" t="s" s="0">
        <v>1236</v>
      </c>
      <c r="BP248" t="s" s="0">
        <v>835</v>
      </c>
      <c r="BQ248" t="s" s="0">
        <v>6115</v>
      </c>
      <c r="BR248" t="s" s="0">
        <v>81</v>
      </c>
      <c r="BS248" t="s" s="0">
        <v>6116</v>
      </c>
      <c r="BT248" t="s" s="492">
        <f>HYPERLINK("https://www.webofscience.com/wos/woscc/full-record/WOS:001011934700010","View Record in Web of Science")</f>
        <v>113</v>
      </c>
      <c r="BU248" t="s" s="0">
        <v>81</v>
      </c>
      <c r="BV248" t="s" s="0">
        <v>81</v>
      </c>
      <c r="BW248" t="s" s="0">
        <v>81</v>
      </c>
      <c r="BX248" t="s" s="0">
        <v>115</v>
      </c>
    </row>
    <row r="249">
      <c r="A249" t="s" s="0">
        <v>77</v>
      </c>
      <c r="B249" t="s" s="0">
        <v>77</v>
      </c>
      <c r="C249" t="s" s="0">
        <v>77</v>
      </c>
      <c r="D249" t="s" s="0">
        <v>77</v>
      </c>
      <c r="E249" t="s" s="0">
        <v>6117</v>
      </c>
      <c r="F249" t="s" s="0">
        <v>6118</v>
      </c>
      <c r="G249" t="s" s="0">
        <v>6119</v>
      </c>
      <c r="H249" t="s" s="0">
        <v>81</v>
      </c>
      <c r="I249" t="s" s="0">
        <v>543</v>
      </c>
      <c r="J249" t="s" s="0">
        <v>6120</v>
      </c>
      <c r="K249" t="s" s="0">
        <v>6121</v>
      </c>
      <c r="L249" t="s" s="0">
        <v>81</v>
      </c>
      <c r="M249" t="s" s="0">
        <v>81</v>
      </c>
      <c r="N249" t="s" s="0">
        <v>81</v>
      </c>
      <c r="O249" t="s" s="0">
        <v>6122</v>
      </c>
      <c r="P249" t="s" s="0">
        <v>6123</v>
      </c>
      <c r="Q249" t="s" s="0">
        <v>87</v>
      </c>
      <c r="R249" t="s" s="0">
        <v>81</v>
      </c>
      <c r="S249" t="s" s="0">
        <v>81</v>
      </c>
      <c r="T249" t="s" s="0">
        <v>81</v>
      </c>
      <c r="U249" t="s" s="0">
        <v>81</v>
      </c>
      <c r="V249" t="s" s="0">
        <v>6124</v>
      </c>
      <c r="W249" t="s" s="0">
        <v>6125</v>
      </c>
      <c r="X249" t="s" s="0">
        <v>81</v>
      </c>
      <c r="Y249" t="s" s="0">
        <v>81</v>
      </c>
      <c r="Z249" t="s" s="0">
        <v>90</v>
      </c>
      <c r="AA249" t="s" s="0">
        <v>91</v>
      </c>
      <c r="AB249" t="s" s="0">
        <v>81</v>
      </c>
      <c r="AC249" t="s" s="0">
        <v>81</v>
      </c>
      <c r="AD249" t="s" s="0">
        <v>81</v>
      </c>
      <c r="AE249" t="s" s="0">
        <v>81</v>
      </c>
      <c r="AF249" t="s" s="0">
        <v>81</v>
      </c>
      <c r="AG249" t="s" s="0">
        <v>6126</v>
      </c>
      <c r="AH249" t="s" s="0">
        <v>6127</v>
      </c>
      <c r="AI249" t="s" s="0">
        <v>6128</v>
      </c>
      <c r="AJ249" t="s" s="0">
        <v>81</v>
      </c>
      <c r="AK249" t="s" s="0">
        <v>81</v>
      </c>
      <c r="AL249" t="s" s="0">
        <v>2930</v>
      </c>
      <c r="AM249" t="s" s="0">
        <v>313</v>
      </c>
      <c r="AN249" t="s" s="0">
        <v>313</v>
      </c>
      <c r="AO249" t="s" s="0">
        <v>210</v>
      </c>
      <c r="AP249" t="s" s="0">
        <v>210</v>
      </c>
      <c r="AQ249" t="s" s="0">
        <v>314</v>
      </c>
      <c r="AR249" t="s" s="0">
        <v>315</v>
      </c>
      <c r="AS249" t="s" s="0">
        <v>316</v>
      </c>
      <c r="AT249" t="s" s="0">
        <v>6129</v>
      </c>
      <c r="AU249" t="s" s="0">
        <v>81</v>
      </c>
      <c r="AV249" t="s" s="0">
        <v>81</v>
      </c>
      <c r="AW249" t="s" s="0">
        <v>6125</v>
      </c>
      <c r="AX249" t="s" s="0">
        <v>6130</v>
      </c>
      <c r="AY249" t="s" s="0">
        <v>5275</v>
      </c>
      <c r="AZ249" t="s" s="0">
        <v>101</v>
      </c>
      <c r="BA249" t="s" s="0">
        <v>143</v>
      </c>
      <c r="BB249" t="s" s="0">
        <v>116</v>
      </c>
      <c r="BC249" t="s" s="0">
        <v>81</v>
      </c>
      <c r="BD249" t="s" s="0">
        <v>81</v>
      </c>
      <c r="BE249" t="s" s="0">
        <v>81</v>
      </c>
      <c r="BF249" t="s" s="0">
        <v>81</v>
      </c>
      <c r="BG249" t="s" s="0">
        <v>81</v>
      </c>
      <c r="BH249" t="s" s="0">
        <v>81</v>
      </c>
      <c r="BI249" t="s" s="0">
        <v>3661</v>
      </c>
      <c r="BJ249" t="s" s="0">
        <v>6131</v>
      </c>
      <c r="BK249" t="s" s="493">
        <f>HYPERLINK("http://dx.doi.org/10.3390/computers15030156","http://dx.doi.org/10.3390/computers15030156")</f>
        <v>6132</v>
      </c>
      <c r="BL249" t="s" s="0">
        <v>81</v>
      </c>
      <c r="BM249" t="s" s="0">
        <v>81</v>
      </c>
      <c r="BN249" t="s" s="0">
        <v>209</v>
      </c>
      <c r="BO249" t="s" s="0">
        <v>1913</v>
      </c>
      <c r="BP249" t="s" s="0">
        <v>835</v>
      </c>
      <c r="BQ249" t="s" s="0">
        <v>6133</v>
      </c>
      <c r="BR249" t="s" s="0">
        <v>81</v>
      </c>
      <c r="BS249" t="s" s="0">
        <v>6134</v>
      </c>
      <c r="BT249" t="s" s="494">
        <f>HYPERLINK("https://www.webofscience.com/wos/woscc/full-record/WOS:001725151300001","View Record in Web of Science")</f>
        <v>113</v>
      </c>
      <c r="BU249" t="s" s="0">
        <v>153</v>
      </c>
      <c r="BV249" t="s" s="0">
        <v>81</v>
      </c>
      <c r="BW249" t="s" s="0">
        <v>81</v>
      </c>
      <c r="BX249" t="s" s="0">
        <v>115</v>
      </c>
    </row>
    <row r="250">
      <c r="A250" t="s" s="0">
        <v>77</v>
      </c>
      <c r="B250" t="s" s="0">
        <v>77</v>
      </c>
      <c r="C250" t="s" s="0">
        <v>77</v>
      </c>
      <c r="D250" t="s" s="0">
        <v>77</v>
      </c>
      <c r="E250" t="s" s="0">
        <v>6135</v>
      </c>
      <c r="F250" t="s" s="0">
        <v>6136</v>
      </c>
      <c r="G250" t="s" s="0">
        <v>6137</v>
      </c>
      <c r="H250" t="s" s="0">
        <v>81</v>
      </c>
      <c r="I250" t="s" s="0">
        <v>82</v>
      </c>
      <c r="J250" t="s" s="0">
        <v>6138</v>
      </c>
      <c r="K250" t="s" s="0">
        <v>6139</v>
      </c>
      <c r="L250" t="s" s="0">
        <v>6140</v>
      </c>
      <c r="M250" t="s" s="0">
        <v>6141</v>
      </c>
      <c r="N250" t="s" s="0">
        <v>6142</v>
      </c>
      <c r="O250" t="s" s="0">
        <v>6143</v>
      </c>
      <c r="P250" t="s" s="0">
        <v>6144</v>
      </c>
      <c r="Q250" t="s" s="0">
        <v>87</v>
      </c>
      <c r="R250" t="s" s="0">
        <v>81</v>
      </c>
      <c r="S250" t="s" s="0">
        <v>81</v>
      </c>
      <c r="T250" t="s" s="0">
        <v>81</v>
      </c>
      <c r="U250" t="s" s="0">
        <v>81</v>
      </c>
      <c r="V250" t="s" s="0">
        <v>6145</v>
      </c>
      <c r="W250" t="s" s="0">
        <v>6146</v>
      </c>
      <c r="X250" t="s" s="0">
        <v>81</v>
      </c>
      <c r="Y250" t="s" s="0">
        <v>81</v>
      </c>
      <c r="Z250" t="s" s="0">
        <v>90</v>
      </c>
      <c r="AA250" t="s" s="0">
        <v>91</v>
      </c>
      <c r="AB250" t="s" s="0">
        <v>81</v>
      </c>
      <c r="AC250" t="s" s="0">
        <v>81</v>
      </c>
      <c r="AD250" t="s" s="0">
        <v>81</v>
      </c>
      <c r="AE250" t="s" s="0">
        <v>81</v>
      </c>
      <c r="AF250" t="s" s="0">
        <v>81</v>
      </c>
      <c r="AG250" t="s" s="0">
        <v>6147</v>
      </c>
      <c r="AH250" t="s" s="0">
        <v>6148</v>
      </c>
      <c r="AI250" t="s" s="0">
        <v>6149</v>
      </c>
      <c r="AJ250" t="s" s="0">
        <v>81</v>
      </c>
      <c r="AK250" t="s" s="0">
        <v>81</v>
      </c>
      <c r="AL250" t="s" s="0">
        <v>1493</v>
      </c>
      <c r="AM250" t="s" s="0">
        <v>116</v>
      </c>
      <c r="AN250" t="s" s="0">
        <v>210</v>
      </c>
      <c r="AO250" t="s" s="0">
        <v>116</v>
      </c>
      <c r="AP250" t="s" s="0">
        <v>219</v>
      </c>
      <c r="AQ250" t="s" s="0">
        <v>557</v>
      </c>
      <c r="AR250" t="s" s="0">
        <v>558</v>
      </c>
      <c r="AS250" t="s" s="0">
        <v>559</v>
      </c>
      <c r="AT250" t="s" s="0">
        <v>6150</v>
      </c>
      <c r="AU250" t="s" s="0">
        <v>81</v>
      </c>
      <c r="AV250" t="s" s="0">
        <v>81</v>
      </c>
      <c r="AW250" t="s" s="0">
        <v>6151</v>
      </c>
      <c r="AX250" t="s" s="0">
        <v>6152</v>
      </c>
      <c r="AY250" t="s" s="0">
        <v>6153</v>
      </c>
      <c r="AZ250" t="s" s="0">
        <v>142</v>
      </c>
      <c r="BA250" t="s" s="0">
        <v>245</v>
      </c>
      <c r="BB250" t="s" s="0">
        <v>143</v>
      </c>
      <c r="BC250" t="s" s="0">
        <v>81</v>
      </c>
      <c r="BD250" t="s" s="0">
        <v>81</v>
      </c>
      <c r="BE250" t="s" s="0">
        <v>81</v>
      </c>
      <c r="BF250" t="s" s="0">
        <v>81</v>
      </c>
      <c r="BG250" t="s" s="0">
        <v>81</v>
      </c>
      <c r="BH250" t="s" s="0">
        <v>81</v>
      </c>
      <c r="BI250" t="s" s="0">
        <v>6154</v>
      </c>
      <c r="BJ250" t="s" s="0">
        <v>6155</v>
      </c>
      <c r="BK250" t="s" s="495">
        <f>HYPERLINK("http://dx.doi.org/10.1002/cam4.71077","http://dx.doi.org/10.1002/cam4.71077")</f>
        <v>6156</v>
      </c>
      <c r="BL250" t="s" s="0">
        <v>81</v>
      </c>
      <c r="BM250" t="s" s="0">
        <v>81</v>
      </c>
      <c r="BN250" t="s" s="0">
        <v>187</v>
      </c>
      <c r="BO250" t="s" s="0">
        <v>412</v>
      </c>
      <c r="BP250" t="s" s="0">
        <v>412</v>
      </c>
      <c r="BQ250" t="s" s="0">
        <v>6157</v>
      </c>
      <c r="BR250" t="s" s="0">
        <v>6158</v>
      </c>
      <c r="BS250" t="s" s="0">
        <v>6159</v>
      </c>
      <c r="BT250" t="s" s="496">
        <f>HYPERLINK("https://www.webofscience.com/wos/woscc/full-record/WOS:001543956200001","View Record in Web of Science")</f>
        <v>113</v>
      </c>
      <c r="BU250" t="s" s="0">
        <v>153</v>
      </c>
      <c r="BV250" t="s" s="0">
        <v>81</v>
      </c>
      <c r="BW250" t="s" s="0">
        <v>81</v>
      </c>
      <c r="BX250" t="s" s="0">
        <v>115</v>
      </c>
    </row>
    <row r="251">
      <c r="A251" t="s" s="0">
        <v>77</v>
      </c>
      <c r="B251" t="s" s="0">
        <v>77</v>
      </c>
      <c r="C251" t="s" s="0">
        <v>77</v>
      </c>
      <c r="D251" t="s" s="0">
        <v>77</v>
      </c>
      <c r="E251" t="s" s="0">
        <v>6160</v>
      </c>
      <c r="F251" t="s" s="0">
        <v>6161</v>
      </c>
      <c r="G251" t="s" s="0">
        <v>6162</v>
      </c>
      <c r="H251" t="s" s="0">
        <v>81</v>
      </c>
      <c r="I251" t="s" s="0">
        <v>82</v>
      </c>
      <c r="J251" t="s" s="0">
        <v>6163</v>
      </c>
      <c r="K251" t="s" s="0">
        <v>6164</v>
      </c>
      <c r="L251" t="s" s="0">
        <v>81</v>
      </c>
      <c r="M251" t="s" s="0">
        <v>81</v>
      </c>
      <c r="N251" t="s" s="0">
        <v>81</v>
      </c>
      <c r="O251" t="s" s="0">
        <v>6165</v>
      </c>
      <c r="P251" t="s" s="0">
        <v>6166</v>
      </c>
      <c r="Q251" t="s" s="0">
        <v>87</v>
      </c>
      <c r="R251" t="s" s="0">
        <v>81</v>
      </c>
      <c r="S251" t="s" s="0">
        <v>81</v>
      </c>
      <c r="T251" t="s" s="0">
        <v>81</v>
      </c>
      <c r="U251" t="s" s="0">
        <v>81</v>
      </c>
      <c r="V251" t="s" s="0">
        <v>6167</v>
      </c>
      <c r="W251" t="s" s="0">
        <v>4737</v>
      </c>
      <c r="X251" t="s" s="0">
        <v>81</v>
      </c>
      <c r="Y251" t="s" s="0">
        <v>81</v>
      </c>
      <c r="Z251" t="s" s="0">
        <v>90</v>
      </c>
      <c r="AA251" t="s" s="0">
        <v>91</v>
      </c>
      <c r="AB251" t="s" s="0">
        <v>81</v>
      </c>
      <c r="AC251" t="s" s="0">
        <v>81</v>
      </c>
      <c r="AD251" t="s" s="0">
        <v>81</v>
      </c>
      <c r="AE251" t="s" s="0">
        <v>81</v>
      </c>
      <c r="AF251" t="s" s="0">
        <v>81</v>
      </c>
      <c r="AG251" t="s" s="0">
        <v>81</v>
      </c>
      <c r="AH251" t="s" s="0">
        <v>6168</v>
      </c>
      <c r="AI251" t="s" s="0">
        <v>81</v>
      </c>
      <c r="AJ251" t="s" s="0">
        <v>81</v>
      </c>
      <c r="AK251" t="s" s="0">
        <v>81</v>
      </c>
      <c r="AL251" t="s" s="0">
        <v>854</v>
      </c>
      <c r="AM251" t="s" s="0">
        <v>116</v>
      </c>
      <c r="AN251" t="s" s="0">
        <v>116</v>
      </c>
      <c r="AO251" t="s" s="0">
        <v>107</v>
      </c>
      <c r="AP251" t="s" s="0">
        <v>143</v>
      </c>
      <c r="AQ251" t="s" s="0">
        <v>4741</v>
      </c>
      <c r="AR251" t="s" s="0">
        <v>4742</v>
      </c>
      <c r="AS251" t="s" s="0">
        <v>4743</v>
      </c>
      <c r="AT251" t="s" s="0">
        <v>81</v>
      </c>
      <c r="AU251" t="s" s="0">
        <v>4744</v>
      </c>
      <c r="AV251" t="s" s="0">
        <v>81</v>
      </c>
      <c r="AW251" t="s" s="0">
        <v>4737</v>
      </c>
      <c r="AX251" t="s" s="0">
        <v>4745</v>
      </c>
      <c r="AY251" t="s" s="0">
        <v>6169</v>
      </c>
      <c r="AZ251" t="s" s="0">
        <v>142</v>
      </c>
      <c r="BA251" t="s" s="0">
        <v>684</v>
      </c>
      <c r="BB251" t="s" s="0">
        <v>107</v>
      </c>
      <c r="BC251" t="s" s="0">
        <v>81</v>
      </c>
      <c r="BD251" t="s" s="0">
        <v>81</v>
      </c>
      <c r="BE251" t="s" s="0">
        <v>81</v>
      </c>
      <c r="BF251" t="s" s="0">
        <v>81</v>
      </c>
      <c r="BG251" t="s" s="0">
        <v>81</v>
      </c>
      <c r="BH251" t="s" s="0">
        <v>81</v>
      </c>
      <c r="BI251" t="s" s="0">
        <v>6170</v>
      </c>
      <c r="BJ251" t="s" s="0">
        <v>6171</v>
      </c>
      <c r="BK251" t="s" s="497">
        <f>HYPERLINK("http://dx.doi.org/10.1371/journal.pone.0333379","http://dx.doi.org/10.1371/journal.pone.0333379")</f>
        <v>6172</v>
      </c>
      <c r="BL251" t="s" s="0">
        <v>81</v>
      </c>
      <c r="BM251" t="s" s="0">
        <v>81</v>
      </c>
      <c r="BN251" t="s" s="0">
        <v>428</v>
      </c>
      <c r="BO251" t="s" s="0">
        <v>148</v>
      </c>
      <c r="BP251" t="s" s="0">
        <v>149</v>
      </c>
      <c r="BQ251" t="s" s="0">
        <v>6173</v>
      </c>
      <c r="BR251" t="s" s="0">
        <v>6174</v>
      </c>
      <c r="BS251" t="s" s="0">
        <v>6175</v>
      </c>
      <c r="BT251" t="s" s="498">
        <f>HYPERLINK("https://www.webofscience.com/wos/woscc/full-record/WOS:001591276000039","View Record in Web of Science")</f>
        <v>113</v>
      </c>
      <c r="BU251" t="s" s="0">
        <v>153</v>
      </c>
      <c r="BV251" t="s" s="0">
        <v>81</v>
      </c>
      <c r="BW251" t="s" s="0">
        <v>81</v>
      </c>
      <c r="BX251" t="s" s="0">
        <v>115</v>
      </c>
    </row>
    <row r="252">
      <c r="A252" t="s" s="0">
        <v>77</v>
      </c>
      <c r="B252" t="s" s="0">
        <v>77</v>
      </c>
      <c r="C252" t="s" s="0">
        <v>77</v>
      </c>
      <c r="D252" t="s" s="0">
        <v>77</v>
      </c>
      <c r="E252" t="s" s="0">
        <v>6176</v>
      </c>
      <c r="F252" t="s" s="0">
        <v>6177</v>
      </c>
      <c r="G252" t="s" s="0">
        <v>6178</v>
      </c>
      <c r="H252" t="s" s="0">
        <v>81</v>
      </c>
      <c r="I252" t="s" s="0">
        <v>82</v>
      </c>
      <c r="J252" t="s" s="0">
        <v>6179</v>
      </c>
      <c r="K252" t="s" s="0">
        <v>6180</v>
      </c>
      <c r="L252" t="s" s="0">
        <v>6181</v>
      </c>
      <c r="M252" t="s" s="0">
        <v>6181</v>
      </c>
      <c r="N252" t="s" s="0">
        <v>6182</v>
      </c>
      <c r="O252" t="s" s="0">
        <v>6183</v>
      </c>
      <c r="P252" t="s" s="0">
        <v>6184</v>
      </c>
      <c r="Q252" t="s" s="0">
        <v>87</v>
      </c>
      <c r="R252" t="s" s="0">
        <v>81</v>
      </c>
      <c r="S252" t="s" s="0">
        <v>81</v>
      </c>
      <c r="T252" t="s" s="0">
        <v>81</v>
      </c>
      <c r="U252" t="s" s="0">
        <v>81</v>
      </c>
      <c r="V252" t="s" s="0">
        <v>6185</v>
      </c>
      <c r="W252" t="s" s="0">
        <v>6186</v>
      </c>
      <c r="X252" t="s" s="0">
        <v>81</v>
      </c>
      <c r="Y252" t="s" s="0">
        <v>81</v>
      </c>
      <c r="Z252" t="s" s="0">
        <v>90</v>
      </c>
      <c r="AA252" t="s" s="0">
        <v>91</v>
      </c>
      <c r="AB252" t="s" s="0">
        <v>81</v>
      </c>
      <c r="AC252" t="s" s="0">
        <v>81</v>
      </c>
      <c r="AD252" t="s" s="0">
        <v>81</v>
      </c>
      <c r="AE252" t="s" s="0">
        <v>81</v>
      </c>
      <c r="AF252" t="s" s="0">
        <v>81</v>
      </c>
      <c r="AG252" t="s" s="0">
        <v>6187</v>
      </c>
      <c r="AH252" t="s" s="0">
        <v>2949</v>
      </c>
      <c r="AI252" t="s" s="0">
        <v>6188</v>
      </c>
      <c r="AJ252" t="s" s="0">
        <v>6189</v>
      </c>
      <c r="AK252" t="s" s="0">
        <v>81</v>
      </c>
      <c r="AL252" t="s" s="0">
        <v>428</v>
      </c>
      <c r="AM252" t="s" s="0">
        <v>172</v>
      </c>
      <c r="AN252" t="s" s="0">
        <v>172</v>
      </c>
      <c r="AO252" t="s" s="0">
        <v>116</v>
      </c>
      <c r="AP252" t="s" s="0">
        <v>709</v>
      </c>
      <c r="AQ252" t="s" s="0">
        <v>278</v>
      </c>
      <c r="AR252" t="s" s="0">
        <v>823</v>
      </c>
      <c r="AS252" t="s" s="0">
        <v>824</v>
      </c>
      <c r="AT252" t="s" s="0">
        <v>6190</v>
      </c>
      <c r="AU252" t="s" s="0">
        <v>6191</v>
      </c>
      <c r="AV252" t="s" s="0">
        <v>81</v>
      </c>
      <c r="AW252" t="s" s="0">
        <v>6192</v>
      </c>
      <c r="AX252" t="s" s="0">
        <v>6193</v>
      </c>
      <c r="AY252" t="s" s="0">
        <v>2331</v>
      </c>
      <c r="AZ252" t="s" s="0">
        <v>101</v>
      </c>
      <c r="BA252" t="s" s="0">
        <v>286</v>
      </c>
      <c r="BB252" t="s" s="0">
        <v>144</v>
      </c>
      <c r="BC252" t="s" s="0">
        <v>81</v>
      </c>
      <c r="BD252" t="s" s="0">
        <v>81</v>
      </c>
      <c r="BE252" t="s" s="0">
        <v>81</v>
      </c>
      <c r="BF252" t="s" s="0">
        <v>81</v>
      </c>
      <c r="BG252" t="s" s="0">
        <v>6194</v>
      </c>
      <c r="BH252" t="s" s="0">
        <v>6195</v>
      </c>
      <c r="BI252" t="s" s="0">
        <v>81</v>
      </c>
      <c r="BJ252" t="s" s="0">
        <v>6196</v>
      </c>
      <c r="BK252" t="s" s="499">
        <f>HYPERLINK("http://dx.doi.org/10.1007/s10845-024-02544-7","http://dx.doi.org/10.1007/s10845-024-02544-7")</f>
        <v>6197</v>
      </c>
      <c r="BL252" t="s" s="0">
        <v>81</v>
      </c>
      <c r="BM252" t="s" s="0">
        <v>5338</v>
      </c>
      <c r="BN252" t="s" s="0">
        <v>488</v>
      </c>
      <c r="BO252" t="s" s="0">
        <v>6198</v>
      </c>
      <c r="BP252" t="s" s="0">
        <v>628</v>
      </c>
      <c r="BQ252" t="s" s="0">
        <v>6199</v>
      </c>
      <c r="BR252" t="s" s="0">
        <v>81</v>
      </c>
      <c r="BS252" t="s" s="0">
        <v>6200</v>
      </c>
      <c r="BT252" t="s" s="500">
        <f>HYPERLINK("https://www.webofscience.com/wos/woscc/full-record/WOS:001377507400001","View Record in Web of Science")</f>
        <v>113</v>
      </c>
      <c r="BU252" t="s" s="0">
        <v>81</v>
      </c>
      <c r="BV252" t="s" s="0">
        <v>81</v>
      </c>
      <c r="BW252" t="s" s="0">
        <v>81</v>
      </c>
      <c r="BX252" t="s" s="0">
        <v>115</v>
      </c>
    </row>
    <row r="253">
      <c r="A253" t="s" s="0">
        <v>77</v>
      </c>
      <c r="B253" t="s" s="0">
        <v>77</v>
      </c>
      <c r="C253" t="s" s="0">
        <v>372</v>
      </c>
      <c r="D253" t="s" s="0">
        <v>77</v>
      </c>
      <c r="E253" t="s" s="0">
        <v>6201</v>
      </c>
      <c r="F253" t="s" s="0">
        <v>6202</v>
      </c>
      <c r="G253" t="s" s="0">
        <v>6203</v>
      </c>
      <c r="H253" t="s" s="0">
        <v>81</v>
      </c>
      <c r="I253" t="s" s="0">
        <v>82</v>
      </c>
      <c r="J253" t="s" s="0">
        <v>6204</v>
      </c>
      <c r="K253" t="s" s="0">
        <v>6205</v>
      </c>
      <c r="L253" t="s" s="0">
        <v>6206</v>
      </c>
      <c r="M253" t="s" s="0">
        <v>6207</v>
      </c>
      <c r="N253" t="s" s="0">
        <v>6208</v>
      </c>
      <c r="O253" t="s" s="0">
        <v>6209</v>
      </c>
      <c r="P253" t="s" s="0">
        <v>6210</v>
      </c>
      <c r="Q253" t="s" s="0">
        <v>87</v>
      </c>
      <c r="R253" t="s" s="0">
        <v>81</v>
      </c>
      <c r="S253" t="s" s="0">
        <v>81</v>
      </c>
      <c r="T253" t="s" s="0">
        <v>81</v>
      </c>
      <c r="U253" t="s" s="0">
        <v>81</v>
      </c>
      <c r="V253" t="s" s="0">
        <v>6211</v>
      </c>
      <c r="W253" t="s" s="0">
        <v>1849</v>
      </c>
      <c r="X253" t="s" s="0">
        <v>81</v>
      </c>
      <c r="Y253" t="s" s="0">
        <v>81</v>
      </c>
      <c r="Z253" t="s" s="0">
        <v>90</v>
      </c>
      <c r="AA253" t="s" s="0">
        <v>91</v>
      </c>
      <c r="AB253" t="s" s="0">
        <v>81</v>
      </c>
      <c r="AC253" t="s" s="0">
        <v>81</v>
      </c>
      <c r="AD253" t="s" s="0">
        <v>81</v>
      </c>
      <c r="AE253" t="s" s="0">
        <v>81</v>
      </c>
      <c r="AF253" t="s" s="0">
        <v>81</v>
      </c>
      <c r="AG253" t="s" s="0">
        <v>6212</v>
      </c>
      <c r="AH253" t="s" s="0">
        <v>6213</v>
      </c>
      <c r="AI253" t="s" s="0">
        <v>6214</v>
      </c>
      <c r="AJ253" t="s" s="0">
        <v>6215</v>
      </c>
      <c r="AK253" t="s" s="0">
        <v>81</v>
      </c>
      <c r="AL253" t="s" s="0">
        <v>2026</v>
      </c>
      <c r="AM253" t="s" s="0">
        <v>172</v>
      </c>
      <c r="AN253" t="s" s="0">
        <v>173</v>
      </c>
      <c r="AO253" t="s" s="0">
        <v>77</v>
      </c>
      <c r="AP253" t="s" s="0">
        <v>1001</v>
      </c>
      <c r="AQ253" t="s" s="0">
        <v>402</v>
      </c>
      <c r="AR253" t="s" s="0">
        <v>403</v>
      </c>
      <c r="AS253" t="s" s="0">
        <v>404</v>
      </c>
      <c r="AT253" t="s" s="0">
        <v>81</v>
      </c>
      <c r="AU253" t="s" s="0">
        <v>1852</v>
      </c>
      <c r="AV253" t="s" s="0">
        <v>81</v>
      </c>
      <c r="AW253" t="s" s="0">
        <v>1853</v>
      </c>
      <c r="AX253" t="s" s="0">
        <v>1854</v>
      </c>
      <c r="AY253" t="s" s="0">
        <v>6216</v>
      </c>
      <c r="AZ253" t="s" s="0">
        <v>742</v>
      </c>
      <c r="BA253" t="s" s="0">
        <v>107</v>
      </c>
      <c r="BB253" t="s" s="0">
        <v>81</v>
      </c>
      <c r="BC253" t="s" s="0">
        <v>81</v>
      </c>
      <c r="BD253" t="s" s="0">
        <v>81</v>
      </c>
      <c r="BE253" t="s" s="0">
        <v>81</v>
      </c>
      <c r="BF253" t="s" s="0">
        <v>81</v>
      </c>
      <c r="BG253" t="s" s="0">
        <v>81</v>
      </c>
      <c r="BH253" t="s" s="0">
        <v>81</v>
      </c>
      <c r="BI253" t="s" s="0">
        <v>6217</v>
      </c>
      <c r="BJ253" t="s" s="0">
        <v>6218</v>
      </c>
      <c r="BK253" t="s" s="501">
        <f>HYPERLINK("http://dx.doi.org/10.3389/fmed.2023.1058919","http://dx.doi.org/10.3389/fmed.2023.1058919")</f>
        <v>6219</v>
      </c>
      <c r="BL253" t="s" s="0">
        <v>81</v>
      </c>
      <c r="BM253" t="s" s="0">
        <v>81</v>
      </c>
      <c r="BN253" t="s" s="0">
        <v>173</v>
      </c>
      <c r="BO253" t="s" s="0">
        <v>324</v>
      </c>
      <c r="BP253" t="s" s="0">
        <v>325</v>
      </c>
      <c r="BQ253" t="s" s="0">
        <v>6220</v>
      </c>
      <c r="BR253" t="s" s="0">
        <v>6221</v>
      </c>
      <c r="BS253" t="s" s="0">
        <v>6222</v>
      </c>
      <c r="BT253" t="s" s="502">
        <f>HYPERLINK("https://www.webofscience.com/wos/woscc/full-record/WOS:000953770400001","View Record in Web of Science")</f>
        <v>113</v>
      </c>
      <c r="BU253" t="s" s="0">
        <v>153</v>
      </c>
      <c r="BV253" t="s" s="0">
        <v>81</v>
      </c>
      <c r="BW253" t="s" s="0">
        <v>81</v>
      </c>
      <c r="BX253" t="s" s="0">
        <v>115</v>
      </c>
    </row>
    <row r="254">
      <c r="A254" t="s" s="0">
        <v>77</v>
      </c>
      <c r="B254" t="s" s="0">
        <v>77</v>
      </c>
      <c r="C254" t="s" s="0">
        <v>77</v>
      </c>
      <c r="D254" t="s" s="0">
        <v>77</v>
      </c>
      <c r="E254" t="s" s="0">
        <v>6223</v>
      </c>
      <c r="F254" t="s" s="0">
        <v>6224</v>
      </c>
      <c r="G254" t="s" s="0">
        <v>6225</v>
      </c>
      <c r="H254" t="s" s="0">
        <v>81</v>
      </c>
      <c r="I254" t="s" s="0">
        <v>82</v>
      </c>
      <c r="J254" t="s" s="0">
        <v>6226</v>
      </c>
      <c r="K254" t="s" s="0">
        <v>6227</v>
      </c>
      <c r="L254" t="s" s="0">
        <v>6228</v>
      </c>
      <c r="M254" t="s" s="0">
        <v>6229</v>
      </c>
      <c r="N254" t="s" s="0">
        <v>6230</v>
      </c>
      <c r="O254" t="s" s="0">
        <v>6231</v>
      </c>
      <c r="P254" t="s" s="0">
        <v>6232</v>
      </c>
      <c r="Q254" t="s" s="0">
        <v>87</v>
      </c>
      <c r="R254" t="s" s="0">
        <v>81</v>
      </c>
      <c r="S254" t="s" s="0">
        <v>81</v>
      </c>
      <c r="T254" t="s" s="0">
        <v>81</v>
      </c>
      <c r="U254" t="s" s="0">
        <v>81</v>
      </c>
      <c r="V254" t="s" s="0">
        <v>6233</v>
      </c>
      <c r="W254" t="s" s="0">
        <v>2023</v>
      </c>
      <c r="X254" t="s" s="0">
        <v>81</v>
      </c>
      <c r="Y254" t="s" s="0">
        <v>81</v>
      </c>
      <c r="Z254" t="s" s="0">
        <v>90</v>
      </c>
      <c r="AA254" t="s" s="0">
        <v>91</v>
      </c>
      <c r="AB254" t="s" s="0">
        <v>81</v>
      </c>
      <c r="AC254" t="s" s="0">
        <v>81</v>
      </c>
      <c r="AD254" t="s" s="0">
        <v>81</v>
      </c>
      <c r="AE254" t="s" s="0">
        <v>81</v>
      </c>
      <c r="AF254" t="s" s="0">
        <v>81</v>
      </c>
      <c r="AG254" t="s" s="0">
        <v>6234</v>
      </c>
      <c r="AH254" t="s" s="0">
        <v>81</v>
      </c>
      <c r="AI254" t="s" s="0">
        <v>6235</v>
      </c>
      <c r="AJ254" t="s" s="0">
        <v>6236</v>
      </c>
      <c r="AK254" t="s" s="0">
        <v>81</v>
      </c>
      <c r="AL254" t="s" s="0">
        <v>767</v>
      </c>
      <c r="AM254" t="s" s="0">
        <v>134</v>
      </c>
      <c r="AN254" t="s" s="0">
        <v>134</v>
      </c>
      <c r="AO254" t="s" s="0">
        <v>210</v>
      </c>
      <c r="AP254" t="s" s="0">
        <v>209</v>
      </c>
      <c r="AQ254" t="s" s="0">
        <v>1162</v>
      </c>
      <c r="AR254" t="s" s="0">
        <v>95</v>
      </c>
      <c r="AS254" t="s" s="0">
        <v>1163</v>
      </c>
      <c r="AT254" t="s" s="0">
        <v>2027</v>
      </c>
      <c r="AU254" t="s" s="0">
        <v>2028</v>
      </c>
      <c r="AV254" t="s" s="0">
        <v>81</v>
      </c>
      <c r="AW254" t="s" s="0">
        <v>2029</v>
      </c>
      <c r="AX254" t="s" s="0">
        <v>2030</v>
      </c>
      <c r="AY254" t="s" s="0">
        <v>6237</v>
      </c>
      <c r="AZ254" t="s" s="0">
        <v>142</v>
      </c>
      <c r="BA254" t="s" s="0">
        <v>6238</v>
      </c>
      <c r="BB254" t="s" s="0">
        <v>81</v>
      </c>
      <c r="BC254" t="s" s="0">
        <v>81</v>
      </c>
      <c r="BD254" t="s" s="0">
        <v>81</v>
      </c>
      <c r="BE254" t="s" s="0">
        <v>81</v>
      </c>
      <c r="BF254" t="s" s="0">
        <v>81</v>
      </c>
      <c r="BG254" t="s" s="0">
        <v>81</v>
      </c>
      <c r="BH254" t="s" s="0">
        <v>81</v>
      </c>
      <c r="BI254" t="s" s="0">
        <v>6239</v>
      </c>
      <c r="BJ254" t="s" s="0">
        <v>6240</v>
      </c>
      <c r="BK254" t="s" s="503">
        <f>HYPERLINK("http://dx.doi.org/10.1016/j.buildenv.2025.112706","http://dx.doi.org/10.1016/j.buildenv.2025.112706")</f>
        <v>6241</v>
      </c>
      <c r="BL254" t="s" s="0">
        <v>81</v>
      </c>
      <c r="BM254" t="s" s="0">
        <v>951</v>
      </c>
      <c r="BN254" t="s" s="0">
        <v>468</v>
      </c>
      <c r="BO254" t="s" s="0">
        <v>2037</v>
      </c>
      <c r="BP254" t="s" s="0">
        <v>2038</v>
      </c>
      <c r="BQ254" t="s" s="0">
        <v>6242</v>
      </c>
      <c r="BR254" t="s" s="0">
        <v>81</v>
      </c>
      <c r="BS254" t="s" s="0">
        <v>6243</v>
      </c>
      <c r="BT254" t="s" s="504">
        <f>HYPERLINK("https://www.webofscience.com/wos/woscc/full-record/WOS:001428734500001","View Record in Web of Science")</f>
        <v>113</v>
      </c>
      <c r="BU254" t="s" s="0">
        <v>81</v>
      </c>
      <c r="BV254" t="s" s="0">
        <v>81</v>
      </c>
      <c r="BW254" t="s" s="0">
        <v>81</v>
      </c>
      <c r="BX254" t="s" s="0">
        <v>115</v>
      </c>
    </row>
    <row r="255">
      <c r="A255" t="s" s="0">
        <v>77</v>
      </c>
      <c r="B255" t="s" s="0">
        <v>77</v>
      </c>
      <c r="C255" t="s" s="0">
        <v>77</v>
      </c>
      <c r="D255" t="s" s="0">
        <v>77</v>
      </c>
      <c r="E255" t="s" s="0">
        <v>6244</v>
      </c>
      <c r="F255" t="s" s="0">
        <v>6245</v>
      </c>
      <c r="G255" t="s" s="0">
        <v>6246</v>
      </c>
      <c r="H255" t="s" s="0">
        <v>81</v>
      </c>
      <c r="I255" t="s" s="0">
        <v>82</v>
      </c>
      <c r="J255" t="s" s="0">
        <v>6247</v>
      </c>
      <c r="K255" t="s" s="0">
        <v>6248</v>
      </c>
      <c r="L255" t="s" s="0">
        <v>81</v>
      </c>
      <c r="M255" t="s" s="0">
        <v>81</v>
      </c>
      <c r="N255" t="s" s="0">
        <v>81</v>
      </c>
      <c r="O255" t="s" s="0">
        <v>6249</v>
      </c>
      <c r="P255" t="s" s="0">
        <v>6250</v>
      </c>
      <c r="Q255" t="s" s="0">
        <v>87</v>
      </c>
      <c r="R255" t="s" s="0">
        <v>81</v>
      </c>
      <c r="S255" t="s" s="0">
        <v>81</v>
      </c>
      <c r="T255" t="s" s="0">
        <v>81</v>
      </c>
      <c r="U255" t="s" s="0">
        <v>81</v>
      </c>
      <c r="V255" t="s" s="0">
        <v>6251</v>
      </c>
      <c r="W255" t="s" s="0">
        <v>128</v>
      </c>
      <c r="X255" t="s" s="0">
        <v>81</v>
      </c>
      <c r="Y255" t="s" s="0">
        <v>81</v>
      </c>
      <c r="Z255" t="s" s="0">
        <v>90</v>
      </c>
      <c r="AA255" t="s" s="0">
        <v>91</v>
      </c>
      <c r="AB255" t="s" s="0">
        <v>81</v>
      </c>
      <c r="AC255" t="s" s="0">
        <v>81</v>
      </c>
      <c r="AD255" t="s" s="0">
        <v>81</v>
      </c>
      <c r="AE255" t="s" s="0">
        <v>81</v>
      </c>
      <c r="AF255" t="s" s="0">
        <v>81</v>
      </c>
      <c r="AG255" t="s" s="0">
        <v>6252</v>
      </c>
      <c r="AH255" t="s" s="0">
        <v>81</v>
      </c>
      <c r="AI255" t="s" s="0">
        <v>81</v>
      </c>
      <c r="AJ255" t="s" s="0">
        <v>6253</v>
      </c>
      <c r="AK255" t="s" s="0">
        <v>81</v>
      </c>
      <c r="AL255" t="s" s="0">
        <v>652</v>
      </c>
      <c r="AM255" t="s" s="0">
        <v>77</v>
      </c>
      <c r="AN255" t="s" s="0">
        <v>77</v>
      </c>
      <c r="AO255" t="s" s="0">
        <v>313</v>
      </c>
      <c r="AP255" t="s" s="0">
        <v>313</v>
      </c>
      <c r="AQ255" t="s" s="0">
        <v>135</v>
      </c>
      <c r="AR255" t="s" s="0">
        <v>136</v>
      </c>
      <c r="AS255" t="s" s="0">
        <v>137</v>
      </c>
      <c r="AT255" t="s" s="0">
        <v>138</v>
      </c>
      <c r="AU255" t="s" s="0">
        <v>81</v>
      </c>
      <c r="AV255" t="s" s="0">
        <v>81</v>
      </c>
      <c r="AW255" t="s" s="0">
        <v>139</v>
      </c>
      <c r="AX255" t="s" s="0">
        <v>140</v>
      </c>
      <c r="AY255" t="s" s="0">
        <v>6254</v>
      </c>
      <c r="AZ255" t="s" s="0">
        <v>101</v>
      </c>
      <c r="BA255" t="s" s="0">
        <v>323</v>
      </c>
      <c r="BB255" t="s" s="0">
        <v>144</v>
      </c>
      <c r="BC255" t="s" s="0">
        <v>81</v>
      </c>
      <c r="BD255" t="s" s="0">
        <v>81</v>
      </c>
      <c r="BE255" t="s" s="0">
        <v>81</v>
      </c>
      <c r="BF255" t="s" s="0">
        <v>81</v>
      </c>
      <c r="BG255" t="s" s="0">
        <v>81</v>
      </c>
      <c r="BH255" t="s" s="0">
        <v>81</v>
      </c>
      <c r="BI255" t="s" s="0">
        <v>6255</v>
      </c>
      <c r="BJ255" t="s" s="0">
        <v>6256</v>
      </c>
      <c r="BK255" t="s" s="505">
        <f>HYPERLINK("http://dx.doi.org/10.1038/s41598-026-41250-7","http://dx.doi.org/10.1038/s41598-026-41250-7")</f>
        <v>6257</v>
      </c>
      <c r="BL255" t="s" s="0">
        <v>81</v>
      </c>
      <c r="BM255" t="s" s="0">
        <v>438</v>
      </c>
      <c r="BN255" t="s" s="0">
        <v>277</v>
      </c>
      <c r="BO255" t="s" s="0">
        <v>148</v>
      </c>
      <c r="BP255" t="s" s="0">
        <v>149</v>
      </c>
      <c r="BQ255" t="s" s="0">
        <v>6258</v>
      </c>
      <c r="BR255" t="s" s="0">
        <v>6259</v>
      </c>
      <c r="BS255" t="s" s="0">
        <v>6260</v>
      </c>
      <c r="BT255" t="s" s="506">
        <f>HYPERLINK("https://www.webofscience.com/wos/woscc/full-record/WOS:001768310700017","View Record in Web of Science")</f>
        <v>113</v>
      </c>
      <c r="BU255" t="s" s="0">
        <v>153</v>
      </c>
      <c r="BV255" t="s" s="0">
        <v>81</v>
      </c>
      <c r="BW255" t="s" s="0">
        <v>81</v>
      </c>
      <c r="BX255" t="s" s="0">
        <v>115</v>
      </c>
    </row>
    <row r="256">
      <c r="A256" t="s" s="0">
        <v>77</v>
      </c>
      <c r="B256" t="s" s="0">
        <v>77</v>
      </c>
      <c r="C256" t="s" s="0">
        <v>77</v>
      </c>
      <c r="D256" t="s" s="0">
        <v>77</v>
      </c>
      <c r="E256" t="s" s="0">
        <v>6261</v>
      </c>
      <c r="F256" t="s" s="0">
        <v>6262</v>
      </c>
      <c r="G256" t="s" s="0">
        <v>6263</v>
      </c>
      <c r="H256" t="s" s="0">
        <v>81</v>
      </c>
      <c r="I256" t="s" s="0">
        <v>82</v>
      </c>
      <c r="J256" t="s" s="0">
        <v>6264</v>
      </c>
      <c r="K256" t="s" s="0">
        <v>6265</v>
      </c>
      <c r="L256" t="s" s="0">
        <v>6266</v>
      </c>
      <c r="M256" t="s" s="0">
        <v>6267</v>
      </c>
      <c r="N256" t="s" s="0">
        <v>6268</v>
      </c>
      <c r="O256" t="s" s="0">
        <v>6269</v>
      </c>
      <c r="P256" t="s" s="0">
        <v>6270</v>
      </c>
      <c r="Q256" t="s" s="0">
        <v>87</v>
      </c>
      <c r="R256" t="s" s="0">
        <v>81</v>
      </c>
      <c r="S256" t="s" s="0">
        <v>81</v>
      </c>
      <c r="T256" t="s" s="0">
        <v>81</v>
      </c>
      <c r="U256" t="s" s="0">
        <v>81</v>
      </c>
      <c r="V256" t="s" s="0">
        <v>6271</v>
      </c>
      <c r="W256" t="s" s="0">
        <v>6272</v>
      </c>
      <c r="X256" t="s" s="0">
        <v>81</v>
      </c>
      <c r="Y256" t="s" s="0">
        <v>81</v>
      </c>
      <c r="Z256" t="s" s="0">
        <v>90</v>
      </c>
      <c r="AA256" t="s" s="0">
        <v>91</v>
      </c>
      <c r="AB256" t="s" s="0">
        <v>81</v>
      </c>
      <c r="AC256" t="s" s="0">
        <v>81</v>
      </c>
      <c r="AD256" t="s" s="0">
        <v>81</v>
      </c>
      <c r="AE256" t="s" s="0">
        <v>81</v>
      </c>
      <c r="AF256" t="s" s="0">
        <v>81</v>
      </c>
      <c r="AG256" t="s" s="0">
        <v>6273</v>
      </c>
      <c r="AH256" t="s" s="0">
        <v>6274</v>
      </c>
      <c r="AI256" t="s" s="0">
        <v>81</v>
      </c>
      <c r="AJ256" t="s" s="0">
        <v>81</v>
      </c>
      <c r="AK256" t="s" s="0">
        <v>81</v>
      </c>
      <c r="AL256" t="s" s="0">
        <v>3086</v>
      </c>
      <c r="AM256" t="s" s="0">
        <v>77</v>
      </c>
      <c r="AN256" t="s" s="0">
        <v>77</v>
      </c>
      <c r="AO256" t="s" s="0">
        <v>173</v>
      </c>
      <c r="AP256" t="s" s="0">
        <v>173</v>
      </c>
      <c r="AQ256" t="s" s="0">
        <v>557</v>
      </c>
      <c r="AR256" t="s" s="0">
        <v>558</v>
      </c>
      <c r="AS256" t="s" s="0">
        <v>559</v>
      </c>
      <c r="AT256" t="s" s="0">
        <v>6275</v>
      </c>
      <c r="AU256" t="s" s="0">
        <v>6276</v>
      </c>
      <c r="AV256" t="s" s="0">
        <v>81</v>
      </c>
      <c r="AW256" t="s" s="0">
        <v>6277</v>
      </c>
      <c r="AX256" t="s" s="0">
        <v>6278</v>
      </c>
      <c r="AY256" t="s" s="0">
        <v>100</v>
      </c>
      <c r="AZ256" t="s" s="0">
        <v>101</v>
      </c>
      <c r="BA256" t="s" s="0">
        <v>286</v>
      </c>
      <c r="BB256" t="s" s="0">
        <v>107</v>
      </c>
      <c r="BC256" t="s" s="0">
        <v>81</v>
      </c>
      <c r="BD256" t="s" s="0">
        <v>81</v>
      </c>
      <c r="BE256" t="s" s="0">
        <v>81</v>
      </c>
      <c r="BF256" t="s" s="0">
        <v>81</v>
      </c>
      <c r="BG256" t="s" s="0">
        <v>6279</v>
      </c>
      <c r="BH256" t="s" s="0">
        <v>6280</v>
      </c>
      <c r="BI256" t="s" s="0">
        <v>81</v>
      </c>
      <c r="BJ256" t="s" s="0">
        <v>6281</v>
      </c>
      <c r="BK256" t="s" s="507">
        <f>HYPERLINK("http://dx.doi.org/10.1002/ldr.70396","http://dx.doi.org/10.1002/ldr.70396")</f>
        <v>6282</v>
      </c>
      <c r="BL256" t="s" s="0">
        <v>81</v>
      </c>
      <c r="BM256" t="s" s="0">
        <v>2529</v>
      </c>
      <c r="BN256" t="s" s="0">
        <v>143</v>
      </c>
      <c r="BO256" t="s" s="0">
        <v>6283</v>
      </c>
      <c r="BP256" t="s" s="0">
        <v>6284</v>
      </c>
      <c r="BQ256" t="s" s="0">
        <v>6285</v>
      </c>
      <c r="BR256" t="s" s="0">
        <v>81</v>
      </c>
      <c r="BS256" t="s" s="0">
        <v>6286</v>
      </c>
      <c r="BT256" t="s" s="508">
        <f>HYPERLINK("https://www.webofscience.com/wos/woscc/full-record/WOS:001712410400001","View Record in Web of Science")</f>
        <v>113</v>
      </c>
      <c r="BU256" t="s" s="0">
        <v>81</v>
      </c>
      <c r="BV256" t="s" s="0">
        <v>81</v>
      </c>
      <c r="BW256" t="s" s="0">
        <v>81</v>
      </c>
      <c r="BX256" t="s" s="0">
        <v>115</v>
      </c>
    </row>
    <row r="257">
      <c r="A257" t="s" s="0">
        <v>77</v>
      </c>
      <c r="B257" t="s" s="0">
        <v>77</v>
      </c>
      <c r="C257" t="s" s="0">
        <v>77</v>
      </c>
      <c r="D257" t="s" s="0">
        <v>77</v>
      </c>
      <c r="E257" t="s" s="0">
        <v>6287</v>
      </c>
      <c r="F257" t="s" s="0">
        <v>6288</v>
      </c>
      <c r="G257" t="s" s="0">
        <v>6289</v>
      </c>
      <c r="H257" t="s" s="0">
        <v>81</v>
      </c>
      <c r="I257" t="s" s="0">
        <v>82</v>
      </c>
      <c r="J257" t="s" s="0">
        <v>6290</v>
      </c>
      <c r="K257" t="s" s="0">
        <v>6291</v>
      </c>
      <c r="L257" t="s" s="0">
        <v>6292</v>
      </c>
      <c r="M257" t="s" s="0">
        <v>6293</v>
      </c>
      <c r="N257" t="s" s="0">
        <v>6294</v>
      </c>
      <c r="O257" t="s" s="0">
        <v>6295</v>
      </c>
      <c r="P257" t="s" s="0">
        <v>6296</v>
      </c>
      <c r="Q257" t="s" s="0">
        <v>87</v>
      </c>
      <c r="R257" t="s" s="0">
        <v>81</v>
      </c>
      <c r="S257" t="s" s="0">
        <v>81</v>
      </c>
      <c r="T257" t="s" s="0">
        <v>81</v>
      </c>
      <c r="U257" t="s" s="0">
        <v>81</v>
      </c>
      <c r="V257" t="s" s="0">
        <v>6297</v>
      </c>
      <c r="W257" t="s" s="0">
        <v>6298</v>
      </c>
      <c r="X257" t="s" s="0">
        <v>81</v>
      </c>
      <c r="Y257" t="s" s="0">
        <v>81</v>
      </c>
      <c r="Z257" t="s" s="0">
        <v>90</v>
      </c>
      <c r="AA257" t="s" s="0">
        <v>91</v>
      </c>
      <c r="AB257" t="s" s="0">
        <v>81</v>
      </c>
      <c r="AC257" t="s" s="0">
        <v>81</v>
      </c>
      <c r="AD257" t="s" s="0">
        <v>81</v>
      </c>
      <c r="AE257" t="s" s="0">
        <v>81</v>
      </c>
      <c r="AF257" t="s" s="0">
        <v>81</v>
      </c>
      <c r="AG257" t="s" s="0">
        <v>6299</v>
      </c>
      <c r="AH257" t="s" s="0">
        <v>81</v>
      </c>
      <c r="AI257" t="s" s="0">
        <v>81</v>
      </c>
      <c r="AJ257" t="s" s="0">
        <v>81</v>
      </c>
      <c r="AK257" t="s" s="0">
        <v>81</v>
      </c>
      <c r="AL257" t="s" s="0">
        <v>286</v>
      </c>
      <c r="AM257" t="s" s="0">
        <v>77</v>
      </c>
      <c r="AN257" t="s" s="0">
        <v>77</v>
      </c>
      <c r="AO257" t="s" s="0">
        <v>77</v>
      </c>
      <c r="AP257" t="s" s="0">
        <v>77</v>
      </c>
      <c r="AQ257" t="s" s="0">
        <v>314</v>
      </c>
      <c r="AR257" t="s" s="0">
        <v>315</v>
      </c>
      <c r="AS257" t="s" s="0">
        <v>316</v>
      </c>
      <c r="AT257" t="s" s="0">
        <v>81</v>
      </c>
      <c r="AU257" t="s" s="0">
        <v>6300</v>
      </c>
      <c r="AV257" t="s" s="0">
        <v>81</v>
      </c>
      <c r="AW257" t="s" s="0">
        <v>6298</v>
      </c>
      <c r="AX257" t="s" s="0">
        <v>6301</v>
      </c>
      <c r="AY257" t="s" s="0">
        <v>2241</v>
      </c>
      <c r="AZ257" t="s" s="0">
        <v>101</v>
      </c>
      <c r="BA257" t="s" s="0">
        <v>323</v>
      </c>
      <c r="BB257" t="s" s="0">
        <v>134</v>
      </c>
      <c r="BC257" t="s" s="0">
        <v>81</v>
      </c>
      <c r="BD257" t="s" s="0">
        <v>81</v>
      </c>
      <c r="BE257" t="s" s="0">
        <v>81</v>
      </c>
      <c r="BF257" t="s" s="0">
        <v>81</v>
      </c>
      <c r="BG257" t="s" s="0">
        <v>81</v>
      </c>
      <c r="BH257" t="s" s="0">
        <v>81</v>
      </c>
      <c r="BI257" t="s" s="0">
        <v>6302</v>
      </c>
      <c r="BJ257" t="s" s="0">
        <v>6303</v>
      </c>
      <c r="BK257" t="s" s="509">
        <f>HYPERLINK("http://dx.doi.org/10.3390/agriculture16131414","http://dx.doi.org/10.3390/agriculture16131414")</f>
        <v>6304</v>
      </c>
      <c r="BL257" t="s" s="0">
        <v>81</v>
      </c>
      <c r="BM257" t="s" s="0">
        <v>81</v>
      </c>
      <c r="BN257" t="s" s="0">
        <v>132</v>
      </c>
      <c r="BO257" t="s" s="0">
        <v>6305</v>
      </c>
      <c r="BP257" t="s" s="0">
        <v>1802</v>
      </c>
      <c r="BQ257" t="s" s="0">
        <v>6306</v>
      </c>
      <c r="BR257" t="s" s="0">
        <v>81</v>
      </c>
      <c r="BS257" t="s" s="0">
        <v>6307</v>
      </c>
      <c r="BT257" t="s" s="510">
        <f>HYPERLINK("https://www.webofscience.com/wos/woscc/full-record/WOS:001817638400001","View Record in Web of Science")</f>
        <v>113</v>
      </c>
      <c r="BU257" t="s" s="0">
        <v>1317</v>
      </c>
      <c r="BV257" t="s" s="0">
        <v>81</v>
      </c>
      <c r="BW257" t="s" s="0">
        <v>81</v>
      </c>
      <c r="BX257" t="s" s="0">
        <v>115</v>
      </c>
    </row>
    <row r="258">
      <c r="A258" t="s" s="0">
        <v>77</v>
      </c>
      <c r="B258" t="s" s="0">
        <v>77</v>
      </c>
      <c r="C258" t="s" s="0">
        <v>77</v>
      </c>
      <c r="D258" t="s" s="0">
        <v>77</v>
      </c>
      <c r="E258" t="s" s="0">
        <v>6308</v>
      </c>
      <c r="F258" t="s" s="0">
        <v>6309</v>
      </c>
      <c r="G258" t="s" s="0">
        <v>6310</v>
      </c>
      <c r="H258" t="s" s="0">
        <v>81</v>
      </c>
      <c r="I258" t="s" s="0">
        <v>82</v>
      </c>
      <c r="J258" t="s" s="0">
        <v>6311</v>
      </c>
      <c r="K258" t="s" s="0">
        <v>6312</v>
      </c>
      <c r="L258" t="s" s="0">
        <v>6313</v>
      </c>
      <c r="M258" t="s" s="0">
        <v>6314</v>
      </c>
      <c r="N258" t="s" s="0">
        <v>6315</v>
      </c>
      <c r="O258" t="s" s="0">
        <v>6316</v>
      </c>
      <c r="P258" t="s" s="0">
        <v>6317</v>
      </c>
      <c r="Q258" t="s" s="0">
        <v>87</v>
      </c>
      <c r="R258" t="s" s="0">
        <v>81</v>
      </c>
      <c r="S258" t="s" s="0">
        <v>81</v>
      </c>
      <c r="T258" t="s" s="0">
        <v>81</v>
      </c>
      <c r="U258" t="s" s="0">
        <v>81</v>
      </c>
      <c r="V258" t="s" s="0">
        <v>6318</v>
      </c>
      <c r="W258" t="s" s="0">
        <v>6319</v>
      </c>
      <c r="X258" t="s" s="0">
        <v>81</v>
      </c>
      <c r="Y258" t="s" s="0">
        <v>81</v>
      </c>
      <c r="Z258" t="s" s="0">
        <v>90</v>
      </c>
      <c r="AA258" t="s" s="0">
        <v>91</v>
      </c>
      <c r="AB258" t="s" s="0">
        <v>81</v>
      </c>
      <c r="AC258" t="s" s="0">
        <v>81</v>
      </c>
      <c r="AD258" t="s" s="0">
        <v>81</v>
      </c>
      <c r="AE258" t="s" s="0">
        <v>81</v>
      </c>
      <c r="AF258" t="s" s="0">
        <v>81</v>
      </c>
      <c r="AG258" t="s" s="0">
        <v>6320</v>
      </c>
      <c r="AH258" t="s" s="0">
        <v>6321</v>
      </c>
      <c r="AI258" t="s" s="0">
        <v>81</v>
      </c>
      <c r="AJ258" t="s" s="0">
        <v>81</v>
      </c>
      <c r="AK258" t="s" s="0">
        <v>81</v>
      </c>
      <c r="AL258" t="s" s="0">
        <v>1963</v>
      </c>
      <c r="AM258" t="s" s="0">
        <v>77</v>
      </c>
      <c r="AN258" t="s" s="0">
        <v>77</v>
      </c>
      <c r="AO258" t="s" s="0">
        <v>77</v>
      </c>
      <c r="AP258" t="s" s="0">
        <v>77</v>
      </c>
      <c r="AQ258" t="s" s="0">
        <v>557</v>
      </c>
      <c r="AR258" t="s" s="0">
        <v>558</v>
      </c>
      <c r="AS258" t="s" s="0">
        <v>559</v>
      </c>
      <c r="AT258" t="s" s="0">
        <v>6322</v>
      </c>
      <c r="AU258" t="s" s="0">
        <v>81</v>
      </c>
      <c r="AV258" t="s" s="0">
        <v>81</v>
      </c>
      <c r="AW258" t="s" s="0">
        <v>6323</v>
      </c>
      <c r="AX258" t="s" s="0">
        <v>6324</v>
      </c>
      <c r="AY258" t="s" s="0">
        <v>101</v>
      </c>
      <c r="AZ258" t="s" s="0">
        <v>101</v>
      </c>
      <c r="BA258" t="s" s="0">
        <v>101</v>
      </c>
      <c r="BB258" t="s" s="0">
        <v>144</v>
      </c>
      <c r="BC258" t="s" s="0">
        <v>81</v>
      </c>
      <c r="BD258" t="s" s="0">
        <v>81</v>
      </c>
      <c r="BE258" t="s" s="0">
        <v>81</v>
      </c>
      <c r="BF258" t="s" s="0">
        <v>81</v>
      </c>
      <c r="BG258" t="s" s="0">
        <v>81</v>
      </c>
      <c r="BH258" t="s" s="0">
        <v>81</v>
      </c>
      <c r="BI258" t="s" s="0">
        <v>6325</v>
      </c>
      <c r="BJ258" t="s" s="0">
        <v>6326</v>
      </c>
      <c r="BK258" t="s" s="511">
        <f>HYPERLINK("http://dx.doi.org/10.1155/etep/5528391","http://dx.doi.org/10.1155/etep/5528391")</f>
        <v>6327</v>
      </c>
      <c r="BL258" t="s" s="0">
        <v>81</v>
      </c>
      <c r="BM258" t="s" s="0">
        <v>81</v>
      </c>
      <c r="BN258" t="s" s="0">
        <v>323</v>
      </c>
      <c r="BO258" t="s" s="0">
        <v>6328</v>
      </c>
      <c r="BP258" t="s" s="0">
        <v>865</v>
      </c>
      <c r="BQ258" t="s" s="0">
        <v>6329</v>
      </c>
      <c r="BR258" t="s" s="0">
        <v>81</v>
      </c>
      <c r="BS258" t="s" s="0">
        <v>6330</v>
      </c>
      <c r="BT258" t="s" s="512">
        <f>HYPERLINK("https://www.webofscience.com/wos/woscc/full-record/WOS:001816523500001","View Record in Web of Science")</f>
        <v>113</v>
      </c>
      <c r="BU258" t="s" s="0">
        <v>1317</v>
      </c>
      <c r="BV258" t="s" s="0">
        <v>81</v>
      </c>
      <c r="BW258" t="s" s="0">
        <v>81</v>
      </c>
      <c r="BX258" t="s" s="0">
        <v>115</v>
      </c>
    </row>
    <row r="259">
      <c r="A259" t="s" s="0">
        <v>77</v>
      </c>
      <c r="B259" t="s" s="0">
        <v>77</v>
      </c>
      <c r="C259" t="s" s="0">
        <v>77</v>
      </c>
      <c r="D259" t="s" s="0">
        <v>77</v>
      </c>
      <c r="E259" t="s" s="0">
        <v>6331</v>
      </c>
      <c r="F259" t="s" s="0">
        <v>6332</v>
      </c>
      <c r="G259" t="s" s="0">
        <v>6333</v>
      </c>
      <c r="H259" t="s" s="0">
        <v>81</v>
      </c>
      <c r="I259" t="s" s="0">
        <v>82</v>
      </c>
      <c r="J259" t="s" s="0">
        <v>6334</v>
      </c>
      <c r="K259" t="s" s="0">
        <v>6335</v>
      </c>
      <c r="L259" t="s" s="0">
        <v>81</v>
      </c>
      <c r="M259" t="s" s="0">
        <v>81</v>
      </c>
      <c r="N259" t="s" s="0">
        <v>81</v>
      </c>
      <c r="O259" t="s" s="0">
        <v>6336</v>
      </c>
      <c r="P259" t="s" s="0">
        <v>6337</v>
      </c>
      <c r="Q259" t="s" s="0">
        <v>87</v>
      </c>
      <c r="R259" t="s" s="0">
        <v>81</v>
      </c>
      <c r="S259" t="s" s="0">
        <v>81</v>
      </c>
      <c r="T259" t="s" s="0">
        <v>81</v>
      </c>
      <c r="U259" t="s" s="0">
        <v>81</v>
      </c>
      <c r="V259" t="s" s="0">
        <v>6338</v>
      </c>
      <c r="W259" t="s" s="0">
        <v>6339</v>
      </c>
      <c r="X259" t="s" s="0">
        <v>81</v>
      </c>
      <c r="Y259" t="s" s="0">
        <v>81</v>
      </c>
      <c r="Z259" t="s" s="0">
        <v>90</v>
      </c>
      <c r="AA259" t="s" s="0">
        <v>91</v>
      </c>
      <c r="AB259" t="s" s="0">
        <v>81</v>
      </c>
      <c r="AC259" t="s" s="0">
        <v>81</v>
      </c>
      <c r="AD259" t="s" s="0">
        <v>81</v>
      </c>
      <c r="AE259" t="s" s="0">
        <v>81</v>
      </c>
      <c r="AF259" t="s" s="0">
        <v>81</v>
      </c>
      <c r="AG259" t="s" s="0">
        <v>81</v>
      </c>
      <c r="AH259" t="s" s="0">
        <v>3257</v>
      </c>
      <c r="AI259" t="s" s="0">
        <v>6340</v>
      </c>
      <c r="AJ259" t="s" s="0">
        <v>81</v>
      </c>
      <c r="AK259" t="s" s="0">
        <v>81</v>
      </c>
      <c r="AL259" t="s" s="0">
        <v>521</v>
      </c>
      <c r="AM259" t="s" s="0">
        <v>77</v>
      </c>
      <c r="AN259" t="s" s="0">
        <v>77</v>
      </c>
      <c r="AO259" t="s" s="0">
        <v>77</v>
      </c>
      <c r="AP259" t="s" s="0">
        <v>77</v>
      </c>
      <c r="AQ259" t="s" s="0">
        <v>6341</v>
      </c>
      <c r="AR259" t="s" s="0">
        <v>6342</v>
      </c>
      <c r="AS259" t="s" s="0">
        <v>6343</v>
      </c>
      <c r="AT259" t="s" s="0">
        <v>6344</v>
      </c>
      <c r="AU259" t="s" s="0">
        <v>81</v>
      </c>
      <c r="AV259" t="s" s="0">
        <v>81</v>
      </c>
      <c r="AW259" t="s" s="0">
        <v>6345</v>
      </c>
      <c r="AX259" t="s" s="0">
        <v>6346</v>
      </c>
      <c r="AY259" t="s" s="0">
        <v>6347</v>
      </c>
      <c r="AZ259" t="s" s="0">
        <v>101</v>
      </c>
      <c r="BA259" t="s" s="0">
        <v>684</v>
      </c>
      <c r="BB259" t="s" s="0">
        <v>116</v>
      </c>
      <c r="BC259" t="s" s="0">
        <v>81</v>
      </c>
      <c r="BD259" t="s" s="0">
        <v>81</v>
      </c>
      <c r="BE259" t="s" s="0">
        <v>81</v>
      </c>
      <c r="BF259" t="s" s="0">
        <v>81</v>
      </c>
      <c r="BG259" t="s" s="0">
        <v>4374</v>
      </c>
      <c r="BH259" t="s" s="0">
        <v>6348</v>
      </c>
      <c r="BI259" t="s" s="0">
        <v>81</v>
      </c>
      <c r="BJ259" t="s" s="0">
        <v>6349</v>
      </c>
      <c r="BK259" t="s" s="513">
        <f>HYPERLINK("http://dx.doi.org/10.3837/tiis.2026.03.004","http://dx.doi.org/10.3837/tiis.2026.03.004")</f>
        <v>6350</v>
      </c>
      <c r="BL259" t="s" s="0">
        <v>81</v>
      </c>
      <c r="BM259" t="s" s="0">
        <v>81</v>
      </c>
      <c r="BN259" t="s" s="0">
        <v>1253</v>
      </c>
      <c r="BO259" t="s" s="0">
        <v>6351</v>
      </c>
      <c r="BP259" t="s" s="0">
        <v>6352</v>
      </c>
      <c r="BQ259" t="s" s="0">
        <v>6353</v>
      </c>
      <c r="BR259" t="s" s="0">
        <v>81</v>
      </c>
      <c r="BS259" t="s" s="0">
        <v>6354</v>
      </c>
      <c r="BT259" t="s" s="514">
        <f>HYPERLINK("https://www.webofscience.com/wos/woscc/full-record/WOS:001733493400004","View Record in Web of Science")</f>
        <v>113</v>
      </c>
      <c r="BU259" t="s" s="0">
        <v>1317</v>
      </c>
      <c r="BV259" t="s" s="0">
        <v>81</v>
      </c>
      <c r="BW259" t="s" s="0">
        <v>81</v>
      </c>
      <c r="BX259" t="s" s="0">
        <v>115</v>
      </c>
    </row>
    <row r="260">
      <c r="A260" t="s" s="0">
        <v>77</v>
      </c>
      <c r="B260" t="s" s="0">
        <v>77</v>
      </c>
      <c r="C260" t="s" s="0">
        <v>372</v>
      </c>
      <c r="D260" t="s" s="0">
        <v>144</v>
      </c>
      <c r="E260" t="s" s="0">
        <v>6355</v>
      </c>
      <c r="F260" t="s" s="0">
        <v>6356</v>
      </c>
      <c r="G260" t="s" s="0">
        <v>6357</v>
      </c>
      <c r="H260" t="s" s="0">
        <v>81</v>
      </c>
      <c r="I260" t="s" s="0">
        <v>82</v>
      </c>
      <c r="J260" t="s" s="0">
        <v>6358</v>
      </c>
      <c r="K260" t="s" s="0">
        <v>6359</v>
      </c>
      <c r="L260" t="s" s="0">
        <v>81</v>
      </c>
      <c r="M260" t="s" s="0">
        <v>81</v>
      </c>
      <c r="N260" t="s" s="0">
        <v>81</v>
      </c>
      <c r="O260" t="s" s="0">
        <v>6360</v>
      </c>
      <c r="P260" t="s" s="0">
        <v>6361</v>
      </c>
      <c r="Q260" t="s" s="0">
        <v>87</v>
      </c>
      <c r="R260" t="s" s="0">
        <v>81</v>
      </c>
      <c r="S260" t="s" s="0">
        <v>81</v>
      </c>
      <c r="T260" t="s" s="0">
        <v>81</v>
      </c>
      <c r="U260" t="s" s="0">
        <v>81</v>
      </c>
      <c r="V260" t="s" s="0">
        <v>6362</v>
      </c>
      <c r="W260" t="s" s="0">
        <v>6363</v>
      </c>
      <c r="X260" t="s" s="0">
        <v>81</v>
      </c>
      <c r="Y260" t="s" s="0">
        <v>81</v>
      </c>
      <c r="Z260" t="s" s="0">
        <v>90</v>
      </c>
      <c r="AA260" t="s" s="0">
        <v>91</v>
      </c>
      <c r="AB260" t="s" s="0">
        <v>81</v>
      </c>
      <c r="AC260" t="s" s="0">
        <v>81</v>
      </c>
      <c r="AD260" t="s" s="0">
        <v>81</v>
      </c>
      <c r="AE260" t="s" s="0">
        <v>81</v>
      </c>
      <c r="AF260" t="s" s="0">
        <v>81</v>
      </c>
      <c r="AG260" t="s" s="0">
        <v>6364</v>
      </c>
      <c r="AH260" t="s" s="0">
        <v>6365</v>
      </c>
      <c r="AI260" t="s" s="0">
        <v>6366</v>
      </c>
      <c r="AJ260" t="s" s="0">
        <v>6367</v>
      </c>
      <c r="AK260" t="s" s="0">
        <v>81</v>
      </c>
      <c r="AL260" t="s" s="0">
        <v>3114</v>
      </c>
      <c r="AM260" t="s" s="0">
        <v>2106</v>
      </c>
      <c r="AN260" t="s" s="0">
        <v>519</v>
      </c>
      <c r="AO260" t="s" s="0">
        <v>132</v>
      </c>
      <c r="AP260" t="s" s="0">
        <v>2930</v>
      </c>
      <c r="AQ260" t="s" s="0">
        <v>1195</v>
      </c>
      <c r="AR260" t="s" s="0">
        <v>1196</v>
      </c>
      <c r="AS260" t="s" s="0">
        <v>1197</v>
      </c>
      <c r="AT260" t="s" s="0">
        <v>6368</v>
      </c>
      <c r="AU260" t="s" s="0">
        <v>6369</v>
      </c>
      <c r="AV260" t="s" s="0">
        <v>81</v>
      </c>
      <c r="AW260" t="s" s="0">
        <v>6370</v>
      </c>
      <c r="AX260" t="s" s="0">
        <v>6371</v>
      </c>
      <c r="AY260" t="s" s="0">
        <v>494</v>
      </c>
      <c r="AZ260" t="s" s="0">
        <v>142</v>
      </c>
      <c r="BA260" t="s" s="0">
        <v>1253</v>
      </c>
      <c r="BB260" t="s" s="0">
        <v>103</v>
      </c>
      <c r="BC260" t="s" s="0">
        <v>81</v>
      </c>
      <c r="BD260" t="s" s="0">
        <v>81</v>
      </c>
      <c r="BE260" t="s" s="0">
        <v>81</v>
      </c>
      <c r="BF260" t="s" s="0">
        <v>81</v>
      </c>
      <c r="BG260" t="s" s="0">
        <v>6372</v>
      </c>
      <c r="BH260" t="s" s="0">
        <v>6373</v>
      </c>
      <c r="BI260" t="s" s="0">
        <v>81</v>
      </c>
      <c r="BJ260" t="s" s="0">
        <v>6374</v>
      </c>
      <c r="BK260" t="s" s="515">
        <f>HYPERLINK("http://dx.doi.org/10.1109/TITS.2025.3558085","http://dx.doi.org/10.1109/TITS.2025.3558085")</f>
        <v>6375</v>
      </c>
      <c r="BL260" t="s" s="0">
        <v>81</v>
      </c>
      <c r="BM260" t="s" s="0">
        <v>186</v>
      </c>
      <c r="BN260" t="s" s="0">
        <v>134</v>
      </c>
      <c r="BO260" t="s" s="0">
        <v>6376</v>
      </c>
      <c r="BP260" t="s" s="0">
        <v>1835</v>
      </c>
      <c r="BQ260" t="s" s="0">
        <v>6377</v>
      </c>
      <c r="BR260" t="s" s="0">
        <v>81</v>
      </c>
      <c r="BS260" t="s" s="0">
        <v>6378</v>
      </c>
      <c r="BT260" t="s" s="516">
        <f>HYPERLINK("https://www.webofscience.com/wos/woscc/full-record/WOS:001480613800001","View Record in Web of Science")</f>
        <v>113</v>
      </c>
      <c r="BU260" t="s" s="0">
        <v>296</v>
      </c>
      <c r="BV260" t="s" s="0">
        <v>1969</v>
      </c>
      <c r="BW260" t="s" s="0">
        <v>1970</v>
      </c>
      <c r="BX260" t="s" s="0">
        <v>115</v>
      </c>
    </row>
    <row r="261">
      <c r="A261" t="s" s="0">
        <v>77</v>
      </c>
      <c r="B261" t="s" s="0">
        <v>77</v>
      </c>
      <c r="C261" t="s" s="0">
        <v>116</v>
      </c>
      <c r="D261" t="s" s="0">
        <v>77</v>
      </c>
      <c r="E261" t="s" s="0">
        <v>6379</v>
      </c>
      <c r="F261" t="s" s="0">
        <v>6380</v>
      </c>
      <c r="G261" t="s" s="0">
        <v>6381</v>
      </c>
      <c r="H261" t="s" s="0">
        <v>81</v>
      </c>
      <c r="I261" t="s" s="0">
        <v>82</v>
      </c>
      <c r="J261" t="s" s="0">
        <v>6382</v>
      </c>
      <c r="K261" t="s" s="0">
        <v>6383</v>
      </c>
      <c r="L261" t="s" s="0">
        <v>6384</v>
      </c>
      <c r="M261" t="s" s="0">
        <v>6385</v>
      </c>
      <c r="N261" t="s" s="0">
        <v>6386</v>
      </c>
      <c r="O261" t="s" s="0">
        <v>6387</v>
      </c>
      <c r="P261" t="s" s="0">
        <v>6388</v>
      </c>
      <c r="Q261" t="s" s="0">
        <v>87</v>
      </c>
      <c r="R261" t="s" s="0">
        <v>81</v>
      </c>
      <c r="S261" t="s" s="0">
        <v>81</v>
      </c>
      <c r="T261" t="s" s="0">
        <v>81</v>
      </c>
      <c r="U261" t="s" s="0">
        <v>81</v>
      </c>
      <c r="V261" t="s" s="0">
        <v>6389</v>
      </c>
      <c r="W261" t="s" s="0">
        <v>6390</v>
      </c>
      <c r="X261" t="s" s="0">
        <v>81</v>
      </c>
      <c r="Y261" t="s" s="0">
        <v>81</v>
      </c>
      <c r="Z261" t="s" s="0">
        <v>90</v>
      </c>
      <c r="AA261" t="s" s="0">
        <v>91</v>
      </c>
      <c r="AB261" t="s" s="0">
        <v>81</v>
      </c>
      <c r="AC261" t="s" s="0">
        <v>81</v>
      </c>
      <c r="AD261" t="s" s="0">
        <v>81</v>
      </c>
      <c r="AE261" t="s" s="0">
        <v>81</v>
      </c>
      <c r="AF261" t="s" s="0">
        <v>81</v>
      </c>
      <c r="AG261" t="s" s="0">
        <v>6391</v>
      </c>
      <c r="AH261" t="s" s="0">
        <v>6392</v>
      </c>
      <c r="AI261" t="s" s="0">
        <v>6393</v>
      </c>
      <c r="AJ261" t="s" s="0">
        <v>6394</v>
      </c>
      <c r="AK261" t="s" s="0">
        <v>81</v>
      </c>
      <c r="AL261" t="s" s="0">
        <v>286</v>
      </c>
      <c r="AM261" t="s" s="0">
        <v>107</v>
      </c>
      <c r="AN261" t="s" s="0">
        <v>107</v>
      </c>
      <c r="AO261" t="s" s="0">
        <v>144</v>
      </c>
      <c r="AP261" t="s" s="0">
        <v>2930</v>
      </c>
      <c r="AQ261" t="s" s="0">
        <v>912</v>
      </c>
      <c r="AR261" t="s" s="0">
        <v>913</v>
      </c>
      <c r="AS261" t="s" s="0">
        <v>914</v>
      </c>
      <c r="AT261" t="s" s="0">
        <v>6395</v>
      </c>
      <c r="AU261" t="s" s="0">
        <v>6396</v>
      </c>
      <c r="AV261" t="s" s="0">
        <v>81</v>
      </c>
      <c r="AW261" t="s" s="0">
        <v>6397</v>
      </c>
      <c r="AX261" t="s" s="0">
        <v>6398</v>
      </c>
      <c r="AY261" t="s" s="0">
        <v>6399</v>
      </c>
      <c r="AZ261" t="s" s="0">
        <v>285</v>
      </c>
      <c r="BA261" t="s" s="0">
        <v>1001</v>
      </c>
      <c r="BB261" t="s" s="0">
        <v>210</v>
      </c>
      <c r="BC261" t="s" s="0">
        <v>81</v>
      </c>
      <c r="BD261" t="s" s="0">
        <v>81</v>
      </c>
      <c r="BE261" t="s" s="0">
        <v>81</v>
      </c>
      <c r="BF261" t="s" s="0">
        <v>81</v>
      </c>
      <c r="BG261" t="s" s="0">
        <v>6400</v>
      </c>
      <c r="BH261" t="s" s="0">
        <v>6401</v>
      </c>
      <c r="BI261" t="s" s="0">
        <v>81</v>
      </c>
      <c r="BJ261" t="s" s="0">
        <v>6402</v>
      </c>
      <c r="BK261" t="s" s="517">
        <f>HYPERLINK("http://dx.doi.org/10.1109/TCBB.2022.3204619","http://dx.doi.org/10.1109/TCBB.2022.3204619")</f>
        <v>6403</v>
      </c>
      <c r="BL261" t="s" s="0">
        <v>81</v>
      </c>
      <c r="BM261" t="s" s="0">
        <v>81</v>
      </c>
      <c r="BN261" t="s" s="0">
        <v>245</v>
      </c>
      <c r="BO261" t="s" s="0">
        <v>6404</v>
      </c>
      <c r="BP261" t="s" s="0">
        <v>6405</v>
      </c>
      <c r="BQ261" t="s" s="0">
        <v>6406</v>
      </c>
      <c r="BR261" t="s" s="0">
        <v>6407</v>
      </c>
      <c r="BS261" t="s" s="0">
        <v>6408</v>
      </c>
      <c r="BT261" t="s" s="518">
        <f>HYPERLINK("https://www.webofscience.com/wos/woscc/full-record/WOS:001290429100049","View Record in Web of Science")</f>
        <v>113</v>
      </c>
      <c r="BU261" t="s" s="0">
        <v>81</v>
      </c>
      <c r="BV261" t="s" s="0">
        <v>81</v>
      </c>
      <c r="BW261" t="s" s="0">
        <v>81</v>
      </c>
      <c r="BX261" t="s" s="0">
        <v>115</v>
      </c>
    </row>
    <row r="262">
      <c r="A262" t="s" s="0">
        <v>77</v>
      </c>
      <c r="B262" t="s" s="0">
        <v>77</v>
      </c>
      <c r="C262" t="s" s="0">
        <v>77</v>
      </c>
      <c r="D262" t="s" s="0">
        <v>77</v>
      </c>
      <c r="E262" t="s" s="0">
        <v>6409</v>
      </c>
      <c r="F262" t="s" s="0">
        <v>6410</v>
      </c>
      <c r="G262" t="s" s="0">
        <v>6411</v>
      </c>
      <c r="H262" t="s" s="0">
        <v>81</v>
      </c>
      <c r="I262" t="s" s="0">
        <v>82</v>
      </c>
      <c r="J262" t="s" s="0">
        <v>6412</v>
      </c>
      <c r="K262" t="s" s="0">
        <v>6413</v>
      </c>
      <c r="L262" t="s" s="0">
        <v>6414</v>
      </c>
      <c r="M262" t="s" s="0">
        <v>267</v>
      </c>
      <c r="N262" t="s" s="0">
        <v>6415</v>
      </c>
      <c r="O262" t="s" s="0">
        <v>6416</v>
      </c>
      <c r="P262" t="s" s="0">
        <v>6417</v>
      </c>
      <c r="Q262" t="s" s="0">
        <v>87</v>
      </c>
      <c r="R262" t="s" s="0">
        <v>81</v>
      </c>
      <c r="S262" t="s" s="0">
        <v>81</v>
      </c>
      <c r="T262" t="s" s="0">
        <v>81</v>
      </c>
      <c r="U262" t="s" s="0">
        <v>81</v>
      </c>
      <c r="V262" t="s" s="0">
        <v>6418</v>
      </c>
      <c r="W262" t="s" s="0">
        <v>6419</v>
      </c>
      <c r="X262" t="s" s="0">
        <v>81</v>
      </c>
      <c r="Y262" t="s" s="0">
        <v>81</v>
      </c>
      <c r="Z262" t="s" s="0">
        <v>90</v>
      </c>
      <c r="AA262" t="s" s="0">
        <v>2522</v>
      </c>
      <c r="AB262" t="s" s="0">
        <v>81</v>
      </c>
      <c r="AC262" t="s" s="0">
        <v>81</v>
      </c>
      <c r="AD262" t="s" s="0">
        <v>81</v>
      </c>
      <c r="AE262" t="s" s="0">
        <v>81</v>
      </c>
      <c r="AF262" t="s" s="0">
        <v>81</v>
      </c>
      <c r="AG262" t="s" s="0">
        <v>6420</v>
      </c>
      <c r="AH262" t="s" s="0">
        <v>81</v>
      </c>
      <c r="AI262" t="s" s="0">
        <v>81</v>
      </c>
      <c r="AJ262" t="s" s="0">
        <v>81</v>
      </c>
      <c r="AK262" t="s" s="0">
        <v>81</v>
      </c>
      <c r="AL262" t="s" s="0">
        <v>2159</v>
      </c>
      <c r="AM262" t="s" s="0">
        <v>77</v>
      </c>
      <c r="AN262" t="s" s="0">
        <v>77</v>
      </c>
      <c r="AO262" t="s" s="0">
        <v>144</v>
      </c>
      <c r="AP262" t="s" s="0">
        <v>144</v>
      </c>
      <c r="AQ262" t="s" s="0">
        <v>1195</v>
      </c>
      <c r="AR262" t="s" s="0">
        <v>1196</v>
      </c>
      <c r="AS262" t="s" s="0">
        <v>1197</v>
      </c>
      <c r="AT262" t="s" s="0">
        <v>6421</v>
      </c>
      <c r="AU262" t="s" s="0">
        <v>6422</v>
      </c>
      <c r="AV262" t="s" s="0">
        <v>81</v>
      </c>
      <c r="AW262" t="s" s="0">
        <v>6423</v>
      </c>
      <c r="AX262" t="s" s="0">
        <v>6424</v>
      </c>
      <c r="AY262" t="s" s="0">
        <v>81</v>
      </c>
      <c r="AZ262" t="s" s="0">
        <v>101</v>
      </c>
      <c r="BA262" t="s" s="0">
        <v>81</v>
      </c>
      <c r="BB262" t="s" s="0">
        <v>81</v>
      </c>
      <c r="BC262" t="s" s="0">
        <v>81</v>
      </c>
      <c r="BD262" t="s" s="0">
        <v>81</v>
      </c>
      <c r="BE262" t="s" s="0">
        <v>81</v>
      </c>
      <c r="BF262" t="s" s="0">
        <v>81</v>
      </c>
      <c r="BG262" t="s" s="0">
        <v>81</v>
      </c>
      <c r="BH262" t="s" s="0">
        <v>81</v>
      </c>
      <c r="BI262" t="s" s="0">
        <v>81</v>
      </c>
      <c r="BJ262" t="s" s="0">
        <v>6425</v>
      </c>
      <c r="BK262" t="s" s="519">
        <f>HYPERLINK("http://dx.doi.org/10.1109/TNNLS.2026.3677806","http://dx.doi.org/10.1109/TNNLS.2026.3677806")</f>
        <v>6426</v>
      </c>
      <c r="BL262" t="s" s="0">
        <v>81</v>
      </c>
      <c r="BM262" t="s" s="0">
        <v>438</v>
      </c>
      <c r="BN262" t="s" s="0">
        <v>143</v>
      </c>
      <c r="BO262" t="s" s="0">
        <v>6427</v>
      </c>
      <c r="BP262" t="s" s="0">
        <v>628</v>
      </c>
      <c r="BQ262" t="s" s="0">
        <v>6428</v>
      </c>
      <c r="BR262" t="s" s="0">
        <v>6429</v>
      </c>
      <c r="BS262" t="s" s="0">
        <v>6430</v>
      </c>
      <c r="BT262" t="s" s="520">
        <f>HYPERLINK("https://www.webofscience.com/wos/woscc/full-record/WOS:001732758600001","View Record in Web of Science")</f>
        <v>113</v>
      </c>
      <c r="BU262" t="s" s="0">
        <v>81</v>
      </c>
      <c r="BV262" t="s" s="0">
        <v>81</v>
      </c>
      <c r="BW262" t="s" s="0">
        <v>81</v>
      </c>
      <c r="BX262" t="s" s="0">
        <v>115</v>
      </c>
    </row>
    <row r="263">
      <c r="A263" t="s" s="0">
        <v>77</v>
      </c>
      <c r="B263" t="s" s="0">
        <v>77</v>
      </c>
      <c r="C263" t="s" s="0">
        <v>144</v>
      </c>
      <c r="D263" t="s" s="0">
        <v>77</v>
      </c>
      <c r="E263" t="s" s="0">
        <v>6431</v>
      </c>
      <c r="F263" t="s" s="0">
        <v>6432</v>
      </c>
      <c r="G263" t="s" s="0">
        <v>6433</v>
      </c>
      <c r="H263" t="s" s="0">
        <v>81</v>
      </c>
      <c r="I263" t="s" s="0">
        <v>82</v>
      </c>
      <c r="J263" t="s" s="0">
        <v>6434</v>
      </c>
      <c r="K263" t="s" s="0">
        <v>6435</v>
      </c>
      <c r="L263" t="s" s="0">
        <v>81</v>
      </c>
      <c r="M263" t="s" s="0">
        <v>81</v>
      </c>
      <c r="N263" t="s" s="0">
        <v>81</v>
      </c>
      <c r="O263" t="s" s="0">
        <v>6436</v>
      </c>
      <c r="P263" t="s" s="0">
        <v>6437</v>
      </c>
      <c r="Q263" t="s" s="0">
        <v>87</v>
      </c>
      <c r="R263" t="s" s="0">
        <v>81</v>
      </c>
      <c r="S263" t="s" s="0">
        <v>81</v>
      </c>
      <c r="T263" t="s" s="0">
        <v>81</v>
      </c>
      <c r="U263" t="s" s="0">
        <v>81</v>
      </c>
      <c r="V263" t="s" s="0">
        <v>6438</v>
      </c>
      <c r="W263" t="s" s="0">
        <v>6439</v>
      </c>
      <c r="X263" t="s" s="0">
        <v>81</v>
      </c>
      <c r="Y263" t="s" s="0">
        <v>81</v>
      </c>
      <c r="Z263" t="s" s="0">
        <v>90</v>
      </c>
      <c r="AA263" t="s" s="0">
        <v>91</v>
      </c>
      <c r="AB263" t="s" s="0">
        <v>81</v>
      </c>
      <c r="AC263" t="s" s="0">
        <v>81</v>
      </c>
      <c r="AD263" t="s" s="0">
        <v>81</v>
      </c>
      <c r="AE263" t="s" s="0">
        <v>81</v>
      </c>
      <c r="AF263" t="s" s="0">
        <v>81</v>
      </c>
      <c r="AG263" t="s" s="0">
        <v>6440</v>
      </c>
      <c r="AH263" t="s" s="0">
        <v>81</v>
      </c>
      <c r="AI263" t="s" s="0">
        <v>81</v>
      </c>
      <c r="AJ263" t="s" s="0">
        <v>81</v>
      </c>
      <c r="AK263" t="s" s="0">
        <v>81</v>
      </c>
      <c r="AL263" t="s" s="0">
        <v>854</v>
      </c>
      <c r="AM263" t="s" s="0">
        <v>116</v>
      </c>
      <c r="AN263" t="s" s="0">
        <v>116</v>
      </c>
      <c r="AO263" t="s" s="0">
        <v>210</v>
      </c>
      <c r="AP263" t="s" s="0">
        <v>103</v>
      </c>
      <c r="AQ263" t="s" s="0">
        <v>402</v>
      </c>
      <c r="AR263" t="s" s="0">
        <v>403</v>
      </c>
      <c r="AS263" t="s" s="0">
        <v>404</v>
      </c>
      <c r="AT263" t="s" s="0">
        <v>81</v>
      </c>
      <c r="AU263" t="s" s="0">
        <v>6441</v>
      </c>
      <c r="AV263" t="s" s="0">
        <v>81</v>
      </c>
      <c r="AW263" t="s" s="0">
        <v>6442</v>
      </c>
      <c r="AX263" t="s" s="0">
        <v>6443</v>
      </c>
      <c r="AY263" t="s" s="0">
        <v>6444</v>
      </c>
      <c r="AZ263" t="s" s="0">
        <v>142</v>
      </c>
      <c r="BA263" t="s" s="0">
        <v>323</v>
      </c>
      <c r="BB263" t="s" s="0">
        <v>81</v>
      </c>
      <c r="BC263" t="s" s="0">
        <v>81</v>
      </c>
      <c r="BD263" t="s" s="0">
        <v>81</v>
      </c>
      <c r="BE263" t="s" s="0">
        <v>81</v>
      </c>
      <c r="BF263" t="s" s="0">
        <v>81</v>
      </c>
      <c r="BG263" t="s" s="0">
        <v>81</v>
      </c>
      <c r="BH263" t="s" s="0">
        <v>81</v>
      </c>
      <c r="BI263" t="s" s="0">
        <v>6445</v>
      </c>
      <c r="BJ263" t="s" s="0">
        <v>6446</v>
      </c>
      <c r="BK263" t="s" s="521">
        <f>HYPERLINK("http://dx.doi.org/10.3389/fphar.2025.1639979","http://dx.doi.org/10.3389/fphar.2025.1639979")</f>
        <v>6447</v>
      </c>
      <c r="BL263" t="s" s="0">
        <v>81</v>
      </c>
      <c r="BM263" t="s" s="0">
        <v>81</v>
      </c>
      <c r="BN263" t="s" s="0">
        <v>684</v>
      </c>
      <c r="BO263" t="s" s="0">
        <v>6448</v>
      </c>
      <c r="BP263" t="s" s="0">
        <v>6448</v>
      </c>
      <c r="BQ263" t="s" s="0">
        <v>6449</v>
      </c>
      <c r="BR263" t="s" s="0">
        <v>6450</v>
      </c>
      <c r="BS263" t="s" s="0">
        <v>6451</v>
      </c>
      <c r="BT263" t="s" s="522">
        <f>HYPERLINK("https://www.webofscience.com/wos/woscc/full-record/WOS:001629533600001","View Record in Web of Science")</f>
        <v>113</v>
      </c>
      <c r="BU263" t="s" s="0">
        <v>153</v>
      </c>
      <c r="BV263" t="s" s="0">
        <v>81</v>
      </c>
      <c r="BW263" t="s" s="0">
        <v>81</v>
      </c>
      <c r="BX263" t="s" s="0">
        <v>115</v>
      </c>
    </row>
    <row r="264">
      <c r="A264" t="s" s="0">
        <v>77</v>
      </c>
      <c r="B264" t="s" s="0">
        <v>77</v>
      </c>
      <c r="C264" t="s" s="0">
        <v>313</v>
      </c>
      <c r="D264" t="s" s="0">
        <v>77</v>
      </c>
      <c r="E264" t="s" s="0">
        <v>6452</v>
      </c>
      <c r="F264" t="s" s="0">
        <v>6453</v>
      </c>
      <c r="G264" t="s" s="0">
        <v>6454</v>
      </c>
      <c r="H264" t="s" s="0">
        <v>81</v>
      </c>
      <c r="I264" t="s" s="0">
        <v>82</v>
      </c>
      <c r="J264" t="s" s="0">
        <v>6455</v>
      </c>
      <c r="K264" t="s" s="0">
        <v>6456</v>
      </c>
      <c r="L264" t="s" s="0">
        <v>6457</v>
      </c>
      <c r="M264" t="s" s="0">
        <v>6458</v>
      </c>
      <c r="N264" t="s" s="0">
        <v>6459</v>
      </c>
      <c r="O264" t="s" s="0">
        <v>6460</v>
      </c>
      <c r="P264" t="s" s="0">
        <v>6461</v>
      </c>
      <c r="Q264" t="s" s="0">
        <v>87</v>
      </c>
      <c r="R264" t="s" s="0">
        <v>81</v>
      </c>
      <c r="S264" t="s" s="0">
        <v>81</v>
      </c>
      <c r="T264" t="s" s="0">
        <v>81</v>
      </c>
      <c r="U264" t="s" s="0">
        <v>81</v>
      </c>
      <c r="V264" t="s" s="0">
        <v>6462</v>
      </c>
      <c r="W264" t="s" s="0">
        <v>1685</v>
      </c>
      <c r="X264" t="s" s="0">
        <v>81</v>
      </c>
      <c r="Y264" t="s" s="0">
        <v>81</v>
      </c>
      <c r="Z264" t="s" s="0">
        <v>90</v>
      </c>
      <c r="AA264" t="s" s="0">
        <v>91</v>
      </c>
      <c r="AB264" t="s" s="0">
        <v>81</v>
      </c>
      <c r="AC264" t="s" s="0">
        <v>81</v>
      </c>
      <c r="AD264" t="s" s="0">
        <v>81</v>
      </c>
      <c r="AE264" t="s" s="0">
        <v>81</v>
      </c>
      <c r="AF264" t="s" s="0">
        <v>81</v>
      </c>
      <c r="AG264" t="s" s="0">
        <v>81</v>
      </c>
      <c r="AH264" t="s" s="0">
        <v>81</v>
      </c>
      <c r="AI264" t="s" s="0">
        <v>6463</v>
      </c>
      <c r="AJ264" t="s" s="0">
        <v>6464</v>
      </c>
      <c r="AK264" t="s" s="0">
        <v>81</v>
      </c>
      <c r="AL264" t="s" s="0">
        <v>2930</v>
      </c>
      <c r="AM264" t="s" s="0">
        <v>219</v>
      </c>
      <c r="AN264" t="s" s="0">
        <v>172</v>
      </c>
      <c r="AO264" t="s" s="0">
        <v>77</v>
      </c>
      <c r="AP264" t="s" s="0">
        <v>116</v>
      </c>
      <c r="AQ264" t="s" s="0">
        <v>1355</v>
      </c>
      <c r="AR264" t="s" s="0">
        <v>1356</v>
      </c>
      <c r="AS264" t="s" s="0">
        <v>1357</v>
      </c>
      <c r="AT264" t="s" s="0">
        <v>1688</v>
      </c>
      <c r="AU264" t="s" s="0">
        <v>1689</v>
      </c>
      <c r="AV264" t="s" s="0">
        <v>81</v>
      </c>
      <c r="AW264" t="s" s="0">
        <v>1690</v>
      </c>
      <c r="AX264" t="s" s="0">
        <v>1691</v>
      </c>
      <c r="AY264" t="s" s="0">
        <v>6465</v>
      </c>
      <c r="AZ264" t="s" s="0">
        <v>142</v>
      </c>
      <c r="BA264" t="s" s="0">
        <v>1693</v>
      </c>
      <c r="BB264" t="s" s="0">
        <v>134</v>
      </c>
      <c r="BC264" t="s" s="0">
        <v>81</v>
      </c>
      <c r="BD264" t="s" s="0">
        <v>81</v>
      </c>
      <c r="BE264" t="s" s="0">
        <v>81</v>
      </c>
      <c r="BF264" t="s" s="0">
        <v>81</v>
      </c>
      <c r="BG264" t="s" s="0">
        <v>6466</v>
      </c>
      <c r="BH264" t="s" s="0">
        <v>6467</v>
      </c>
      <c r="BI264" t="s" s="0">
        <v>81</v>
      </c>
      <c r="BJ264" t="s" s="0">
        <v>6468</v>
      </c>
      <c r="BK264" t="s" s="523">
        <f>HYPERLINK("http://dx.doi.org/10.1021/acs.jcim.5c00430","http://dx.doi.org/10.1021/acs.jcim.5c00430")</f>
        <v>6469</v>
      </c>
      <c r="BL264" t="s" s="0">
        <v>81</v>
      </c>
      <c r="BM264" t="s" s="0">
        <v>494</v>
      </c>
      <c r="BN264" t="s" s="0">
        <v>173</v>
      </c>
      <c r="BO264" t="s" s="0">
        <v>1698</v>
      </c>
      <c r="BP264" t="s" s="0">
        <v>1699</v>
      </c>
      <c r="BQ264" t="s" s="0">
        <v>6470</v>
      </c>
      <c r="BR264" t="s" s="0">
        <v>6471</v>
      </c>
      <c r="BS264" t="s" s="0">
        <v>6472</v>
      </c>
      <c r="BT264" t="s" s="524">
        <f>HYPERLINK("https://www.webofscience.com/wos/woscc/full-record/WOS:001518554400001","View Record in Web of Science")</f>
        <v>113</v>
      </c>
      <c r="BU264" t="s" s="0">
        <v>719</v>
      </c>
      <c r="BV264" t="s" s="0">
        <v>81</v>
      </c>
      <c r="BW264" t="s" s="0">
        <v>81</v>
      </c>
      <c r="BX264" t="s" s="0">
        <v>115</v>
      </c>
    </row>
    <row r="265">
      <c r="A265" t="s" s="0">
        <v>77</v>
      </c>
      <c r="B265" t="s" s="0">
        <v>77</v>
      </c>
      <c r="C265" t="s" s="0">
        <v>77</v>
      </c>
      <c r="D265" t="s" s="0">
        <v>77</v>
      </c>
      <c r="E265" t="s" s="0">
        <v>6473</v>
      </c>
      <c r="F265" t="s" s="0">
        <v>6474</v>
      </c>
      <c r="G265" t="s" s="0">
        <v>6475</v>
      </c>
      <c r="H265" t="s" s="0">
        <v>81</v>
      </c>
      <c r="I265" t="s" s="0">
        <v>82</v>
      </c>
      <c r="J265" t="s" s="0">
        <v>6476</v>
      </c>
      <c r="K265" t="s" s="0">
        <v>6477</v>
      </c>
      <c r="L265" t="s" s="0">
        <v>6478</v>
      </c>
      <c r="M265" t="s" s="0">
        <v>6479</v>
      </c>
      <c r="N265" t="s" s="0">
        <v>6480</v>
      </c>
      <c r="O265" t="s" s="0">
        <v>6481</v>
      </c>
      <c r="P265" t="s" s="0">
        <v>6482</v>
      </c>
      <c r="Q265" t="s" s="0">
        <v>87</v>
      </c>
      <c r="R265" t="s" s="0">
        <v>81</v>
      </c>
      <c r="S265" t="s" s="0">
        <v>81</v>
      </c>
      <c r="T265" t="s" s="0">
        <v>81</v>
      </c>
      <c r="U265" t="s" s="0">
        <v>81</v>
      </c>
      <c r="V265" t="s" s="0">
        <v>6483</v>
      </c>
      <c r="W265" t="s" s="0">
        <v>6484</v>
      </c>
      <c r="X265" t="s" s="0">
        <v>81</v>
      </c>
      <c r="Y265" t="s" s="0">
        <v>81</v>
      </c>
      <c r="Z265" t="s" s="0">
        <v>90</v>
      </c>
      <c r="AA265" t="s" s="0">
        <v>91</v>
      </c>
      <c r="AB265" t="s" s="0">
        <v>81</v>
      </c>
      <c r="AC265" t="s" s="0">
        <v>81</v>
      </c>
      <c r="AD265" t="s" s="0">
        <v>81</v>
      </c>
      <c r="AE265" t="s" s="0">
        <v>81</v>
      </c>
      <c r="AF265" t="s" s="0">
        <v>81</v>
      </c>
      <c r="AG265" t="s" s="0">
        <v>6485</v>
      </c>
      <c r="AH265" t="s" s="0">
        <v>81</v>
      </c>
      <c r="AI265" t="s" s="0">
        <v>6486</v>
      </c>
      <c r="AJ265" t="s" s="0">
        <v>6487</v>
      </c>
      <c r="AK265" t="s" s="0">
        <v>81</v>
      </c>
      <c r="AL265" t="s" s="0">
        <v>767</v>
      </c>
      <c r="AM265" t="s" s="0">
        <v>133</v>
      </c>
      <c r="AN265" t="s" s="0">
        <v>133</v>
      </c>
      <c r="AO265" t="s" s="0">
        <v>144</v>
      </c>
      <c r="AP265" t="s" s="0">
        <v>219</v>
      </c>
      <c r="AQ265" t="s" s="0">
        <v>1195</v>
      </c>
      <c r="AR265" t="s" s="0">
        <v>1196</v>
      </c>
      <c r="AS265" t="s" s="0">
        <v>1197</v>
      </c>
      <c r="AT265" t="s" s="0">
        <v>6488</v>
      </c>
      <c r="AU265" t="s" s="0">
        <v>81</v>
      </c>
      <c r="AV265" t="s" s="0">
        <v>81</v>
      </c>
      <c r="AW265" t="s" s="0">
        <v>6489</v>
      </c>
      <c r="AX265" t="s" s="0">
        <v>6490</v>
      </c>
      <c r="AY265" t="s" s="0">
        <v>6491</v>
      </c>
      <c r="AZ265" t="s" s="0">
        <v>142</v>
      </c>
      <c r="BA265" t="s" s="0">
        <v>187</v>
      </c>
      <c r="BB265" t="s" s="0">
        <v>134</v>
      </c>
      <c r="BC265" t="s" s="0">
        <v>81</v>
      </c>
      <c r="BD265" t="s" s="0">
        <v>81</v>
      </c>
      <c r="BE265" t="s" s="0">
        <v>81</v>
      </c>
      <c r="BF265" t="s" s="0">
        <v>81</v>
      </c>
      <c r="BG265" t="s" s="0">
        <v>6492</v>
      </c>
      <c r="BH265" t="s" s="0">
        <v>6493</v>
      </c>
      <c r="BI265" t="s" s="0">
        <v>81</v>
      </c>
      <c r="BJ265" t="s" s="0">
        <v>6494</v>
      </c>
      <c r="BK265" t="s" s="525">
        <f>HYPERLINK("http://dx.doi.org/10.1109/JIOT.2025.3554541","http://dx.doi.org/10.1109/JIOT.2025.3554541")</f>
        <v>6495</v>
      </c>
      <c r="BL265" t="s" s="0">
        <v>81</v>
      </c>
      <c r="BM265" t="s" s="0">
        <v>81</v>
      </c>
      <c r="BN265" t="s" s="0">
        <v>143</v>
      </c>
      <c r="BO265" t="s" s="0">
        <v>1204</v>
      </c>
      <c r="BP265" t="s" s="0">
        <v>1205</v>
      </c>
      <c r="BQ265" t="s" s="0">
        <v>6496</v>
      </c>
      <c r="BR265" t="s" s="0">
        <v>81</v>
      </c>
      <c r="BS265" t="s" s="0">
        <v>6497</v>
      </c>
      <c r="BT265" t="s" s="526">
        <f>HYPERLINK("https://www.webofscience.com/wos/woscc/full-record/WOS:001513138500038","View Record in Web of Science")</f>
        <v>113</v>
      </c>
      <c r="BU265" t="s" s="0">
        <v>81</v>
      </c>
      <c r="BV265" t="s" s="0">
        <v>81</v>
      </c>
      <c r="BW265" t="s" s="0">
        <v>81</v>
      </c>
      <c r="BX265" t="s" s="0">
        <v>115</v>
      </c>
    </row>
    <row r="266">
      <c r="A266" t="s" s="0">
        <v>77</v>
      </c>
      <c r="B266" t="s" s="0">
        <v>77</v>
      </c>
      <c r="C266" t="s" s="0">
        <v>77</v>
      </c>
      <c r="D266" t="s" s="0">
        <v>77</v>
      </c>
      <c r="E266" t="s" s="0">
        <v>6498</v>
      </c>
      <c r="F266" t="s" s="0">
        <v>6499</v>
      </c>
      <c r="G266" t="s" s="0">
        <v>6500</v>
      </c>
      <c r="H266" t="s" s="0">
        <v>81</v>
      </c>
      <c r="I266" t="s" s="0">
        <v>82</v>
      </c>
      <c r="J266" t="s" s="0">
        <v>6501</v>
      </c>
      <c r="K266" t="s" s="0">
        <v>6502</v>
      </c>
      <c r="L266" t="s" s="0">
        <v>6503</v>
      </c>
      <c r="M266" t="s" s="0">
        <v>6504</v>
      </c>
      <c r="N266" t="s" s="0">
        <v>6505</v>
      </c>
      <c r="O266" t="s" s="0">
        <v>6506</v>
      </c>
      <c r="P266" t="s" s="0">
        <v>6507</v>
      </c>
      <c r="Q266" t="s" s="0">
        <v>87</v>
      </c>
      <c r="R266" t="s" s="0">
        <v>81</v>
      </c>
      <c r="S266" t="s" s="0">
        <v>81</v>
      </c>
      <c r="T266" t="s" s="0">
        <v>81</v>
      </c>
      <c r="U266" t="s" s="0">
        <v>81</v>
      </c>
      <c r="V266" t="s" s="0">
        <v>6508</v>
      </c>
      <c r="W266" t="s" s="0">
        <v>6509</v>
      </c>
      <c r="X266" t="s" s="0">
        <v>81</v>
      </c>
      <c r="Y266" t="s" s="0">
        <v>81</v>
      </c>
      <c r="Z266" t="s" s="0">
        <v>90</v>
      </c>
      <c r="AA266" t="s" s="0">
        <v>91</v>
      </c>
      <c r="AB266" t="s" s="0">
        <v>81</v>
      </c>
      <c r="AC266" t="s" s="0">
        <v>81</v>
      </c>
      <c r="AD266" t="s" s="0">
        <v>81</v>
      </c>
      <c r="AE266" t="s" s="0">
        <v>81</v>
      </c>
      <c r="AF266" t="s" s="0">
        <v>81</v>
      </c>
      <c r="AG266" t="s" s="0">
        <v>6510</v>
      </c>
      <c r="AH266" t="s" s="0">
        <v>6511</v>
      </c>
      <c r="AI266" t="s" s="0">
        <v>81</v>
      </c>
      <c r="AJ266" t="s" s="0">
        <v>81</v>
      </c>
      <c r="AK266" t="s" s="0">
        <v>81</v>
      </c>
      <c r="AL266" t="s" s="0">
        <v>345</v>
      </c>
      <c r="AM266" t="s" s="0">
        <v>144</v>
      </c>
      <c r="AN266" t="s" s="0">
        <v>144</v>
      </c>
      <c r="AO266" t="s" s="0">
        <v>144</v>
      </c>
      <c r="AP266" t="s" s="0">
        <v>144</v>
      </c>
      <c r="AQ266" t="s" s="0">
        <v>1195</v>
      </c>
      <c r="AR266" t="s" s="0">
        <v>1196</v>
      </c>
      <c r="AS266" t="s" s="0">
        <v>1197</v>
      </c>
      <c r="AT266" t="s" s="0">
        <v>6512</v>
      </c>
      <c r="AU266" t="s" s="0">
        <v>6513</v>
      </c>
      <c r="AV266" t="s" s="0">
        <v>81</v>
      </c>
      <c r="AW266" t="s" s="0">
        <v>6514</v>
      </c>
      <c r="AX266" t="s" s="0">
        <v>6515</v>
      </c>
      <c r="AY266" t="s" s="0">
        <v>101</v>
      </c>
      <c r="AZ266" t="s" s="0">
        <v>101</v>
      </c>
      <c r="BA266" t="s" s="0">
        <v>211</v>
      </c>
      <c r="BB266" t="s" s="0">
        <v>81</v>
      </c>
      <c r="BC266" t="s" s="0">
        <v>81</v>
      </c>
      <c r="BD266" t="s" s="0">
        <v>81</v>
      </c>
      <c r="BE266" t="s" s="0">
        <v>81</v>
      </c>
      <c r="BF266" t="s" s="0">
        <v>81</v>
      </c>
      <c r="BG266" t="s" s="0">
        <v>6516</v>
      </c>
      <c r="BH266" t="s" s="0">
        <v>6517</v>
      </c>
      <c r="BI266" t="s" s="0">
        <v>81</v>
      </c>
      <c r="BJ266" t="s" s="0">
        <v>6518</v>
      </c>
      <c r="BK266" t="s" s="527">
        <f>HYPERLINK("http://dx.doi.org/10.1109/TASE.2026.3689353","http://dx.doi.org/10.1109/TASE.2026.3689353")</f>
        <v>6519</v>
      </c>
      <c r="BL266" t="s" s="0">
        <v>81</v>
      </c>
      <c r="BM266" t="s" s="0">
        <v>81</v>
      </c>
      <c r="BN266" t="s" s="0">
        <v>323</v>
      </c>
      <c r="BO266" t="s" s="0">
        <v>6520</v>
      </c>
      <c r="BP266" t="s" s="0">
        <v>6520</v>
      </c>
      <c r="BQ266" t="s" s="0">
        <v>6521</v>
      </c>
      <c r="BR266" t="s" s="0">
        <v>81</v>
      </c>
      <c r="BS266" t="s" s="0">
        <v>6522</v>
      </c>
      <c r="BT266" t="s" s="528">
        <f>HYPERLINK("https://www.webofscience.com/wos/woscc/full-record/WOS:001760314200003","View Record in Web of Science")</f>
        <v>113</v>
      </c>
      <c r="BU266" t="s" s="0">
        <v>81</v>
      </c>
      <c r="BV266" t="s" s="0">
        <v>81</v>
      </c>
      <c r="BW266" t="s" s="0">
        <v>81</v>
      </c>
      <c r="BX266" t="s" s="0">
        <v>115</v>
      </c>
    </row>
    <row r="267">
      <c r="A267" t="s" s="0">
        <v>77</v>
      </c>
      <c r="B267" t="s" s="0">
        <v>77</v>
      </c>
      <c r="C267" t="s" s="0">
        <v>77</v>
      </c>
      <c r="D267" t="s" s="0">
        <v>77</v>
      </c>
      <c r="E267" t="s" s="0">
        <v>6523</v>
      </c>
      <c r="F267" t="s" s="0">
        <v>6524</v>
      </c>
      <c r="G267" t="s" s="0">
        <v>6525</v>
      </c>
      <c r="H267" t="s" s="0">
        <v>81</v>
      </c>
      <c r="I267" t="s" s="0">
        <v>82</v>
      </c>
      <c r="J267" t="s" s="0">
        <v>6526</v>
      </c>
      <c r="K267" t="s" s="0">
        <v>6527</v>
      </c>
      <c r="L267" t="s" s="0">
        <v>6528</v>
      </c>
      <c r="M267" t="s" s="0">
        <v>6528</v>
      </c>
      <c r="N267" t="s" s="0">
        <v>6529</v>
      </c>
      <c r="O267" t="s" s="0">
        <v>6530</v>
      </c>
      <c r="P267" t="s" s="0">
        <v>6531</v>
      </c>
      <c r="Q267" t="s" s="0">
        <v>87</v>
      </c>
      <c r="R267" t="s" s="0">
        <v>81</v>
      </c>
      <c r="S267" t="s" s="0">
        <v>81</v>
      </c>
      <c r="T267" t="s" s="0">
        <v>81</v>
      </c>
      <c r="U267" t="s" s="0">
        <v>81</v>
      </c>
      <c r="V267" t="s" s="0">
        <v>6532</v>
      </c>
      <c r="W267" t="s" s="0">
        <v>128</v>
      </c>
      <c r="X267" t="s" s="0">
        <v>81</v>
      </c>
      <c r="Y267" t="s" s="0">
        <v>81</v>
      </c>
      <c r="Z267" t="s" s="0">
        <v>90</v>
      </c>
      <c r="AA267" t="s" s="0">
        <v>91</v>
      </c>
      <c r="AB267" t="s" s="0">
        <v>81</v>
      </c>
      <c r="AC267" t="s" s="0">
        <v>81</v>
      </c>
      <c r="AD267" t="s" s="0">
        <v>81</v>
      </c>
      <c r="AE267" t="s" s="0">
        <v>81</v>
      </c>
      <c r="AF267" t="s" s="0">
        <v>81</v>
      </c>
      <c r="AG267" t="s" s="0">
        <v>81</v>
      </c>
      <c r="AH267" t="s" s="0">
        <v>81</v>
      </c>
      <c r="AI267" t="s" s="0">
        <v>81</v>
      </c>
      <c r="AJ267" t="s" s="0">
        <v>81</v>
      </c>
      <c r="AK267" t="s" s="0">
        <v>81</v>
      </c>
      <c r="AL267" t="s" s="0">
        <v>520</v>
      </c>
      <c r="AM267" t="s" s="0">
        <v>77</v>
      </c>
      <c r="AN267" t="s" s="0">
        <v>77</v>
      </c>
      <c r="AO267" t="s" s="0">
        <v>107</v>
      </c>
      <c r="AP267" t="s" s="0">
        <v>107</v>
      </c>
      <c r="AQ267" t="s" s="0">
        <v>135</v>
      </c>
      <c r="AR267" t="s" s="0">
        <v>136</v>
      </c>
      <c r="AS267" t="s" s="0">
        <v>137</v>
      </c>
      <c r="AT267" t="s" s="0">
        <v>138</v>
      </c>
      <c r="AU267" t="s" s="0">
        <v>81</v>
      </c>
      <c r="AV267" t="s" s="0">
        <v>81</v>
      </c>
      <c r="AW267" t="s" s="0">
        <v>139</v>
      </c>
      <c r="AX267" t="s" s="0">
        <v>140</v>
      </c>
      <c r="AY267" t="s" s="0">
        <v>6533</v>
      </c>
      <c r="AZ267" t="s" s="0">
        <v>101</v>
      </c>
      <c r="BA267" t="s" s="0">
        <v>323</v>
      </c>
      <c r="BB267" t="s" s="0">
        <v>144</v>
      </c>
      <c r="BC267" t="s" s="0">
        <v>81</v>
      </c>
      <c r="BD267" t="s" s="0">
        <v>81</v>
      </c>
      <c r="BE267" t="s" s="0">
        <v>81</v>
      </c>
      <c r="BF267" t="s" s="0">
        <v>81</v>
      </c>
      <c r="BG267" t="s" s="0">
        <v>81</v>
      </c>
      <c r="BH267" t="s" s="0">
        <v>81</v>
      </c>
      <c r="BI267" t="s" s="0">
        <v>6534</v>
      </c>
      <c r="BJ267" t="s" s="0">
        <v>6535</v>
      </c>
      <c r="BK267" t="s" s="529">
        <f>HYPERLINK("http://dx.doi.org/10.1038/s41598-026-51963-4","http://dx.doi.org/10.1038/s41598-026-51963-4")</f>
        <v>6536</v>
      </c>
      <c r="BL267" t="s" s="0">
        <v>81</v>
      </c>
      <c r="BM267" t="s" s="0">
        <v>81</v>
      </c>
      <c r="BN267" t="s" s="0">
        <v>277</v>
      </c>
      <c r="BO267" t="s" s="0">
        <v>148</v>
      </c>
      <c r="BP267" t="s" s="0">
        <v>149</v>
      </c>
      <c r="BQ267" t="s" s="0">
        <v>6537</v>
      </c>
      <c r="BR267" t="s" s="0">
        <v>6538</v>
      </c>
      <c r="BS267" t="s" s="0">
        <v>6539</v>
      </c>
      <c r="BT267" t="s" s="530">
        <f>HYPERLINK("https://www.webofscience.com/wos/woscc/full-record/WOS:001787676200001","View Record in Web of Science")</f>
        <v>113</v>
      </c>
      <c r="BU267" t="s" s="0">
        <v>153</v>
      </c>
      <c r="BV267" t="s" s="0">
        <v>81</v>
      </c>
      <c r="BW267" t="s" s="0">
        <v>81</v>
      </c>
      <c r="BX267" t="s" s="0">
        <v>115</v>
      </c>
    </row>
    <row r="268">
      <c r="A268" t="s" s="0">
        <v>77</v>
      </c>
      <c r="B268" t="s" s="0">
        <v>77</v>
      </c>
      <c r="C268" t="s" s="0">
        <v>77</v>
      </c>
      <c r="D268" t="s" s="0">
        <v>77</v>
      </c>
      <c r="E268" t="s" s="0">
        <v>6540</v>
      </c>
      <c r="F268" t="s" s="0">
        <v>6541</v>
      </c>
      <c r="G268" t="s" s="0">
        <v>6542</v>
      </c>
      <c r="H268" t="s" s="0">
        <v>81</v>
      </c>
      <c r="I268" t="s" s="0">
        <v>543</v>
      </c>
      <c r="J268" t="s" s="0">
        <v>6543</v>
      </c>
      <c r="K268" t="s" s="0">
        <v>6544</v>
      </c>
      <c r="L268" t="s" s="0">
        <v>81</v>
      </c>
      <c r="M268" t="s" s="0">
        <v>81</v>
      </c>
      <c r="N268" t="s" s="0">
        <v>81</v>
      </c>
      <c r="O268" t="s" s="0">
        <v>6545</v>
      </c>
      <c r="P268" t="s" s="0">
        <v>6546</v>
      </c>
      <c r="Q268" t="s" s="0">
        <v>87</v>
      </c>
      <c r="R268" t="s" s="0">
        <v>81</v>
      </c>
      <c r="S268" t="s" s="0">
        <v>81</v>
      </c>
      <c r="T268" t="s" s="0">
        <v>81</v>
      </c>
      <c r="U268" t="s" s="0">
        <v>81</v>
      </c>
      <c r="V268" t="s" s="0">
        <v>6547</v>
      </c>
      <c r="W268" t="s" s="0">
        <v>6548</v>
      </c>
      <c r="X268" t="s" s="0">
        <v>81</v>
      </c>
      <c r="Y268" t="s" s="0">
        <v>81</v>
      </c>
      <c r="Z268" t="s" s="0">
        <v>90</v>
      </c>
      <c r="AA268" t="s" s="0">
        <v>91</v>
      </c>
      <c r="AB268" t="s" s="0">
        <v>81</v>
      </c>
      <c r="AC268" t="s" s="0">
        <v>81</v>
      </c>
      <c r="AD268" t="s" s="0">
        <v>81</v>
      </c>
      <c r="AE268" t="s" s="0">
        <v>81</v>
      </c>
      <c r="AF268" t="s" s="0">
        <v>81</v>
      </c>
      <c r="AG268" t="s" s="0">
        <v>6549</v>
      </c>
      <c r="AH268" t="s" s="0">
        <v>6550</v>
      </c>
      <c r="AI268" t="s" s="0">
        <v>6551</v>
      </c>
      <c r="AJ268" t="s" s="0">
        <v>81</v>
      </c>
      <c r="AK268" t="s" s="0">
        <v>81</v>
      </c>
      <c r="AL268" t="s" s="0">
        <v>1887</v>
      </c>
      <c r="AM268" t="s" s="0">
        <v>77</v>
      </c>
      <c r="AN268" t="s" s="0">
        <v>144</v>
      </c>
      <c r="AO268" t="s" s="0">
        <v>116</v>
      </c>
      <c r="AP268" t="s" s="0">
        <v>116</v>
      </c>
      <c r="AQ268" t="s" s="0">
        <v>3030</v>
      </c>
      <c r="AR268" t="s" s="0">
        <v>646</v>
      </c>
      <c r="AS268" t="s" s="0">
        <v>3031</v>
      </c>
      <c r="AT268" t="s" s="0">
        <v>81</v>
      </c>
      <c r="AU268" t="s" s="0">
        <v>6552</v>
      </c>
      <c r="AV268" t="s" s="0">
        <v>81</v>
      </c>
      <c r="AW268" t="s" s="0">
        <v>6553</v>
      </c>
      <c r="AX268" t="s" s="0">
        <v>6554</v>
      </c>
      <c r="AY268" t="s" s="0">
        <v>6555</v>
      </c>
      <c r="AZ268" t="s" s="0">
        <v>101</v>
      </c>
      <c r="BA268" t="s" s="0">
        <v>103</v>
      </c>
      <c r="BB268" t="s" s="0">
        <v>144</v>
      </c>
      <c r="BC268" t="s" s="0">
        <v>81</v>
      </c>
      <c r="BD268" t="s" s="0">
        <v>81</v>
      </c>
      <c r="BE268" t="s" s="0">
        <v>81</v>
      </c>
      <c r="BF268" t="s" s="0">
        <v>81</v>
      </c>
      <c r="BG268" t="s" s="0">
        <v>81</v>
      </c>
      <c r="BH268" t="s" s="0">
        <v>81</v>
      </c>
      <c r="BI268" t="s" s="0">
        <v>1223</v>
      </c>
      <c r="BJ268" t="s" s="0">
        <v>6556</v>
      </c>
      <c r="BK268" t="s" s="531">
        <f>HYPERLINK("http://dx.doi.org/10.1007/s44192-026-00388-6","http://dx.doi.org/10.1007/s44192-026-00388-6")</f>
        <v>6557</v>
      </c>
      <c r="BL268" t="s" s="0">
        <v>81</v>
      </c>
      <c r="BM268" t="s" s="0">
        <v>81</v>
      </c>
      <c r="BN268" t="s" s="0">
        <v>652</v>
      </c>
      <c r="BO268" t="s" s="0">
        <v>3293</v>
      </c>
      <c r="BP268" t="s" s="0">
        <v>3293</v>
      </c>
      <c r="BQ268" t="s" s="0">
        <v>6558</v>
      </c>
      <c r="BR268" t="s" s="0">
        <v>6559</v>
      </c>
      <c r="BS268" t="s" s="0">
        <v>6560</v>
      </c>
      <c r="BT268" t="s" s="532">
        <f>HYPERLINK("https://www.webofscience.com/wos/woscc/full-record/WOS:001724700000001","View Record in Web of Science")</f>
        <v>113</v>
      </c>
      <c r="BU268" t="s" s="0">
        <v>153</v>
      </c>
      <c r="BV268" t="s" s="0">
        <v>81</v>
      </c>
      <c r="BW268" t="s" s="0">
        <v>81</v>
      </c>
      <c r="BX268" t="s" s="0">
        <v>115</v>
      </c>
    </row>
    <row r="269">
      <c r="A269" t="s" s="0">
        <v>144</v>
      </c>
      <c r="B269" t="s" s="0">
        <v>77</v>
      </c>
      <c r="C269" t="s" s="0">
        <v>77</v>
      </c>
      <c r="D269" t="s" s="0">
        <v>77</v>
      </c>
      <c r="E269" t="s" s="0">
        <v>6561</v>
      </c>
      <c r="F269" t="s" s="0">
        <v>6562</v>
      </c>
      <c r="G269" t="s" s="0">
        <v>6563</v>
      </c>
      <c r="H269" t="s" s="0">
        <v>81</v>
      </c>
      <c r="I269" t="s" s="0">
        <v>82</v>
      </c>
      <c r="J269" t="s" s="0">
        <v>6564</v>
      </c>
      <c r="K269" t="s" s="0">
        <v>6565</v>
      </c>
      <c r="L269" t="s" s="0">
        <v>6566</v>
      </c>
      <c r="M269" t="s" s="0">
        <v>6566</v>
      </c>
      <c r="N269" t="s" s="0">
        <v>6567</v>
      </c>
      <c r="O269" t="s" s="0">
        <v>6568</v>
      </c>
      <c r="P269" t="s" s="0">
        <v>6569</v>
      </c>
      <c r="Q269" t="s" s="0">
        <v>87</v>
      </c>
      <c r="R269" t="s" s="0">
        <v>81</v>
      </c>
      <c r="S269" t="s" s="0">
        <v>81</v>
      </c>
      <c r="T269" t="s" s="0">
        <v>81</v>
      </c>
      <c r="U269" t="s" s="0">
        <v>81</v>
      </c>
      <c r="V269" t="s" s="0">
        <v>6570</v>
      </c>
      <c r="W269" t="s" s="0">
        <v>6571</v>
      </c>
      <c r="X269" t="s" s="0">
        <v>81</v>
      </c>
      <c r="Y269" t="s" s="0">
        <v>81</v>
      </c>
      <c r="Z269" t="s" s="0">
        <v>90</v>
      </c>
      <c r="AA269" t="s" s="0">
        <v>91</v>
      </c>
      <c r="AB269" t="s" s="0">
        <v>81</v>
      </c>
      <c r="AC269" t="s" s="0">
        <v>81</v>
      </c>
      <c r="AD269" t="s" s="0">
        <v>81</v>
      </c>
      <c r="AE269" t="s" s="0">
        <v>81</v>
      </c>
      <c r="AF269" t="s" s="0">
        <v>81</v>
      </c>
      <c r="AG269" t="s" s="0">
        <v>6572</v>
      </c>
      <c r="AH269" t="s" s="0">
        <v>81</v>
      </c>
      <c r="AI269" t="s" s="0">
        <v>6573</v>
      </c>
      <c r="AJ269" t="s" s="0">
        <v>6574</v>
      </c>
      <c r="AK269" t="s" s="0">
        <v>81</v>
      </c>
      <c r="AL269" t="s" s="0">
        <v>854</v>
      </c>
      <c r="AM269" t="s" s="0">
        <v>796</v>
      </c>
      <c r="AN269" t="s" s="0">
        <v>211</v>
      </c>
      <c r="AO269" t="s" s="0">
        <v>144</v>
      </c>
      <c r="AP269" t="s" s="0">
        <v>652</v>
      </c>
      <c r="AQ269" t="s" s="0">
        <v>278</v>
      </c>
      <c r="AR269" t="s" s="0">
        <v>247</v>
      </c>
      <c r="AS269" t="s" s="0">
        <v>279</v>
      </c>
      <c r="AT269" t="s" s="0">
        <v>6575</v>
      </c>
      <c r="AU269" t="s" s="0">
        <v>6576</v>
      </c>
      <c r="AV269" t="s" s="0">
        <v>81</v>
      </c>
      <c r="AW269" t="s" s="0">
        <v>6577</v>
      </c>
      <c r="AX269" t="s" s="0">
        <v>6578</v>
      </c>
      <c r="AY269" t="s" s="0">
        <v>6579</v>
      </c>
      <c r="AZ269" t="s" s="0">
        <v>285</v>
      </c>
      <c r="BA269" t="s" s="0">
        <v>652</v>
      </c>
      <c r="BB269" t="s" s="0">
        <v>144</v>
      </c>
      <c r="BC269" t="s" s="0">
        <v>81</v>
      </c>
      <c r="BD269" t="s" s="0">
        <v>81</v>
      </c>
      <c r="BE269" t="s" s="0">
        <v>81</v>
      </c>
      <c r="BF269" t="s" s="0">
        <v>81</v>
      </c>
      <c r="BG269" t="s" s="0">
        <v>81</v>
      </c>
      <c r="BH269" t="s" s="0">
        <v>81</v>
      </c>
      <c r="BI269" t="s" s="0">
        <v>2106</v>
      </c>
      <c r="BJ269" t="s" s="0">
        <v>6580</v>
      </c>
      <c r="BK269" t="s" s="533">
        <f>HYPERLINK("http://dx.doi.org/10.1007/s10207-024-00965-2","http://dx.doi.org/10.1007/s10207-024-00965-2")</f>
        <v>6581</v>
      </c>
      <c r="BL269" t="s" s="0">
        <v>81</v>
      </c>
      <c r="BM269" t="s" s="0">
        <v>81</v>
      </c>
      <c r="BN269" t="s" s="0">
        <v>1001</v>
      </c>
      <c r="BO269" t="s" s="0">
        <v>1236</v>
      </c>
      <c r="BP269" t="s" s="0">
        <v>835</v>
      </c>
      <c r="BQ269" t="s" s="0">
        <v>6582</v>
      </c>
      <c r="BR269" t="s" s="0">
        <v>81</v>
      </c>
      <c r="BS269" t="s" s="0">
        <v>6583</v>
      </c>
      <c r="BT269" t="s" s="534">
        <f>HYPERLINK("https://www.webofscience.com/wos/woscc/full-record/WOS:001380243500002","View Record in Web of Science")</f>
        <v>113</v>
      </c>
      <c r="BU269" t="s" s="0">
        <v>81</v>
      </c>
      <c r="BV269" t="s" s="0">
        <v>81</v>
      </c>
      <c r="BW269" t="s" s="0">
        <v>81</v>
      </c>
      <c r="BX269" t="s" s="0">
        <v>115</v>
      </c>
    </row>
    <row r="270">
      <c r="A270" t="s" s="0">
        <v>77</v>
      </c>
      <c r="B270" t="s" s="0">
        <v>77</v>
      </c>
      <c r="C270" t="s" s="0">
        <v>77</v>
      </c>
      <c r="D270" t="s" s="0">
        <v>77</v>
      </c>
      <c r="E270" t="s" s="0">
        <v>6584</v>
      </c>
      <c r="F270" t="s" s="0">
        <v>6585</v>
      </c>
      <c r="G270" t="s" s="0">
        <v>6586</v>
      </c>
      <c r="H270" t="s" s="0">
        <v>81</v>
      </c>
      <c r="I270" t="s" s="0">
        <v>2558</v>
      </c>
      <c r="J270" t="s" s="0">
        <v>6587</v>
      </c>
      <c r="K270" t="s" s="0">
        <v>6588</v>
      </c>
      <c r="L270" t="s" s="0">
        <v>81</v>
      </c>
      <c r="M270" t="s" s="0">
        <v>81</v>
      </c>
      <c r="N270" t="s" s="0">
        <v>81</v>
      </c>
      <c r="O270" t="s" s="0">
        <v>6589</v>
      </c>
      <c r="P270" t="s" s="0">
        <v>6590</v>
      </c>
      <c r="Q270" t="s" s="0">
        <v>87</v>
      </c>
      <c r="R270" t="s" s="0">
        <v>81</v>
      </c>
      <c r="S270" t="s" s="0">
        <v>81</v>
      </c>
      <c r="T270" t="s" s="0">
        <v>81</v>
      </c>
      <c r="U270" t="s" s="0">
        <v>81</v>
      </c>
      <c r="V270" t="s" s="0">
        <v>6591</v>
      </c>
      <c r="W270" t="s" s="0">
        <v>6592</v>
      </c>
      <c r="X270" t="s" s="0">
        <v>81</v>
      </c>
      <c r="Y270" t="s" s="0">
        <v>81</v>
      </c>
      <c r="Z270" t="s" s="0">
        <v>90</v>
      </c>
      <c r="AA270" t="s" s="0">
        <v>91</v>
      </c>
      <c r="AB270" t="s" s="0">
        <v>81</v>
      </c>
      <c r="AC270" t="s" s="0">
        <v>81</v>
      </c>
      <c r="AD270" t="s" s="0">
        <v>81</v>
      </c>
      <c r="AE270" t="s" s="0">
        <v>81</v>
      </c>
      <c r="AF270" t="s" s="0">
        <v>81</v>
      </c>
      <c r="AG270" t="s" s="0">
        <v>6593</v>
      </c>
      <c r="AH270" t="s" s="0">
        <v>6594</v>
      </c>
      <c r="AI270" t="s" s="0">
        <v>6595</v>
      </c>
      <c r="AJ270" t="s" s="0">
        <v>6596</v>
      </c>
      <c r="AK270" t="s" s="0">
        <v>81</v>
      </c>
      <c r="AL270" t="s" s="0">
        <v>1354</v>
      </c>
      <c r="AM270" t="s" s="0">
        <v>211</v>
      </c>
      <c r="AN270" t="s" s="0">
        <v>1253</v>
      </c>
      <c r="AO270" t="s" s="0">
        <v>93</v>
      </c>
      <c r="AP270" t="s" s="0">
        <v>6597</v>
      </c>
      <c r="AQ270" t="s" s="0">
        <v>557</v>
      </c>
      <c r="AR270" t="s" s="0">
        <v>558</v>
      </c>
      <c r="AS270" t="s" s="0">
        <v>559</v>
      </c>
      <c r="AT270" t="s" s="0">
        <v>6598</v>
      </c>
      <c r="AU270" t="s" s="0">
        <v>6599</v>
      </c>
      <c r="AV270" t="s" s="0">
        <v>81</v>
      </c>
      <c r="AW270" t="s" s="0">
        <v>6600</v>
      </c>
      <c r="AX270" t="s" s="0">
        <v>6601</v>
      </c>
      <c r="AY270" t="s" s="0">
        <v>5338</v>
      </c>
      <c r="AZ270" t="s" s="0">
        <v>285</v>
      </c>
      <c r="BA270" t="s" s="0">
        <v>433</v>
      </c>
      <c r="BB270" t="s" s="0">
        <v>103</v>
      </c>
      <c r="BC270" t="s" s="0">
        <v>81</v>
      </c>
      <c r="BD270" t="s" s="0">
        <v>81</v>
      </c>
      <c r="BE270" t="s" s="0">
        <v>81</v>
      </c>
      <c r="BF270" t="s" s="0">
        <v>81</v>
      </c>
      <c r="BG270" t="s" s="0">
        <v>6602</v>
      </c>
      <c r="BH270" t="s" s="0">
        <v>6603</v>
      </c>
      <c r="BI270" t="s" s="0">
        <v>81</v>
      </c>
      <c r="BJ270" t="s" s="0">
        <v>6604</v>
      </c>
      <c r="BK270" t="s" s="535">
        <f>HYPERLINK("http://dx.doi.org/10.1111/jcal.13028","http://dx.doi.org/10.1111/jcal.13028")</f>
        <v>6605</v>
      </c>
      <c r="BL270" t="s" s="0">
        <v>81</v>
      </c>
      <c r="BM270" t="s" s="0">
        <v>1261</v>
      </c>
      <c r="BN270" t="s" s="0">
        <v>626</v>
      </c>
      <c r="BO270" t="s" s="0">
        <v>6606</v>
      </c>
      <c r="BP270" t="s" s="0">
        <v>6606</v>
      </c>
      <c r="BQ270" t="s" s="0">
        <v>6607</v>
      </c>
      <c r="BR270" t="s" s="0">
        <v>81</v>
      </c>
      <c r="BS270" t="s" s="0">
        <v>6608</v>
      </c>
      <c r="BT270" t="s" s="536">
        <f>HYPERLINK("https://www.webofscience.com/wos/woscc/full-record/WOS:001238762500001","View Record in Web of Science")</f>
        <v>113</v>
      </c>
      <c r="BU270" t="s" s="0">
        <v>6609</v>
      </c>
      <c r="BV270" t="s" s="0">
        <v>81</v>
      </c>
      <c r="BW270" t="s" s="0">
        <v>81</v>
      </c>
      <c r="BX270" t="s" s="0">
        <v>115</v>
      </c>
    </row>
    <row r="271">
      <c r="A271" t="s" s="0">
        <v>116</v>
      </c>
      <c r="B271" t="s" s="0">
        <v>77</v>
      </c>
      <c r="C271" t="s" s="0">
        <v>313</v>
      </c>
      <c r="D271" t="s" s="0">
        <v>77</v>
      </c>
      <c r="E271" t="s" s="0">
        <v>6610</v>
      </c>
      <c r="F271" t="s" s="0">
        <v>6611</v>
      </c>
      <c r="G271" t="s" s="0">
        <v>6612</v>
      </c>
      <c r="H271" t="s" s="0">
        <v>81</v>
      </c>
      <c r="I271" t="s" s="0">
        <v>82</v>
      </c>
      <c r="J271" t="s" s="0">
        <v>6613</v>
      </c>
      <c r="K271" t="s" s="0">
        <v>6614</v>
      </c>
      <c r="L271" t="s" s="0">
        <v>6615</v>
      </c>
      <c r="M271" t="s" s="0">
        <v>6616</v>
      </c>
      <c r="N271" t="s" s="0">
        <v>6617</v>
      </c>
      <c r="O271" t="s" s="0">
        <v>6618</v>
      </c>
      <c r="P271" t="s" s="0">
        <v>6619</v>
      </c>
      <c r="Q271" t="s" s="0">
        <v>87</v>
      </c>
      <c r="R271" t="s" s="0">
        <v>81</v>
      </c>
      <c r="S271" t="s" s="0">
        <v>81</v>
      </c>
      <c r="T271" t="s" s="0">
        <v>81</v>
      </c>
      <c r="U271" t="s" s="0">
        <v>81</v>
      </c>
      <c r="V271" t="s" s="0">
        <v>6620</v>
      </c>
      <c r="W271" t="s" s="0">
        <v>4663</v>
      </c>
      <c r="X271" t="s" s="0">
        <v>81</v>
      </c>
      <c r="Y271" t="s" s="0">
        <v>81</v>
      </c>
      <c r="Z271" t="s" s="0">
        <v>90</v>
      </c>
      <c r="AA271" t="s" s="0">
        <v>91</v>
      </c>
      <c r="AB271" t="s" s="0">
        <v>81</v>
      </c>
      <c r="AC271" t="s" s="0">
        <v>81</v>
      </c>
      <c r="AD271" t="s" s="0">
        <v>81</v>
      </c>
      <c r="AE271" t="s" s="0">
        <v>81</v>
      </c>
      <c r="AF271" t="s" s="0">
        <v>81</v>
      </c>
      <c r="AG271" t="s" s="0">
        <v>6621</v>
      </c>
      <c r="AH271" t="s" s="0">
        <v>6622</v>
      </c>
      <c r="AI271" t="s" s="0">
        <v>6623</v>
      </c>
      <c r="AJ271" t="s" s="0">
        <v>6624</v>
      </c>
      <c r="AK271" t="s" s="0">
        <v>81</v>
      </c>
      <c r="AL271" t="s" s="0">
        <v>3567</v>
      </c>
      <c r="AM271" t="s" s="0">
        <v>921</v>
      </c>
      <c r="AN271" t="s" s="0">
        <v>132</v>
      </c>
      <c r="AO271" t="s" s="0">
        <v>144</v>
      </c>
      <c r="AP271" t="s" s="0">
        <v>684</v>
      </c>
      <c r="AQ271" t="s" s="0">
        <v>3362</v>
      </c>
      <c r="AR271" t="s" s="0">
        <v>3363</v>
      </c>
      <c r="AS271" t="s" s="0">
        <v>3364</v>
      </c>
      <c r="AT271" t="s" s="0">
        <v>6625</v>
      </c>
      <c r="AU271" t="s" s="0">
        <v>4667</v>
      </c>
      <c r="AV271" t="s" s="0">
        <v>81</v>
      </c>
      <c r="AW271" t="s" s="0">
        <v>4668</v>
      </c>
      <c r="AX271" t="s" s="0">
        <v>4669</v>
      </c>
      <c r="AY271" t="s" s="0">
        <v>6626</v>
      </c>
      <c r="AZ271" t="s" s="0">
        <v>285</v>
      </c>
      <c r="BA271" t="s" s="0">
        <v>1253</v>
      </c>
      <c r="BB271" t="s" s="0">
        <v>81</v>
      </c>
      <c r="BC271" t="s" s="0">
        <v>81</v>
      </c>
      <c r="BD271" t="s" s="0">
        <v>81</v>
      </c>
      <c r="BE271" t="s" s="0">
        <v>81</v>
      </c>
      <c r="BF271" t="s" s="0">
        <v>81</v>
      </c>
      <c r="BG271" t="s" s="0">
        <v>81</v>
      </c>
      <c r="BH271" t="s" s="0">
        <v>81</v>
      </c>
      <c r="BI271" t="s" s="0">
        <v>6627</v>
      </c>
      <c r="BJ271" t="s" s="0">
        <v>6628</v>
      </c>
      <c r="BK271" t="s" s="537">
        <f>HYPERLINK("http://dx.doi.org/10.2196/54538","http://dx.doi.org/10.2196/54538")</f>
        <v>6629</v>
      </c>
      <c r="BL271" t="s" s="0">
        <v>81</v>
      </c>
      <c r="BM271" t="s" s="0">
        <v>81</v>
      </c>
      <c r="BN271" t="s" s="0">
        <v>468</v>
      </c>
      <c r="BO271" t="s" s="0">
        <v>1576</v>
      </c>
      <c r="BP271" t="s" s="0">
        <v>1576</v>
      </c>
      <c r="BQ271" t="s" s="0">
        <v>6630</v>
      </c>
      <c r="BR271" t="s" s="0">
        <v>6631</v>
      </c>
      <c r="BS271" t="s" s="0">
        <v>6632</v>
      </c>
      <c r="BT271" t="s" s="538">
        <f>HYPERLINK("https://www.webofscience.com/wos/woscc/full-record/WOS:001223618300006","View Record in Web of Science")</f>
        <v>113</v>
      </c>
      <c r="BU271" t="s" s="0">
        <v>153</v>
      </c>
      <c r="BV271" t="s" s="0">
        <v>81</v>
      </c>
      <c r="BW271" t="s" s="0">
        <v>81</v>
      </c>
      <c r="BX271" t="s" s="0">
        <v>115</v>
      </c>
    </row>
    <row r="272"/>
  </sheetData>
  <hyperlinks>
    <hyperlink ref="BK2" r:id="rId1"/>
    <hyperlink ref="BT2" r:id="rId2"/>
    <hyperlink ref="BK3" r:id="rId3"/>
    <hyperlink ref="BT3" r:id="rId4"/>
    <hyperlink ref="BK4" r:id="rId5"/>
    <hyperlink ref="BT4" r:id="rId6"/>
    <hyperlink ref="BK5" r:id="rId7"/>
    <hyperlink ref="BT5" r:id="rId8"/>
    <hyperlink ref="BK6" r:id="rId9"/>
    <hyperlink ref="BT6" r:id="rId10"/>
    <hyperlink ref="BK7" r:id="rId11"/>
    <hyperlink ref="BT7" r:id="rId12"/>
    <hyperlink ref="BK8" r:id="rId13"/>
    <hyperlink ref="BT8" r:id="rId14"/>
    <hyperlink ref="BK9" r:id="rId15"/>
    <hyperlink ref="BT9" r:id="rId16"/>
    <hyperlink ref="BK10" r:id="rId17"/>
    <hyperlink ref="BT10" r:id="rId18"/>
    <hyperlink ref="BK11" r:id="rId19"/>
    <hyperlink ref="BT11" r:id="rId20"/>
    <hyperlink ref="BK12" r:id="rId21"/>
    <hyperlink ref="BT12" r:id="rId22"/>
    <hyperlink ref="BK13" r:id="rId23"/>
    <hyperlink ref="BT13" r:id="rId24"/>
    <hyperlink ref="BK14" r:id="rId25"/>
    <hyperlink ref="BT14" r:id="rId26"/>
    <hyperlink ref="BK15" r:id="rId27"/>
    <hyperlink ref="BT15" r:id="rId28"/>
    <hyperlink ref="BK16" r:id="rId29"/>
    <hyperlink ref="BT16" r:id="rId30"/>
    <hyperlink ref="BK17" r:id="rId31"/>
    <hyperlink ref="BT17" r:id="rId32"/>
    <hyperlink ref="BK18" r:id="rId33"/>
    <hyperlink ref="BT18" r:id="rId34"/>
    <hyperlink ref="BK19" r:id="rId35"/>
    <hyperlink ref="BT19" r:id="rId36"/>
    <hyperlink ref="BK20" r:id="rId37"/>
    <hyperlink ref="BT20" r:id="rId38"/>
    <hyperlink ref="BK21" r:id="rId39"/>
    <hyperlink ref="BT21" r:id="rId40"/>
    <hyperlink ref="BK22" r:id="rId41"/>
    <hyperlink ref="BT22" r:id="rId42"/>
    <hyperlink ref="BK23" r:id="rId43"/>
    <hyperlink ref="BT23" r:id="rId44"/>
    <hyperlink ref="BK24" r:id="rId45"/>
    <hyperlink ref="BT24" r:id="rId46"/>
    <hyperlink ref="BK25" r:id="rId47"/>
    <hyperlink ref="BT25" r:id="rId48"/>
    <hyperlink ref="BK26" r:id="rId49"/>
    <hyperlink ref="BT26" r:id="rId50"/>
    <hyperlink ref="BK27" r:id="rId51"/>
    <hyperlink ref="BT27" r:id="rId52"/>
    <hyperlink ref="BK28" r:id="rId53"/>
    <hyperlink ref="BT28" r:id="rId54"/>
    <hyperlink ref="BK29" r:id="rId55"/>
    <hyperlink ref="BT29" r:id="rId56"/>
    <hyperlink ref="BK30" r:id="rId57"/>
    <hyperlink ref="BT30" r:id="rId58"/>
    <hyperlink ref="BK31" r:id="rId59"/>
    <hyperlink ref="BT31" r:id="rId60"/>
    <hyperlink ref="BK32" r:id="rId61"/>
    <hyperlink ref="BT32" r:id="rId62"/>
    <hyperlink ref="BK33" r:id="rId63"/>
    <hyperlink ref="BT33" r:id="rId64"/>
    <hyperlink ref="BK34" r:id="rId65"/>
    <hyperlink ref="BT34" r:id="rId66"/>
    <hyperlink ref="BK35" r:id="rId67"/>
    <hyperlink ref="BT35" r:id="rId68"/>
    <hyperlink ref="BK36" r:id="rId69"/>
    <hyperlink ref="BT36" r:id="rId70"/>
    <hyperlink ref="BK37" r:id="rId71"/>
    <hyperlink ref="BT37" r:id="rId72"/>
    <hyperlink ref="BK38" r:id="rId73"/>
    <hyperlink ref="BT38" r:id="rId74"/>
    <hyperlink ref="BK39" r:id="rId75"/>
    <hyperlink ref="BT39" r:id="rId76"/>
    <hyperlink ref="BK40" r:id="rId77"/>
    <hyperlink ref="BT40" r:id="rId78"/>
    <hyperlink ref="BK41" r:id="rId79"/>
    <hyperlink ref="BT41" r:id="rId80"/>
    <hyperlink ref="BK42" r:id="rId81"/>
    <hyperlink ref="BT42" r:id="rId82"/>
    <hyperlink ref="BK43" r:id="rId83"/>
    <hyperlink ref="BT43" r:id="rId84"/>
    <hyperlink ref="BK44" r:id="rId85"/>
    <hyperlink ref="BT44" r:id="rId86"/>
    <hyperlink ref="BK45" r:id="rId87"/>
    <hyperlink ref="BT45" r:id="rId88"/>
    <hyperlink ref="BK46" r:id="rId89"/>
    <hyperlink ref="BT46" r:id="rId90"/>
    <hyperlink ref="BK47" r:id="rId91"/>
    <hyperlink ref="BT47" r:id="rId92"/>
    <hyperlink ref="BK48" r:id="rId93"/>
    <hyperlink ref="BT48" r:id="rId94"/>
    <hyperlink ref="BK49" r:id="rId95"/>
    <hyperlink ref="BT49" r:id="rId96"/>
    <hyperlink ref="BK50" r:id="rId97"/>
    <hyperlink ref="BT50" r:id="rId98"/>
    <hyperlink ref="BK51" r:id="rId99"/>
    <hyperlink ref="BT51" r:id="rId100"/>
    <hyperlink ref="BK52" r:id="rId101"/>
    <hyperlink ref="BT52" r:id="rId102"/>
    <hyperlink ref="BK53" r:id="rId103"/>
    <hyperlink ref="BT53" r:id="rId104"/>
    <hyperlink ref="BK54" r:id="rId105"/>
    <hyperlink ref="BT54" r:id="rId106"/>
    <hyperlink ref="BK55" r:id="rId107"/>
    <hyperlink ref="BT55" r:id="rId108"/>
    <hyperlink ref="BK56" r:id="rId109"/>
    <hyperlink ref="BT56" r:id="rId110"/>
    <hyperlink ref="BK57" r:id="rId111"/>
    <hyperlink ref="BT57" r:id="rId112"/>
    <hyperlink ref="BK58" r:id="rId113"/>
    <hyperlink ref="BT58" r:id="rId114"/>
    <hyperlink ref="BK59" r:id="rId115"/>
    <hyperlink ref="BT59" r:id="rId116"/>
    <hyperlink ref="BK60" r:id="rId117"/>
    <hyperlink ref="BT60" r:id="rId118"/>
    <hyperlink ref="BK61" r:id="rId119"/>
    <hyperlink ref="BT61" r:id="rId120"/>
    <hyperlink ref="BK62" r:id="rId121"/>
    <hyperlink ref="BT62" r:id="rId122"/>
    <hyperlink ref="BK63" r:id="rId123"/>
    <hyperlink ref="BT63" r:id="rId124"/>
    <hyperlink ref="BK64" r:id="rId125"/>
    <hyperlink ref="BT64" r:id="rId126"/>
    <hyperlink ref="BK65" r:id="rId127"/>
    <hyperlink ref="BT65" r:id="rId128"/>
    <hyperlink ref="BK66" r:id="rId129"/>
    <hyperlink ref="BT66" r:id="rId130"/>
    <hyperlink ref="BK67" r:id="rId131"/>
    <hyperlink ref="BT67" r:id="rId132"/>
    <hyperlink ref="BK68" r:id="rId133"/>
    <hyperlink ref="BT68" r:id="rId134"/>
    <hyperlink ref="BK69" r:id="rId135"/>
    <hyperlink ref="BT69" r:id="rId136"/>
    <hyperlink ref="BK70" r:id="rId137"/>
    <hyperlink ref="BT70" r:id="rId138"/>
    <hyperlink ref="BK71" r:id="rId139"/>
    <hyperlink ref="BT71" r:id="rId140"/>
    <hyperlink ref="BK72" r:id="rId141"/>
    <hyperlink ref="BT72" r:id="rId142"/>
    <hyperlink ref="BK73" r:id="rId143"/>
    <hyperlink ref="BT73" r:id="rId144"/>
    <hyperlink ref="BK74" r:id="rId145"/>
    <hyperlink ref="BT74" r:id="rId146"/>
    <hyperlink ref="BK75" r:id="rId147"/>
    <hyperlink ref="BT75" r:id="rId148"/>
    <hyperlink ref="BK76" r:id="rId149"/>
    <hyperlink ref="BT76" r:id="rId150"/>
    <hyperlink ref="BK77" r:id="rId151"/>
    <hyperlink ref="BT77" r:id="rId152"/>
    <hyperlink ref="BK78" r:id="rId153"/>
    <hyperlink ref="BT78" r:id="rId154"/>
    <hyperlink ref="BK79" r:id="rId155"/>
    <hyperlink ref="BT79" r:id="rId156"/>
    <hyperlink ref="BK80" r:id="rId157"/>
    <hyperlink ref="BT80" r:id="rId158"/>
    <hyperlink ref="BK81" r:id="rId159"/>
    <hyperlink ref="BT81" r:id="rId160"/>
    <hyperlink ref="BK82" r:id="rId161"/>
    <hyperlink ref="BT82" r:id="rId162"/>
    <hyperlink ref="BK83" r:id="rId163"/>
    <hyperlink ref="BT83" r:id="rId164"/>
    <hyperlink ref="BK84" r:id="rId165"/>
    <hyperlink ref="BT84" r:id="rId166"/>
    <hyperlink ref="BK85" r:id="rId167"/>
    <hyperlink ref="BT85" r:id="rId168"/>
    <hyperlink ref="BK86" r:id="rId169"/>
    <hyperlink ref="BT86" r:id="rId170"/>
    <hyperlink ref="BK87" r:id="rId171"/>
    <hyperlink ref="BT87" r:id="rId172"/>
    <hyperlink ref="BK88" r:id="rId173"/>
    <hyperlink ref="BT88" r:id="rId174"/>
    <hyperlink ref="BK89" r:id="rId175"/>
    <hyperlink ref="BT89" r:id="rId176"/>
    <hyperlink ref="BK90" r:id="rId177"/>
    <hyperlink ref="BT90" r:id="rId178"/>
    <hyperlink ref="BK91" r:id="rId179"/>
    <hyperlink ref="BT91" r:id="rId180"/>
    <hyperlink ref="BK92" r:id="rId181"/>
    <hyperlink ref="BT92" r:id="rId182"/>
    <hyperlink ref="BK93" r:id="rId183"/>
    <hyperlink ref="BT93" r:id="rId184"/>
    <hyperlink ref="BK94" r:id="rId185"/>
    <hyperlink ref="BT94" r:id="rId186"/>
    <hyperlink ref="BK95" r:id="rId187"/>
    <hyperlink ref="BT95" r:id="rId188"/>
    <hyperlink ref="BK96" r:id="rId189"/>
    <hyperlink ref="BT96" r:id="rId190"/>
    <hyperlink ref="BK97" r:id="rId191"/>
    <hyperlink ref="BT97" r:id="rId192"/>
    <hyperlink ref="BK98" r:id="rId193"/>
    <hyperlink ref="BT98" r:id="rId194"/>
    <hyperlink ref="BK99" r:id="rId195"/>
    <hyperlink ref="BT99" r:id="rId196"/>
    <hyperlink ref="BK100" r:id="rId197"/>
    <hyperlink ref="BT100" r:id="rId198"/>
    <hyperlink ref="BK101" r:id="rId199"/>
    <hyperlink ref="BT101" r:id="rId200"/>
    <hyperlink ref="BK102" r:id="rId201"/>
    <hyperlink ref="BT102" r:id="rId202"/>
    <hyperlink ref="BT103" r:id="rId203"/>
    <hyperlink ref="BK104" r:id="rId204"/>
    <hyperlink ref="BT104" r:id="rId205"/>
    <hyperlink ref="BK105" r:id="rId206"/>
    <hyperlink ref="BT105" r:id="rId207"/>
    <hyperlink ref="BK106" r:id="rId208"/>
    <hyperlink ref="BT106" r:id="rId209"/>
    <hyperlink ref="BK107" r:id="rId210"/>
    <hyperlink ref="BT107" r:id="rId211"/>
    <hyperlink ref="BK108" r:id="rId212"/>
    <hyperlink ref="BT108" r:id="rId213"/>
    <hyperlink ref="BK109" r:id="rId214"/>
    <hyperlink ref="BT109" r:id="rId215"/>
    <hyperlink ref="BK110" r:id="rId216"/>
    <hyperlink ref="BT110" r:id="rId217"/>
    <hyperlink ref="BK111" r:id="rId218"/>
    <hyperlink ref="BT111" r:id="rId219"/>
    <hyperlink ref="BK112" r:id="rId220"/>
    <hyperlink ref="BT112" r:id="rId221"/>
    <hyperlink ref="BK113" r:id="rId222"/>
    <hyperlink ref="BT113" r:id="rId223"/>
    <hyperlink ref="BK114" r:id="rId224"/>
    <hyperlink ref="BT114" r:id="rId225"/>
    <hyperlink ref="BK115" r:id="rId226"/>
    <hyperlink ref="BT115" r:id="rId227"/>
    <hyperlink ref="BK116" r:id="rId228"/>
    <hyperlink ref="BT116" r:id="rId229"/>
    <hyperlink ref="BK117" r:id="rId230"/>
    <hyperlink ref="BT117" r:id="rId231"/>
    <hyperlink ref="BK118" r:id="rId232"/>
    <hyperlink ref="BT118" r:id="rId233"/>
    <hyperlink ref="BK119" r:id="rId234"/>
    <hyperlink ref="BT119" r:id="rId235"/>
    <hyperlink ref="BK120" r:id="rId236"/>
    <hyperlink ref="BT120" r:id="rId237"/>
    <hyperlink ref="BK121" r:id="rId238"/>
    <hyperlink ref="BT121" r:id="rId239"/>
    <hyperlink ref="BK122" r:id="rId240"/>
    <hyperlink ref="BT122" r:id="rId241"/>
    <hyperlink ref="BK123" r:id="rId242"/>
    <hyperlink ref="BT123" r:id="rId243"/>
    <hyperlink ref="BK124" r:id="rId244"/>
    <hyperlink ref="BT124" r:id="rId245"/>
    <hyperlink ref="BK125" r:id="rId246"/>
    <hyperlink ref="BT125" r:id="rId247"/>
    <hyperlink ref="BK126" r:id="rId248"/>
    <hyperlink ref="BT126" r:id="rId249"/>
    <hyperlink ref="BK127" r:id="rId250"/>
    <hyperlink ref="BT127" r:id="rId251"/>
    <hyperlink ref="BK128" r:id="rId252"/>
    <hyperlink ref="BT128" r:id="rId253"/>
    <hyperlink ref="BK129" r:id="rId254"/>
    <hyperlink ref="BT129" r:id="rId255"/>
    <hyperlink ref="BK130" r:id="rId256"/>
    <hyperlink ref="BT130" r:id="rId257"/>
    <hyperlink ref="BK131" r:id="rId258"/>
    <hyperlink ref="BT131" r:id="rId259"/>
    <hyperlink ref="BK132" r:id="rId260"/>
    <hyperlink ref="BT132" r:id="rId261"/>
    <hyperlink ref="BK133" r:id="rId262"/>
    <hyperlink ref="BT133" r:id="rId263"/>
    <hyperlink ref="BK134" r:id="rId264"/>
    <hyperlink ref="BT134" r:id="rId265"/>
    <hyperlink ref="BK135" r:id="rId266"/>
    <hyperlink ref="BT135" r:id="rId267"/>
    <hyperlink ref="BK136" r:id="rId268"/>
    <hyperlink ref="BT136" r:id="rId269"/>
    <hyperlink ref="BK137" r:id="rId270"/>
    <hyperlink ref="BT137" r:id="rId271"/>
    <hyperlink ref="BK138" r:id="rId272"/>
    <hyperlink ref="BT138" r:id="rId273"/>
    <hyperlink ref="BK139" r:id="rId274"/>
    <hyperlink ref="BT139" r:id="rId275"/>
    <hyperlink ref="BK140" r:id="rId276"/>
    <hyperlink ref="BT140" r:id="rId277"/>
    <hyperlink ref="BK141" r:id="rId278"/>
    <hyperlink ref="BT141" r:id="rId279"/>
    <hyperlink ref="BK142" r:id="rId280"/>
    <hyperlink ref="BT142" r:id="rId281"/>
    <hyperlink ref="BK143" r:id="rId282"/>
    <hyperlink ref="BT143" r:id="rId283"/>
    <hyperlink ref="BK144" r:id="rId284"/>
    <hyperlink ref="BT144" r:id="rId285"/>
    <hyperlink ref="BK145" r:id="rId286"/>
    <hyperlink ref="BT145" r:id="rId287"/>
    <hyperlink ref="BK146" r:id="rId288"/>
    <hyperlink ref="BT146" r:id="rId289"/>
    <hyperlink ref="BK147" r:id="rId290"/>
    <hyperlink ref="BT147" r:id="rId291"/>
    <hyperlink ref="BK148" r:id="rId292"/>
    <hyperlink ref="BT148" r:id="rId293"/>
    <hyperlink ref="BK149" r:id="rId294"/>
    <hyperlink ref="BT149" r:id="rId295"/>
    <hyperlink ref="BK150" r:id="rId296"/>
    <hyperlink ref="BT150" r:id="rId297"/>
    <hyperlink ref="BT151" r:id="rId298"/>
    <hyperlink ref="BK152" r:id="rId299"/>
    <hyperlink ref="BT152" r:id="rId300"/>
    <hyperlink ref="BK153" r:id="rId301"/>
    <hyperlink ref="BT153" r:id="rId302"/>
    <hyperlink ref="BK154" r:id="rId303"/>
    <hyperlink ref="BT154" r:id="rId304"/>
    <hyperlink ref="BK155" r:id="rId305"/>
    <hyperlink ref="BT155" r:id="rId306"/>
    <hyperlink ref="BK156" r:id="rId307"/>
    <hyperlink ref="BT156" r:id="rId308"/>
    <hyperlink ref="BK157" r:id="rId309"/>
    <hyperlink ref="BT157" r:id="rId310"/>
    <hyperlink ref="BK158" r:id="rId311"/>
    <hyperlink ref="BT158" r:id="rId312"/>
    <hyperlink ref="BK159" r:id="rId313"/>
    <hyperlink ref="BT159" r:id="rId314"/>
    <hyperlink ref="BK160" r:id="rId315"/>
    <hyperlink ref="BT160" r:id="rId316"/>
    <hyperlink ref="BK161" r:id="rId317"/>
    <hyperlink ref="BT161" r:id="rId318"/>
    <hyperlink ref="BK162" r:id="rId319"/>
    <hyperlink ref="BT162" r:id="rId320"/>
    <hyperlink ref="BK163" r:id="rId321"/>
    <hyperlink ref="BT163" r:id="rId322"/>
    <hyperlink ref="BK164" r:id="rId323"/>
    <hyperlink ref="BT164" r:id="rId324"/>
    <hyperlink ref="BK165" r:id="rId325"/>
    <hyperlink ref="BT165" r:id="rId326"/>
    <hyperlink ref="BK166" r:id="rId327"/>
    <hyperlink ref="BT166" r:id="rId328"/>
    <hyperlink ref="BK167" r:id="rId329"/>
    <hyperlink ref="BT167" r:id="rId330"/>
    <hyperlink ref="BK168" r:id="rId331"/>
    <hyperlink ref="BT168" r:id="rId332"/>
    <hyperlink ref="BK169" r:id="rId333"/>
    <hyperlink ref="BT169" r:id="rId334"/>
    <hyperlink ref="BK170" r:id="rId335"/>
    <hyperlink ref="BT170" r:id="rId336"/>
    <hyperlink ref="BK171" r:id="rId337"/>
    <hyperlink ref="BT171" r:id="rId338"/>
    <hyperlink ref="BK172" r:id="rId339"/>
    <hyperlink ref="BT172" r:id="rId340"/>
    <hyperlink ref="BK173" r:id="rId341"/>
    <hyperlink ref="BT173" r:id="rId342"/>
    <hyperlink ref="BK174" r:id="rId343"/>
    <hyperlink ref="BT174" r:id="rId344"/>
    <hyperlink ref="BK175" r:id="rId345"/>
    <hyperlink ref="BT175" r:id="rId346"/>
    <hyperlink ref="BK176" r:id="rId347"/>
    <hyperlink ref="BT176" r:id="rId348"/>
    <hyperlink ref="BK177" r:id="rId349"/>
    <hyperlink ref="BT177" r:id="rId350"/>
    <hyperlink ref="BK178" r:id="rId351"/>
    <hyperlink ref="BT178" r:id="rId352"/>
    <hyperlink ref="BK179" r:id="rId353"/>
    <hyperlink ref="BT179" r:id="rId354"/>
    <hyperlink ref="BK180" r:id="rId355"/>
    <hyperlink ref="BT180" r:id="rId356"/>
    <hyperlink ref="BK181" r:id="rId357"/>
    <hyperlink ref="BT181" r:id="rId358"/>
    <hyperlink ref="BK182" r:id="rId359"/>
    <hyperlink ref="BT182" r:id="rId360"/>
    <hyperlink ref="BK183" r:id="rId361"/>
    <hyperlink ref="BT183" r:id="rId362"/>
    <hyperlink ref="BK184" r:id="rId363"/>
    <hyperlink ref="BT184" r:id="rId364"/>
    <hyperlink ref="BK185" r:id="rId365"/>
    <hyperlink ref="BT185" r:id="rId366"/>
    <hyperlink ref="BK186" r:id="rId367"/>
    <hyperlink ref="BT186" r:id="rId368"/>
    <hyperlink ref="BK187" r:id="rId369"/>
    <hyperlink ref="BT187" r:id="rId370"/>
    <hyperlink ref="BK188" r:id="rId371"/>
    <hyperlink ref="BT188" r:id="rId372"/>
    <hyperlink ref="BK189" r:id="rId373"/>
    <hyperlink ref="BT189" r:id="rId374"/>
    <hyperlink ref="BK190" r:id="rId375"/>
    <hyperlink ref="BT190" r:id="rId376"/>
    <hyperlink ref="BK191" r:id="rId377"/>
    <hyperlink ref="BT191" r:id="rId378"/>
    <hyperlink ref="BK192" r:id="rId379"/>
    <hyperlink ref="BT192" r:id="rId380"/>
    <hyperlink ref="BK193" r:id="rId381"/>
    <hyperlink ref="BT193" r:id="rId382"/>
    <hyperlink ref="BK194" r:id="rId383"/>
    <hyperlink ref="BT194" r:id="rId384"/>
    <hyperlink ref="BK195" r:id="rId385"/>
    <hyperlink ref="BT195" r:id="rId386"/>
    <hyperlink ref="BK196" r:id="rId387"/>
    <hyperlink ref="BT196" r:id="rId388"/>
    <hyperlink ref="BK197" r:id="rId389"/>
    <hyperlink ref="BT197" r:id="rId390"/>
    <hyperlink ref="BK198" r:id="rId391"/>
    <hyperlink ref="BT198" r:id="rId392"/>
    <hyperlink ref="BK199" r:id="rId393"/>
    <hyperlink ref="BT199" r:id="rId394"/>
    <hyperlink ref="BK200" r:id="rId395"/>
    <hyperlink ref="BT200" r:id="rId396"/>
    <hyperlink ref="BK201" r:id="rId397"/>
    <hyperlink ref="BT201" r:id="rId398"/>
    <hyperlink ref="BK202" r:id="rId399"/>
    <hyperlink ref="BT202" r:id="rId400"/>
    <hyperlink ref="BK203" r:id="rId401"/>
    <hyperlink ref="BT203" r:id="rId402"/>
    <hyperlink ref="BK204" r:id="rId403"/>
    <hyperlink ref="BT204" r:id="rId404"/>
    <hyperlink ref="BK205" r:id="rId405"/>
    <hyperlink ref="BT205" r:id="rId406"/>
    <hyperlink ref="BK206" r:id="rId407"/>
    <hyperlink ref="BT206" r:id="rId408"/>
    <hyperlink ref="BK207" r:id="rId409"/>
    <hyperlink ref="BT207" r:id="rId410"/>
    <hyperlink ref="BK208" r:id="rId411"/>
    <hyperlink ref="BT208" r:id="rId412"/>
    <hyperlink ref="BK209" r:id="rId413"/>
    <hyperlink ref="BT209" r:id="rId414"/>
    <hyperlink ref="BK210" r:id="rId415"/>
    <hyperlink ref="BT210" r:id="rId416"/>
    <hyperlink ref="BK211" r:id="rId417"/>
    <hyperlink ref="BT211" r:id="rId418"/>
    <hyperlink ref="BK212" r:id="rId419"/>
    <hyperlink ref="BT212" r:id="rId420"/>
    <hyperlink ref="BK213" r:id="rId421"/>
    <hyperlink ref="BT213" r:id="rId422"/>
    <hyperlink ref="BK214" r:id="rId423"/>
    <hyperlink ref="BT214" r:id="rId424"/>
    <hyperlink ref="BK215" r:id="rId425"/>
    <hyperlink ref="BT215" r:id="rId426"/>
    <hyperlink ref="BK216" r:id="rId427"/>
    <hyperlink ref="BT216" r:id="rId428"/>
    <hyperlink ref="BK217" r:id="rId429"/>
    <hyperlink ref="BT217" r:id="rId430"/>
    <hyperlink ref="BK218" r:id="rId431"/>
    <hyperlink ref="BT218" r:id="rId432"/>
    <hyperlink ref="BK219" r:id="rId433"/>
    <hyperlink ref="BT219" r:id="rId434"/>
    <hyperlink ref="BK220" r:id="rId435"/>
    <hyperlink ref="BT220" r:id="rId436"/>
    <hyperlink ref="BK221" r:id="rId437"/>
    <hyperlink ref="BT221" r:id="rId438"/>
    <hyperlink ref="BK222" r:id="rId439"/>
    <hyperlink ref="BT222" r:id="rId440"/>
    <hyperlink ref="BK223" r:id="rId441"/>
    <hyperlink ref="BT223" r:id="rId442"/>
    <hyperlink ref="BK224" r:id="rId443"/>
    <hyperlink ref="BT224" r:id="rId444"/>
    <hyperlink ref="BK225" r:id="rId445"/>
    <hyperlink ref="BT225" r:id="rId446"/>
    <hyperlink ref="BK226" r:id="rId447"/>
    <hyperlink ref="BT226" r:id="rId448"/>
    <hyperlink ref="BK227" r:id="rId449"/>
    <hyperlink ref="BT227" r:id="rId450"/>
    <hyperlink ref="BK228" r:id="rId451"/>
    <hyperlink ref="BT228" r:id="rId452"/>
    <hyperlink ref="BK229" r:id="rId453"/>
    <hyperlink ref="BT229" r:id="rId454"/>
    <hyperlink ref="BK230" r:id="rId455"/>
    <hyperlink ref="BT230" r:id="rId456"/>
    <hyperlink ref="BK231" r:id="rId457"/>
    <hyperlink ref="BT231" r:id="rId458"/>
    <hyperlink ref="BK232" r:id="rId459"/>
    <hyperlink ref="BT232" r:id="rId460"/>
    <hyperlink ref="BK233" r:id="rId461"/>
    <hyperlink ref="BT233" r:id="rId462"/>
    <hyperlink ref="BK234" r:id="rId463"/>
    <hyperlink ref="BT234" r:id="rId464"/>
    <hyperlink ref="BK235" r:id="rId465"/>
    <hyperlink ref="BT235" r:id="rId466"/>
    <hyperlink ref="BK236" r:id="rId467"/>
    <hyperlink ref="BT236" r:id="rId468"/>
    <hyperlink ref="BK237" r:id="rId469"/>
    <hyperlink ref="BT237" r:id="rId470"/>
    <hyperlink ref="BK238" r:id="rId471"/>
    <hyperlink ref="BT238" r:id="rId472"/>
    <hyperlink ref="BK239" r:id="rId473"/>
    <hyperlink ref="BT239" r:id="rId474"/>
    <hyperlink ref="BK240" r:id="rId475"/>
    <hyperlink ref="BT240" r:id="rId476"/>
    <hyperlink ref="BK241" r:id="rId477"/>
    <hyperlink ref="BT241" r:id="rId478"/>
    <hyperlink ref="BK242" r:id="rId479"/>
    <hyperlink ref="BT242" r:id="rId480"/>
    <hyperlink ref="BK243" r:id="rId481"/>
    <hyperlink ref="BT243" r:id="rId482"/>
    <hyperlink ref="BK244" r:id="rId483"/>
    <hyperlink ref="BT244" r:id="rId484"/>
    <hyperlink ref="BK245" r:id="rId485"/>
    <hyperlink ref="BT245" r:id="rId486"/>
    <hyperlink ref="BK246" r:id="rId487"/>
    <hyperlink ref="BT246" r:id="rId488"/>
    <hyperlink ref="BK247" r:id="rId489"/>
    <hyperlink ref="BT247" r:id="rId490"/>
    <hyperlink ref="BK248" r:id="rId491"/>
    <hyperlink ref="BT248" r:id="rId492"/>
    <hyperlink ref="BK249" r:id="rId493"/>
    <hyperlink ref="BT249" r:id="rId494"/>
    <hyperlink ref="BK250" r:id="rId495"/>
    <hyperlink ref="BT250" r:id="rId496"/>
    <hyperlink ref="BK251" r:id="rId497"/>
    <hyperlink ref="BT251" r:id="rId498"/>
    <hyperlink ref="BK252" r:id="rId499"/>
    <hyperlink ref="BT252" r:id="rId500"/>
    <hyperlink ref="BK253" r:id="rId501"/>
    <hyperlink ref="BT253" r:id="rId502"/>
    <hyperlink ref="BK254" r:id="rId503"/>
    <hyperlink ref="BT254" r:id="rId504"/>
    <hyperlink ref="BK255" r:id="rId505"/>
    <hyperlink ref="BT255" r:id="rId506"/>
    <hyperlink ref="BK256" r:id="rId507"/>
    <hyperlink ref="BT256" r:id="rId508"/>
    <hyperlink ref="BK257" r:id="rId509"/>
    <hyperlink ref="BT257" r:id="rId510"/>
    <hyperlink ref="BK258" r:id="rId511"/>
    <hyperlink ref="BT258" r:id="rId512"/>
    <hyperlink ref="BK259" r:id="rId513"/>
    <hyperlink ref="BT259" r:id="rId514"/>
    <hyperlink ref="BK260" r:id="rId515"/>
    <hyperlink ref="BT260" r:id="rId516"/>
    <hyperlink ref="BK261" r:id="rId517"/>
    <hyperlink ref="BT261" r:id="rId518"/>
    <hyperlink ref="BK262" r:id="rId519"/>
    <hyperlink ref="BT262" r:id="rId520"/>
    <hyperlink ref="BK263" r:id="rId521"/>
    <hyperlink ref="BT263" r:id="rId522"/>
    <hyperlink ref="BK264" r:id="rId523"/>
    <hyperlink ref="BT264" r:id="rId524"/>
    <hyperlink ref="BK265" r:id="rId525"/>
    <hyperlink ref="BT265" r:id="rId526"/>
    <hyperlink ref="BK266" r:id="rId527"/>
    <hyperlink ref="BT266" r:id="rId528"/>
    <hyperlink ref="BK267" r:id="rId529"/>
    <hyperlink ref="BT267" r:id="rId530"/>
    <hyperlink ref="BK268" r:id="rId531"/>
    <hyperlink ref="BT268" r:id="rId532"/>
    <hyperlink ref="BK269" r:id="rId533"/>
    <hyperlink ref="BT269" r:id="rId534"/>
    <hyperlink ref="BK270" r:id="rId535"/>
    <hyperlink ref="BT270" r:id="rId536"/>
    <hyperlink ref="BK271" r:id="rId537"/>
    <hyperlink ref="BT271" r:id="rId538"/>
  </hyperlinks>
  <printOptions horizontalCentered="true"/>
  <pageMargins bottom="0.75" footer="0.3" header="0.3" left="0.7" right="0.7" top="0.75"/>
  <pageSetup orientation="landscape" fitToHeight="1" fitToWidth="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2026-08-26T15:34:38Z</dcterms:created>
  <dc:creator>Apache POI</dc:creator>
</cp:coreProperties>
</file>